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677459\Desktop\PowerBI\"/>
    </mc:Choice>
  </mc:AlternateContent>
  <xr:revisionPtr revIDLastSave="0" documentId="8_{ED052F91-B563-4228-A0CD-4BE311DFC19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2" i="1" l="1"/>
  <c r="E92" i="1"/>
  <c r="E61" i="1"/>
</calcChain>
</file>

<file path=xl/sharedStrings.xml><?xml version="1.0" encoding="utf-8"?>
<sst xmlns="http://schemas.openxmlformats.org/spreadsheetml/2006/main" count="538" uniqueCount="213">
  <si>
    <t/>
  </si>
  <si>
    <t>USD</t>
  </si>
  <si>
    <t>cash balance on $1.9m payment</t>
  </si>
  <si>
    <t>1820146779</t>
  </si>
  <si>
    <t>Late Payment Invoice - disputed by ETH</t>
  </si>
  <si>
    <t>1820149082</t>
  </si>
  <si>
    <t>Late Payment Invoice</t>
  </si>
  <si>
    <t>1820149083</t>
  </si>
  <si>
    <t>0099719113</t>
  </si>
  <si>
    <t>3D-P0545504</t>
  </si>
  <si>
    <t>0099540448</t>
  </si>
  <si>
    <t>CRC for ESN 10509</t>
  </si>
  <si>
    <t>4000745709</t>
  </si>
  <si>
    <t>0099219798</t>
  </si>
  <si>
    <t>4E-P0499770</t>
  </si>
  <si>
    <t>0099335798</t>
  </si>
  <si>
    <t>4E-P0515702</t>
  </si>
  <si>
    <t>0099425814</t>
  </si>
  <si>
    <t>4E-P0521900-07</t>
  </si>
  <si>
    <t>0099425860</t>
  </si>
  <si>
    <t>ptp 11.09.25 remit rec'd</t>
  </si>
  <si>
    <t>4E-P0522031-08</t>
  </si>
  <si>
    <t>0099571242</t>
  </si>
  <si>
    <t>4E-P0532463</t>
  </si>
  <si>
    <t>0099571244</t>
  </si>
  <si>
    <t>4E-P0533310</t>
  </si>
  <si>
    <t>0099573547</t>
  </si>
  <si>
    <t>0099678291</t>
  </si>
  <si>
    <t>0099720927</t>
  </si>
  <si>
    <t>4E-P0533318-05</t>
  </si>
  <si>
    <t>0099617565</t>
  </si>
  <si>
    <t>4E-P0533342-03</t>
  </si>
  <si>
    <t>0099617564</t>
  </si>
  <si>
    <t>4E-P0533342-04</t>
  </si>
  <si>
    <t>0099571243</t>
  </si>
  <si>
    <t>4E-P0533425</t>
  </si>
  <si>
    <t>0099573546</t>
  </si>
  <si>
    <t>0099719114</t>
  </si>
  <si>
    <t>4E-P0533430-05</t>
  </si>
  <si>
    <t>0099619409</t>
  </si>
  <si>
    <t>4E-P0533432-01</t>
  </si>
  <si>
    <t>0099580888</t>
  </si>
  <si>
    <t>4E-P0534027</t>
  </si>
  <si>
    <t>0099580892</t>
  </si>
  <si>
    <t>4E-P0534030</t>
  </si>
  <si>
    <t>0099598804</t>
  </si>
  <si>
    <t>4E-P0534045</t>
  </si>
  <si>
    <t>0099579230</t>
  </si>
  <si>
    <t>4E-P0534144</t>
  </si>
  <si>
    <t>0099619408</t>
  </si>
  <si>
    <t>4E-P0534145</t>
  </si>
  <si>
    <t>0099624304</t>
  </si>
  <si>
    <t>0099719112</t>
  </si>
  <si>
    <t>4E-P0534295-02</t>
  </si>
  <si>
    <t>0099739025</t>
  </si>
  <si>
    <t>4E-P0543926</t>
  </si>
  <si>
    <t>0099720926</t>
  </si>
  <si>
    <t>4E-P0544596</t>
  </si>
  <si>
    <t>0099720925</t>
  </si>
  <si>
    <t>4E-P0544937</t>
  </si>
  <si>
    <t>0099715279</t>
  </si>
  <si>
    <t>4E-P0545142</t>
  </si>
  <si>
    <t>0099719111</t>
  </si>
  <si>
    <t>0099739024</t>
  </si>
  <si>
    <t>4E-P0546414</t>
  </si>
  <si>
    <t>0099741018</t>
  </si>
  <si>
    <t>4E-P0547125</t>
  </si>
  <si>
    <t>0099713816</t>
  </si>
  <si>
    <t>4T-P0544676</t>
  </si>
  <si>
    <t>0099645943</t>
  </si>
  <si>
    <t>CRC for ESN 21376</t>
  </si>
  <si>
    <t>5005012239</t>
  </si>
  <si>
    <t>0099542646</t>
  </si>
  <si>
    <t>CRC for ESN 21405</t>
  </si>
  <si>
    <t>5005304476</t>
  </si>
  <si>
    <t>0099645961</t>
  </si>
  <si>
    <t>CRC for ESN 21599</t>
  </si>
  <si>
    <t>5005468914</t>
  </si>
  <si>
    <t>0099540447</t>
  </si>
  <si>
    <t>CRC for ESN 10517</t>
  </si>
  <si>
    <t>5005562860</t>
  </si>
  <si>
    <t>0099540442</t>
  </si>
  <si>
    <t>CRC for ESN 10410</t>
  </si>
  <si>
    <t>5005662777</t>
  </si>
  <si>
    <t>0099542625</t>
  </si>
  <si>
    <t>CRC for ESN 21942</t>
  </si>
  <si>
    <t>5005687522</t>
  </si>
  <si>
    <t>0099540444</t>
  </si>
  <si>
    <t>CRC for ESN 21229</t>
  </si>
  <si>
    <t>5005703727</t>
  </si>
  <si>
    <t>bal of 99683380 shortpaid FIN0194356</t>
  </si>
  <si>
    <t>5005795809</t>
  </si>
  <si>
    <t>0099540449</t>
  </si>
  <si>
    <t>CRC for ESN 21294</t>
  </si>
  <si>
    <t>5005825334</t>
  </si>
  <si>
    <t>0099645931</t>
  </si>
  <si>
    <t>CRC for ESN 21602</t>
  </si>
  <si>
    <t>5005876681</t>
  </si>
  <si>
    <t>0099661057</t>
  </si>
  <si>
    <t>offset 99661057 agreed with cust 20.01</t>
  </si>
  <si>
    <t>5006001085</t>
  </si>
  <si>
    <t>0099727860</t>
  </si>
  <si>
    <t>CRC FOR ESN 21950</t>
  </si>
  <si>
    <t>5006056914 / DEG10</t>
  </si>
  <si>
    <t>0099622980</t>
  </si>
  <si>
    <t>5A-P0536057</t>
  </si>
  <si>
    <t>0098359070</t>
  </si>
  <si>
    <t>Part returned - should be credited</t>
  </si>
  <si>
    <t>5C-P0423946</t>
  </si>
  <si>
    <t>0099733456</t>
  </si>
  <si>
    <t>5K-P0546605</t>
  </si>
  <si>
    <t>1820151587</t>
  </si>
  <si>
    <t>Tool loan on TL2024_0305 12/9/24 ok for payment</t>
  </si>
  <si>
    <t>7G-P0461526</t>
  </si>
  <si>
    <t>0099057194</t>
  </si>
  <si>
    <t>Disputed trent 1000 legal case</t>
  </si>
  <si>
    <t>CRC ESN 21105</t>
  </si>
  <si>
    <t>epi payment after inv &amp; cn CRC ESN 21185</t>
  </si>
  <si>
    <t>CRC ESN 21185</t>
  </si>
  <si>
    <t>0099542661</t>
  </si>
  <si>
    <t>CRC for ESN 10418</t>
  </si>
  <si>
    <t>0099477785</t>
  </si>
  <si>
    <t>0099477785 short paid</t>
  </si>
  <si>
    <t>CRC for ESN 10500</t>
  </si>
  <si>
    <t>0099542659</t>
  </si>
  <si>
    <t>CRC for ESN 10590</t>
  </si>
  <si>
    <t>0099542665</t>
  </si>
  <si>
    <t>CRC for ESN 10599</t>
  </si>
  <si>
    <t>BAL LEFT AGAINST INV 0097819658</t>
  </si>
  <si>
    <t>DEG 10215</t>
  </si>
  <si>
    <t>Balance of C/N 2000544961 after invoice offset.</t>
  </si>
  <si>
    <t>0099648085</t>
  </si>
  <si>
    <t>0099648086</t>
  </si>
  <si>
    <t>0099648087</t>
  </si>
  <si>
    <t>0099648088</t>
  </si>
  <si>
    <t>0099648090</t>
  </si>
  <si>
    <t>0099648091</t>
  </si>
  <si>
    <t>0099648092</t>
  </si>
  <si>
    <t>0099648093</t>
  </si>
  <si>
    <t>1820146074</t>
  </si>
  <si>
    <t>RR Non-Qualififed Line Maintenace on ESN 10499</t>
  </si>
  <si>
    <t>DEG 10258</t>
  </si>
  <si>
    <t>Bal to canx by credit 17.6.22</t>
  </si>
  <si>
    <t>DEG 9054</t>
  </si>
  <si>
    <t>2000638764</t>
  </si>
  <si>
    <t>2000638769</t>
  </si>
  <si>
    <t>2000640682</t>
  </si>
  <si>
    <t>0099648075</t>
  </si>
  <si>
    <t>0099648076</t>
  </si>
  <si>
    <t>0099648077</t>
  </si>
  <si>
    <t>0099648078</t>
  </si>
  <si>
    <t>0099648080</t>
  </si>
  <si>
    <t>0099648081</t>
  </si>
  <si>
    <t>0099648082</t>
  </si>
  <si>
    <t>0099648083</t>
  </si>
  <si>
    <t>1820158178</t>
  </si>
  <si>
    <t>DEG10215</t>
  </si>
  <si>
    <t>1620057143</t>
  </si>
  <si>
    <t>DCN001141 CA-08105 DEG9054</t>
  </si>
  <si>
    <t>DEG9054</t>
  </si>
  <si>
    <t>1820158179</t>
  </si>
  <si>
    <t>0099334365</t>
  </si>
  <si>
    <t>P0515913</t>
  </si>
  <si>
    <t>0099334366</t>
  </si>
  <si>
    <t>0099571241</t>
  </si>
  <si>
    <t>P0532981</t>
  </si>
  <si>
    <t>0099617566</t>
  </si>
  <si>
    <t>P0537320</t>
  </si>
  <si>
    <t>0099692879</t>
  </si>
  <si>
    <t>P0541472-01</t>
  </si>
  <si>
    <t>1820146780</t>
  </si>
  <si>
    <t>1820146781</t>
  </si>
  <si>
    <t>1820146782</t>
  </si>
  <si>
    <t>1820149089</t>
  </si>
  <si>
    <t>1820150734</t>
  </si>
  <si>
    <t>Late Payment Interest Invoice, as at 1st June 2024</t>
  </si>
  <si>
    <t>1820158803</t>
  </si>
  <si>
    <t>For the charges of General Visual Inspection</t>
  </si>
  <si>
    <t>1820158804</t>
  </si>
  <si>
    <t>For the charges of ESN 10509 EGB</t>
  </si>
  <si>
    <t>1620059837</t>
  </si>
  <si>
    <t>DCN002938 CA-08564 DEG6272 ESN 21104</t>
  </si>
  <si>
    <t>24ULW21104-2</t>
  </si>
  <si>
    <t>1620062565</t>
  </si>
  <si>
    <t>DCN004803  CA-09492 DEG6272 ESN21376</t>
  </si>
  <si>
    <t>25ULW21376</t>
  </si>
  <si>
    <t>1620062188</t>
  </si>
  <si>
    <t>DCN004526 CA-09492 DEG6272  ESN 21428</t>
  </si>
  <si>
    <t>25ULW21428</t>
  </si>
  <si>
    <t>1620062566</t>
  </si>
  <si>
    <t>DCN004802 CA-09492 DEG6272 ESN 21608</t>
  </si>
  <si>
    <t>25ULW21608</t>
  </si>
  <si>
    <t>1620062187</t>
  </si>
  <si>
    <t>DCN004532 CA-09492 DEG6272 ESN 21950</t>
  </si>
  <si>
    <t>25ULW21950</t>
  </si>
  <si>
    <t>1620062625</t>
  </si>
  <si>
    <t>DCN004861 CA-09492 DEG6272 ESN 21771</t>
  </si>
  <si>
    <t>26ULW21771</t>
  </si>
  <si>
    <t>1620062818</t>
  </si>
  <si>
    <t>DCN004958 CA-09492 DEG6272 ESN 21950</t>
  </si>
  <si>
    <t>26ULW21950</t>
  </si>
  <si>
    <t>1620061217</t>
  </si>
  <si>
    <t>1620061761</t>
  </si>
  <si>
    <t>DCN004226 CA-09951 DEG9054</t>
  </si>
  <si>
    <t>100069213</t>
  </si>
  <si>
    <t>Reference</t>
  </si>
  <si>
    <t>Document Date</t>
  </si>
  <si>
    <t>Net due date</t>
  </si>
  <si>
    <t>Document currency</t>
  </si>
  <si>
    <t>Amount in doc. curr.</t>
  </si>
  <si>
    <t>Reference Key 3</t>
  </si>
  <si>
    <t>Text</t>
  </si>
  <si>
    <t>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</si>
</sst>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3" borderId="0" xfId="0" applyFill="1" applyAlignment="1">
      <alignment vertical="top"/>
    </xf>
    <xf numFmtId="14" fontId="0" fillId="3" borderId="0" xfId="0" applyNumberFormat="1" applyFill="1" applyAlignment="1">
      <alignment horizontal="right" vertical="top"/>
    </xf>
    <xf numFmtId="4" fontId="0" fillId="3" borderId="0" xfId="0" applyNumberFormat="1" applyFill="1" applyAlignment="1">
      <alignment horizontal="right" vertical="top"/>
    </xf>
    <xf numFmtId="0" fontId="0" fillId="4" borderId="0" xfId="0" applyFill="1" applyAlignment="1">
      <alignment vertical="top"/>
    </xf>
    <xf numFmtId="4" fontId="0" fillId="4" borderId="0" xfId="0" applyNumberFormat="1" applyFill="1" applyAlignment="1">
      <alignment vertical="top"/>
    </xf>
    <xf numFmtId="0" fontId="0" fillId="5" borderId="0" xfId="0" applyFill="1" applyAlignment="1">
      <alignment vertical="top"/>
    </xf>
    <xf numFmtId="4" fontId="0" fillId="5" borderId="0" xfId="0" applyNumberFormat="1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2"/>
  <sheetViews>
    <sheetView tabSelected="1" topLeftCell="A89" workbookViewId="0">
      <selection activeCell="A112" sqref="A112:H112"/>
    </sheetView>
  </sheetViews>
  <sheetFormatPr defaultRowHeight="13.2" outlineLevelRow="3" x14ac:dyDescent="0.25"/>
  <cols>
    <col min="1" max="1" width="12" bestFit="1" customWidth="1"/>
    <col min="2" max="2" width="15" bestFit="1" customWidth="1"/>
    <col min="3" max="3" width="14" bestFit="1" customWidth="1"/>
    <col min="4" max="4" width="12" bestFit="1" customWidth="1"/>
    <col min="5" max="5" width="22" bestFit="1" customWidth="1"/>
    <col min="6" max="6" width="17" bestFit="1" customWidth="1"/>
    <col min="7" max="7" width="52" bestFit="1" customWidth="1"/>
    <col min="8" max="8" width="20" bestFit="1" customWidth="1"/>
  </cols>
  <sheetData>
    <row r="1" spans="1:8" ht="26.4" x14ac:dyDescent="0.25">
      <c r="A1" s="1" t="s">
        <v>205</v>
      </c>
      <c r="B1" s="1" t="s">
        <v>206</v>
      </c>
      <c r="C1" s="1" t="s">
        <v>207</v>
      </c>
      <c r="D1" s="4" t="s">
        <v>208</v>
      </c>
      <c r="E1" s="1" t="s">
        <v>209</v>
      </c>
      <c r="F1" s="1" t="s">
        <v>210</v>
      </c>
      <c r="G1" s="1" t="s">
        <v>211</v>
      </c>
      <c r="H1" s="1" t="s">
        <v>212</v>
      </c>
    </row>
    <row r="2" spans="1:8" outlineLevel="3" x14ac:dyDescent="0.25">
      <c r="A2" t="s">
        <v>0</v>
      </c>
      <c r="B2" s="2">
        <v>44729</v>
      </c>
      <c r="C2" s="2">
        <v>44682</v>
      </c>
      <c r="D2" t="s">
        <v>1</v>
      </c>
      <c r="E2" s="3">
        <v>4663.38</v>
      </c>
      <c r="F2" t="s">
        <v>0</v>
      </c>
      <c r="G2" t="s">
        <v>142</v>
      </c>
      <c r="H2" t="s">
        <v>143</v>
      </c>
    </row>
    <row r="3" spans="1:8" outlineLevel="3" x14ac:dyDescent="0.25">
      <c r="A3" t="s">
        <v>0</v>
      </c>
      <c r="B3" s="2">
        <v>44872</v>
      </c>
      <c r="C3" s="2">
        <v>44835</v>
      </c>
      <c r="D3" t="s">
        <v>1</v>
      </c>
      <c r="E3" s="3">
        <v>2640</v>
      </c>
      <c r="F3" t="s">
        <v>0</v>
      </c>
      <c r="G3" t="s">
        <v>128</v>
      </c>
      <c r="H3" t="s">
        <v>129</v>
      </c>
    </row>
    <row r="4" spans="1:8" outlineLevel="3" x14ac:dyDescent="0.25">
      <c r="A4" t="s">
        <v>106</v>
      </c>
      <c r="B4" s="2">
        <v>45193</v>
      </c>
      <c r="C4" s="2">
        <v>45223</v>
      </c>
      <c r="D4" t="s">
        <v>1</v>
      </c>
      <c r="E4" s="3">
        <v>978</v>
      </c>
      <c r="F4" t="s">
        <v>0</v>
      </c>
      <c r="G4" t="s">
        <v>107</v>
      </c>
      <c r="H4" t="s">
        <v>108</v>
      </c>
    </row>
    <row r="5" spans="1:8" outlineLevel="3" x14ac:dyDescent="0.25">
      <c r="A5" t="s">
        <v>139</v>
      </c>
      <c r="B5" s="2">
        <v>45218</v>
      </c>
      <c r="C5" s="2">
        <v>45248</v>
      </c>
      <c r="D5" t="s">
        <v>1</v>
      </c>
      <c r="E5" s="3">
        <v>318419</v>
      </c>
      <c r="F5" t="s">
        <v>0</v>
      </c>
      <c r="G5" t="s">
        <v>140</v>
      </c>
      <c r="H5" t="s">
        <v>141</v>
      </c>
    </row>
    <row r="6" spans="1:8" outlineLevel="3" x14ac:dyDescent="0.25">
      <c r="A6" t="s">
        <v>171</v>
      </c>
      <c r="B6" s="2">
        <v>45261</v>
      </c>
      <c r="C6" s="2">
        <v>45291</v>
      </c>
      <c r="D6" t="s">
        <v>1</v>
      </c>
      <c r="E6" s="3">
        <v>586.91</v>
      </c>
      <c r="F6" t="s">
        <v>0</v>
      </c>
      <c r="G6" t="s">
        <v>4</v>
      </c>
      <c r="H6" t="s">
        <v>0</v>
      </c>
    </row>
    <row r="7" spans="1:8" outlineLevel="3" x14ac:dyDescent="0.25">
      <c r="A7" t="s">
        <v>170</v>
      </c>
      <c r="B7" s="2">
        <v>45261</v>
      </c>
      <c r="C7" s="2">
        <v>45291</v>
      </c>
      <c r="D7" t="s">
        <v>1</v>
      </c>
      <c r="E7" s="3">
        <v>813.6</v>
      </c>
      <c r="F7" t="s">
        <v>0</v>
      </c>
      <c r="G7" t="s">
        <v>4</v>
      </c>
      <c r="H7" t="s">
        <v>0</v>
      </c>
    </row>
    <row r="8" spans="1:8" outlineLevel="3" x14ac:dyDescent="0.25">
      <c r="A8" t="s">
        <v>172</v>
      </c>
      <c r="B8" s="2">
        <v>45261</v>
      </c>
      <c r="C8" s="2">
        <v>45291</v>
      </c>
      <c r="D8" t="s">
        <v>1</v>
      </c>
      <c r="E8" s="3">
        <v>1293.79</v>
      </c>
      <c r="F8" t="s">
        <v>0</v>
      </c>
      <c r="G8" t="s">
        <v>4</v>
      </c>
      <c r="H8" t="s">
        <v>0</v>
      </c>
    </row>
    <row r="9" spans="1:8" outlineLevel="3" x14ac:dyDescent="0.25">
      <c r="A9" t="s">
        <v>3</v>
      </c>
      <c r="B9" s="2">
        <v>45261</v>
      </c>
      <c r="C9" s="2">
        <v>45291</v>
      </c>
      <c r="D9" t="s">
        <v>1</v>
      </c>
      <c r="E9" s="3">
        <v>51143.15</v>
      </c>
      <c r="F9" t="s">
        <v>0</v>
      </c>
      <c r="G9" t="s">
        <v>4</v>
      </c>
      <c r="H9" t="s">
        <v>0</v>
      </c>
    </row>
    <row r="10" spans="1:8" outlineLevel="3" x14ac:dyDescent="0.25">
      <c r="A10" t="s">
        <v>173</v>
      </c>
      <c r="B10" s="2">
        <v>45366</v>
      </c>
      <c r="C10" s="2">
        <v>45396</v>
      </c>
      <c r="D10" t="s">
        <v>1</v>
      </c>
      <c r="E10" s="3">
        <v>4538.84</v>
      </c>
      <c r="F10" t="s">
        <v>0</v>
      </c>
      <c r="G10" t="s">
        <v>6</v>
      </c>
      <c r="H10" t="s">
        <v>0</v>
      </c>
    </row>
    <row r="11" spans="1:8" outlineLevel="3" x14ac:dyDescent="0.25">
      <c r="A11" t="s">
        <v>7</v>
      </c>
      <c r="B11" s="2">
        <v>45366</v>
      </c>
      <c r="C11" s="2">
        <v>45396</v>
      </c>
      <c r="D11" t="s">
        <v>1</v>
      </c>
      <c r="E11" s="3">
        <v>13464.47</v>
      </c>
      <c r="F11" t="s">
        <v>0</v>
      </c>
      <c r="G11" t="s">
        <v>6</v>
      </c>
      <c r="H11" t="s">
        <v>0</v>
      </c>
    </row>
    <row r="12" spans="1:8" outlineLevel="3" x14ac:dyDescent="0.25">
      <c r="A12" t="s">
        <v>5</v>
      </c>
      <c r="B12" s="2">
        <v>45366</v>
      </c>
      <c r="C12" s="2">
        <v>45396</v>
      </c>
      <c r="D12" t="s">
        <v>1</v>
      </c>
      <c r="E12" s="3">
        <v>121668.92</v>
      </c>
      <c r="F12" t="s">
        <v>0</v>
      </c>
      <c r="G12" t="s">
        <v>6</v>
      </c>
      <c r="H12" t="s">
        <v>0</v>
      </c>
    </row>
    <row r="13" spans="1:8" outlineLevel="3" x14ac:dyDescent="0.25">
      <c r="A13" t="s">
        <v>174</v>
      </c>
      <c r="B13" s="2">
        <v>45447</v>
      </c>
      <c r="C13" s="2">
        <v>45477</v>
      </c>
      <c r="D13" t="s">
        <v>1</v>
      </c>
      <c r="E13" s="3">
        <v>857169.72</v>
      </c>
      <c r="F13" t="s">
        <v>0</v>
      </c>
      <c r="G13" t="s">
        <v>175</v>
      </c>
      <c r="H13" t="s">
        <v>0</v>
      </c>
    </row>
    <row r="14" spans="1:8" outlineLevel="3" x14ac:dyDescent="0.25">
      <c r="A14" t="s">
        <v>111</v>
      </c>
      <c r="B14" s="2">
        <v>45499</v>
      </c>
      <c r="C14" s="2">
        <v>45529</v>
      </c>
      <c r="D14" t="s">
        <v>1</v>
      </c>
      <c r="E14" s="3">
        <v>1700</v>
      </c>
      <c r="F14" t="s">
        <v>0</v>
      </c>
      <c r="G14" t="s">
        <v>112</v>
      </c>
      <c r="H14" t="s">
        <v>113</v>
      </c>
    </row>
    <row r="15" spans="1:8" outlineLevel="3" x14ac:dyDescent="0.25">
      <c r="A15" t="s">
        <v>114</v>
      </c>
      <c r="B15" s="2">
        <v>45642</v>
      </c>
      <c r="C15" s="2">
        <v>45672</v>
      </c>
      <c r="D15" t="s">
        <v>1</v>
      </c>
      <c r="E15" s="3">
        <v>555734.32999999996</v>
      </c>
      <c r="F15" t="s">
        <v>0</v>
      </c>
      <c r="G15" t="s">
        <v>115</v>
      </c>
      <c r="H15" t="s">
        <v>116</v>
      </c>
    </row>
    <row r="16" spans="1:8" outlineLevel="3" x14ac:dyDescent="0.25">
      <c r="A16" t="s">
        <v>13</v>
      </c>
      <c r="B16" s="2">
        <v>45744</v>
      </c>
      <c r="C16" s="2">
        <v>45774</v>
      </c>
      <c r="D16" t="s">
        <v>1</v>
      </c>
      <c r="E16" s="3">
        <v>28320</v>
      </c>
      <c r="F16" t="s">
        <v>0</v>
      </c>
      <c r="G16" t="s">
        <v>0</v>
      </c>
      <c r="H16" t="s">
        <v>14</v>
      </c>
    </row>
    <row r="17" spans="1:8" outlineLevel="3" x14ac:dyDescent="0.25">
      <c r="A17" t="s">
        <v>163</v>
      </c>
      <c r="B17" s="2">
        <v>45810</v>
      </c>
      <c r="C17" s="2">
        <v>45840</v>
      </c>
      <c r="D17" t="s">
        <v>1</v>
      </c>
      <c r="E17" s="3">
        <v>1590</v>
      </c>
      <c r="F17" t="s">
        <v>0</v>
      </c>
      <c r="G17" t="s">
        <v>0</v>
      </c>
      <c r="H17" t="s">
        <v>162</v>
      </c>
    </row>
    <row r="18" spans="1:8" outlineLevel="3" x14ac:dyDescent="0.25">
      <c r="A18" t="s">
        <v>161</v>
      </c>
      <c r="B18" s="2">
        <v>45810</v>
      </c>
      <c r="C18" s="2">
        <v>45840</v>
      </c>
      <c r="D18" t="s">
        <v>1</v>
      </c>
      <c r="E18" s="3">
        <v>1638</v>
      </c>
      <c r="F18" t="s">
        <v>0</v>
      </c>
      <c r="G18" t="s">
        <v>0</v>
      </c>
      <c r="H18" t="s">
        <v>162</v>
      </c>
    </row>
    <row r="19" spans="1:8" outlineLevel="3" x14ac:dyDescent="0.25">
      <c r="A19" t="s">
        <v>15</v>
      </c>
      <c r="B19" s="2">
        <v>45811</v>
      </c>
      <c r="C19" s="2">
        <v>45841</v>
      </c>
      <c r="D19" t="s">
        <v>1</v>
      </c>
      <c r="E19" s="3">
        <v>24050</v>
      </c>
      <c r="F19" t="s">
        <v>0</v>
      </c>
      <c r="G19" t="s">
        <v>0</v>
      </c>
      <c r="H19" t="s">
        <v>16</v>
      </c>
    </row>
    <row r="20" spans="1:8" outlineLevel="3" x14ac:dyDescent="0.25">
      <c r="A20" t="s">
        <v>160</v>
      </c>
      <c r="B20" s="2">
        <v>45825</v>
      </c>
      <c r="C20" s="2">
        <v>45855</v>
      </c>
      <c r="D20" t="s">
        <v>1</v>
      </c>
      <c r="E20" s="3">
        <v>6441.54</v>
      </c>
      <c r="F20" t="s">
        <v>0</v>
      </c>
      <c r="G20" t="s">
        <v>6</v>
      </c>
      <c r="H20" t="s">
        <v>159</v>
      </c>
    </row>
    <row r="21" spans="1:8" outlineLevel="3" x14ac:dyDescent="0.25">
      <c r="A21" t="s">
        <v>155</v>
      </c>
      <c r="B21" s="2">
        <v>45825</v>
      </c>
      <c r="C21" s="2">
        <v>45855</v>
      </c>
      <c r="D21" t="s">
        <v>1</v>
      </c>
      <c r="E21" s="3">
        <v>30168.28</v>
      </c>
      <c r="F21" t="s">
        <v>0</v>
      </c>
      <c r="G21" t="s">
        <v>6</v>
      </c>
      <c r="H21" t="s">
        <v>156</v>
      </c>
    </row>
    <row r="22" spans="1:8" outlineLevel="3" x14ac:dyDescent="0.25">
      <c r="A22" t="s">
        <v>176</v>
      </c>
      <c r="B22" s="2">
        <v>45849</v>
      </c>
      <c r="C22" s="2">
        <v>45879</v>
      </c>
      <c r="D22" t="s">
        <v>1</v>
      </c>
      <c r="E22" s="3">
        <v>46250</v>
      </c>
      <c r="F22" t="s">
        <v>0</v>
      </c>
      <c r="G22" t="s">
        <v>177</v>
      </c>
      <c r="H22" t="s">
        <v>0</v>
      </c>
    </row>
    <row r="23" spans="1:8" outlineLevel="3" x14ac:dyDescent="0.25">
      <c r="A23" t="s">
        <v>178</v>
      </c>
      <c r="B23" s="2">
        <v>45849</v>
      </c>
      <c r="C23" s="2">
        <v>45879</v>
      </c>
      <c r="D23" t="s">
        <v>1</v>
      </c>
      <c r="E23" s="3">
        <v>47900</v>
      </c>
      <c r="F23" t="s">
        <v>0</v>
      </c>
      <c r="G23" t="s">
        <v>179</v>
      </c>
      <c r="H23" t="s">
        <v>0</v>
      </c>
    </row>
    <row r="24" spans="1:8" outlineLevel="3" x14ac:dyDescent="0.25">
      <c r="A24" t="s">
        <v>17</v>
      </c>
      <c r="B24" s="2">
        <v>45868</v>
      </c>
      <c r="C24" s="2">
        <v>45898</v>
      </c>
      <c r="D24" t="s">
        <v>1</v>
      </c>
      <c r="E24" s="3">
        <v>247.5</v>
      </c>
      <c r="F24" t="s">
        <v>0</v>
      </c>
      <c r="G24" t="s">
        <v>0</v>
      </c>
      <c r="H24" t="s">
        <v>18</v>
      </c>
    </row>
    <row r="25" spans="1:8" outlineLevel="3" x14ac:dyDescent="0.25">
      <c r="A25" t="s">
        <v>19</v>
      </c>
      <c r="B25" s="2">
        <v>45868</v>
      </c>
      <c r="C25" s="2">
        <v>45898</v>
      </c>
      <c r="D25" t="s">
        <v>1</v>
      </c>
      <c r="E25" s="3">
        <v>270</v>
      </c>
      <c r="F25" t="s">
        <v>0</v>
      </c>
      <c r="G25" t="s">
        <v>20</v>
      </c>
      <c r="H25" t="s">
        <v>21</v>
      </c>
    </row>
    <row r="26" spans="1:8" outlineLevel="3" x14ac:dyDescent="0.25">
      <c r="A26" t="s">
        <v>121</v>
      </c>
      <c r="B26" s="2">
        <v>45971</v>
      </c>
      <c r="C26" s="2">
        <v>45931</v>
      </c>
      <c r="D26" t="s">
        <v>1</v>
      </c>
      <c r="E26" s="3">
        <v>720</v>
      </c>
      <c r="F26" t="s">
        <v>0</v>
      </c>
      <c r="G26" t="s">
        <v>122</v>
      </c>
      <c r="H26" t="s">
        <v>123</v>
      </c>
    </row>
    <row r="27" spans="1:8" outlineLevel="3" x14ac:dyDescent="0.25">
      <c r="A27" t="s">
        <v>0</v>
      </c>
      <c r="B27" s="2">
        <v>46063</v>
      </c>
      <c r="C27" s="2">
        <v>45968</v>
      </c>
      <c r="D27" t="s">
        <v>1</v>
      </c>
      <c r="E27" s="3">
        <v>65.09</v>
      </c>
      <c r="F27" t="s">
        <v>0</v>
      </c>
      <c r="G27" t="s">
        <v>90</v>
      </c>
      <c r="H27" t="s">
        <v>91</v>
      </c>
    </row>
    <row r="28" spans="1:8" outlineLevel="3" x14ac:dyDescent="0.25">
      <c r="A28" t="s">
        <v>87</v>
      </c>
      <c r="B28" s="2">
        <v>45938</v>
      </c>
      <c r="C28" s="2">
        <v>45968</v>
      </c>
      <c r="D28" t="s">
        <v>1</v>
      </c>
      <c r="E28" s="3">
        <v>145559.38</v>
      </c>
      <c r="F28" t="s">
        <v>0</v>
      </c>
      <c r="G28" t="s">
        <v>88</v>
      </c>
      <c r="H28" t="s">
        <v>89</v>
      </c>
    </row>
    <row r="29" spans="1:8" outlineLevel="3" x14ac:dyDescent="0.25">
      <c r="A29" t="s">
        <v>10</v>
      </c>
      <c r="B29" s="2">
        <v>45938</v>
      </c>
      <c r="C29" s="2">
        <v>45968</v>
      </c>
      <c r="D29" t="s">
        <v>1</v>
      </c>
      <c r="E29" s="3">
        <v>365292.59</v>
      </c>
      <c r="F29" t="s">
        <v>0</v>
      </c>
      <c r="G29" t="s">
        <v>11</v>
      </c>
      <c r="H29" t="s">
        <v>12</v>
      </c>
    </row>
    <row r="30" spans="1:8" outlineLevel="3" x14ac:dyDescent="0.25">
      <c r="A30" t="s">
        <v>92</v>
      </c>
      <c r="B30" s="2">
        <v>45938</v>
      </c>
      <c r="C30" s="2">
        <v>45968</v>
      </c>
      <c r="D30" t="s">
        <v>1</v>
      </c>
      <c r="E30" s="3">
        <v>373041.61</v>
      </c>
      <c r="F30" t="s">
        <v>0</v>
      </c>
      <c r="G30" t="s">
        <v>93</v>
      </c>
      <c r="H30" t="s">
        <v>94</v>
      </c>
    </row>
    <row r="31" spans="1:8" outlineLevel="3" x14ac:dyDescent="0.25">
      <c r="A31" t="s">
        <v>78</v>
      </c>
      <c r="B31" s="2">
        <v>45938</v>
      </c>
      <c r="C31" s="2">
        <v>45968</v>
      </c>
      <c r="D31" t="s">
        <v>1</v>
      </c>
      <c r="E31" s="3">
        <v>885351.01</v>
      </c>
      <c r="F31" t="s">
        <v>0</v>
      </c>
      <c r="G31" t="s">
        <v>79</v>
      </c>
      <c r="H31" t="s">
        <v>80</v>
      </c>
    </row>
    <row r="32" spans="1:8" outlineLevel="3" x14ac:dyDescent="0.25">
      <c r="A32" t="s">
        <v>81</v>
      </c>
      <c r="B32" s="2">
        <v>45938</v>
      </c>
      <c r="C32" s="2">
        <v>45968</v>
      </c>
      <c r="D32" t="s">
        <v>1</v>
      </c>
      <c r="E32" s="3">
        <v>985508.72</v>
      </c>
      <c r="F32" t="s">
        <v>0</v>
      </c>
      <c r="G32" t="s">
        <v>82</v>
      </c>
      <c r="H32" t="s">
        <v>83</v>
      </c>
    </row>
    <row r="33" spans="1:8" outlineLevel="3" x14ac:dyDescent="0.25">
      <c r="A33" t="s">
        <v>72</v>
      </c>
      <c r="B33" s="2">
        <v>45939</v>
      </c>
      <c r="C33" s="2">
        <v>45969</v>
      </c>
      <c r="D33" t="s">
        <v>1</v>
      </c>
      <c r="E33" s="3">
        <v>38452.28</v>
      </c>
      <c r="F33" t="s">
        <v>0</v>
      </c>
      <c r="G33" t="s">
        <v>73</v>
      </c>
      <c r="H33" t="s">
        <v>74</v>
      </c>
    </row>
    <row r="34" spans="1:8" outlineLevel="3" x14ac:dyDescent="0.25">
      <c r="A34" t="s">
        <v>84</v>
      </c>
      <c r="B34" s="2">
        <v>45939</v>
      </c>
      <c r="C34" s="2">
        <v>45969</v>
      </c>
      <c r="D34" t="s">
        <v>1</v>
      </c>
      <c r="E34" s="3">
        <v>586645.78</v>
      </c>
      <c r="F34" t="s">
        <v>0</v>
      </c>
      <c r="G34" t="s">
        <v>85</v>
      </c>
      <c r="H34" t="s">
        <v>86</v>
      </c>
    </row>
    <row r="35" spans="1:8" outlineLevel="3" x14ac:dyDescent="0.25">
      <c r="A35" t="s">
        <v>126</v>
      </c>
      <c r="B35" s="2">
        <v>45939</v>
      </c>
      <c r="C35" s="2">
        <v>45969</v>
      </c>
      <c r="D35" t="s">
        <v>1</v>
      </c>
      <c r="E35" s="3">
        <v>717919.91</v>
      </c>
      <c r="F35" t="s">
        <v>0</v>
      </c>
      <c r="G35" t="s">
        <v>0</v>
      </c>
      <c r="H35" t="s">
        <v>127</v>
      </c>
    </row>
    <row r="36" spans="1:8" outlineLevel="3" x14ac:dyDescent="0.25">
      <c r="A36" t="s">
        <v>119</v>
      </c>
      <c r="B36" s="2">
        <v>45939</v>
      </c>
      <c r="C36" s="2">
        <v>45969</v>
      </c>
      <c r="D36" t="s">
        <v>1</v>
      </c>
      <c r="E36" s="3">
        <v>880035.72</v>
      </c>
      <c r="F36" t="s">
        <v>0</v>
      </c>
      <c r="G36" t="s">
        <v>0</v>
      </c>
      <c r="H36" t="s">
        <v>120</v>
      </c>
    </row>
    <row r="37" spans="1:8" outlineLevel="3" x14ac:dyDescent="0.25">
      <c r="A37" t="s">
        <v>124</v>
      </c>
      <c r="B37" s="2">
        <v>45939</v>
      </c>
      <c r="C37" s="2">
        <v>45969</v>
      </c>
      <c r="D37" t="s">
        <v>1</v>
      </c>
      <c r="E37" s="3">
        <v>1063163.23</v>
      </c>
      <c r="F37" t="s">
        <v>0</v>
      </c>
      <c r="G37" t="s">
        <v>0</v>
      </c>
      <c r="H37" t="s">
        <v>125</v>
      </c>
    </row>
    <row r="38" spans="1:8" outlineLevel="3" x14ac:dyDescent="0.25">
      <c r="A38" t="s">
        <v>22</v>
      </c>
      <c r="B38" s="2">
        <v>45957</v>
      </c>
      <c r="C38" s="2">
        <v>45987</v>
      </c>
      <c r="D38" t="s">
        <v>1</v>
      </c>
      <c r="E38" s="3">
        <v>11974</v>
      </c>
      <c r="F38" t="s">
        <v>0</v>
      </c>
      <c r="G38" t="s">
        <v>0</v>
      </c>
      <c r="H38" t="s">
        <v>23</v>
      </c>
    </row>
    <row r="39" spans="1:8" outlineLevel="3" x14ac:dyDescent="0.25">
      <c r="A39" t="s">
        <v>24</v>
      </c>
      <c r="B39" s="2">
        <v>45957</v>
      </c>
      <c r="C39" s="2">
        <v>45987</v>
      </c>
      <c r="D39" t="s">
        <v>1</v>
      </c>
      <c r="E39" s="3">
        <v>14703</v>
      </c>
      <c r="F39" t="s">
        <v>0</v>
      </c>
      <c r="G39" t="s">
        <v>0</v>
      </c>
      <c r="H39" t="s">
        <v>25</v>
      </c>
    </row>
    <row r="40" spans="1:8" outlineLevel="3" x14ac:dyDescent="0.25">
      <c r="A40" t="s">
        <v>34</v>
      </c>
      <c r="B40" s="2">
        <v>45957</v>
      </c>
      <c r="C40" s="2">
        <v>45987</v>
      </c>
      <c r="D40" t="s">
        <v>1</v>
      </c>
      <c r="E40" s="3">
        <v>19112</v>
      </c>
      <c r="F40" t="s">
        <v>0</v>
      </c>
      <c r="G40" t="s">
        <v>0</v>
      </c>
      <c r="H40" t="s">
        <v>35</v>
      </c>
    </row>
    <row r="41" spans="1:8" outlineLevel="3" x14ac:dyDescent="0.25">
      <c r="A41" t="s">
        <v>164</v>
      </c>
      <c r="B41" s="2">
        <v>45957</v>
      </c>
      <c r="C41" s="2">
        <v>45987</v>
      </c>
      <c r="D41" t="s">
        <v>1</v>
      </c>
      <c r="E41" s="3">
        <v>19548</v>
      </c>
      <c r="F41" t="s">
        <v>0</v>
      </c>
      <c r="G41" t="s">
        <v>0</v>
      </c>
      <c r="H41" t="s">
        <v>165</v>
      </c>
    </row>
    <row r="42" spans="1:8" outlineLevel="3" x14ac:dyDescent="0.25">
      <c r="A42" t="s">
        <v>36</v>
      </c>
      <c r="B42" s="2">
        <v>45958</v>
      </c>
      <c r="C42" s="2">
        <v>45988</v>
      </c>
      <c r="D42" t="s">
        <v>1</v>
      </c>
      <c r="E42" s="3">
        <v>1104</v>
      </c>
      <c r="F42" t="s">
        <v>0</v>
      </c>
      <c r="G42" t="s">
        <v>0</v>
      </c>
      <c r="H42" t="s">
        <v>35</v>
      </c>
    </row>
    <row r="43" spans="1:8" outlineLevel="3" x14ac:dyDescent="0.25">
      <c r="A43" t="s">
        <v>26</v>
      </c>
      <c r="B43" s="2">
        <v>45958</v>
      </c>
      <c r="C43" s="2">
        <v>45988</v>
      </c>
      <c r="D43" t="s">
        <v>1</v>
      </c>
      <c r="E43" s="3">
        <v>5731</v>
      </c>
      <c r="F43" t="s">
        <v>0</v>
      </c>
      <c r="G43" t="s">
        <v>0</v>
      </c>
      <c r="H43" t="s">
        <v>25</v>
      </c>
    </row>
    <row r="44" spans="1:8" outlineLevel="3" x14ac:dyDescent="0.25">
      <c r="A44" t="s">
        <v>47</v>
      </c>
      <c r="B44" s="2">
        <v>45961</v>
      </c>
      <c r="C44" s="2">
        <v>45991</v>
      </c>
      <c r="D44" t="s">
        <v>1</v>
      </c>
      <c r="E44" s="3">
        <v>69880</v>
      </c>
      <c r="F44" t="s">
        <v>0</v>
      </c>
      <c r="G44" t="s">
        <v>0</v>
      </c>
      <c r="H44" t="s">
        <v>48</v>
      </c>
    </row>
    <row r="45" spans="1:8" outlineLevel="3" x14ac:dyDescent="0.25">
      <c r="A45" t="s">
        <v>41</v>
      </c>
      <c r="B45" s="2">
        <v>45962</v>
      </c>
      <c r="C45" s="2">
        <v>45992</v>
      </c>
      <c r="D45" t="s">
        <v>1</v>
      </c>
      <c r="E45" s="3">
        <v>20896</v>
      </c>
      <c r="F45" t="s">
        <v>0</v>
      </c>
      <c r="G45" t="s">
        <v>0</v>
      </c>
      <c r="H45" t="s">
        <v>42</v>
      </c>
    </row>
    <row r="46" spans="1:8" outlineLevel="3" x14ac:dyDescent="0.25">
      <c r="A46" t="s">
        <v>43</v>
      </c>
      <c r="B46" s="2">
        <v>45962</v>
      </c>
      <c r="C46" s="2">
        <v>45992</v>
      </c>
      <c r="D46" t="s">
        <v>1</v>
      </c>
      <c r="E46" s="3">
        <v>20896</v>
      </c>
      <c r="F46" t="s">
        <v>0</v>
      </c>
      <c r="G46" t="s">
        <v>0</v>
      </c>
      <c r="H46" t="s">
        <v>44</v>
      </c>
    </row>
    <row r="47" spans="1:8" outlineLevel="3" x14ac:dyDescent="0.25">
      <c r="A47" t="s">
        <v>45</v>
      </c>
      <c r="B47" s="2">
        <v>45973</v>
      </c>
      <c r="C47" s="2">
        <v>46003</v>
      </c>
      <c r="D47" t="s">
        <v>1</v>
      </c>
      <c r="E47" s="3">
        <v>10448</v>
      </c>
      <c r="F47" t="s">
        <v>0</v>
      </c>
      <c r="G47" t="s">
        <v>0</v>
      </c>
      <c r="H47" t="s">
        <v>46</v>
      </c>
    </row>
    <row r="48" spans="1:8" outlineLevel="3" x14ac:dyDescent="0.25">
      <c r="A48" t="s">
        <v>30</v>
      </c>
      <c r="B48" s="2">
        <v>45985</v>
      </c>
      <c r="C48" s="2">
        <v>46015</v>
      </c>
      <c r="D48" t="s">
        <v>1</v>
      </c>
      <c r="E48" s="3">
        <v>11308</v>
      </c>
      <c r="F48" t="s">
        <v>0</v>
      </c>
      <c r="G48" t="s">
        <v>0</v>
      </c>
      <c r="H48" t="s">
        <v>31</v>
      </c>
    </row>
    <row r="49" spans="1:8" outlineLevel="3" x14ac:dyDescent="0.25">
      <c r="A49" t="s">
        <v>32</v>
      </c>
      <c r="B49" s="2">
        <v>45985</v>
      </c>
      <c r="C49" s="2">
        <v>46015</v>
      </c>
      <c r="D49" t="s">
        <v>1</v>
      </c>
      <c r="E49" s="3">
        <v>12554</v>
      </c>
      <c r="F49" t="s">
        <v>0</v>
      </c>
      <c r="G49" t="s">
        <v>0</v>
      </c>
      <c r="H49" t="s">
        <v>33</v>
      </c>
    </row>
    <row r="50" spans="1:8" outlineLevel="3" x14ac:dyDescent="0.25">
      <c r="A50" t="s">
        <v>166</v>
      </c>
      <c r="B50" s="2">
        <v>45985</v>
      </c>
      <c r="C50" s="2">
        <v>46015</v>
      </c>
      <c r="D50" t="s">
        <v>1</v>
      </c>
      <c r="E50" s="3">
        <v>22911</v>
      </c>
      <c r="F50" t="s">
        <v>0</v>
      </c>
      <c r="G50" t="s">
        <v>0</v>
      </c>
      <c r="H50" t="s">
        <v>167</v>
      </c>
    </row>
    <row r="51" spans="1:8" outlineLevel="3" x14ac:dyDescent="0.25">
      <c r="A51" t="s">
        <v>39</v>
      </c>
      <c r="B51" s="2">
        <v>45986</v>
      </c>
      <c r="C51" s="2">
        <v>46016</v>
      </c>
      <c r="D51" t="s">
        <v>1</v>
      </c>
      <c r="E51" s="3">
        <v>9240</v>
      </c>
      <c r="F51" t="s">
        <v>0</v>
      </c>
      <c r="G51" t="s">
        <v>0</v>
      </c>
      <c r="H51" t="s">
        <v>40</v>
      </c>
    </row>
    <row r="52" spans="1:8" outlineLevel="3" x14ac:dyDescent="0.25">
      <c r="A52" t="s">
        <v>49</v>
      </c>
      <c r="B52" s="2">
        <v>45986</v>
      </c>
      <c r="C52" s="2">
        <v>46016</v>
      </c>
      <c r="D52" t="s">
        <v>1</v>
      </c>
      <c r="E52" s="3">
        <v>70028</v>
      </c>
      <c r="F52" t="s">
        <v>0</v>
      </c>
      <c r="G52" t="s">
        <v>0</v>
      </c>
      <c r="H52" t="s">
        <v>50</v>
      </c>
    </row>
    <row r="53" spans="1:8" outlineLevel="3" x14ac:dyDescent="0.25">
      <c r="A53" t="s">
        <v>104</v>
      </c>
      <c r="B53" s="2">
        <v>45988</v>
      </c>
      <c r="C53" s="2">
        <v>46018</v>
      </c>
      <c r="D53" t="s">
        <v>1</v>
      </c>
      <c r="E53" s="3">
        <v>1104</v>
      </c>
      <c r="F53" t="s">
        <v>0</v>
      </c>
      <c r="G53" t="s">
        <v>0</v>
      </c>
      <c r="H53" t="s">
        <v>105</v>
      </c>
    </row>
    <row r="54" spans="1:8" outlineLevel="3" x14ac:dyDescent="0.25">
      <c r="A54" t="s">
        <v>51</v>
      </c>
      <c r="B54" s="2">
        <v>45989</v>
      </c>
      <c r="C54" s="2">
        <v>46019</v>
      </c>
      <c r="D54" t="s">
        <v>1</v>
      </c>
      <c r="E54" s="3">
        <v>17507</v>
      </c>
      <c r="F54" t="s">
        <v>0</v>
      </c>
      <c r="G54" t="s">
        <v>0</v>
      </c>
      <c r="H54" t="s">
        <v>50</v>
      </c>
    </row>
    <row r="55" spans="1:8" outlineLevel="3" x14ac:dyDescent="0.25">
      <c r="A55" t="s">
        <v>75</v>
      </c>
      <c r="B55" s="2">
        <v>46002</v>
      </c>
      <c r="C55" s="2">
        <v>46032</v>
      </c>
      <c r="D55" t="s">
        <v>1</v>
      </c>
      <c r="E55" s="3">
        <v>2425.1</v>
      </c>
      <c r="F55" t="s">
        <v>0</v>
      </c>
      <c r="G55" t="s">
        <v>76</v>
      </c>
      <c r="H55" t="s">
        <v>77</v>
      </c>
    </row>
    <row r="56" spans="1:8" outlineLevel="3" x14ac:dyDescent="0.25">
      <c r="A56" t="s">
        <v>69</v>
      </c>
      <c r="B56" s="2">
        <v>46002</v>
      </c>
      <c r="C56" s="2">
        <v>46032</v>
      </c>
      <c r="D56" t="s">
        <v>1</v>
      </c>
      <c r="E56" s="3">
        <v>45036.04</v>
      </c>
      <c r="F56" t="s">
        <v>0</v>
      </c>
      <c r="G56" t="s">
        <v>70</v>
      </c>
      <c r="H56" t="s">
        <v>71</v>
      </c>
    </row>
    <row r="57" spans="1:8" outlineLevel="3" x14ac:dyDescent="0.25">
      <c r="A57" t="s">
        <v>95</v>
      </c>
      <c r="B57" s="2">
        <v>46002</v>
      </c>
      <c r="C57" s="2">
        <v>46032</v>
      </c>
      <c r="D57" t="s">
        <v>1</v>
      </c>
      <c r="E57" s="3">
        <v>287462.67</v>
      </c>
      <c r="F57" t="s">
        <v>0</v>
      </c>
      <c r="G57" t="s">
        <v>96</v>
      </c>
      <c r="H57" t="s">
        <v>97</v>
      </c>
    </row>
    <row r="58" spans="1:8" outlineLevel="3" x14ac:dyDescent="0.25">
      <c r="A58" t="s">
        <v>98</v>
      </c>
      <c r="B58" s="2">
        <v>46043</v>
      </c>
      <c r="C58" s="2">
        <v>46043</v>
      </c>
      <c r="D58" t="s">
        <v>1</v>
      </c>
      <c r="E58" s="3">
        <v>1950523.69</v>
      </c>
      <c r="F58" t="s">
        <v>0</v>
      </c>
      <c r="G58" t="s">
        <v>99</v>
      </c>
      <c r="H58" t="s">
        <v>100</v>
      </c>
    </row>
    <row r="59" spans="1:8" outlineLevel="3" x14ac:dyDescent="0.25">
      <c r="A59" t="s">
        <v>27</v>
      </c>
      <c r="B59" s="2">
        <v>46028</v>
      </c>
      <c r="C59" s="2">
        <v>46058</v>
      </c>
      <c r="D59" t="s">
        <v>1</v>
      </c>
      <c r="E59" s="3">
        <v>245</v>
      </c>
      <c r="F59" t="s">
        <v>0</v>
      </c>
      <c r="G59" t="s">
        <v>0</v>
      </c>
      <c r="H59" t="s">
        <v>25</v>
      </c>
    </row>
    <row r="60" spans="1:8" outlineLevel="3" x14ac:dyDescent="0.25">
      <c r="A60" t="s">
        <v>168</v>
      </c>
      <c r="B60" s="2">
        <v>46036</v>
      </c>
      <c r="C60" s="2">
        <v>46066</v>
      </c>
      <c r="D60" t="s">
        <v>1</v>
      </c>
      <c r="E60" s="3">
        <v>46206</v>
      </c>
      <c r="F60" t="s">
        <v>0</v>
      </c>
      <c r="G60" t="s">
        <v>0</v>
      </c>
      <c r="H60" t="s">
        <v>169</v>
      </c>
    </row>
    <row r="61" spans="1:8" outlineLevel="3" x14ac:dyDescent="0.25">
      <c r="A61" s="5"/>
      <c r="B61" s="6"/>
      <c r="C61" s="6"/>
      <c r="D61" s="5"/>
      <c r="E61" s="7">
        <f>SUM(E2:E60)</f>
        <v>10834287.249999998</v>
      </c>
      <c r="F61" s="5"/>
      <c r="G61" s="5"/>
      <c r="H61" s="5"/>
    </row>
    <row r="62" spans="1:8" outlineLevel="3" x14ac:dyDescent="0.25">
      <c r="A62" t="s">
        <v>67</v>
      </c>
      <c r="B62" s="2">
        <v>46048</v>
      </c>
      <c r="C62" s="2">
        <v>46078</v>
      </c>
      <c r="D62" t="s">
        <v>1</v>
      </c>
      <c r="E62" s="3">
        <v>13700</v>
      </c>
      <c r="F62" t="s">
        <v>0</v>
      </c>
      <c r="G62" t="s">
        <v>0</v>
      </c>
      <c r="H62" t="s">
        <v>68</v>
      </c>
    </row>
    <row r="63" spans="1:8" outlineLevel="3" x14ac:dyDescent="0.25">
      <c r="A63" t="s">
        <v>60</v>
      </c>
      <c r="B63" s="2">
        <v>46049</v>
      </c>
      <c r="C63" s="2">
        <v>46079</v>
      </c>
      <c r="D63" t="s">
        <v>1</v>
      </c>
      <c r="E63" s="3">
        <v>19150</v>
      </c>
      <c r="F63" t="s">
        <v>0</v>
      </c>
      <c r="G63" t="s">
        <v>0</v>
      </c>
      <c r="H63" t="s">
        <v>61</v>
      </c>
    </row>
    <row r="64" spans="1:8" outlineLevel="3" x14ac:dyDescent="0.25">
      <c r="A64" t="s">
        <v>8</v>
      </c>
      <c r="B64" s="2">
        <v>46051</v>
      </c>
      <c r="C64" s="2">
        <v>46081</v>
      </c>
      <c r="D64" t="s">
        <v>1</v>
      </c>
      <c r="E64" s="3">
        <v>8082</v>
      </c>
      <c r="F64" t="s">
        <v>0</v>
      </c>
      <c r="G64" t="s">
        <v>0</v>
      </c>
      <c r="H64" t="s">
        <v>9</v>
      </c>
    </row>
    <row r="65" spans="1:8" outlineLevel="3" x14ac:dyDescent="0.25">
      <c r="A65" t="s">
        <v>37</v>
      </c>
      <c r="B65" s="2">
        <v>46051</v>
      </c>
      <c r="C65" s="2">
        <v>46081</v>
      </c>
      <c r="D65" t="s">
        <v>1</v>
      </c>
      <c r="E65" s="3">
        <v>8922</v>
      </c>
      <c r="F65" t="s">
        <v>0</v>
      </c>
      <c r="G65" t="s">
        <v>0</v>
      </c>
      <c r="H65" t="s">
        <v>38</v>
      </c>
    </row>
    <row r="66" spans="1:8" outlineLevel="3" x14ac:dyDescent="0.25">
      <c r="A66" t="s">
        <v>62</v>
      </c>
      <c r="B66" s="2">
        <v>46051</v>
      </c>
      <c r="C66" s="2">
        <v>46081</v>
      </c>
      <c r="D66" t="s">
        <v>1</v>
      </c>
      <c r="E66" s="3">
        <v>11430</v>
      </c>
      <c r="F66" t="s">
        <v>0</v>
      </c>
      <c r="G66" t="s">
        <v>0</v>
      </c>
      <c r="H66" t="s">
        <v>61</v>
      </c>
    </row>
    <row r="67" spans="1:8" outlineLevel="3" x14ac:dyDescent="0.25">
      <c r="A67" t="s">
        <v>52</v>
      </c>
      <c r="B67" s="2">
        <v>46051</v>
      </c>
      <c r="C67" s="2">
        <v>46081</v>
      </c>
      <c r="D67" t="s">
        <v>1</v>
      </c>
      <c r="E67" s="3">
        <v>44112</v>
      </c>
      <c r="F67" t="s">
        <v>0</v>
      </c>
      <c r="G67" t="s">
        <v>0</v>
      </c>
      <c r="H67" t="s">
        <v>53</v>
      </c>
    </row>
    <row r="68" spans="1:8" outlineLevel="3" x14ac:dyDescent="0.25">
      <c r="A68" t="s">
        <v>28</v>
      </c>
      <c r="B68" s="2">
        <v>46052</v>
      </c>
      <c r="C68" s="2">
        <v>46082</v>
      </c>
      <c r="D68" t="s">
        <v>1</v>
      </c>
      <c r="E68" s="3">
        <v>34142</v>
      </c>
      <c r="F68" t="s">
        <v>0</v>
      </c>
      <c r="G68" t="s">
        <v>0</v>
      </c>
      <c r="H68" t="s">
        <v>29</v>
      </c>
    </row>
    <row r="69" spans="1:8" outlineLevel="3" x14ac:dyDescent="0.25">
      <c r="A69" t="s">
        <v>56</v>
      </c>
      <c r="B69" s="2">
        <v>46052</v>
      </c>
      <c r="C69" s="2">
        <v>46082</v>
      </c>
      <c r="D69" t="s">
        <v>1</v>
      </c>
      <c r="E69" s="3">
        <v>35600</v>
      </c>
      <c r="F69" t="s">
        <v>0</v>
      </c>
      <c r="G69" t="s">
        <v>0</v>
      </c>
      <c r="H69" t="s">
        <v>57</v>
      </c>
    </row>
    <row r="70" spans="1:8" outlineLevel="3" x14ac:dyDescent="0.25">
      <c r="A70" t="s">
        <v>58</v>
      </c>
      <c r="B70" s="2">
        <v>46052</v>
      </c>
      <c r="C70" s="2">
        <v>46082</v>
      </c>
      <c r="D70" t="s">
        <v>1</v>
      </c>
      <c r="E70" s="3">
        <v>35600</v>
      </c>
      <c r="F70" t="s">
        <v>0</v>
      </c>
      <c r="G70" t="s">
        <v>0</v>
      </c>
      <c r="H70" t="s">
        <v>59</v>
      </c>
    </row>
    <row r="71" spans="1:8" outlineLevel="3" x14ac:dyDescent="0.25">
      <c r="A71" t="s">
        <v>151</v>
      </c>
      <c r="B71" s="2">
        <v>46003</v>
      </c>
      <c r="C71" s="2">
        <v>46082</v>
      </c>
      <c r="D71" t="s">
        <v>1</v>
      </c>
      <c r="E71" s="3">
        <v>1701900.66</v>
      </c>
      <c r="F71" t="s">
        <v>0</v>
      </c>
      <c r="G71" t="s">
        <v>0</v>
      </c>
      <c r="H71" t="s">
        <v>143</v>
      </c>
    </row>
    <row r="72" spans="1:8" outlineLevel="3" x14ac:dyDescent="0.25">
      <c r="A72" t="s">
        <v>147</v>
      </c>
      <c r="B72" s="2">
        <v>46003</v>
      </c>
      <c r="C72" s="2">
        <v>46082</v>
      </c>
      <c r="D72" t="s">
        <v>1</v>
      </c>
      <c r="E72" s="3">
        <v>1859754.69</v>
      </c>
      <c r="F72" t="s">
        <v>0</v>
      </c>
      <c r="G72" t="s">
        <v>0</v>
      </c>
      <c r="H72" t="s">
        <v>143</v>
      </c>
    </row>
    <row r="73" spans="1:8" outlineLevel="3" x14ac:dyDescent="0.25">
      <c r="A73" t="s">
        <v>135</v>
      </c>
      <c r="B73" s="2">
        <v>46003</v>
      </c>
      <c r="C73" s="2">
        <v>46082</v>
      </c>
      <c r="D73" t="s">
        <v>1</v>
      </c>
      <c r="E73" s="3">
        <v>2183708.79</v>
      </c>
      <c r="F73" t="s">
        <v>0</v>
      </c>
      <c r="G73" t="s">
        <v>0</v>
      </c>
      <c r="H73" t="s">
        <v>129</v>
      </c>
    </row>
    <row r="74" spans="1:8" outlineLevel="3" x14ac:dyDescent="0.25">
      <c r="A74" t="s">
        <v>131</v>
      </c>
      <c r="B74" s="2">
        <v>46003</v>
      </c>
      <c r="C74" s="2">
        <v>46082</v>
      </c>
      <c r="D74" t="s">
        <v>1</v>
      </c>
      <c r="E74" s="3">
        <v>7491732.3399999999</v>
      </c>
      <c r="F74" t="s">
        <v>0</v>
      </c>
      <c r="G74" t="s">
        <v>0</v>
      </c>
      <c r="H74" t="s">
        <v>129</v>
      </c>
    </row>
    <row r="75" spans="1:8" outlineLevel="3" x14ac:dyDescent="0.25">
      <c r="A75" t="s">
        <v>101</v>
      </c>
      <c r="B75" s="2">
        <v>46056</v>
      </c>
      <c r="C75" s="2">
        <v>46086</v>
      </c>
      <c r="D75" t="s">
        <v>1</v>
      </c>
      <c r="E75" s="3">
        <v>7931181.9500000002</v>
      </c>
      <c r="F75" t="s">
        <v>0</v>
      </c>
      <c r="G75" t="s">
        <v>102</v>
      </c>
      <c r="H75" t="s">
        <v>103</v>
      </c>
    </row>
    <row r="76" spans="1:8" outlineLevel="3" x14ac:dyDescent="0.25">
      <c r="A76" t="s">
        <v>109</v>
      </c>
      <c r="B76" s="2">
        <v>46059</v>
      </c>
      <c r="C76" s="2">
        <v>46089</v>
      </c>
      <c r="D76" t="s">
        <v>1</v>
      </c>
      <c r="E76" s="3">
        <v>13410</v>
      </c>
      <c r="F76" t="s">
        <v>0</v>
      </c>
      <c r="G76" t="s">
        <v>0</v>
      </c>
      <c r="H76" t="s">
        <v>110</v>
      </c>
    </row>
    <row r="77" spans="1:8" outlineLevel="3" x14ac:dyDescent="0.25">
      <c r="A77" t="s">
        <v>63</v>
      </c>
      <c r="B77" s="2">
        <v>46062</v>
      </c>
      <c r="C77" s="2">
        <v>46092</v>
      </c>
      <c r="D77" t="s">
        <v>1</v>
      </c>
      <c r="E77" s="3">
        <v>35600</v>
      </c>
      <c r="F77" t="s">
        <v>0</v>
      </c>
      <c r="G77" t="s">
        <v>0</v>
      </c>
      <c r="H77" t="s">
        <v>64</v>
      </c>
    </row>
    <row r="78" spans="1:8" outlineLevel="3" x14ac:dyDescent="0.25">
      <c r="A78" t="s">
        <v>54</v>
      </c>
      <c r="B78" s="2">
        <v>46062</v>
      </c>
      <c r="C78" s="2">
        <v>46092</v>
      </c>
      <c r="D78" t="s">
        <v>1</v>
      </c>
      <c r="E78" s="3">
        <v>140056</v>
      </c>
      <c r="F78" t="s">
        <v>0</v>
      </c>
      <c r="G78" t="s">
        <v>0</v>
      </c>
      <c r="H78" t="s">
        <v>55</v>
      </c>
    </row>
    <row r="79" spans="1:8" outlineLevel="3" x14ac:dyDescent="0.25">
      <c r="A79" t="s">
        <v>65</v>
      </c>
      <c r="B79" s="2">
        <v>46063</v>
      </c>
      <c r="C79" s="2">
        <v>46093</v>
      </c>
      <c r="D79" t="s">
        <v>1</v>
      </c>
      <c r="E79" s="3">
        <v>15816</v>
      </c>
      <c r="F79" t="s">
        <v>0</v>
      </c>
      <c r="G79" t="s">
        <v>0</v>
      </c>
      <c r="H79" t="s">
        <v>66</v>
      </c>
    </row>
    <row r="80" spans="1:8" outlineLevel="3" x14ac:dyDescent="0.25">
      <c r="A80" t="s">
        <v>152</v>
      </c>
      <c r="B80" s="2">
        <v>46003</v>
      </c>
      <c r="C80" s="2">
        <v>46113</v>
      </c>
      <c r="D80" t="s">
        <v>1</v>
      </c>
      <c r="E80" s="3">
        <v>1701900.66</v>
      </c>
      <c r="F80" t="s">
        <v>0</v>
      </c>
      <c r="G80" t="s">
        <v>0</v>
      </c>
      <c r="H80" t="s">
        <v>143</v>
      </c>
    </row>
    <row r="81" spans="1:8" outlineLevel="3" x14ac:dyDescent="0.25">
      <c r="A81" t="s">
        <v>148</v>
      </c>
      <c r="B81" s="2">
        <v>46003</v>
      </c>
      <c r="C81" s="2">
        <v>46113</v>
      </c>
      <c r="D81" t="s">
        <v>1</v>
      </c>
      <c r="E81" s="3">
        <v>1859754.69</v>
      </c>
      <c r="F81" t="s">
        <v>0</v>
      </c>
      <c r="G81" t="s">
        <v>0</v>
      </c>
      <c r="H81" t="s">
        <v>143</v>
      </c>
    </row>
    <row r="82" spans="1:8" outlineLevel="3" x14ac:dyDescent="0.25">
      <c r="A82" t="s">
        <v>136</v>
      </c>
      <c r="B82" s="2">
        <v>46003</v>
      </c>
      <c r="C82" s="2">
        <v>46113</v>
      </c>
      <c r="D82" t="s">
        <v>1</v>
      </c>
      <c r="E82" s="3">
        <v>2183708.79</v>
      </c>
      <c r="F82" t="s">
        <v>0</v>
      </c>
      <c r="G82" t="s">
        <v>0</v>
      </c>
      <c r="H82" t="s">
        <v>129</v>
      </c>
    </row>
    <row r="83" spans="1:8" outlineLevel="3" x14ac:dyDescent="0.25">
      <c r="A83" t="s">
        <v>132</v>
      </c>
      <c r="B83" s="2">
        <v>46003</v>
      </c>
      <c r="C83" s="2">
        <v>46113</v>
      </c>
      <c r="D83" t="s">
        <v>1</v>
      </c>
      <c r="E83" s="3">
        <v>7491732.3399999999</v>
      </c>
      <c r="F83" t="s">
        <v>0</v>
      </c>
      <c r="G83" t="s">
        <v>0</v>
      </c>
      <c r="H83" t="s">
        <v>129</v>
      </c>
    </row>
    <row r="84" spans="1:8" outlineLevel="3" x14ac:dyDescent="0.25">
      <c r="A84" t="s">
        <v>153</v>
      </c>
      <c r="B84" s="2">
        <v>46003</v>
      </c>
      <c r="C84" s="2">
        <v>46143</v>
      </c>
      <c r="D84" t="s">
        <v>1</v>
      </c>
      <c r="E84" s="3">
        <v>1701900.66</v>
      </c>
      <c r="F84" t="s">
        <v>0</v>
      </c>
      <c r="G84" t="s">
        <v>0</v>
      </c>
      <c r="H84" t="s">
        <v>143</v>
      </c>
    </row>
    <row r="85" spans="1:8" outlineLevel="3" x14ac:dyDescent="0.25">
      <c r="A85" t="s">
        <v>149</v>
      </c>
      <c r="B85" s="2">
        <v>46003</v>
      </c>
      <c r="C85" s="2">
        <v>46143</v>
      </c>
      <c r="D85" t="s">
        <v>1</v>
      </c>
      <c r="E85" s="3">
        <v>1859754.69</v>
      </c>
      <c r="F85" t="s">
        <v>0</v>
      </c>
      <c r="G85" t="s">
        <v>0</v>
      </c>
      <c r="H85" t="s">
        <v>143</v>
      </c>
    </row>
    <row r="86" spans="1:8" outlineLevel="3" x14ac:dyDescent="0.25">
      <c r="A86" t="s">
        <v>137</v>
      </c>
      <c r="B86" s="2">
        <v>46003</v>
      </c>
      <c r="C86" s="2">
        <v>46143</v>
      </c>
      <c r="D86" t="s">
        <v>1</v>
      </c>
      <c r="E86" s="3">
        <v>2183708.79</v>
      </c>
      <c r="F86" t="s">
        <v>0</v>
      </c>
      <c r="G86" t="s">
        <v>0</v>
      </c>
      <c r="H86" t="s">
        <v>129</v>
      </c>
    </row>
    <row r="87" spans="1:8" outlineLevel="3" x14ac:dyDescent="0.25">
      <c r="A87" t="s">
        <v>133</v>
      </c>
      <c r="B87" s="2">
        <v>46003</v>
      </c>
      <c r="C87" s="2">
        <v>46143</v>
      </c>
      <c r="D87" t="s">
        <v>1</v>
      </c>
      <c r="E87" s="3">
        <v>7491732.3399999999</v>
      </c>
      <c r="F87" t="s">
        <v>0</v>
      </c>
      <c r="G87" t="s">
        <v>0</v>
      </c>
      <c r="H87" t="s">
        <v>129</v>
      </c>
    </row>
    <row r="88" spans="1:8" outlineLevel="3" x14ac:dyDescent="0.25">
      <c r="A88" t="s">
        <v>154</v>
      </c>
      <c r="B88" s="2">
        <v>46003</v>
      </c>
      <c r="C88" s="2">
        <v>46174</v>
      </c>
      <c r="D88" t="s">
        <v>1</v>
      </c>
      <c r="E88" s="3">
        <v>1701900.66</v>
      </c>
      <c r="F88" t="s">
        <v>0</v>
      </c>
      <c r="G88" t="s">
        <v>0</v>
      </c>
      <c r="H88" t="s">
        <v>143</v>
      </c>
    </row>
    <row r="89" spans="1:8" outlineLevel="3" x14ac:dyDescent="0.25">
      <c r="A89" t="s">
        <v>150</v>
      </c>
      <c r="B89" s="2">
        <v>46003</v>
      </c>
      <c r="C89" s="2">
        <v>46174</v>
      </c>
      <c r="D89" t="s">
        <v>1</v>
      </c>
      <c r="E89" s="3">
        <v>1859754.69</v>
      </c>
      <c r="F89" t="s">
        <v>0</v>
      </c>
      <c r="G89" t="s">
        <v>0</v>
      </c>
      <c r="H89" t="s">
        <v>143</v>
      </c>
    </row>
    <row r="90" spans="1:8" outlineLevel="3" x14ac:dyDescent="0.25">
      <c r="A90" t="s">
        <v>138</v>
      </c>
      <c r="B90" s="2">
        <v>46003</v>
      </c>
      <c r="C90" s="2">
        <v>46174</v>
      </c>
      <c r="D90" t="s">
        <v>1</v>
      </c>
      <c r="E90" s="3">
        <v>2183708.79</v>
      </c>
      <c r="F90" t="s">
        <v>0</v>
      </c>
      <c r="G90" t="s">
        <v>0</v>
      </c>
      <c r="H90" t="s">
        <v>129</v>
      </c>
    </row>
    <row r="91" spans="1:8" outlineLevel="3" x14ac:dyDescent="0.25">
      <c r="A91" t="s">
        <v>134</v>
      </c>
      <c r="B91" s="2">
        <v>46003</v>
      </c>
      <c r="C91" s="2">
        <v>46174</v>
      </c>
      <c r="D91" t="s">
        <v>1</v>
      </c>
      <c r="E91" s="3">
        <v>7491732.3399999999</v>
      </c>
      <c r="F91" t="s">
        <v>0</v>
      </c>
      <c r="G91" t="s">
        <v>0</v>
      </c>
      <c r="H91" t="s">
        <v>129</v>
      </c>
    </row>
    <row r="92" spans="1:8" x14ac:dyDescent="0.25">
      <c r="A92" s="8"/>
      <c r="B92" s="8"/>
      <c r="C92" s="8"/>
      <c r="D92" s="8"/>
      <c r="E92" s="9">
        <f>SUM(E62:E91)</f>
        <v>61295187.869999975</v>
      </c>
      <c r="F92" s="8"/>
      <c r="G92" s="8"/>
      <c r="H92" s="8"/>
    </row>
    <row r="95" spans="1:8" outlineLevel="3" x14ac:dyDescent="0.25">
      <c r="A95" t="s">
        <v>0</v>
      </c>
      <c r="B95" s="2">
        <v>46017</v>
      </c>
      <c r="C95" s="2">
        <v>45806</v>
      </c>
      <c r="D95" t="s">
        <v>1</v>
      </c>
      <c r="E95" s="3">
        <v>-28217714.960000001</v>
      </c>
      <c r="F95" t="s">
        <v>0</v>
      </c>
      <c r="G95" t="s">
        <v>201</v>
      </c>
      <c r="H95" t="s">
        <v>159</v>
      </c>
    </row>
    <row r="96" spans="1:8" outlineLevel="3" x14ac:dyDescent="0.25">
      <c r="A96" t="s">
        <v>183</v>
      </c>
      <c r="B96" s="2">
        <v>46015</v>
      </c>
      <c r="C96" s="2">
        <v>46015</v>
      </c>
      <c r="D96" t="s">
        <v>1</v>
      </c>
      <c r="E96" s="3">
        <v>-7085775.8300000001</v>
      </c>
      <c r="F96" t="s">
        <v>0</v>
      </c>
      <c r="G96" t="s">
        <v>184</v>
      </c>
      <c r="H96" t="s">
        <v>185</v>
      </c>
    </row>
    <row r="97" spans="1:8" outlineLevel="3" x14ac:dyDescent="0.25">
      <c r="A97" t="s">
        <v>192</v>
      </c>
      <c r="B97" s="2">
        <v>45967</v>
      </c>
      <c r="C97" s="2">
        <v>45967</v>
      </c>
      <c r="D97" t="s">
        <v>1</v>
      </c>
      <c r="E97" s="3">
        <v>-5562918.8300000001</v>
      </c>
      <c r="F97" t="s">
        <v>0</v>
      </c>
      <c r="G97" t="s">
        <v>193</v>
      </c>
      <c r="H97" t="s">
        <v>194</v>
      </c>
    </row>
    <row r="98" spans="1:8" outlineLevel="3" x14ac:dyDescent="0.25">
      <c r="A98" t="s">
        <v>195</v>
      </c>
      <c r="B98" s="2">
        <v>46036</v>
      </c>
      <c r="C98" s="2">
        <v>46036</v>
      </c>
      <c r="D98" t="s">
        <v>1</v>
      </c>
      <c r="E98" s="3">
        <v>-5479868.6900000004</v>
      </c>
      <c r="F98" t="s">
        <v>0</v>
      </c>
      <c r="G98" t="s">
        <v>196</v>
      </c>
      <c r="H98" t="s">
        <v>197</v>
      </c>
    </row>
    <row r="99" spans="1:8" outlineLevel="3" x14ac:dyDescent="0.25">
      <c r="A99" t="s">
        <v>189</v>
      </c>
      <c r="B99" s="2">
        <v>46015</v>
      </c>
      <c r="C99" s="2">
        <v>46015</v>
      </c>
      <c r="D99" t="s">
        <v>1</v>
      </c>
      <c r="E99" s="3">
        <v>-5470072.1399999997</v>
      </c>
      <c r="F99" t="s">
        <v>0</v>
      </c>
      <c r="G99" t="s">
        <v>190</v>
      </c>
      <c r="H99" t="s">
        <v>191</v>
      </c>
    </row>
    <row r="100" spans="1:8" outlineLevel="3" x14ac:dyDescent="0.25">
      <c r="A100" t="s">
        <v>186</v>
      </c>
      <c r="B100" s="2">
        <v>45967</v>
      </c>
      <c r="C100" s="2">
        <v>45967</v>
      </c>
      <c r="D100" t="s">
        <v>1</v>
      </c>
      <c r="E100" s="3">
        <v>-5424371.9800000004</v>
      </c>
      <c r="F100" t="s">
        <v>0</v>
      </c>
      <c r="G100" t="s">
        <v>187</v>
      </c>
      <c r="H100" t="s">
        <v>188</v>
      </c>
    </row>
    <row r="101" spans="1:8" outlineLevel="3" x14ac:dyDescent="0.25">
      <c r="A101" t="s">
        <v>0</v>
      </c>
      <c r="B101" s="2">
        <v>46003</v>
      </c>
      <c r="C101" s="2">
        <v>45939</v>
      </c>
      <c r="D101" t="s">
        <v>1</v>
      </c>
      <c r="E101" s="3">
        <v>-1242581.28</v>
      </c>
      <c r="F101" t="s">
        <v>0</v>
      </c>
      <c r="G101" t="s">
        <v>117</v>
      </c>
      <c r="H101" t="s">
        <v>118</v>
      </c>
    </row>
    <row r="102" spans="1:8" outlineLevel="3" x14ac:dyDescent="0.25">
      <c r="A102" t="s">
        <v>180</v>
      </c>
      <c r="B102" s="2">
        <v>45562</v>
      </c>
      <c r="C102" s="2">
        <v>45562</v>
      </c>
      <c r="D102" t="s">
        <v>1</v>
      </c>
      <c r="E102" s="3">
        <v>-1042434.08</v>
      </c>
      <c r="F102" t="s">
        <v>0</v>
      </c>
      <c r="G102" t="s">
        <v>181</v>
      </c>
      <c r="H102" t="s">
        <v>182</v>
      </c>
    </row>
    <row r="103" spans="1:8" outlineLevel="3" x14ac:dyDescent="0.25">
      <c r="A103" t="s">
        <v>202</v>
      </c>
      <c r="B103" s="2">
        <v>45903</v>
      </c>
      <c r="C103" s="2">
        <v>45903</v>
      </c>
      <c r="D103" t="s">
        <v>1</v>
      </c>
      <c r="E103" s="3">
        <v>-355313.63</v>
      </c>
      <c r="F103" t="s">
        <v>0</v>
      </c>
      <c r="G103" t="s">
        <v>203</v>
      </c>
      <c r="H103" t="s">
        <v>159</v>
      </c>
    </row>
    <row r="104" spans="1:8" outlineLevel="3" x14ac:dyDescent="0.25">
      <c r="A104" t="s">
        <v>198</v>
      </c>
      <c r="B104" s="2">
        <v>46069</v>
      </c>
      <c r="C104" s="2">
        <v>46069</v>
      </c>
      <c r="D104" t="s">
        <v>1</v>
      </c>
      <c r="E104" s="3">
        <v>-222519.4</v>
      </c>
      <c r="F104" t="s">
        <v>0</v>
      </c>
      <c r="G104" t="s">
        <v>199</v>
      </c>
      <c r="H104" t="s">
        <v>200</v>
      </c>
    </row>
    <row r="105" spans="1:8" outlineLevel="3" x14ac:dyDescent="0.25">
      <c r="A105" t="s">
        <v>144</v>
      </c>
      <c r="B105" s="2">
        <v>45884</v>
      </c>
      <c r="C105" s="2">
        <v>45884</v>
      </c>
      <c r="D105" t="s">
        <v>1</v>
      </c>
      <c r="E105" s="3">
        <v>-168000</v>
      </c>
      <c r="F105" t="s">
        <v>0</v>
      </c>
      <c r="G105" t="s">
        <v>0</v>
      </c>
      <c r="H105" t="s">
        <v>143</v>
      </c>
    </row>
    <row r="106" spans="1:8" outlineLevel="3" x14ac:dyDescent="0.25">
      <c r="A106" t="s">
        <v>145</v>
      </c>
      <c r="B106" s="2">
        <v>45884</v>
      </c>
      <c r="C106" s="2">
        <v>45884</v>
      </c>
      <c r="D106" t="s">
        <v>1</v>
      </c>
      <c r="E106" s="3">
        <v>-123153</v>
      </c>
      <c r="F106" t="s">
        <v>0</v>
      </c>
      <c r="G106" t="s">
        <v>0</v>
      </c>
      <c r="H106" t="s">
        <v>143</v>
      </c>
    </row>
    <row r="107" spans="1:8" outlineLevel="3" x14ac:dyDescent="0.25">
      <c r="A107" t="s">
        <v>0</v>
      </c>
      <c r="B107" s="2">
        <v>45916</v>
      </c>
      <c r="C107" s="2">
        <v>45638</v>
      </c>
      <c r="D107" t="s">
        <v>1</v>
      </c>
      <c r="E107" s="3">
        <v>-60991</v>
      </c>
      <c r="F107" t="s">
        <v>0</v>
      </c>
      <c r="G107" t="s">
        <v>204</v>
      </c>
      <c r="H107" t="s">
        <v>0</v>
      </c>
    </row>
    <row r="108" spans="1:8" outlineLevel="3" x14ac:dyDescent="0.25">
      <c r="A108" t="s">
        <v>0</v>
      </c>
      <c r="B108" s="2">
        <v>46017</v>
      </c>
      <c r="C108" s="2">
        <v>46021</v>
      </c>
      <c r="D108" t="s">
        <v>1</v>
      </c>
      <c r="E108" s="3">
        <v>-10332.370000000001</v>
      </c>
      <c r="F108" t="s">
        <v>0</v>
      </c>
      <c r="G108" t="s">
        <v>2</v>
      </c>
      <c r="H108" t="s">
        <v>0</v>
      </c>
    </row>
    <row r="109" spans="1:8" outlineLevel="3" x14ac:dyDescent="0.25">
      <c r="A109" t="s">
        <v>146</v>
      </c>
      <c r="B109" s="2">
        <v>45918</v>
      </c>
      <c r="C109" s="2">
        <v>45918</v>
      </c>
      <c r="D109" t="s">
        <v>1</v>
      </c>
      <c r="E109" s="3">
        <v>-720</v>
      </c>
      <c r="F109" t="s">
        <v>0</v>
      </c>
      <c r="G109" t="s">
        <v>0</v>
      </c>
      <c r="H109" t="s">
        <v>143</v>
      </c>
    </row>
    <row r="110" spans="1:8" outlineLevel="3" x14ac:dyDescent="0.25">
      <c r="A110" t="s">
        <v>0</v>
      </c>
      <c r="B110" s="2">
        <v>45019</v>
      </c>
      <c r="C110" s="2">
        <v>44588</v>
      </c>
      <c r="D110" t="s">
        <v>1</v>
      </c>
      <c r="E110" s="3">
        <v>-564.9</v>
      </c>
      <c r="F110" t="s">
        <v>0</v>
      </c>
      <c r="G110" t="s">
        <v>130</v>
      </c>
      <c r="H110" t="s">
        <v>129</v>
      </c>
    </row>
    <row r="111" spans="1:8" outlineLevel="3" x14ac:dyDescent="0.25">
      <c r="A111" t="s">
        <v>157</v>
      </c>
      <c r="B111" s="2">
        <v>45114</v>
      </c>
      <c r="C111" s="2">
        <v>45114</v>
      </c>
      <c r="D111" t="s">
        <v>1</v>
      </c>
      <c r="E111" s="3">
        <v>-553</v>
      </c>
      <c r="F111" t="s">
        <v>0</v>
      </c>
      <c r="G111" t="s">
        <v>158</v>
      </c>
      <c r="H111" t="s">
        <v>159</v>
      </c>
    </row>
    <row r="112" spans="1:8" x14ac:dyDescent="0.25">
      <c r="A112" s="10"/>
      <c r="B112" s="10"/>
      <c r="C112" s="10"/>
      <c r="D112" s="10"/>
      <c r="E112" s="11">
        <f>SUM(E95:E111)</f>
        <v>-60467885.089999989</v>
      </c>
      <c r="F112" s="10"/>
      <c r="G112" s="10"/>
      <c r="H112" s="10"/>
    </row>
  </sheetData>
  <autoFilter ref="A1:H1" xr:uid="{00000000-0001-0000-0000-000000000000}">
    <sortState xmlns:xlrd2="http://schemas.microsoft.com/office/spreadsheetml/2017/richdata2" ref="A2:H90">
      <sortCondition ref="C1"/>
    </sortState>
  </autoFilter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i="http://www.w3.org/2001/XMLSchema-instance" xmlns:xsd="http://www.w3.org/2001/XMLSchema" xmlns="http://www.boldonjames.com/2016/02/Classifier/internal/wrappedLabelHistory">
  <Value>PD94bWwgdmVyc2lvbj0iMS4wIiBlbmNvZGluZz0idXMtYXNjaWkiPz48bGFiZWxIaXN0b3J5IHhtbG5zOnhzaT0iaHR0cDovL3d3dy53My5vcmcvMjAwMS9YTUxTY2hlbWEtaW5zdGFuY2UiIHhtbG5zOnhzZD0iaHR0cDovL3d3dy53My5vcmcvMjAwMS9YTUxTY2hlbWEiIHhtbG5zPSJodHRwOi8vd3d3LmJvbGRvbmphbWVzLmNvbS8yMDE2LzAyL0NsYXNzaWZpZXIvaW50ZXJuYWwvbGFiZWxIaXN0b3J5Ij48aXRlbT48c2lzbCBzaXNsVmVyc2lvbj0iMCIgcG9saWN5PSJlNTZkYWE4YS03YjI3LTQ4YWMtODVkNC1kYjY1YWNiNTgwYjYiIG9yaWdpbj0idXNlclNlbGVjdGVkIj48ZWxlbWVudCB1aWQ9IjQ5MzMwNzk4LTcwMDMtNGU4Ni04MzMyLWFmNDlmMjA1NjRhNiIgdmFsdWU9IiIgeG1sbnM9Imh0dHA6Ly93d3cuYm9sZG9uamFtZXMuY29tLzIwMDgvMDEvc2llL2ludGVybmFsL2xhYmVsIiAvPjxlbGVtZW50IHVpZD0iZWM2YWJkM2ItYzBkNi00ZmE3LWE2MGEtMzQ5ZDBmODIyZTNiIiB2YWx1ZT0iIiB4bWxucz0iaHR0cDovL3d3dy5ib2xkb25qYW1lcy5jb20vMjAwOC8wMS9zaWUvaW50ZXJuYWwvbGFiZWwiIC8+PGVsZW1lbnQgdWlkPSI0NmZlMjMyOS1jMDJiLTQ0OTUtYjYyNC0xMmE0OTlkMDY5ZTIiIHZhbHVlPSIiIHhtbG5zPSJodHRwOi8vd3d3LmJvbGRvbmphbWVzLmNvbS8yMDA4LzAxL3NpZS9pbnRlcm5hbC9sYWJlbCIgLz48ZWxlbWVudCB1aWQ9IjhiMmQ4ZDM2LTUwZTktNGUzNS1iMTc5LWI3ODcyMzVjYmZlMCIgdmFsdWU9IiIgeG1sbnM9Imh0dHA6Ly93d3cuYm9sZG9uamFtZXMuY29tLzIwMDgvMDEvc2llL2ludGVybmFsL2xhYmVsIiAvPjxlbGVtZW50IHVpZD0iNzZjYjY2NDEtNjVjOS00OTI4LWIxYWEtODQxZDFiNWJkYjg2IiB2YWx1ZT0iIiB4bWxucz0iaHR0cDovL3d3dy5ib2xkb25qYW1lcy5jb20vMjAwOC8wMS9zaWUvaW50ZXJuYWwvbGFiZWwiIC8+PC9zaXNsPjxVc2VyTmFtZT5SUkxPQ0FMXHU2MTYzMTQ8L1VzZXJOYW1lPjxEYXRlVGltZT4xNi8wMi8yMDI2IDA4OjIxOjI5PC9EYXRlVGltZT48TGFiZWxTdHJpbmc+Tm9uLUNvbmZpZGVudGlhbCAtIFJvbGxzLVJveWNlIENvbnRlbnQgT25seSAtIE5vdCBTdWJqZWN0IHRvIEV4cG9ydCBDb250cm9sICAgICA8L0xhYmVsU3RyaW5nPjwvaXRlbT48aXRlbT48c2lzbCBzaXNsVmVyc2lvbj0iMCIgcG9saWN5PSJlNTZkYWE4YS03YjI3LTQ4YWMtODVkNC1kYjY1YWNiNTgwYjYiIG9yaWdpbj0idXNlclNlbGVjdGVkIj48ZWxlbWVudCB1aWQ9IjQ5MzMwNzk4LTcwMDMtNGU4Ni04MzMyLWFmNDlmMjA1NjRhNiIgdmFsdWU9IiIgeG1sbnM9Imh0dHA6Ly93d3cuYm9sZG9uamFtZXMuY29tLzIwMDgvMDEvc2llL2ludGVybmFsL2xhYmVsIiAvPjxlbGVtZW50IHVpZD0iZWM2YWJkM2ItYzBkNi00ZmE3LWE2MGEtMzQ5ZDBmODIyZTNiIiB2YWx1ZT0iIiB4bWxucz0iaHR0cDovL3d3dy5ib2xkb25qYW1lcy5jb20vMjAwOC8wMS9zaWUvaW50ZXJuYWwvbGFiZWwiIC8+PGVsZW1lbnQgdWlkPSI0NmZlMjMyOS1jMDJiLTQ0OTUtYjYyNC0xMmE0OTlkMDY5ZTIiIHZhbHVlPSIiIHhtbG5zPSJodHRwOi8vd3d3LmJvbGRvbmphbWVzLmNvbS8yMDA4LzAxL3NpZS9pbnRlcm5hbC9sYWJlbCIgLz48ZWxlbWVudCB1aWQ9IjhiMmQ4ZDM2LTUwZTktNGUzNS1iMTc5LWI3ODcyMzVjYmZlMCIgdmFsdWU9IiIgeG1sbnM9Imh0dHA6Ly93d3cuYm9sZG9uamFtZXMuY29tLzIwMDgvMDEvc2llL2ludGVybmFsL2xhYmVsIiAvPjxlbGVtZW50IHVpZD0iMjhiOGY5MDctYzRmZS00MjkxLTg4NmQtZGVkMWRkYzU0MGMyIiB2YWx1ZT0iIiB4bWxucz0iaHR0cDovL3d3dy5ib2xkb25qYW1lcy5jb20vMjAwOC8wMS9zaWUvaW50ZXJuYWwvbGFiZWwiIC8+PC9zaXNsPjxVc2VyTmFtZT5SUkxPQ0FMXFU2Nzc0NTk8L1VzZXJOYW1lPjxEYXRlVGltZT4xNi8wMi8yMDI2IDEyOjUzOjE0PC9EYXRlVGltZT48TGFiZWxTdHJpbmc+UHJpdmF0ZSAtIFJvbGxzLVJveWNlIENvbnRlbnQgT25seSAtIE5vdCBTdWJqZWN0IHRvIEV4cG9ydCBDb250cm9sICAgICA8L0xhYmVsU3RyaW5nPjwvaXRlbT48L2xhYmVsSGlzdG9yeT4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e56daa8a-7b27-48ac-85d4-db65acb580b6" origin="userSelected">
  <element uid="49330798-7003-4e86-8332-af49f20564a6" value=""/>
  <element uid="ec6abd3b-c0d6-4fa7-a60a-349d0f822e3b" value=""/>
  <element uid="46fe2329-c02b-4495-b624-12a499d069e2" value=""/>
  <element uid="8b2d8d36-50e9-4e35-b179-b787235cbfe0" value=""/>
  <element uid="28b8f907-c4fe-4291-886d-ded1ddc540c2" value=""/>
</sisl>
</file>

<file path=customXml/itemProps1.xml><?xml version="1.0" encoding="utf-8"?>
<ds:datastoreItem xmlns:ds="http://schemas.openxmlformats.org/officeDocument/2006/customXml" ds:itemID="{42AC6304-F135-4781-A8A2-0B8A9E7B9B20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F318015-8801-4A8D-8F7E-D89CF1E32798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description/>
  <dcterms:created xsi:type="dcterms:W3CDTF">2026-02-16T12:53:27Z</dcterms:created>
  <dcterms:modified xsi:type="dcterms:W3CDTF">2026-02-16T12:53:27Z</dcterms:modified>
  <cp:category/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docIndexRef">
    <vt:lpwstr>3cbc0c1e-9d40-4c07-879a-2585ca02a707</vt:lpwstr>
  </op:property>
  <op:property fmtid="{D5CDD505-2E9C-101B-9397-08002B2CF9AE}" pid="3" name="bjSaver">
    <vt:lpwstr>FaYYb1opevzJp8NtF7fNdTXUB4bZYQ4F</vt:lpwstr>
  </op:property>
  <op:property fmtid="{D5CDD505-2E9C-101B-9397-08002B2CF9AE}" pid="4" name="TCGovSecClass">
    <vt:lpwstr>No_Classification</vt:lpwstr>
  </op:property>
  <op:property fmtid="{D5CDD505-2E9C-101B-9397-08002B2CF9AE}" pid="5" name="bjClsUserRVM">
    <vt:lpwstr>[]</vt:lpwstr>
  </op:property>
  <op:property fmtid="{D5CDD505-2E9C-101B-9397-08002B2CF9AE}" pid="13" name="bjDocumentSecurityLabel">
    <vt:lpwstr>Private - Rolls-Royce Content Only - Not Subject to Export Control     </vt:lpwstr>
  </op:property>
  <op:property fmtid="{D5CDD505-2E9C-101B-9397-08002B2CF9AE}" pid="14" name="bjLabelHistoryID">
    <vt:lpwstr>{42AC6304-F135-4781-A8A2-0B8A9E7B9B20}</vt:lpwstr>
  </op:property>
  <op:property fmtid="{D5CDD505-2E9C-101B-9397-08002B2CF9AE}" pid="23" name="bjDocumentLabelXML">
    <vt:lpwstr>&lt;?xml version="1.0" encoding="us-ascii"?&gt;&lt;sisl xmlns:xsd="http://www.w3.org/2001/XMLSchema" xmlns:xsi="http://www.w3.org/2001/XMLSchema-instance" sislVersion="0" policy="e56daa8a-7b27-48ac-85d4-db65acb580b6" origin="userSelected" xmlns="http://www.boldonj</vt:lpwstr>
  </op:property>
  <op:property fmtid="{D5CDD505-2E9C-101B-9397-08002B2CF9AE}" pid="24" name="bjDocumentLabelXML-0">
    <vt:lpwstr>ames.com/2008/01/sie/internal/label"&gt;&lt;element uid="49330798-7003-4e86-8332-af49f20564a6" value="" /&gt;&lt;element uid="ec6abd3b-c0d6-4fa7-a60a-349d0f822e3b" value="" /&gt;&lt;element uid="46fe2329-c02b-4495-b624-12a499d069e2" value="" /&gt;&lt;element uid="8b2d8d36-50e9-4</vt:lpwstr>
  </op:property>
  <op:property fmtid="{D5CDD505-2E9C-101B-9397-08002B2CF9AE}" pid="25" name="bjDocumentLabelXML-1">
    <vt:lpwstr>e35-b179-b787235cbfe0" value="" /&gt;&lt;element uid="76cb6641-65c9-4928-b1aa-841d1b5bdb86" value="" /&gt;&lt;/sisl&gt;</vt:lpwstr>
  </op:property>
  <op:property fmtid="{D5CDD505-2E9C-101B-9397-08002B2CF9AE}" pid="26" name="Ownership">
    <vt:lpwstr>Rolls-Royce_content_only</vt:lpwstr>
  </op:property>
  <op:property fmtid="{D5CDD505-2E9C-101B-9397-08002B2CF9AE}" pid="27" name="GovSecClass">
    <vt:lpwstr>No_Classification</vt:lpwstr>
  </op:property>
  <op:property fmtid="{D5CDD505-2E9C-101B-9397-08002B2CF9AE}" pid="28" name="ExportControlled">
    <vt:lpwstr>Not_Subject_to_Export_Control</vt:lpwstr>
  </op:property>
  <op:property fmtid="{D5CDD505-2E9C-101B-9397-08002B2CF9AE}" pid="29" name="BusinessSensitivity">
    <vt:lpwstr>Non-Confidential</vt:lpwstr>
  </op:property>
  <op:property fmtid="{D5CDD505-2E9C-101B-9397-08002B2CF9AE}" pid="30" name="bjLabelRefreshRequired">
    <vt:lpwstr>FileClassifier</vt:lpwstr>
  </op:property>
</op:Properties>
</file>