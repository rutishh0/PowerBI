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ustomProperty2.bin" ContentType="application/vnd.openxmlformats-officedocument.spreadsheetml.customProperty"/>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customProperty3.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ustomProperty4.bin" ContentType="application/vnd.openxmlformats-officedocument.spreadsheetml.customProperty"/>
  <Override PartName="/xl/pivotTables/pivotTable1.xml" ContentType="application/vnd.openxmlformats-officedocument.spreadsheetml.pivotTable+xml"/>
  <Override PartName="/xl/customProperty5.bin" ContentType="application/vnd.openxmlformats-officedocument.spreadsheetml.customProperty"/>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customProperty6.bin" ContentType="application/vnd.openxmlformats-officedocument.spreadsheetml.customProperty"/>
  <Override PartName="/xl/drawings/drawing3.xml" ContentType="application/vnd.openxmlformats-officedocument.drawing+xml"/>
  <Override PartName="/xl/slicers/slicer2.xml" ContentType="application/vnd.ms-excel.slicer+xml"/>
  <Override PartName="/xl/customProperty7.bin" ContentType="application/vnd.openxmlformats-officedocument.spreadsheetml.customProperty"/>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hidePivotFieldList="1" defaultThemeVersion="166925"/>
  <mc:AlternateContent xmlns:mc="http://schemas.openxmlformats.org/markup-compatibility/2006">
    <mc:Choice Requires="x15">
      <x15ac:absPath xmlns:x15ac="http://schemas.microsoft.com/office/spreadsheetml/2010/11/ac" url="https://rollsroyce.sharepoint.com/sites/CivilGlobalCommercialOptimisation/Shared Documents/Commercial Optimisation/"/>
    </mc:Choice>
  </mc:AlternateContent>
  <xr:revisionPtr revIDLastSave="3352" documentId="8_{242CAECC-BB93-49BB-82C5-59EFBCC4E574}" xr6:coauthVersionLast="47" xr6:coauthVersionMax="47" xr10:uidLastSave="{EA10082F-CE20-48C9-B200-12C84BB67C0B}"/>
  <bookViews>
    <workbookView xWindow="-23148" yWindow="-108" windowWidth="23256" windowHeight="12576" firstSheet="1" activeTab="1" xr2:uid="{EEC0C7F5-4EF7-4856-AB5B-C46817F52895}"/>
  </bookViews>
  <sheets>
    <sheet name="COVER" sheetId="6" r:id="rId1"/>
    <sheet name="GLOBAL LOG" sheetId="7" r:id="rId2"/>
    <sheet name="COUNT" sheetId="9" state="hidden" r:id="rId3"/>
    <sheet name="SUM" sheetId="10" state="hidden" r:id="rId4"/>
    <sheet name="DETAIL_REPORT" sheetId="11" r:id="rId5"/>
    <sheet name="EXEC_REPORT" sheetId="13" r:id="rId6"/>
    <sheet name="Data Validations" sheetId="3" r:id="rId7"/>
    <sheet name="3+9" sheetId="14" r:id="rId8"/>
  </sheets>
  <definedNames>
    <definedName name="_xlnm._FilterDatabase" localSheetId="2" hidden="1">COUNT!$C$8:$AB$164</definedName>
    <definedName name="_xlnm._FilterDatabase" localSheetId="6" hidden="1">'Data Validations'!$A$1:$C$38</definedName>
    <definedName name="_xlnm._FilterDatabase" localSheetId="1" hidden="1">'GLOBAL LOG'!$C$5:$U$129</definedName>
    <definedName name="Slicer_Customer">#N/A</definedName>
    <definedName name="Slicer_Engine_Value_Stream">#N/A</definedName>
    <definedName name="Slicer_Engine_Value_Stream1">#N/A</definedName>
    <definedName name="Slicer_Expected_year_of_signature">#N/A</definedName>
    <definedName name="Slicer_Expected_year_of_signature1">#N/A</definedName>
    <definedName name="Slicer_Onerous_Non_Onerous">#N/A</definedName>
    <definedName name="Slicer_Onerous_Non_Onerous1">#N/A</definedName>
    <definedName name="Slicer_Region">#N/A</definedName>
    <definedName name="Slicer_Region1">#N/A</definedName>
    <definedName name="Slicer_Restructure_Type">#N/A</definedName>
    <definedName name="Slicer_Restructure_Type1">#N/A</definedName>
    <definedName name="Slicer_Top_Level_EVS">#N/A</definedName>
    <definedName name="Slicer_Top_Level_EVS1">#N/A</definedName>
  </definedNames>
  <calcPr calcId="191028" iterateCount="1000" iterateDelta="1.0000000000000001E-5"/>
  <pivotCaches>
    <pivotCache cacheId="87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3" i="14" l="1"/>
  <c r="K73" i="14"/>
  <c r="L73" i="14"/>
  <c r="M73" i="14"/>
  <c r="N73" i="14"/>
  <c r="O73" i="14"/>
  <c r="S73" i="14" s="1"/>
  <c r="P73" i="14"/>
  <c r="Q73" i="14"/>
  <c r="I73" i="14"/>
  <c r="R71" i="14"/>
  <c r="S71" i="14"/>
  <c r="R72" i="14"/>
  <c r="S72" i="14"/>
  <c r="R73" i="14"/>
  <c r="M72" i="14"/>
  <c r="N72" i="14" s="1"/>
  <c r="O72" i="14" s="1"/>
  <c r="P72" i="14" s="1"/>
  <c r="L72" i="14"/>
  <c r="K72" i="14"/>
  <c r="T73" i="14" l="1"/>
  <c r="T72" i="14"/>
  <c r="T71" i="14"/>
  <c r="R65" i="14" l="1"/>
  <c r="S65" i="14"/>
  <c r="T65" i="14" l="1"/>
  <c r="T27" i="14" l="1"/>
  <c r="R39" i="14"/>
  <c r="S39" i="14"/>
  <c r="R40" i="14"/>
  <c r="S40" i="14"/>
  <c r="T39" i="14" l="1"/>
  <c r="T40" i="14"/>
  <c r="S38" i="14"/>
  <c r="R38" i="14"/>
  <c r="S37" i="14"/>
  <c r="R37" i="14"/>
  <c r="S36" i="14"/>
  <c r="R36" i="14"/>
  <c r="R68" i="14"/>
  <c r="R69" i="14"/>
  <c r="R70" i="14"/>
  <c r="Q53" i="14"/>
  <c r="P53" i="14"/>
  <c r="P74" i="14" s="1"/>
  <c r="O53" i="14"/>
  <c r="N53" i="14"/>
  <c r="M53" i="14"/>
  <c r="M74" i="14" s="1"/>
  <c r="L53" i="14"/>
  <c r="K53" i="14"/>
  <c r="J53" i="14"/>
  <c r="I53" i="14"/>
  <c r="H53" i="14"/>
  <c r="H74" i="14" s="1"/>
  <c r="G53" i="14"/>
  <c r="F53" i="14"/>
  <c r="F74" i="14" s="1"/>
  <c r="G59" i="14"/>
  <c r="H59" i="14"/>
  <c r="I59" i="14"/>
  <c r="J59" i="14"/>
  <c r="K59" i="14"/>
  <c r="L59" i="14"/>
  <c r="M59" i="14"/>
  <c r="N59" i="14"/>
  <c r="O59" i="14"/>
  <c r="P59" i="14"/>
  <c r="Q59" i="14"/>
  <c r="F59" i="14"/>
  <c r="R100" i="14"/>
  <c r="S100" i="14"/>
  <c r="S99" i="14"/>
  <c r="R99" i="14"/>
  <c r="S70" i="14"/>
  <c r="S69" i="14"/>
  <c r="S68" i="14"/>
  <c r="R52" i="14"/>
  <c r="S52" i="14"/>
  <c r="S58" i="14"/>
  <c r="R58" i="14"/>
  <c r="S66" i="14"/>
  <c r="R66" i="14"/>
  <c r="S64" i="14"/>
  <c r="R64" i="14"/>
  <c r="S63" i="14"/>
  <c r="R63" i="14"/>
  <c r="S62" i="14"/>
  <c r="R62" i="14"/>
  <c r="S61" i="14"/>
  <c r="R61" i="14"/>
  <c r="S57" i="14"/>
  <c r="R57" i="14"/>
  <c r="S55" i="14"/>
  <c r="R55" i="14"/>
  <c r="S51" i="14"/>
  <c r="R51" i="14"/>
  <c r="N74" i="14" l="1"/>
  <c r="G74" i="14"/>
  <c r="O74" i="14"/>
  <c r="I74" i="14"/>
  <c r="Q74" i="14"/>
  <c r="J74" i="14"/>
  <c r="K74" i="14"/>
  <c r="R74" i="14"/>
  <c r="L74" i="14"/>
  <c r="T38" i="14"/>
  <c r="T36" i="14"/>
  <c r="T37" i="14"/>
  <c r="R53" i="14"/>
  <c r="S53" i="14"/>
  <c r="S59" i="14"/>
  <c r="R59" i="14"/>
  <c r="T100" i="14"/>
  <c r="T52" i="14"/>
  <c r="T51" i="14"/>
  <c r="T70" i="14"/>
  <c r="T58" i="14"/>
  <c r="T69" i="14"/>
  <c r="T99" i="14"/>
  <c r="T68" i="14"/>
  <c r="T55" i="14"/>
  <c r="T63" i="14"/>
  <c r="T57" i="14"/>
  <c r="T66" i="14"/>
  <c r="T64" i="14"/>
  <c r="T61" i="14"/>
  <c r="T62" i="14"/>
  <c r="T76" i="14" l="1"/>
  <c r="S74" i="14"/>
  <c r="T59" i="14"/>
  <c r="T53" i="14"/>
  <c r="T74" i="14" l="1"/>
  <c r="Q41" i="14"/>
  <c r="P41" i="14"/>
  <c r="O41" i="14"/>
  <c r="N41" i="14"/>
  <c r="M41" i="14"/>
  <c r="L41" i="14"/>
  <c r="K41" i="14"/>
  <c r="J41" i="14"/>
  <c r="I41" i="14"/>
  <c r="H41" i="14"/>
  <c r="G41" i="14"/>
  <c r="F41" i="14"/>
  <c r="S34" i="14"/>
  <c r="R34" i="14"/>
  <c r="S32" i="14"/>
  <c r="R32" i="14"/>
  <c r="S109" i="14"/>
  <c r="R109" i="14"/>
  <c r="S31" i="14"/>
  <c r="R31" i="14"/>
  <c r="S30" i="14"/>
  <c r="R30" i="14"/>
  <c r="S29" i="14"/>
  <c r="R29" i="14"/>
  <c r="S28" i="14"/>
  <c r="R28" i="14"/>
  <c r="S111" i="14"/>
  <c r="R111" i="14"/>
  <c r="S112" i="14"/>
  <c r="R112" i="14"/>
  <c r="S25" i="14"/>
  <c r="R25" i="14"/>
  <c r="S26" i="14"/>
  <c r="R26" i="14"/>
  <c r="S24" i="14"/>
  <c r="R24" i="14"/>
  <c r="T14" i="14"/>
  <c r="S14" i="14"/>
  <c r="R14" i="14"/>
  <c r="Q14" i="14"/>
  <c r="P14" i="14"/>
  <c r="O14" i="14"/>
  <c r="N14" i="14"/>
  <c r="M14" i="14"/>
  <c r="L14" i="14"/>
  <c r="K14" i="14"/>
  <c r="J14" i="14"/>
  <c r="I14" i="14"/>
  <c r="H14" i="14"/>
  <c r="G14" i="14"/>
  <c r="F14" i="14"/>
  <c r="P20" i="7"/>
  <c r="O43" i="14" l="1"/>
  <c r="T28" i="14"/>
  <c r="T112" i="14"/>
  <c r="T30" i="14"/>
  <c r="M43" i="14"/>
  <c r="T34" i="14"/>
  <c r="T109" i="14"/>
  <c r="J43" i="14"/>
  <c r="T25" i="14"/>
  <c r="T29" i="14"/>
  <c r="N43" i="14"/>
  <c r="F43" i="14"/>
  <c r="F44" i="14" s="1"/>
  <c r="T24" i="14"/>
  <c r="T111" i="14"/>
  <c r="K43" i="14"/>
  <c r="T32" i="14"/>
  <c r="L43" i="14"/>
  <c r="G43" i="14"/>
  <c r="S41" i="14"/>
  <c r="S44" i="14" s="1"/>
  <c r="T31" i="14"/>
  <c r="H43" i="14"/>
  <c r="P43" i="14"/>
  <c r="T26" i="14"/>
  <c r="I43" i="14"/>
  <c r="Q43" i="14"/>
  <c r="R41" i="14"/>
  <c r="L47" i="7"/>
  <c r="L34" i="7"/>
  <c r="L23" i="7"/>
  <c r="L22" i="7"/>
  <c r="G44" i="14" l="1"/>
  <c r="H44" i="14" s="1"/>
  <c r="I44" i="14" s="1"/>
  <c r="J44" i="14" s="1"/>
  <c r="T41" i="14"/>
  <c r="T44" i="14" s="1"/>
  <c r="S43" i="14"/>
  <c r="R44" i="14"/>
  <c r="R43" i="14"/>
  <c r="L63" i="7"/>
  <c r="P10" i="7"/>
  <c r="L10" i="7" s="1"/>
  <c r="Q38" i="7"/>
  <c r="P58" i="7"/>
  <c r="L58" i="7" s="1"/>
  <c r="L18" i="7"/>
  <c r="L13" i="7"/>
  <c r="L7" i="7"/>
  <c r="L8" i="7"/>
  <c r="L9" i="7"/>
  <c r="L11" i="7"/>
  <c r="L12" i="7"/>
  <c r="L14" i="7"/>
  <c r="L16" i="7"/>
  <c r="L17" i="7"/>
  <c r="L19" i="7"/>
  <c r="L20" i="7"/>
  <c r="L21" i="7"/>
  <c r="L24" i="7"/>
  <c r="L25" i="7"/>
  <c r="L26" i="7"/>
  <c r="L27" i="7"/>
  <c r="L28" i="7"/>
  <c r="L29" i="7"/>
  <c r="L31" i="7"/>
  <c r="L32" i="7"/>
  <c r="L33" i="7"/>
  <c r="L35" i="7"/>
  <c r="L36" i="7"/>
  <c r="L37" i="7"/>
  <c r="L38" i="7"/>
  <c r="L39" i="7"/>
  <c r="L40" i="7"/>
  <c r="L41" i="7"/>
  <c r="L42" i="7"/>
  <c r="L43" i="7"/>
  <c r="L44" i="7"/>
  <c r="L45" i="7"/>
  <c r="L46" i="7"/>
  <c r="L48" i="7"/>
  <c r="L49" i="7"/>
  <c r="L50" i="7"/>
  <c r="L51" i="7"/>
  <c r="L52" i="7"/>
  <c r="L53" i="7"/>
  <c r="L54" i="7"/>
  <c r="L55" i="7"/>
  <c r="L56" i="7"/>
  <c r="L57" i="7"/>
  <c r="L59" i="7"/>
  <c r="L60" i="7"/>
  <c r="L61" i="7"/>
  <c r="L62"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6" i="7"/>
  <c r="F7" i="7"/>
  <c r="F8" i="7"/>
  <c r="F9" i="7"/>
  <c r="F10" i="7"/>
  <c r="F11" i="7"/>
  <c r="F12"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6" i="7"/>
  <c r="P30" i="7"/>
  <c r="L30" i="7" s="1"/>
  <c r="P15" i="7"/>
  <c r="L15" i="7" s="1"/>
  <c r="R25" i="7"/>
  <c r="Q25" i="7"/>
  <c r="K44" i="14" l="1"/>
  <c r="L44" i="14" s="1"/>
  <c r="M44" i="14" s="1"/>
  <c r="N44" i="14" s="1"/>
  <c r="O44" i="14" s="1"/>
  <c r="P44" i="14" s="1"/>
  <c r="Q44" i="14" s="1"/>
  <c r="T43" i="14"/>
  <c r="I15" i="10" a="1"/>
  <c r="I15" i="10" s="1"/>
  <c r="H15" i="10" a="1"/>
  <c r="H15" i="10" s="1"/>
  <c r="G15" i="10" a="1"/>
  <c r="G15" i="10" s="1"/>
  <c r="I14" i="10" a="1"/>
  <c r="I14" i="10" s="1"/>
  <c r="H14" i="10" a="1"/>
  <c r="H14" i="10" s="1"/>
  <c r="G14" i="10" a="1"/>
  <c r="G14" i="10" s="1"/>
  <c r="I13" i="10" a="1"/>
  <c r="I13" i="10" s="1"/>
  <c r="H13" i="10" a="1"/>
  <c r="H13" i="10" s="1"/>
  <c r="G13" i="10" a="1"/>
  <c r="G13" i="10" s="1"/>
  <c r="I12" i="10" a="1"/>
  <c r="I12" i="10" s="1"/>
  <c r="H12" i="10" a="1"/>
  <c r="H12" i="10" s="1"/>
  <c r="G12" i="10" a="1"/>
  <c r="G12" i="10" s="1"/>
  <c r="I11" i="10" a="1"/>
  <c r="I11" i="10" s="1"/>
  <c r="H11" i="10" a="1"/>
  <c r="H11" i="10" s="1"/>
  <c r="G11" i="10" a="1"/>
  <c r="G11" i="10" s="1"/>
  <c r="K1195" i="9" a="1"/>
  <c r="K1195" i="9" s="1"/>
  <c r="L1195" i="9" s="1"/>
  <c r="M1195" i="9" s="1"/>
  <c r="K1196" i="9" a="1"/>
  <c r="K1196" i="9" s="1"/>
  <c r="L1196" i="9" s="1"/>
  <c r="M1196" i="9" s="1"/>
  <c r="K1197" i="9" a="1"/>
  <c r="K1197" i="9" s="1"/>
  <c r="L1197" i="9" s="1"/>
  <c r="M1197" i="9" s="1"/>
  <c r="K1198" i="9" a="1"/>
  <c r="K1198" i="9" s="1"/>
  <c r="L1198" i="9" s="1"/>
  <c r="M1198" i="9" s="1"/>
  <c r="K1199" i="9" a="1"/>
  <c r="K1199" i="9" s="1"/>
  <c r="L1199" i="9" s="1"/>
  <c r="M1199" i="9" s="1"/>
  <c r="K1200" i="9" a="1"/>
  <c r="K1200" i="9" s="1"/>
  <c r="L1200" i="9" s="1"/>
  <c r="M1200" i="9" s="1"/>
  <c r="K1201" i="9" a="1"/>
  <c r="K1201" i="9" s="1"/>
  <c r="L1201" i="9" s="1"/>
  <c r="M1201" i="9" s="1"/>
  <c r="K1202" i="9" a="1"/>
  <c r="K1202" i="9" s="1"/>
  <c r="L1202" i="9" s="1"/>
  <c r="M1202" i="9" s="1"/>
  <c r="K1203" i="9" a="1"/>
  <c r="K1203" i="9" s="1"/>
  <c r="L1203" i="9" s="1"/>
  <c r="M1203" i="9" s="1"/>
  <c r="K1204" i="9" a="1"/>
  <c r="K1204" i="9" s="1"/>
  <c r="L1204" i="9" s="1"/>
  <c r="M1204" i="9" s="1"/>
  <c r="K1205" i="9" a="1"/>
  <c r="K1205" i="9" s="1"/>
  <c r="L1205" i="9" s="1"/>
  <c r="M1205" i="9" s="1"/>
  <c r="K1206" i="9" a="1"/>
  <c r="K1206" i="9" s="1"/>
  <c r="L1206" i="9" s="1"/>
  <c r="M1206" i="9" s="1"/>
  <c r="K1207" i="9" a="1"/>
  <c r="K1207" i="9" s="1"/>
  <c r="L1207" i="9" s="1"/>
  <c r="M1207" i="9" s="1"/>
  <c r="K1208" i="9" a="1"/>
  <c r="K1208" i="9" s="1"/>
  <c r="L1208" i="9" s="1"/>
  <c r="M1208" i="9" s="1"/>
  <c r="K1209" i="9" a="1"/>
  <c r="K1209" i="9" s="1"/>
  <c r="L1209" i="9" s="1"/>
  <c r="M1209" i="9" s="1"/>
  <c r="K1210" i="9" a="1"/>
  <c r="K1210" i="9" s="1"/>
  <c r="L1210" i="9" s="1"/>
  <c r="M1210" i="9" s="1"/>
  <c r="K1211" i="9" a="1"/>
  <c r="K1211" i="9" s="1"/>
  <c r="L1211" i="9" s="1"/>
  <c r="M1211" i="9" s="1"/>
  <c r="K1212" i="9" a="1"/>
  <c r="K1212" i="9" s="1"/>
  <c r="L1212" i="9" s="1"/>
  <c r="M1212" i="9" s="1"/>
  <c r="K1213" i="9" a="1"/>
  <c r="K1213" i="9" s="1"/>
  <c r="L1213" i="9" s="1"/>
  <c r="M1213" i="9" s="1"/>
  <c r="K1214" i="9" a="1"/>
  <c r="K1214" i="9" s="1"/>
  <c r="L1214" i="9" s="1"/>
  <c r="M1214" i="9" s="1"/>
  <c r="K1215" i="9" a="1"/>
  <c r="K1215" i="9" s="1"/>
  <c r="L1215" i="9" s="1"/>
  <c r="M1215" i="9" s="1"/>
  <c r="K1216" i="9" a="1"/>
  <c r="K1216" i="9" s="1"/>
  <c r="L1216" i="9" s="1"/>
  <c r="M1216" i="9" s="1"/>
  <c r="K1217" i="9" a="1"/>
  <c r="K1217" i="9" s="1"/>
  <c r="L1217" i="9" s="1"/>
  <c r="M1217" i="9" s="1"/>
  <c r="K1218" i="9" a="1"/>
  <c r="K1218" i="9" s="1"/>
  <c r="L1218" i="9" s="1"/>
  <c r="M1218" i="9" s="1"/>
  <c r="K1219" i="9" a="1"/>
  <c r="K1219" i="9" s="1"/>
  <c r="L1219" i="9" s="1"/>
  <c r="M1219" i="9" s="1"/>
  <c r="K1220" i="9" a="1"/>
  <c r="K1220" i="9" s="1"/>
  <c r="L1220" i="9" s="1"/>
  <c r="M1220" i="9" s="1"/>
  <c r="K1221" i="9" a="1"/>
  <c r="K1221" i="9" s="1"/>
  <c r="L1221" i="9" s="1"/>
  <c r="M1221" i="9" s="1"/>
  <c r="K1222" i="9" a="1"/>
  <c r="K1222" i="9" s="1"/>
  <c r="L1222" i="9" s="1"/>
  <c r="M1222" i="9" s="1"/>
  <c r="K1223" i="9" a="1"/>
  <c r="K1223" i="9" s="1"/>
  <c r="L1223" i="9" s="1"/>
  <c r="M1223" i="9" s="1"/>
  <c r="K1224" i="9" a="1"/>
  <c r="K1224" i="9" s="1"/>
  <c r="L1224" i="9" s="1"/>
  <c r="M1224" i="9" s="1"/>
  <c r="K1225" i="9" a="1"/>
  <c r="K1225" i="9" s="1"/>
  <c r="L1225" i="9" s="1"/>
  <c r="M1225" i="9" s="1"/>
  <c r="K1226" i="9" a="1"/>
  <c r="K1226" i="9" s="1"/>
  <c r="L1226" i="9" s="1"/>
  <c r="M1226" i="9" s="1"/>
  <c r="K1227" i="9" a="1"/>
  <c r="K1227" i="9" s="1"/>
  <c r="L1227" i="9" s="1"/>
  <c r="M1227" i="9" s="1"/>
  <c r="K1228" i="9" a="1"/>
  <c r="K1228" i="9" s="1"/>
  <c r="L1228" i="9" s="1"/>
  <c r="M1228" i="9" s="1"/>
  <c r="K1229" i="9" a="1"/>
  <c r="K1229" i="9" s="1"/>
  <c r="L1229" i="9" s="1"/>
  <c r="M1229" i="9" s="1"/>
  <c r="K1230" i="9" a="1"/>
  <c r="K1230" i="9" s="1"/>
  <c r="L1230" i="9" s="1"/>
  <c r="M1230" i="9" s="1"/>
  <c r="K1231" i="9" a="1"/>
  <c r="K1231" i="9" s="1"/>
  <c r="L1231" i="9" s="1"/>
  <c r="M1231" i="9" s="1"/>
  <c r="K1232" i="9" a="1"/>
  <c r="K1232" i="9" s="1"/>
  <c r="L1232" i="9" s="1"/>
  <c r="M1232" i="9" s="1"/>
  <c r="K1233" i="9" a="1"/>
  <c r="K1233" i="9" s="1"/>
  <c r="L1233" i="9" s="1"/>
  <c r="M1233" i="9" s="1"/>
  <c r="K1234" i="9" a="1"/>
  <c r="K1234" i="9" s="1"/>
  <c r="L1234" i="9" s="1"/>
  <c r="M1234" i="9" s="1"/>
  <c r="K1235" i="9" a="1"/>
  <c r="K1235" i="9" s="1"/>
  <c r="L1235" i="9" s="1"/>
  <c r="M1235" i="9" s="1"/>
  <c r="K1236" i="9" a="1"/>
  <c r="K1236" i="9" s="1"/>
  <c r="L1236" i="9" s="1"/>
  <c r="M1236" i="9" s="1"/>
  <c r="K1237" i="9" a="1"/>
  <c r="K1237" i="9" s="1"/>
  <c r="L1237" i="9" s="1"/>
  <c r="M1237" i="9" s="1"/>
  <c r="K1238" i="9" a="1"/>
  <c r="K1238" i="9" s="1"/>
  <c r="L1238" i="9" s="1"/>
  <c r="M1238" i="9" s="1"/>
  <c r="K1239" i="9" a="1"/>
  <c r="K1239" i="9" s="1"/>
  <c r="L1239" i="9" s="1"/>
  <c r="M1239" i="9" s="1"/>
  <c r="K1240" i="9" a="1"/>
  <c r="K1240" i="9" s="1"/>
  <c r="L1240" i="9" s="1"/>
  <c r="M1240" i="9" s="1"/>
  <c r="K1241" i="9" a="1"/>
  <c r="K1241" i="9" s="1"/>
  <c r="L1241" i="9" s="1"/>
  <c r="M1241" i="9" s="1"/>
  <c r="K1242" i="9" a="1"/>
  <c r="K1242" i="9" s="1"/>
  <c r="L1242" i="9" s="1"/>
  <c r="M1242" i="9" s="1"/>
  <c r="K1243" i="9" a="1"/>
  <c r="K1243" i="9" s="1"/>
  <c r="L1243" i="9" s="1"/>
  <c r="M1243" i="9" s="1"/>
  <c r="K1244" i="9" a="1"/>
  <c r="K1244" i="9" s="1"/>
  <c r="L1244" i="9" s="1"/>
  <c r="M1244" i="9" s="1"/>
  <c r="K1245" i="9" a="1"/>
  <c r="K1245" i="9" s="1"/>
  <c r="L1245" i="9" s="1"/>
  <c r="M1245" i="9" s="1"/>
  <c r="K1246" i="9" a="1"/>
  <c r="K1246" i="9" s="1"/>
  <c r="L1246" i="9" s="1"/>
  <c r="M1246" i="9" s="1"/>
  <c r="K1247" i="9" a="1"/>
  <c r="K1247" i="9" s="1"/>
  <c r="L1247" i="9" s="1"/>
  <c r="M1247" i="9" s="1"/>
  <c r="K1248" i="9" a="1"/>
  <c r="K1248" i="9" s="1"/>
  <c r="L1248" i="9" s="1"/>
  <c r="M1248" i="9" s="1"/>
  <c r="K1249" i="9" a="1"/>
  <c r="K1249" i="9" s="1"/>
  <c r="L1249" i="9" s="1"/>
  <c r="M1249" i="9" s="1"/>
  <c r="K1250" i="9" a="1"/>
  <c r="K1250" i="9" s="1"/>
  <c r="L1250" i="9" s="1"/>
  <c r="M1250" i="9" s="1"/>
  <c r="K1251" i="9" a="1"/>
  <c r="K1251" i="9" s="1"/>
  <c r="L1251" i="9" s="1"/>
  <c r="M1251" i="9" s="1"/>
  <c r="K1252" i="9" a="1"/>
  <c r="K1252" i="9" s="1"/>
  <c r="L1252" i="9" s="1"/>
  <c r="M1252" i="9" s="1"/>
  <c r="K1253" i="9" a="1"/>
  <c r="K1253" i="9" s="1"/>
  <c r="L1253" i="9" s="1"/>
  <c r="M1253" i="9" s="1"/>
  <c r="K1254" i="9" a="1"/>
  <c r="K1254" i="9" s="1"/>
  <c r="L1254" i="9" s="1"/>
  <c r="M1254" i="9" s="1"/>
  <c r="K1255" i="9" a="1"/>
  <c r="K1255" i="9" s="1"/>
  <c r="L1255" i="9" s="1"/>
  <c r="M1255" i="9" s="1"/>
  <c r="K1256" i="9" a="1"/>
  <c r="K1256" i="9" s="1"/>
  <c r="L1256" i="9" s="1"/>
  <c r="M1256" i="9" s="1"/>
  <c r="K1257" i="9" a="1"/>
  <c r="K1257" i="9" s="1"/>
  <c r="L1257" i="9" s="1"/>
  <c r="M1257" i="9" s="1"/>
  <c r="K1258" i="9" a="1"/>
  <c r="K1258" i="9" s="1"/>
  <c r="L1258" i="9" s="1"/>
  <c r="M1258" i="9" s="1"/>
  <c r="K1259" i="9" a="1"/>
  <c r="K1259" i="9" s="1"/>
  <c r="L1259" i="9" s="1"/>
  <c r="M1259" i="9" s="1"/>
  <c r="K1260" i="9" a="1"/>
  <c r="K1260" i="9" s="1"/>
  <c r="L1260" i="9" s="1"/>
  <c r="M1260" i="9" s="1"/>
  <c r="K1261" i="9" a="1"/>
  <c r="K1261" i="9" s="1"/>
  <c r="L1261" i="9" s="1"/>
  <c r="M1261" i="9" s="1"/>
  <c r="K1262" i="9" a="1"/>
  <c r="K1262" i="9" s="1"/>
  <c r="L1262" i="9" s="1"/>
  <c r="M1262" i="9" s="1"/>
  <c r="K1263" i="9" a="1"/>
  <c r="K1263" i="9" s="1"/>
  <c r="L1263" i="9" s="1"/>
  <c r="M1263" i="9" s="1"/>
  <c r="K1264" i="9" a="1"/>
  <c r="K1264" i="9" s="1"/>
  <c r="L1264" i="9" s="1"/>
  <c r="M1264" i="9" s="1"/>
  <c r="K1265" i="9" a="1"/>
  <c r="K1265" i="9" s="1"/>
  <c r="L1265" i="9" s="1"/>
  <c r="M1265" i="9" s="1"/>
  <c r="K1266" i="9" a="1"/>
  <c r="K1266" i="9" s="1"/>
  <c r="L1266" i="9" s="1"/>
  <c r="M1266" i="9" s="1"/>
  <c r="K1267" i="9" a="1"/>
  <c r="K1267" i="9" s="1"/>
  <c r="L1267" i="9" s="1"/>
  <c r="M1267" i="9" s="1"/>
  <c r="K1268" i="9" a="1"/>
  <c r="K1268" i="9" s="1"/>
  <c r="L1268" i="9" s="1"/>
  <c r="M1268" i="9" s="1"/>
  <c r="K1269" i="9" a="1"/>
  <c r="K1269" i="9" s="1"/>
  <c r="L1269" i="9" s="1"/>
  <c r="M1269" i="9" s="1"/>
  <c r="K1270" i="9" a="1"/>
  <c r="K1270" i="9" s="1"/>
  <c r="L1270" i="9" s="1"/>
  <c r="M1270" i="9" s="1"/>
  <c r="K1271" i="9" a="1"/>
  <c r="K1271" i="9" s="1"/>
  <c r="L1271" i="9" s="1"/>
  <c r="M1271" i="9" s="1"/>
  <c r="K1272" i="9" a="1"/>
  <c r="K1272" i="9" s="1"/>
  <c r="L1272" i="9" s="1"/>
  <c r="M1272" i="9" s="1"/>
  <c r="K1273" i="9" a="1"/>
  <c r="K1273" i="9" s="1"/>
  <c r="L1273" i="9" s="1"/>
  <c r="M1273" i="9" s="1"/>
  <c r="K1274" i="9" a="1"/>
  <c r="K1274" i="9" s="1"/>
  <c r="L1274" i="9" s="1"/>
  <c r="M1274" i="9" s="1"/>
  <c r="K1275" i="9" a="1"/>
  <c r="K1275" i="9" s="1"/>
  <c r="L1275" i="9" s="1"/>
  <c r="M1275" i="9" s="1"/>
  <c r="K1276" i="9" a="1"/>
  <c r="K1276" i="9" s="1"/>
  <c r="L1276" i="9" s="1"/>
  <c r="M1276" i="9" s="1"/>
  <c r="K1277" i="9" a="1"/>
  <c r="K1277" i="9" s="1"/>
  <c r="L1277" i="9" s="1"/>
  <c r="M1277" i="9" s="1"/>
  <c r="K1278" i="9" a="1"/>
  <c r="K1278" i="9" s="1"/>
  <c r="L1278" i="9" s="1"/>
  <c r="M1278" i="9" s="1"/>
  <c r="K1279" i="9" a="1"/>
  <c r="K1279" i="9" s="1"/>
  <c r="L1279" i="9" s="1"/>
  <c r="M1279" i="9" s="1"/>
  <c r="K1194" i="9" a="1"/>
  <c r="K1194" i="9" s="1"/>
  <c r="L1194" i="9" s="1"/>
  <c r="M1194" i="9" s="1"/>
  <c r="H1195" i="9" a="1"/>
  <c r="H1195" i="9" s="1"/>
  <c r="I1195" i="9" s="1"/>
  <c r="J1195" i="9" s="1"/>
  <c r="H1196" i="9" a="1"/>
  <c r="H1196" i="9" s="1"/>
  <c r="I1196" i="9" s="1"/>
  <c r="J1196" i="9" s="1"/>
  <c r="H1197" i="9" a="1"/>
  <c r="H1197" i="9" s="1"/>
  <c r="I1197" i="9" s="1"/>
  <c r="J1197" i="9" s="1"/>
  <c r="H1198" i="9" a="1"/>
  <c r="H1198" i="9" s="1"/>
  <c r="I1198" i="9" s="1"/>
  <c r="J1198" i="9" s="1"/>
  <c r="H1199" i="9" a="1"/>
  <c r="H1199" i="9" s="1"/>
  <c r="I1199" i="9" s="1"/>
  <c r="J1199" i="9" s="1"/>
  <c r="H1200" i="9" a="1"/>
  <c r="H1200" i="9" s="1"/>
  <c r="I1200" i="9" s="1"/>
  <c r="J1200" i="9" s="1"/>
  <c r="H1201" i="9" a="1"/>
  <c r="H1201" i="9" s="1"/>
  <c r="I1201" i="9" s="1"/>
  <c r="J1201" i="9" s="1"/>
  <c r="H1202" i="9" a="1"/>
  <c r="H1202" i="9" s="1"/>
  <c r="I1202" i="9" s="1"/>
  <c r="J1202" i="9" s="1"/>
  <c r="H1203" i="9" a="1"/>
  <c r="H1203" i="9" s="1"/>
  <c r="I1203" i="9" s="1"/>
  <c r="J1203" i="9" s="1"/>
  <c r="H1204" i="9" a="1"/>
  <c r="H1204" i="9" s="1"/>
  <c r="I1204" i="9" s="1"/>
  <c r="J1204" i="9" s="1"/>
  <c r="H1205" i="9" a="1"/>
  <c r="H1205" i="9" s="1"/>
  <c r="I1205" i="9" s="1"/>
  <c r="J1205" i="9" s="1"/>
  <c r="H1206" i="9" a="1"/>
  <c r="H1206" i="9" s="1"/>
  <c r="I1206" i="9" s="1"/>
  <c r="J1206" i="9" s="1"/>
  <c r="H1207" i="9" a="1"/>
  <c r="H1207" i="9" s="1"/>
  <c r="I1207" i="9" s="1"/>
  <c r="J1207" i="9" s="1"/>
  <c r="H1208" i="9" a="1"/>
  <c r="H1208" i="9" s="1"/>
  <c r="I1208" i="9" s="1"/>
  <c r="J1208" i="9" s="1"/>
  <c r="H1209" i="9" a="1"/>
  <c r="H1209" i="9" s="1"/>
  <c r="I1209" i="9" s="1"/>
  <c r="J1209" i="9" s="1"/>
  <c r="H1210" i="9" a="1"/>
  <c r="H1210" i="9" s="1"/>
  <c r="I1210" i="9" s="1"/>
  <c r="J1210" i="9" s="1"/>
  <c r="H1211" i="9" a="1"/>
  <c r="H1211" i="9" s="1"/>
  <c r="I1211" i="9" s="1"/>
  <c r="J1211" i="9" s="1"/>
  <c r="H1212" i="9" a="1"/>
  <c r="H1212" i="9" s="1"/>
  <c r="I1212" i="9" s="1"/>
  <c r="J1212" i="9" s="1"/>
  <c r="H1213" i="9" a="1"/>
  <c r="H1213" i="9" s="1"/>
  <c r="I1213" i="9" s="1"/>
  <c r="J1213" i="9" s="1"/>
  <c r="H1214" i="9" a="1"/>
  <c r="H1214" i="9" s="1"/>
  <c r="I1214" i="9" s="1"/>
  <c r="J1214" i="9" s="1"/>
  <c r="H1215" i="9" a="1"/>
  <c r="H1215" i="9" s="1"/>
  <c r="I1215" i="9" s="1"/>
  <c r="J1215" i="9" s="1"/>
  <c r="H1216" i="9" a="1"/>
  <c r="H1216" i="9" s="1"/>
  <c r="I1216" i="9" s="1"/>
  <c r="J1216" i="9" s="1"/>
  <c r="H1217" i="9" a="1"/>
  <c r="H1217" i="9" s="1"/>
  <c r="I1217" i="9" s="1"/>
  <c r="J1217" i="9" s="1"/>
  <c r="H1218" i="9" a="1"/>
  <c r="H1218" i="9" s="1"/>
  <c r="I1218" i="9" s="1"/>
  <c r="J1218" i="9" s="1"/>
  <c r="H1219" i="9" a="1"/>
  <c r="H1219" i="9" s="1"/>
  <c r="I1219" i="9" s="1"/>
  <c r="J1219" i="9" s="1"/>
  <c r="H1220" i="9" a="1"/>
  <c r="H1220" i="9" s="1"/>
  <c r="I1220" i="9" s="1"/>
  <c r="J1220" i="9" s="1"/>
  <c r="H1221" i="9" a="1"/>
  <c r="H1221" i="9" s="1"/>
  <c r="I1221" i="9" s="1"/>
  <c r="J1221" i="9" s="1"/>
  <c r="H1222" i="9" a="1"/>
  <c r="H1222" i="9" s="1"/>
  <c r="I1222" i="9" s="1"/>
  <c r="J1222" i="9" s="1"/>
  <c r="H1223" i="9" a="1"/>
  <c r="H1223" i="9" s="1"/>
  <c r="I1223" i="9" s="1"/>
  <c r="J1223" i="9" s="1"/>
  <c r="H1224" i="9" a="1"/>
  <c r="H1224" i="9" s="1"/>
  <c r="I1224" i="9" s="1"/>
  <c r="J1224" i="9" s="1"/>
  <c r="H1225" i="9" a="1"/>
  <c r="H1225" i="9" s="1"/>
  <c r="I1225" i="9" s="1"/>
  <c r="J1225" i="9" s="1"/>
  <c r="H1226" i="9" a="1"/>
  <c r="H1226" i="9" s="1"/>
  <c r="I1226" i="9" s="1"/>
  <c r="J1226" i="9" s="1"/>
  <c r="H1227" i="9" a="1"/>
  <c r="H1227" i="9" s="1"/>
  <c r="I1227" i="9" s="1"/>
  <c r="J1227" i="9" s="1"/>
  <c r="H1228" i="9" a="1"/>
  <c r="H1228" i="9" s="1"/>
  <c r="I1228" i="9" s="1"/>
  <c r="J1228" i="9" s="1"/>
  <c r="H1229" i="9" a="1"/>
  <c r="H1229" i="9" s="1"/>
  <c r="I1229" i="9" s="1"/>
  <c r="J1229" i="9" s="1"/>
  <c r="H1230" i="9" a="1"/>
  <c r="H1230" i="9" s="1"/>
  <c r="I1230" i="9" s="1"/>
  <c r="J1230" i="9" s="1"/>
  <c r="H1231" i="9" a="1"/>
  <c r="H1231" i="9" s="1"/>
  <c r="I1231" i="9" s="1"/>
  <c r="J1231" i="9" s="1"/>
  <c r="H1232" i="9" a="1"/>
  <c r="H1232" i="9" s="1"/>
  <c r="I1232" i="9" s="1"/>
  <c r="J1232" i="9" s="1"/>
  <c r="H1233" i="9" a="1"/>
  <c r="H1233" i="9" s="1"/>
  <c r="I1233" i="9" s="1"/>
  <c r="J1233" i="9" s="1"/>
  <c r="H1234" i="9" a="1"/>
  <c r="H1234" i="9" s="1"/>
  <c r="I1234" i="9" s="1"/>
  <c r="J1234" i="9" s="1"/>
  <c r="H1235" i="9" a="1"/>
  <c r="H1235" i="9" s="1"/>
  <c r="I1235" i="9" s="1"/>
  <c r="J1235" i="9" s="1"/>
  <c r="H1236" i="9" a="1"/>
  <c r="H1236" i="9" s="1"/>
  <c r="I1236" i="9" s="1"/>
  <c r="J1236" i="9" s="1"/>
  <c r="H1237" i="9" a="1"/>
  <c r="H1237" i="9" s="1"/>
  <c r="I1237" i="9" s="1"/>
  <c r="J1237" i="9" s="1"/>
  <c r="H1238" i="9" a="1"/>
  <c r="H1238" i="9" s="1"/>
  <c r="I1238" i="9" s="1"/>
  <c r="J1238" i="9" s="1"/>
  <c r="H1239" i="9" a="1"/>
  <c r="H1239" i="9" s="1"/>
  <c r="I1239" i="9" s="1"/>
  <c r="J1239" i="9" s="1"/>
  <c r="H1240" i="9" a="1"/>
  <c r="H1240" i="9" s="1"/>
  <c r="I1240" i="9" s="1"/>
  <c r="J1240" i="9" s="1"/>
  <c r="H1241" i="9" a="1"/>
  <c r="H1241" i="9" s="1"/>
  <c r="I1241" i="9" s="1"/>
  <c r="J1241" i="9" s="1"/>
  <c r="H1242" i="9" a="1"/>
  <c r="H1242" i="9" s="1"/>
  <c r="I1242" i="9" s="1"/>
  <c r="J1242" i="9" s="1"/>
  <c r="H1243" i="9" a="1"/>
  <c r="H1243" i="9" s="1"/>
  <c r="I1243" i="9" s="1"/>
  <c r="J1243" i="9" s="1"/>
  <c r="H1244" i="9" a="1"/>
  <c r="H1244" i="9" s="1"/>
  <c r="I1244" i="9" s="1"/>
  <c r="J1244" i="9" s="1"/>
  <c r="H1245" i="9" a="1"/>
  <c r="H1245" i="9" s="1"/>
  <c r="I1245" i="9" s="1"/>
  <c r="J1245" i="9" s="1"/>
  <c r="H1246" i="9" a="1"/>
  <c r="H1246" i="9" s="1"/>
  <c r="I1246" i="9" s="1"/>
  <c r="J1246" i="9" s="1"/>
  <c r="H1247" i="9" a="1"/>
  <c r="H1247" i="9" s="1"/>
  <c r="I1247" i="9" s="1"/>
  <c r="J1247" i="9" s="1"/>
  <c r="H1248" i="9" a="1"/>
  <c r="H1248" i="9" s="1"/>
  <c r="I1248" i="9" s="1"/>
  <c r="J1248" i="9" s="1"/>
  <c r="H1249" i="9" a="1"/>
  <c r="H1249" i="9" s="1"/>
  <c r="I1249" i="9" s="1"/>
  <c r="J1249" i="9" s="1"/>
  <c r="H1250" i="9" a="1"/>
  <c r="H1250" i="9" s="1"/>
  <c r="I1250" i="9" s="1"/>
  <c r="J1250" i="9" s="1"/>
  <c r="H1251" i="9" a="1"/>
  <c r="H1251" i="9" s="1"/>
  <c r="I1251" i="9" s="1"/>
  <c r="J1251" i="9" s="1"/>
  <c r="H1252" i="9" a="1"/>
  <c r="H1252" i="9" s="1"/>
  <c r="I1252" i="9" s="1"/>
  <c r="J1252" i="9" s="1"/>
  <c r="H1253" i="9" a="1"/>
  <c r="H1253" i="9" s="1"/>
  <c r="I1253" i="9" s="1"/>
  <c r="J1253" i="9" s="1"/>
  <c r="H1254" i="9" a="1"/>
  <c r="H1254" i="9" s="1"/>
  <c r="I1254" i="9" s="1"/>
  <c r="J1254" i="9" s="1"/>
  <c r="H1255" i="9" a="1"/>
  <c r="H1255" i="9" s="1"/>
  <c r="I1255" i="9" s="1"/>
  <c r="J1255" i="9" s="1"/>
  <c r="H1256" i="9" a="1"/>
  <c r="H1256" i="9" s="1"/>
  <c r="I1256" i="9" s="1"/>
  <c r="J1256" i="9" s="1"/>
  <c r="H1257" i="9" a="1"/>
  <c r="H1257" i="9" s="1"/>
  <c r="I1257" i="9" s="1"/>
  <c r="J1257" i="9" s="1"/>
  <c r="H1258" i="9" a="1"/>
  <c r="H1258" i="9" s="1"/>
  <c r="I1258" i="9" s="1"/>
  <c r="J1258" i="9" s="1"/>
  <c r="H1259" i="9" a="1"/>
  <c r="H1259" i="9" s="1"/>
  <c r="I1259" i="9" s="1"/>
  <c r="J1259" i="9" s="1"/>
  <c r="H1260" i="9" a="1"/>
  <c r="H1260" i="9" s="1"/>
  <c r="I1260" i="9" s="1"/>
  <c r="J1260" i="9" s="1"/>
  <c r="H1261" i="9" a="1"/>
  <c r="H1261" i="9" s="1"/>
  <c r="I1261" i="9" s="1"/>
  <c r="J1261" i="9" s="1"/>
  <c r="H1262" i="9" a="1"/>
  <c r="H1262" i="9" s="1"/>
  <c r="I1262" i="9" s="1"/>
  <c r="J1262" i="9" s="1"/>
  <c r="H1263" i="9" a="1"/>
  <c r="H1263" i="9" s="1"/>
  <c r="I1263" i="9" s="1"/>
  <c r="J1263" i="9" s="1"/>
  <c r="H1264" i="9" a="1"/>
  <c r="H1264" i="9" s="1"/>
  <c r="I1264" i="9" s="1"/>
  <c r="J1264" i="9" s="1"/>
  <c r="H1265" i="9" a="1"/>
  <c r="H1265" i="9" s="1"/>
  <c r="I1265" i="9" s="1"/>
  <c r="J1265" i="9" s="1"/>
  <c r="H1266" i="9" a="1"/>
  <c r="H1266" i="9" s="1"/>
  <c r="I1266" i="9" s="1"/>
  <c r="J1266" i="9" s="1"/>
  <c r="H1267" i="9" a="1"/>
  <c r="H1267" i="9" s="1"/>
  <c r="I1267" i="9" s="1"/>
  <c r="J1267" i="9" s="1"/>
  <c r="H1268" i="9" a="1"/>
  <c r="H1268" i="9" s="1"/>
  <c r="I1268" i="9" s="1"/>
  <c r="J1268" i="9" s="1"/>
  <c r="H1269" i="9" a="1"/>
  <c r="H1269" i="9" s="1"/>
  <c r="I1269" i="9" s="1"/>
  <c r="J1269" i="9" s="1"/>
  <c r="H1270" i="9" a="1"/>
  <c r="H1270" i="9" s="1"/>
  <c r="I1270" i="9" s="1"/>
  <c r="J1270" i="9" s="1"/>
  <c r="H1271" i="9" a="1"/>
  <c r="H1271" i="9" s="1"/>
  <c r="I1271" i="9" s="1"/>
  <c r="J1271" i="9" s="1"/>
  <c r="H1272" i="9" a="1"/>
  <c r="H1272" i="9" s="1"/>
  <c r="I1272" i="9" s="1"/>
  <c r="J1272" i="9" s="1"/>
  <c r="H1273" i="9" a="1"/>
  <c r="H1273" i="9" s="1"/>
  <c r="I1273" i="9" s="1"/>
  <c r="J1273" i="9" s="1"/>
  <c r="H1274" i="9" a="1"/>
  <c r="H1274" i="9" s="1"/>
  <c r="I1274" i="9" s="1"/>
  <c r="J1274" i="9" s="1"/>
  <c r="H1275" i="9" a="1"/>
  <c r="H1275" i="9" s="1"/>
  <c r="I1275" i="9" s="1"/>
  <c r="J1275" i="9" s="1"/>
  <c r="H1276" i="9" a="1"/>
  <c r="H1276" i="9" s="1"/>
  <c r="I1276" i="9" s="1"/>
  <c r="J1276" i="9" s="1"/>
  <c r="H1277" i="9" a="1"/>
  <c r="H1277" i="9" s="1"/>
  <c r="I1277" i="9" s="1"/>
  <c r="J1277" i="9" s="1"/>
  <c r="H1278" i="9" a="1"/>
  <c r="H1278" i="9" s="1"/>
  <c r="I1278" i="9" s="1"/>
  <c r="J1278" i="9" s="1"/>
  <c r="H1279" i="9" a="1"/>
  <c r="H1279" i="9" s="1"/>
  <c r="I1279" i="9" s="1"/>
  <c r="J1279" i="9" s="1"/>
  <c r="H1194" i="9" a="1"/>
  <c r="H1194" i="9" s="1"/>
  <c r="I1194" i="9" s="1"/>
  <c r="J1194" i="9" s="1"/>
  <c r="K170" i="9" a="1"/>
  <c r="K170" i="9" s="1"/>
  <c r="L170" i="9" s="1"/>
  <c r="M170" i="9" s="1"/>
  <c r="K171" i="9" a="1"/>
  <c r="K171" i="9" s="1"/>
  <c r="L171" i="9" s="1"/>
  <c r="M171" i="9" s="1"/>
  <c r="K172" i="9" a="1"/>
  <c r="K172" i="9" s="1"/>
  <c r="L172" i="9" s="1"/>
  <c r="M172" i="9" s="1"/>
  <c r="K173" i="9" a="1"/>
  <c r="K173" i="9" s="1"/>
  <c r="L173" i="9" s="1"/>
  <c r="M173" i="9" s="1"/>
  <c r="K174" i="9" a="1"/>
  <c r="K174" i="9" s="1"/>
  <c r="L174" i="9" s="1"/>
  <c r="M174" i="9" s="1"/>
  <c r="K175" i="9" a="1"/>
  <c r="K175" i="9" s="1"/>
  <c r="L175" i="9" s="1"/>
  <c r="M175" i="9" s="1"/>
  <c r="K176" i="9" a="1"/>
  <c r="K176" i="9" s="1"/>
  <c r="L176" i="9" s="1"/>
  <c r="M176" i="9" s="1"/>
  <c r="K177" i="9" a="1"/>
  <c r="K177" i="9" s="1"/>
  <c r="L177" i="9" s="1"/>
  <c r="M177" i="9" s="1"/>
  <c r="K178" i="9" a="1"/>
  <c r="K178" i="9" s="1"/>
  <c r="L178" i="9" s="1"/>
  <c r="M178" i="9" s="1"/>
  <c r="K179" i="9" a="1"/>
  <c r="K179" i="9" s="1"/>
  <c r="L179" i="9" s="1"/>
  <c r="M179" i="9" s="1"/>
  <c r="K180" i="9" a="1"/>
  <c r="K180" i="9" s="1"/>
  <c r="L180" i="9" s="1"/>
  <c r="M180" i="9" s="1"/>
  <c r="K181" i="9" a="1"/>
  <c r="K181" i="9" s="1"/>
  <c r="L181" i="9" s="1"/>
  <c r="M181" i="9" s="1"/>
  <c r="K182" i="9" a="1"/>
  <c r="K182" i="9" s="1"/>
  <c r="L182" i="9" s="1"/>
  <c r="M182" i="9" s="1"/>
  <c r="K183" i="9" a="1"/>
  <c r="K183" i="9" s="1"/>
  <c r="L183" i="9" s="1"/>
  <c r="M183" i="9" s="1"/>
  <c r="K184" i="9" a="1"/>
  <c r="K184" i="9" s="1"/>
  <c r="L184" i="9" s="1"/>
  <c r="M184" i="9" s="1"/>
  <c r="K185" i="9" a="1"/>
  <c r="K185" i="9" s="1"/>
  <c r="L185" i="9" s="1"/>
  <c r="M185" i="9" s="1"/>
  <c r="K186" i="9" a="1"/>
  <c r="K186" i="9" s="1"/>
  <c r="L186" i="9" s="1"/>
  <c r="M186" i="9" s="1"/>
  <c r="K187" i="9" a="1"/>
  <c r="K187" i="9" s="1"/>
  <c r="L187" i="9" s="1"/>
  <c r="M187" i="9" s="1"/>
  <c r="K188" i="9" a="1"/>
  <c r="K188" i="9" s="1"/>
  <c r="L188" i="9" s="1"/>
  <c r="M188" i="9" s="1"/>
  <c r="K189" i="9" a="1"/>
  <c r="K189" i="9" s="1"/>
  <c r="L189" i="9" s="1"/>
  <c r="M189" i="9" s="1"/>
  <c r="K190" i="9" a="1"/>
  <c r="K190" i="9" s="1"/>
  <c r="L190" i="9" s="1"/>
  <c r="M190" i="9" s="1"/>
  <c r="K191" i="9" a="1"/>
  <c r="K191" i="9" s="1"/>
  <c r="L191" i="9" s="1"/>
  <c r="M191" i="9" s="1"/>
  <c r="K192" i="9" a="1"/>
  <c r="K192" i="9" s="1"/>
  <c r="L192" i="9" s="1"/>
  <c r="M192" i="9" s="1"/>
  <c r="K193" i="9" a="1"/>
  <c r="K193" i="9" s="1"/>
  <c r="L193" i="9" s="1"/>
  <c r="M193" i="9" s="1"/>
  <c r="K194" i="9" a="1"/>
  <c r="K194" i="9" s="1"/>
  <c r="L194" i="9" s="1"/>
  <c r="M194" i="9" s="1"/>
  <c r="K195" i="9" a="1"/>
  <c r="K195" i="9" s="1"/>
  <c r="L195" i="9" s="1"/>
  <c r="M195" i="9" s="1"/>
  <c r="K196" i="9" a="1"/>
  <c r="K196" i="9" s="1"/>
  <c r="L196" i="9" s="1"/>
  <c r="M196" i="9" s="1"/>
  <c r="K197" i="9" a="1"/>
  <c r="K197" i="9" s="1"/>
  <c r="L197" i="9" s="1"/>
  <c r="M197" i="9" s="1"/>
  <c r="K198" i="9" a="1"/>
  <c r="K198" i="9" s="1"/>
  <c r="L198" i="9" s="1"/>
  <c r="M198" i="9" s="1"/>
  <c r="K199" i="9" a="1"/>
  <c r="K199" i="9" s="1"/>
  <c r="L199" i="9" s="1"/>
  <c r="M199" i="9" s="1"/>
  <c r="K200" i="9" a="1"/>
  <c r="K200" i="9" s="1"/>
  <c r="L200" i="9" s="1"/>
  <c r="M200" i="9" s="1"/>
  <c r="K201" i="9" a="1"/>
  <c r="K201" i="9" s="1"/>
  <c r="L201" i="9" s="1"/>
  <c r="M201" i="9" s="1"/>
  <c r="K202" i="9" a="1"/>
  <c r="K202" i="9" s="1"/>
  <c r="L202" i="9" s="1"/>
  <c r="M202" i="9" s="1"/>
  <c r="K203" i="9" a="1"/>
  <c r="K203" i="9" s="1"/>
  <c r="L203" i="9" s="1"/>
  <c r="M203" i="9" s="1"/>
  <c r="K204" i="9" a="1"/>
  <c r="K204" i="9" s="1"/>
  <c r="L204" i="9" s="1"/>
  <c r="M204" i="9" s="1"/>
  <c r="K205" i="9" a="1"/>
  <c r="K205" i="9" s="1"/>
  <c r="L205" i="9" s="1"/>
  <c r="M205" i="9" s="1"/>
  <c r="K206" i="9" a="1"/>
  <c r="K206" i="9" s="1"/>
  <c r="L206" i="9" s="1"/>
  <c r="M206" i="9" s="1"/>
  <c r="K207" i="9" a="1"/>
  <c r="K207" i="9" s="1"/>
  <c r="L207" i="9" s="1"/>
  <c r="M207" i="9" s="1"/>
  <c r="K208" i="9" a="1"/>
  <c r="K208" i="9" s="1"/>
  <c r="L208" i="9" s="1"/>
  <c r="M208" i="9" s="1"/>
  <c r="K209" i="9" a="1"/>
  <c r="K209" i="9" s="1"/>
  <c r="L209" i="9" s="1"/>
  <c r="M209" i="9" s="1"/>
  <c r="K210" i="9" a="1"/>
  <c r="K210" i="9" s="1"/>
  <c r="L210" i="9" s="1"/>
  <c r="M210" i="9" s="1"/>
  <c r="K211" i="9" a="1"/>
  <c r="K211" i="9" s="1"/>
  <c r="L211" i="9" s="1"/>
  <c r="M211" i="9" s="1"/>
  <c r="K212" i="9" a="1"/>
  <c r="K212" i="9" s="1"/>
  <c r="L212" i="9" s="1"/>
  <c r="M212" i="9" s="1"/>
  <c r="K213" i="9" a="1"/>
  <c r="K213" i="9" s="1"/>
  <c r="L213" i="9" s="1"/>
  <c r="M213" i="9" s="1"/>
  <c r="K214" i="9" a="1"/>
  <c r="K214" i="9" s="1"/>
  <c r="L214" i="9" s="1"/>
  <c r="M214" i="9" s="1"/>
  <c r="K215" i="9" a="1"/>
  <c r="K215" i="9" s="1"/>
  <c r="L215" i="9" s="1"/>
  <c r="M215" i="9" s="1"/>
  <c r="K216" i="9" a="1"/>
  <c r="K216" i="9" s="1"/>
  <c r="L216" i="9" s="1"/>
  <c r="M216" i="9" s="1"/>
  <c r="K217" i="9" a="1"/>
  <c r="K217" i="9" s="1"/>
  <c r="L217" i="9" s="1"/>
  <c r="M217" i="9" s="1"/>
  <c r="K218" i="9" a="1"/>
  <c r="K218" i="9" s="1"/>
  <c r="L218" i="9" s="1"/>
  <c r="M218" i="9" s="1"/>
  <c r="K219" i="9" a="1"/>
  <c r="K219" i="9" s="1"/>
  <c r="L219" i="9" s="1"/>
  <c r="M219" i="9" s="1"/>
  <c r="K220" i="9" a="1"/>
  <c r="K220" i="9" s="1"/>
  <c r="L220" i="9" s="1"/>
  <c r="M220" i="9" s="1"/>
  <c r="K221" i="9" a="1"/>
  <c r="K221" i="9" s="1"/>
  <c r="L221" i="9" s="1"/>
  <c r="M221" i="9" s="1"/>
  <c r="K222" i="9" a="1"/>
  <c r="K222" i="9" s="1"/>
  <c r="L222" i="9" s="1"/>
  <c r="M222" i="9" s="1"/>
  <c r="K223" i="9" a="1"/>
  <c r="K223" i="9" s="1"/>
  <c r="L223" i="9" s="1"/>
  <c r="M223" i="9" s="1"/>
  <c r="K224" i="9" a="1"/>
  <c r="K224" i="9" s="1"/>
  <c r="L224" i="9" s="1"/>
  <c r="M224" i="9" s="1"/>
  <c r="K225" i="9" a="1"/>
  <c r="K225" i="9" s="1"/>
  <c r="L225" i="9" s="1"/>
  <c r="M225" i="9" s="1"/>
  <c r="K226" i="9" a="1"/>
  <c r="K226" i="9" s="1"/>
  <c r="L226" i="9" s="1"/>
  <c r="M226" i="9" s="1"/>
  <c r="K227" i="9" a="1"/>
  <c r="K227" i="9" s="1"/>
  <c r="L227" i="9" s="1"/>
  <c r="M227" i="9" s="1"/>
  <c r="K228" i="9" a="1"/>
  <c r="K228" i="9" s="1"/>
  <c r="L228" i="9" s="1"/>
  <c r="M228" i="9" s="1"/>
  <c r="K229" i="9" a="1"/>
  <c r="K229" i="9" s="1"/>
  <c r="L229" i="9" s="1"/>
  <c r="M229" i="9" s="1"/>
  <c r="K230" i="9" a="1"/>
  <c r="K230" i="9" s="1"/>
  <c r="L230" i="9" s="1"/>
  <c r="M230" i="9" s="1"/>
  <c r="K231" i="9" a="1"/>
  <c r="K231" i="9" s="1"/>
  <c r="L231" i="9" s="1"/>
  <c r="M231" i="9" s="1"/>
  <c r="K232" i="9" a="1"/>
  <c r="K232" i="9" s="1"/>
  <c r="L232" i="9" s="1"/>
  <c r="M232" i="9" s="1"/>
  <c r="K233" i="9" a="1"/>
  <c r="K233" i="9" s="1"/>
  <c r="L233" i="9" s="1"/>
  <c r="M233" i="9" s="1"/>
  <c r="K234" i="9" a="1"/>
  <c r="K234" i="9" s="1"/>
  <c r="L234" i="9" s="1"/>
  <c r="M234" i="9" s="1"/>
  <c r="K235" i="9" a="1"/>
  <c r="K235" i="9" s="1"/>
  <c r="L235" i="9" s="1"/>
  <c r="M235" i="9" s="1"/>
  <c r="K236" i="9" a="1"/>
  <c r="K236" i="9" s="1"/>
  <c r="L236" i="9" s="1"/>
  <c r="M236" i="9" s="1"/>
  <c r="K237" i="9" a="1"/>
  <c r="K237" i="9" s="1"/>
  <c r="L237" i="9" s="1"/>
  <c r="M237" i="9" s="1"/>
  <c r="K238" i="9" a="1"/>
  <c r="K238" i="9" s="1"/>
  <c r="L238" i="9" s="1"/>
  <c r="M238" i="9" s="1"/>
  <c r="K239" i="9" a="1"/>
  <c r="K239" i="9" s="1"/>
  <c r="L239" i="9" s="1"/>
  <c r="M239" i="9" s="1"/>
  <c r="K240" i="9" a="1"/>
  <c r="K240" i="9" s="1"/>
  <c r="L240" i="9" s="1"/>
  <c r="M240" i="9" s="1"/>
  <c r="K241" i="9" a="1"/>
  <c r="K241" i="9" s="1"/>
  <c r="L241" i="9" s="1"/>
  <c r="M241" i="9" s="1"/>
  <c r="K242" i="9" a="1"/>
  <c r="K242" i="9" s="1"/>
  <c r="L242" i="9" s="1"/>
  <c r="M242" i="9" s="1"/>
  <c r="K243" i="9" a="1"/>
  <c r="K243" i="9" s="1"/>
  <c r="L243" i="9" s="1"/>
  <c r="M243" i="9" s="1"/>
  <c r="K244" i="9" a="1"/>
  <c r="K244" i="9" s="1"/>
  <c r="L244" i="9" s="1"/>
  <c r="M244" i="9" s="1"/>
  <c r="K245" i="9" a="1"/>
  <c r="K245" i="9" s="1"/>
  <c r="L245" i="9" s="1"/>
  <c r="M245" i="9" s="1"/>
  <c r="K246" i="9" a="1"/>
  <c r="K246" i="9" s="1"/>
  <c r="L246" i="9" s="1"/>
  <c r="M246" i="9" s="1"/>
  <c r="K247" i="9" a="1"/>
  <c r="K247" i="9" s="1"/>
  <c r="L247" i="9" s="1"/>
  <c r="M247" i="9" s="1"/>
  <c r="K248" i="9" a="1"/>
  <c r="K248" i="9" s="1"/>
  <c r="L248" i="9" s="1"/>
  <c r="M248" i="9" s="1"/>
  <c r="K249" i="9" a="1"/>
  <c r="K249" i="9" s="1"/>
  <c r="L249" i="9" s="1"/>
  <c r="M249" i="9" s="1"/>
  <c r="K250" i="9" a="1"/>
  <c r="K250" i="9" s="1"/>
  <c r="L250" i="9" s="1"/>
  <c r="M250" i="9" s="1"/>
  <c r="K251" i="9" a="1"/>
  <c r="K251" i="9" s="1"/>
  <c r="L251" i="9" s="1"/>
  <c r="M251" i="9" s="1"/>
  <c r="K252" i="9" a="1"/>
  <c r="K252" i="9" s="1"/>
  <c r="L252" i="9" s="1"/>
  <c r="M252" i="9" s="1"/>
  <c r="K253" i="9" a="1"/>
  <c r="K253" i="9" s="1"/>
  <c r="L253" i="9" s="1"/>
  <c r="M253" i="9" s="1"/>
  <c r="K254" i="9" a="1"/>
  <c r="K254" i="9" s="1"/>
  <c r="L254" i="9" s="1"/>
  <c r="M254" i="9" s="1"/>
  <c r="K255" i="9" a="1"/>
  <c r="K255" i="9" s="1"/>
  <c r="L255" i="9" s="1"/>
  <c r="M255" i="9" s="1"/>
  <c r="K256" i="9" a="1"/>
  <c r="K256" i="9" s="1"/>
  <c r="L256" i="9" s="1"/>
  <c r="M256" i="9" s="1"/>
  <c r="K257" i="9" a="1"/>
  <c r="K257" i="9" s="1"/>
  <c r="L257" i="9" s="1"/>
  <c r="M257" i="9" s="1"/>
  <c r="K258" i="9" a="1"/>
  <c r="K258" i="9" s="1"/>
  <c r="L258" i="9" s="1"/>
  <c r="M258" i="9" s="1"/>
  <c r="K259" i="9" a="1"/>
  <c r="K259" i="9" s="1"/>
  <c r="L259" i="9" s="1"/>
  <c r="M259" i="9" s="1"/>
  <c r="K260" i="9" a="1"/>
  <c r="K260" i="9" s="1"/>
  <c r="L260" i="9" s="1"/>
  <c r="M260" i="9" s="1"/>
  <c r="K261" i="9" a="1"/>
  <c r="K261" i="9" s="1"/>
  <c r="L261" i="9" s="1"/>
  <c r="M261" i="9" s="1"/>
  <c r="K262" i="9" a="1"/>
  <c r="K262" i="9" s="1"/>
  <c r="L262" i="9" s="1"/>
  <c r="M262" i="9" s="1"/>
  <c r="K263" i="9" a="1"/>
  <c r="K263" i="9" s="1"/>
  <c r="L263" i="9" s="1"/>
  <c r="M263" i="9" s="1"/>
  <c r="K264" i="9" a="1"/>
  <c r="K264" i="9" s="1"/>
  <c r="L264" i="9" s="1"/>
  <c r="M264" i="9" s="1"/>
  <c r="K265" i="9" a="1"/>
  <c r="K265" i="9" s="1"/>
  <c r="L265" i="9" s="1"/>
  <c r="M265" i="9" s="1"/>
  <c r="K266" i="9" a="1"/>
  <c r="K266" i="9" s="1"/>
  <c r="L266" i="9" s="1"/>
  <c r="M266" i="9" s="1"/>
  <c r="K267" i="9" a="1"/>
  <c r="K267" i="9" s="1"/>
  <c r="L267" i="9" s="1"/>
  <c r="M267" i="9" s="1"/>
  <c r="K268" i="9" a="1"/>
  <c r="K268" i="9" s="1"/>
  <c r="L268" i="9" s="1"/>
  <c r="M268" i="9" s="1"/>
  <c r="K269" i="9" a="1"/>
  <c r="K269" i="9" s="1"/>
  <c r="L269" i="9" s="1"/>
  <c r="M269" i="9" s="1"/>
  <c r="K270" i="9" a="1"/>
  <c r="K270" i="9" s="1"/>
  <c r="L270" i="9" s="1"/>
  <c r="M270" i="9" s="1"/>
  <c r="K271" i="9" a="1"/>
  <c r="K271" i="9" s="1"/>
  <c r="L271" i="9" s="1"/>
  <c r="M271" i="9" s="1"/>
  <c r="K272" i="9" a="1"/>
  <c r="K272" i="9" s="1"/>
  <c r="L272" i="9" s="1"/>
  <c r="M272" i="9" s="1"/>
  <c r="K273" i="9" a="1"/>
  <c r="K273" i="9" s="1"/>
  <c r="L273" i="9" s="1"/>
  <c r="M273" i="9" s="1"/>
  <c r="K274" i="9" a="1"/>
  <c r="K274" i="9" s="1"/>
  <c r="L274" i="9" s="1"/>
  <c r="M274" i="9" s="1"/>
  <c r="K275" i="9" a="1"/>
  <c r="K275" i="9" s="1"/>
  <c r="L275" i="9" s="1"/>
  <c r="M275" i="9" s="1"/>
  <c r="K276" i="9" a="1"/>
  <c r="K276" i="9" s="1"/>
  <c r="L276" i="9" s="1"/>
  <c r="M276" i="9" s="1"/>
  <c r="K277" i="9" a="1"/>
  <c r="K277" i="9" s="1"/>
  <c r="L277" i="9" s="1"/>
  <c r="M277" i="9" s="1"/>
  <c r="K278" i="9" a="1"/>
  <c r="K278" i="9" s="1"/>
  <c r="L278" i="9" s="1"/>
  <c r="M278" i="9" s="1"/>
  <c r="K279" i="9" a="1"/>
  <c r="K279" i="9" s="1"/>
  <c r="L279" i="9" s="1"/>
  <c r="M279" i="9" s="1"/>
  <c r="K280" i="9" a="1"/>
  <c r="K280" i="9" s="1"/>
  <c r="L280" i="9" s="1"/>
  <c r="M280" i="9" s="1"/>
  <c r="K281" i="9" a="1"/>
  <c r="K281" i="9" s="1"/>
  <c r="L281" i="9" s="1"/>
  <c r="M281" i="9" s="1"/>
  <c r="K282" i="9" a="1"/>
  <c r="K282" i="9" s="1"/>
  <c r="L282" i="9" s="1"/>
  <c r="M282" i="9" s="1"/>
  <c r="K283" i="9" a="1"/>
  <c r="K283" i="9" s="1"/>
  <c r="L283" i="9" s="1"/>
  <c r="M283" i="9" s="1"/>
  <c r="K284" i="9" a="1"/>
  <c r="K284" i="9" s="1"/>
  <c r="L284" i="9" s="1"/>
  <c r="M284" i="9" s="1"/>
  <c r="K285" i="9" a="1"/>
  <c r="K285" i="9" s="1"/>
  <c r="L285" i="9" s="1"/>
  <c r="M285" i="9" s="1"/>
  <c r="K286" i="9" a="1"/>
  <c r="K286" i="9" s="1"/>
  <c r="L286" i="9" s="1"/>
  <c r="M286" i="9" s="1"/>
  <c r="K287" i="9" a="1"/>
  <c r="K287" i="9" s="1"/>
  <c r="L287" i="9" s="1"/>
  <c r="M287" i="9" s="1"/>
  <c r="K288" i="9" a="1"/>
  <c r="K288" i="9" s="1"/>
  <c r="L288" i="9" s="1"/>
  <c r="M288" i="9" s="1"/>
  <c r="K289" i="9" a="1"/>
  <c r="K289" i="9" s="1"/>
  <c r="L289" i="9" s="1"/>
  <c r="M289" i="9" s="1"/>
  <c r="K290" i="9" a="1"/>
  <c r="K290" i="9" s="1"/>
  <c r="L290" i="9" s="1"/>
  <c r="M290" i="9" s="1"/>
  <c r="K291" i="9" a="1"/>
  <c r="K291" i="9" s="1"/>
  <c r="L291" i="9" s="1"/>
  <c r="M291" i="9" s="1"/>
  <c r="K292" i="9" a="1"/>
  <c r="K292" i="9" s="1"/>
  <c r="L292" i="9" s="1"/>
  <c r="M292" i="9" s="1"/>
  <c r="K293" i="9" a="1"/>
  <c r="K293" i="9" s="1"/>
  <c r="L293" i="9" s="1"/>
  <c r="M293" i="9" s="1"/>
  <c r="K294" i="9" a="1"/>
  <c r="K294" i="9" s="1"/>
  <c r="L294" i="9" s="1"/>
  <c r="M294" i="9" s="1"/>
  <c r="K295" i="9" a="1"/>
  <c r="K295" i="9" s="1"/>
  <c r="L295" i="9" s="1"/>
  <c r="M295" i="9" s="1"/>
  <c r="K296" i="9" a="1"/>
  <c r="K296" i="9" s="1"/>
  <c r="L296" i="9" s="1"/>
  <c r="M296" i="9" s="1"/>
  <c r="K297" i="9" a="1"/>
  <c r="K297" i="9" s="1"/>
  <c r="L297" i="9" s="1"/>
  <c r="M297" i="9" s="1"/>
  <c r="K298" i="9" a="1"/>
  <c r="K298" i="9" s="1"/>
  <c r="L298" i="9" s="1"/>
  <c r="M298" i="9" s="1"/>
  <c r="K299" i="9" a="1"/>
  <c r="K299" i="9" s="1"/>
  <c r="L299" i="9" s="1"/>
  <c r="M299" i="9" s="1"/>
  <c r="K300" i="9" a="1"/>
  <c r="K300" i="9" s="1"/>
  <c r="L300" i="9" s="1"/>
  <c r="M300" i="9" s="1"/>
  <c r="K301" i="9" a="1"/>
  <c r="K301" i="9" s="1"/>
  <c r="L301" i="9" s="1"/>
  <c r="M301" i="9" s="1"/>
  <c r="K302" i="9" a="1"/>
  <c r="K302" i="9" s="1"/>
  <c r="L302" i="9" s="1"/>
  <c r="M302" i="9" s="1"/>
  <c r="K303" i="9" a="1"/>
  <c r="K303" i="9" s="1"/>
  <c r="L303" i="9" s="1"/>
  <c r="M303" i="9" s="1"/>
  <c r="K304" i="9" a="1"/>
  <c r="K304" i="9" s="1"/>
  <c r="L304" i="9" s="1"/>
  <c r="M304" i="9" s="1"/>
  <c r="K305" i="9" a="1"/>
  <c r="K305" i="9" s="1"/>
  <c r="L305" i="9" s="1"/>
  <c r="M305" i="9" s="1"/>
  <c r="K306" i="9" a="1"/>
  <c r="K306" i="9" s="1"/>
  <c r="L306" i="9" s="1"/>
  <c r="M306" i="9" s="1"/>
  <c r="K307" i="9" a="1"/>
  <c r="K307" i="9" s="1"/>
  <c r="L307" i="9" s="1"/>
  <c r="M307" i="9" s="1"/>
  <c r="K308" i="9" a="1"/>
  <c r="K308" i="9" s="1"/>
  <c r="L308" i="9" s="1"/>
  <c r="M308" i="9" s="1"/>
  <c r="K309" i="9" a="1"/>
  <c r="K309" i="9" s="1"/>
  <c r="L309" i="9" s="1"/>
  <c r="M309" i="9" s="1"/>
  <c r="K310" i="9" a="1"/>
  <c r="K310" i="9" s="1"/>
  <c r="L310" i="9" s="1"/>
  <c r="M310" i="9" s="1"/>
  <c r="K311" i="9" a="1"/>
  <c r="K311" i="9" s="1"/>
  <c r="L311" i="9" s="1"/>
  <c r="M311" i="9" s="1"/>
  <c r="K312" i="9" a="1"/>
  <c r="K312" i="9" s="1"/>
  <c r="L312" i="9" s="1"/>
  <c r="M312" i="9" s="1"/>
  <c r="K313" i="9" a="1"/>
  <c r="K313" i="9" s="1"/>
  <c r="L313" i="9" s="1"/>
  <c r="M313" i="9" s="1"/>
  <c r="K314" i="9" a="1"/>
  <c r="K314" i="9" s="1"/>
  <c r="L314" i="9" s="1"/>
  <c r="M314" i="9" s="1"/>
  <c r="K315" i="9" a="1"/>
  <c r="K315" i="9" s="1"/>
  <c r="L315" i="9" s="1"/>
  <c r="M315" i="9" s="1"/>
  <c r="K316" i="9" a="1"/>
  <c r="K316" i="9" s="1"/>
  <c r="L316" i="9" s="1"/>
  <c r="M316" i="9" s="1"/>
  <c r="K317" i="9" a="1"/>
  <c r="K317" i="9" s="1"/>
  <c r="L317" i="9" s="1"/>
  <c r="M317" i="9" s="1"/>
  <c r="K318" i="9" a="1"/>
  <c r="K318" i="9" s="1"/>
  <c r="L318" i="9" s="1"/>
  <c r="M318" i="9" s="1"/>
  <c r="K319" i="9" a="1"/>
  <c r="K319" i="9" s="1"/>
  <c r="L319" i="9" s="1"/>
  <c r="M319" i="9" s="1"/>
  <c r="K320" i="9" a="1"/>
  <c r="K320" i="9" s="1"/>
  <c r="L320" i="9" s="1"/>
  <c r="M320" i="9" s="1"/>
  <c r="K321" i="9" a="1"/>
  <c r="K321" i="9" s="1"/>
  <c r="L321" i="9" s="1"/>
  <c r="M321" i="9" s="1"/>
  <c r="K322" i="9" a="1"/>
  <c r="K322" i="9" s="1"/>
  <c r="L322" i="9" s="1"/>
  <c r="M322" i="9" s="1"/>
  <c r="K323" i="9" a="1"/>
  <c r="K323" i="9" s="1"/>
  <c r="L323" i="9" s="1"/>
  <c r="M323" i="9" s="1"/>
  <c r="K324" i="9" a="1"/>
  <c r="K324" i="9" s="1"/>
  <c r="L324" i="9" s="1"/>
  <c r="M324" i="9" s="1"/>
  <c r="K325" i="9" a="1"/>
  <c r="K325" i="9" s="1"/>
  <c r="L325" i="9" s="1"/>
  <c r="M325" i="9" s="1"/>
  <c r="K326" i="9" a="1"/>
  <c r="K326" i="9" s="1"/>
  <c r="L326" i="9" s="1"/>
  <c r="M326" i="9" s="1"/>
  <c r="K327" i="9" a="1"/>
  <c r="K327" i="9" s="1"/>
  <c r="L327" i="9" s="1"/>
  <c r="M327" i="9" s="1"/>
  <c r="K328" i="9" a="1"/>
  <c r="K328" i="9" s="1"/>
  <c r="L328" i="9" s="1"/>
  <c r="M328" i="9" s="1"/>
  <c r="K329" i="9" a="1"/>
  <c r="K329" i="9" s="1"/>
  <c r="L329" i="9" s="1"/>
  <c r="M329" i="9" s="1"/>
  <c r="K330" i="9" a="1"/>
  <c r="K330" i="9" s="1"/>
  <c r="L330" i="9" s="1"/>
  <c r="M330" i="9" s="1"/>
  <c r="K331" i="9" a="1"/>
  <c r="K331" i="9" s="1"/>
  <c r="L331" i="9" s="1"/>
  <c r="M331" i="9" s="1"/>
  <c r="K332" i="9" a="1"/>
  <c r="K332" i="9" s="1"/>
  <c r="L332" i="9" s="1"/>
  <c r="M332" i="9" s="1"/>
  <c r="K333" i="9" a="1"/>
  <c r="K333" i="9" s="1"/>
  <c r="L333" i="9" s="1"/>
  <c r="M333" i="9" s="1"/>
  <c r="K334" i="9" a="1"/>
  <c r="K334" i="9" s="1"/>
  <c r="L334" i="9" s="1"/>
  <c r="M334" i="9" s="1"/>
  <c r="K335" i="9" a="1"/>
  <c r="K335" i="9" s="1"/>
  <c r="L335" i="9" s="1"/>
  <c r="M335" i="9" s="1"/>
  <c r="K336" i="9" a="1"/>
  <c r="K336" i="9" s="1"/>
  <c r="L336" i="9" s="1"/>
  <c r="M336" i="9" s="1"/>
  <c r="K337" i="9" a="1"/>
  <c r="K337" i="9" s="1"/>
  <c r="L337" i="9" s="1"/>
  <c r="M337" i="9" s="1"/>
  <c r="K338" i="9" a="1"/>
  <c r="K338" i="9" s="1"/>
  <c r="L338" i="9" s="1"/>
  <c r="M338" i="9" s="1"/>
  <c r="K339" i="9" a="1"/>
  <c r="K339" i="9" s="1"/>
  <c r="L339" i="9" s="1"/>
  <c r="M339" i="9" s="1"/>
  <c r="K340" i="9" a="1"/>
  <c r="K340" i="9" s="1"/>
  <c r="L340" i="9" s="1"/>
  <c r="M340" i="9" s="1"/>
  <c r="K341" i="9" a="1"/>
  <c r="K341" i="9" s="1"/>
  <c r="L341" i="9" s="1"/>
  <c r="M341" i="9" s="1"/>
  <c r="K342" i="9" a="1"/>
  <c r="K342" i="9" s="1"/>
  <c r="L342" i="9" s="1"/>
  <c r="M342" i="9" s="1"/>
  <c r="K343" i="9" a="1"/>
  <c r="K343" i="9" s="1"/>
  <c r="L343" i="9" s="1"/>
  <c r="M343" i="9" s="1"/>
  <c r="K344" i="9" a="1"/>
  <c r="K344" i="9" s="1"/>
  <c r="L344" i="9" s="1"/>
  <c r="M344" i="9" s="1"/>
  <c r="K345" i="9" a="1"/>
  <c r="K345" i="9" s="1"/>
  <c r="L345" i="9" s="1"/>
  <c r="M345" i="9" s="1"/>
  <c r="K346" i="9" a="1"/>
  <c r="K346" i="9" s="1"/>
  <c r="L346" i="9" s="1"/>
  <c r="M346" i="9" s="1"/>
  <c r="K347" i="9" a="1"/>
  <c r="K347" i="9" s="1"/>
  <c r="L347" i="9" s="1"/>
  <c r="M347" i="9" s="1"/>
  <c r="K348" i="9" a="1"/>
  <c r="K348" i="9" s="1"/>
  <c r="L348" i="9" s="1"/>
  <c r="M348" i="9" s="1"/>
  <c r="K349" i="9" a="1"/>
  <c r="K349" i="9" s="1"/>
  <c r="L349" i="9" s="1"/>
  <c r="M349" i="9" s="1"/>
  <c r="K350" i="9" a="1"/>
  <c r="K350" i="9" s="1"/>
  <c r="L350" i="9" s="1"/>
  <c r="M350" i="9" s="1"/>
  <c r="K351" i="9" a="1"/>
  <c r="K351" i="9" s="1"/>
  <c r="L351" i="9" s="1"/>
  <c r="M351" i="9" s="1"/>
  <c r="K352" i="9" a="1"/>
  <c r="K352" i="9" s="1"/>
  <c r="L352" i="9" s="1"/>
  <c r="M352" i="9" s="1"/>
  <c r="K353" i="9" a="1"/>
  <c r="K353" i="9" s="1"/>
  <c r="L353" i="9" s="1"/>
  <c r="M353" i="9" s="1"/>
  <c r="K354" i="9" a="1"/>
  <c r="K354" i="9" s="1"/>
  <c r="L354" i="9" s="1"/>
  <c r="M354" i="9" s="1"/>
  <c r="K355" i="9" a="1"/>
  <c r="K355" i="9" s="1"/>
  <c r="L355" i="9" s="1"/>
  <c r="M355" i="9" s="1"/>
  <c r="K356" i="9" a="1"/>
  <c r="K356" i="9" s="1"/>
  <c r="L356" i="9" s="1"/>
  <c r="M356" i="9" s="1"/>
  <c r="K357" i="9" a="1"/>
  <c r="K357" i="9" s="1"/>
  <c r="L357" i="9" s="1"/>
  <c r="M357" i="9" s="1"/>
  <c r="K358" i="9" a="1"/>
  <c r="K358" i="9" s="1"/>
  <c r="L358" i="9" s="1"/>
  <c r="M358" i="9" s="1"/>
  <c r="K359" i="9" a="1"/>
  <c r="K359" i="9" s="1"/>
  <c r="L359" i="9" s="1"/>
  <c r="M359" i="9" s="1"/>
  <c r="K360" i="9" a="1"/>
  <c r="K360" i="9" s="1"/>
  <c r="L360" i="9" s="1"/>
  <c r="M360" i="9" s="1"/>
  <c r="K361" i="9" a="1"/>
  <c r="K361" i="9" s="1"/>
  <c r="L361" i="9" s="1"/>
  <c r="M361" i="9" s="1"/>
  <c r="K362" i="9" a="1"/>
  <c r="K362" i="9" s="1"/>
  <c r="L362" i="9" s="1"/>
  <c r="M362" i="9" s="1"/>
  <c r="K363" i="9" a="1"/>
  <c r="K363" i="9" s="1"/>
  <c r="L363" i="9" s="1"/>
  <c r="M363" i="9" s="1"/>
  <c r="K364" i="9" a="1"/>
  <c r="K364" i="9" s="1"/>
  <c r="L364" i="9" s="1"/>
  <c r="M364" i="9" s="1"/>
  <c r="K365" i="9" a="1"/>
  <c r="K365" i="9" s="1"/>
  <c r="L365" i="9" s="1"/>
  <c r="M365" i="9" s="1"/>
  <c r="K366" i="9" a="1"/>
  <c r="K366" i="9" s="1"/>
  <c r="L366" i="9" s="1"/>
  <c r="M366" i="9" s="1"/>
  <c r="K367" i="9" a="1"/>
  <c r="K367" i="9" s="1"/>
  <c r="L367" i="9" s="1"/>
  <c r="M367" i="9" s="1"/>
  <c r="K368" i="9" a="1"/>
  <c r="K368" i="9" s="1"/>
  <c r="L368" i="9" s="1"/>
  <c r="M368" i="9" s="1"/>
  <c r="K369" i="9" a="1"/>
  <c r="K369" i="9" s="1"/>
  <c r="L369" i="9" s="1"/>
  <c r="M369" i="9" s="1"/>
  <c r="K370" i="9" a="1"/>
  <c r="K370" i="9" s="1"/>
  <c r="L370" i="9" s="1"/>
  <c r="M370" i="9" s="1"/>
  <c r="K371" i="9" a="1"/>
  <c r="K371" i="9" s="1"/>
  <c r="L371" i="9" s="1"/>
  <c r="M371" i="9" s="1"/>
  <c r="K372" i="9" a="1"/>
  <c r="K372" i="9" s="1"/>
  <c r="L372" i="9" s="1"/>
  <c r="M372" i="9" s="1"/>
  <c r="K373" i="9" a="1"/>
  <c r="K373" i="9" s="1"/>
  <c r="L373" i="9" s="1"/>
  <c r="M373" i="9" s="1"/>
  <c r="K374" i="9" a="1"/>
  <c r="K374" i="9" s="1"/>
  <c r="L374" i="9" s="1"/>
  <c r="M374" i="9" s="1"/>
  <c r="K375" i="9" a="1"/>
  <c r="K375" i="9" s="1"/>
  <c r="L375" i="9" s="1"/>
  <c r="M375" i="9" s="1"/>
  <c r="K376" i="9" a="1"/>
  <c r="K376" i="9" s="1"/>
  <c r="L376" i="9" s="1"/>
  <c r="M376" i="9" s="1"/>
  <c r="K377" i="9" a="1"/>
  <c r="K377" i="9" s="1"/>
  <c r="L377" i="9" s="1"/>
  <c r="M377" i="9" s="1"/>
  <c r="K378" i="9" a="1"/>
  <c r="K378" i="9" s="1"/>
  <c r="L378" i="9" s="1"/>
  <c r="M378" i="9" s="1"/>
  <c r="K379" i="9" a="1"/>
  <c r="K379" i="9" s="1"/>
  <c r="L379" i="9" s="1"/>
  <c r="M379" i="9" s="1"/>
  <c r="K380" i="9" a="1"/>
  <c r="K380" i="9" s="1"/>
  <c r="L380" i="9" s="1"/>
  <c r="M380" i="9" s="1"/>
  <c r="K381" i="9" a="1"/>
  <c r="K381" i="9" s="1"/>
  <c r="L381" i="9" s="1"/>
  <c r="M381" i="9" s="1"/>
  <c r="K382" i="9" a="1"/>
  <c r="K382" i="9" s="1"/>
  <c r="L382" i="9" s="1"/>
  <c r="M382" i="9" s="1"/>
  <c r="K383" i="9" a="1"/>
  <c r="K383" i="9" s="1"/>
  <c r="L383" i="9" s="1"/>
  <c r="M383" i="9" s="1"/>
  <c r="K384" i="9" a="1"/>
  <c r="K384" i="9" s="1"/>
  <c r="L384" i="9" s="1"/>
  <c r="M384" i="9" s="1"/>
  <c r="K385" i="9" a="1"/>
  <c r="K385" i="9" s="1"/>
  <c r="L385" i="9" s="1"/>
  <c r="M385" i="9" s="1"/>
  <c r="K386" i="9" a="1"/>
  <c r="K386" i="9" s="1"/>
  <c r="L386" i="9" s="1"/>
  <c r="M386" i="9" s="1"/>
  <c r="K387" i="9" a="1"/>
  <c r="K387" i="9" s="1"/>
  <c r="L387" i="9" s="1"/>
  <c r="M387" i="9" s="1"/>
  <c r="K388" i="9" a="1"/>
  <c r="K388" i="9" s="1"/>
  <c r="L388" i="9" s="1"/>
  <c r="M388" i="9" s="1"/>
  <c r="K389" i="9" a="1"/>
  <c r="K389" i="9" s="1"/>
  <c r="L389" i="9" s="1"/>
  <c r="M389" i="9" s="1"/>
  <c r="K390" i="9" a="1"/>
  <c r="K390" i="9" s="1"/>
  <c r="L390" i="9" s="1"/>
  <c r="M390" i="9" s="1"/>
  <c r="K391" i="9" a="1"/>
  <c r="K391" i="9" s="1"/>
  <c r="L391" i="9" s="1"/>
  <c r="M391" i="9" s="1"/>
  <c r="K392" i="9" a="1"/>
  <c r="K392" i="9" s="1"/>
  <c r="L392" i="9" s="1"/>
  <c r="M392" i="9" s="1"/>
  <c r="K393" i="9" a="1"/>
  <c r="K393" i="9" s="1"/>
  <c r="L393" i="9" s="1"/>
  <c r="M393" i="9" s="1"/>
  <c r="K394" i="9" a="1"/>
  <c r="K394" i="9" s="1"/>
  <c r="L394" i="9" s="1"/>
  <c r="M394" i="9" s="1"/>
  <c r="K395" i="9" a="1"/>
  <c r="K395" i="9" s="1"/>
  <c r="L395" i="9" s="1"/>
  <c r="M395" i="9" s="1"/>
  <c r="K396" i="9" a="1"/>
  <c r="K396" i="9" s="1"/>
  <c r="L396" i="9" s="1"/>
  <c r="M396" i="9" s="1"/>
  <c r="K397" i="9" a="1"/>
  <c r="K397" i="9" s="1"/>
  <c r="L397" i="9" s="1"/>
  <c r="M397" i="9" s="1"/>
  <c r="K398" i="9" a="1"/>
  <c r="K398" i="9" s="1"/>
  <c r="L398" i="9" s="1"/>
  <c r="M398" i="9" s="1"/>
  <c r="K399" i="9" a="1"/>
  <c r="K399" i="9" s="1"/>
  <c r="L399" i="9" s="1"/>
  <c r="M399" i="9" s="1"/>
  <c r="K400" i="9" a="1"/>
  <c r="K400" i="9" s="1"/>
  <c r="L400" i="9" s="1"/>
  <c r="M400" i="9" s="1"/>
  <c r="K401" i="9" a="1"/>
  <c r="K401" i="9" s="1"/>
  <c r="L401" i="9" s="1"/>
  <c r="M401" i="9" s="1"/>
  <c r="K402" i="9" a="1"/>
  <c r="K402" i="9" s="1"/>
  <c r="L402" i="9" s="1"/>
  <c r="M402" i="9" s="1"/>
  <c r="K403" i="9" a="1"/>
  <c r="K403" i="9" s="1"/>
  <c r="L403" i="9" s="1"/>
  <c r="M403" i="9" s="1"/>
  <c r="K404" i="9" a="1"/>
  <c r="K404" i="9" s="1"/>
  <c r="L404" i="9" s="1"/>
  <c r="M404" i="9" s="1"/>
  <c r="K405" i="9" a="1"/>
  <c r="K405" i="9" s="1"/>
  <c r="L405" i="9" s="1"/>
  <c r="M405" i="9" s="1"/>
  <c r="K406" i="9" a="1"/>
  <c r="K406" i="9" s="1"/>
  <c r="L406" i="9" s="1"/>
  <c r="M406" i="9" s="1"/>
  <c r="K407" i="9" a="1"/>
  <c r="K407" i="9" s="1"/>
  <c r="L407" i="9" s="1"/>
  <c r="M407" i="9" s="1"/>
  <c r="K408" i="9" a="1"/>
  <c r="K408" i="9" s="1"/>
  <c r="L408" i="9" s="1"/>
  <c r="M408" i="9" s="1"/>
  <c r="K409" i="9" a="1"/>
  <c r="K409" i="9" s="1"/>
  <c r="L409" i="9" s="1"/>
  <c r="M409" i="9" s="1"/>
  <c r="K410" i="9" a="1"/>
  <c r="K410" i="9" s="1"/>
  <c r="L410" i="9" s="1"/>
  <c r="M410" i="9" s="1"/>
  <c r="K411" i="9" a="1"/>
  <c r="K411" i="9" s="1"/>
  <c r="L411" i="9" s="1"/>
  <c r="M411" i="9" s="1"/>
  <c r="K412" i="9" a="1"/>
  <c r="K412" i="9" s="1"/>
  <c r="L412" i="9" s="1"/>
  <c r="M412" i="9" s="1"/>
  <c r="K413" i="9" a="1"/>
  <c r="K413" i="9" s="1"/>
  <c r="L413" i="9" s="1"/>
  <c r="M413" i="9" s="1"/>
  <c r="K414" i="9" a="1"/>
  <c r="K414" i="9" s="1"/>
  <c r="L414" i="9" s="1"/>
  <c r="M414" i="9" s="1"/>
  <c r="K415" i="9" a="1"/>
  <c r="K415" i="9" s="1"/>
  <c r="L415" i="9" s="1"/>
  <c r="M415" i="9" s="1"/>
  <c r="K416" i="9" a="1"/>
  <c r="K416" i="9" s="1"/>
  <c r="L416" i="9" s="1"/>
  <c r="M416" i="9" s="1"/>
  <c r="K417" i="9" a="1"/>
  <c r="K417" i="9" s="1"/>
  <c r="L417" i="9" s="1"/>
  <c r="M417" i="9" s="1"/>
  <c r="K418" i="9" a="1"/>
  <c r="K418" i="9" s="1"/>
  <c r="L418" i="9" s="1"/>
  <c r="M418" i="9" s="1"/>
  <c r="K419" i="9" a="1"/>
  <c r="K419" i="9" s="1"/>
  <c r="L419" i="9" s="1"/>
  <c r="M419" i="9" s="1"/>
  <c r="K420" i="9" a="1"/>
  <c r="K420" i="9" s="1"/>
  <c r="L420" i="9" s="1"/>
  <c r="M420" i="9" s="1"/>
  <c r="K421" i="9" a="1"/>
  <c r="K421" i="9" s="1"/>
  <c r="L421" i="9" s="1"/>
  <c r="M421" i="9" s="1"/>
  <c r="K422" i="9" a="1"/>
  <c r="K422" i="9" s="1"/>
  <c r="L422" i="9" s="1"/>
  <c r="M422" i="9" s="1"/>
  <c r="K423" i="9" a="1"/>
  <c r="K423" i="9" s="1"/>
  <c r="L423" i="9" s="1"/>
  <c r="M423" i="9" s="1"/>
  <c r="K424" i="9" a="1"/>
  <c r="K424" i="9" s="1"/>
  <c r="L424" i="9" s="1"/>
  <c r="M424" i="9" s="1"/>
  <c r="K425" i="9" a="1"/>
  <c r="K425" i="9" s="1"/>
  <c r="L425" i="9" s="1"/>
  <c r="M425" i="9" s="1"/>
  <c r="K426" i="9" a="1"/>
  <c r="K426" i="9" s="1"/>
  <c r="L426" i="9" s="1"/>
  <c r="M426" i="9" s="1"/>
  <c r="K427" i="9" a="1"/>
  <c r="K427" i="9" s="1"/>
  <c r="L427" i="9" s="1"/>
  <c r="M427" i="9" s="1"/>
  <c r="K428" i="9" a="1"/>
  <c r="K428" i="9" s="1"/>
  <c r="L428" i="9" s="1"/>
  <c r="M428" i="9" s="1"/>
  <c r="K429" i="9" a="1"/>
  <c r="K429" i="9" s="1"/>
  <c r="L429" i="9" s="1"/>
  <c r="M429" i="9" s="1"/>
  <c r="K430" i="9" a="1"/>
  <c r="K430" i="9" s="1"/>
  <c r="L430" i="9" s="1"/>
  <c r="M430" i="9" s="1"/>
  <c r="K431" i="9" a="1"/>
  <c r="K431" i="9" s="1"/>
  <c r="L431" i="9" s="1"/>
  <c r="M431" i="9" s="1"/>
  <c r="K432" i="9" a="1"/>
  <c r="K432" i="9" s="1"/>
  <c r="L432" i="9" s="1"/>
  <c r="M432" i="9" s="1"/>
  <c r="K433" i="9" a="1"/>
  <c r="K433" i="9" s="1"/>
  <c r="L433" i="9" s="1"/>
  <c r="M433" i="9" s="1"/>
  <c r="K434" i="9" a="1"/>
  <c r="K434" i="9" s="1"/>
  <c r="L434" i="9" s="1"/>
  <c r="M434" i="9" s="1"/>
  <c r="K435" i="9" a="1"/>
  <c r="K435" i="9" s="1"/>
  <c r="L435" i="9" s="1"/>
  <c r="M435" i="9" s="1"/>
  <c r="K436" i="9" a="1"/>
  <c r="K436" i="9" s="1"/>
  <c r="L436" i="9" s="1"/>
  <c r="M436" i="9" s="1"/>
  <c r="K437" i="9" a="1"/>
  <c r="K437" i="9" s="1"/>
  <c r="L437" i="9" s="1"/>
  <c r="M437" i="9" s="1"/>
  <c r="K438" i="9" a="1"/>
  <c r="K438" i="9" s="1"/>
  <c r="L438" i="9" s="1"/>
  <c r="M438" i="9" s="1"/>
  <c r="K439" i="9" a="1"/>
  <c r="K439" i="9" s="1"/>
  <c r="L439" i="9" s="1"/>
  <c r="M439" i="9" s="1"/>
  <c r="K440" i="9" a="1"/>
  <c r="K440" i="9" s="1"/>
  <c r="L440" i="9" s="1"/>
  <c r="M440" i="9" s="1"/>
  <c r="K441" i="9" a="1"/>
  <c r="K441" i="9" s="1"/>
  <c r="L441" i="9" s="1"/>
  <c r="M441" i="9" s="1"/>
  <c r="K442" i="9" a="1"/>
  <c r="K442" i="9" s="1"/>
  <c r="L442" i="9" s="1"/>
  <c r="M442" i="9" s="1"/>
  <c r="K443" i="9" a="1"/>
  <c r="K443" i="9" s="1"/>
  <c r="L443" i="9" s="1"/>
  <c r="M443" i="9" s="1"/>
  <c r="K444" i="9" a="1"/>
  <c r="K444" i="9" s="1"/>
  <c r="L444" i="9" s="1"/>
  <c r="M444" i="9" s="1"/>
  <c r="K445" i="9" a="1"/>
  <c r="K445" i="9" s="1"/>
  <c r="L445" i="9" s="1"/>
  <c r="M445" i="9" s="1"/>
  <c r="K446" i="9" a="1"/>
  <c r="K446" i="9" s="1"/>
  <c r="L446" i="9" s="1"/>
  <c r="M446" i="9" s="1"/>
  <c r="K447" i="9" a="1"/>
  <c r="K447" i="9" s="1"/>
  <c r="L447" i="9" s="1"/>
  <c r="M447" i="9" s="1"/>
  <c r="K448" i="9" a="1"/>
  <c r="K448" i="9" s="1"/>
  <c r="L448" i="9" s="1"/>
  <c r="M448" i="9" s="1"/>
  <c r="K449" i="9" a="1"/>
  <c r="K449" i="9" s="1"/>
  <c r="L449" i="9" s="1"/>
  <c r="M449" i="9" s="1"/>
  <c r="K450" i="9" a="1"/>
  <c r="K450" i="9" s="1"/>
  <c r="L450" i="9" s="1"/>
  <c r="M450" i="9" s="1"/>
  <c r="K451" i="9" a="1"/>
  <c r="K451" i="9" s="1"/>
  <c r="L451" i="9" s="1"/>
  <c r="M451" i="9" s="1"/>
  <c r="K452" i="9" a="1"/>
  <c r="K452" i="9" s="1"/>
  <c r="L452" i="9" s="1"/>
  <c r="M452" i="9" s="1"/>
  <c r="K453" i="9" a="1"/>
  <c r="K453" i="9" s="1"/>
  <c r="L453" i="9" s="1"/>
  <c r="M453" i="9" s="1"/>
  <c r="K454" i="9" a="1"/>
  <c r="K454" i="9" s="1"/>
  <c r="L454" i="9" s="1"/>
  <c r="M454" i="9" s="1"/>
  <c r="K455" i="9" a="1"/>
  <c r="K455" i="9" s="1"/>
  <c r="L455" i="9" s="1"/>
  <c r="M455" i="9" s="1"/>
  <c r="K456" i="9" a="1"/>
  <c r="K456" i="9" s="1"/>
  <c r="L456" i="9" s="1"/>
  <c r="M456" i="9" s="1"/>
  <c r="K457" i="9" a="1"/>
  <c r="K457" i="9" s="1"/>
  <c r="L457" i="9" s="1"/>
  <c r="M457" i="9" s="1"/>
  <c r="K458" i="9" a="1"/>
  <c r="K458" i="9" s="1"/>
  <c r="L458" i="9" s="1"/>
  <c r="M458" i="9" s="1"/>
  <c r="K459" i="9" a="1"/>
  <c r="K459" i="9" s="1"/>
  <c r="L459" i="9" s="1"/>
  <c r="M459" i="9" s="1"/>
  <c r="K460" i="9" a="1"/>
  <c r="K460" i="9" s="1"/>
  <c r="L460" i="9" s="1"/>
  <c r="M460" i="9" s="1"/>
  <c r="K461" i="9" a="1"/>
  <c r="K461" i="9" s="1"/>
  <c r="L461" i="9" s="1"/>
  <c r="M461" i="9" s="1"/>
  <c r="K462" i="9" a="1"/>
  <c r="K462" i="9" s="1"/>
  <c r="L462" i="9" s="1"/>
  <c r="M462" i="9" s="1"/>
  <c r="K463" i="9" a="1"/>
  <c r="K463" i="9" s="1"/>
  <c r="L463" i="9" s="1"/>
  <c r="M463" i="9" s="1"/>
  <c r="K464" i="9" a="1"/>
  <c r="K464" i="9" s="1"/>
  <c r="L464" i="9" s="1"/>
  <c r="M464" i="9" s="1"/>
  <c r="K465" i="9" a="1"/>
  <c r="K465" i="9" s="1"/>
  <c r="L465" i="9" s="1"/>
  <c r="M465" i="9" s="1"/>
  <c r="K466" i="9" a="1"/>
  <c r="K466" i="9" s="1"/>
  <c r="L466" i="9" s="1"/>
  <c r="M466" i="9" s="1"/>
  <c r="K467" i="9" a="1"/>
  <c r="K467" i="9" s="1"/>
  <c r="L467" i="9" s="1"/>
  <c r="M467" i="9" s="1"/>
  <c r="K468" i="9" a="1"/>
  <c r="K468" i="9" s="1"/>
  <c r="L468" i="9" s="1"/>
  <c r="M468" i="9" s="1"/>
  <c r="K469" i="9" a="1"/>
  <c r="K469" i="9" s="1"/>
  <c r="L469" i="9" s="1"/>
  <c r="M469" i="9" s="1"/>
  <c r="K470" i="9" a="1"/>
  <c r="K470" i="9" s="1"/>
  <c r="L470" i="9" s="1"/>
  <c r="M470" i="9" s="1"/>
  <c r="K471" i="9" a="1"/>
  <c r="K471" i="9" s="1"/>
  <c r="L471" i="9" s="1"/>
  <c r="M471" i="9" s="1"/>
  <c r="K472" i="9" a="1"/>
  <c r="K472" i="9" s="1"/>
  <c r="L472" i="9" s="1"/>
  <c r="M472" i="9" s="1"/>
  <c r="K473" i="9" a="1"/>
  <c r="K473" i="9" s="1"/>
  <c r="L473" i="9" s="1"/>
  <c r="M473" i="9" s="1"/>
  <c r="K474" i="9" a="1"/>
  <c r="K474" i="9" s="1"/>
  <c r="L474" i="9" s="1"/>
  <c r="M474" i="9" s="1"/>
  <c r="K475" i="9" a="1"/>
  <c r="K475" i="9" s="1"/>
  <c r="L475" i="9" s="1"/>
  <c r="M475" i="9" s="1"/>
  <c r="K476" i="9" a="1"/>
  <c r="K476" i="9" s="1"/>
  <c r="L476" i="9" s="1"/>
  <c r="M476" i="9" s="1"/>
  <c r="K477" i="9" a="1"/>
  <c r="K477" i="9" s="1"/>
  <c r="L477" i="9" s="1"/>
  <c r="M477" i="9" s="1"/>
  <c r="K478" i="9" a="1"/>
  <c r="K478" i="9" s="1"/>
  <c r="L478" i="9" s="1"/>
  <c r="M478" i="9" s="1"/>
  <c r="K479" i="9" a="1"/>
  <c r="K479" i="9" s="1"/>
  <c r="L479" i="9" s="1"/>
  <c r="M479" i="9" s="1"/>
  <c r="K480" i="9" a="1"/>
  <c r="K480" i="9" s="1"/>
  <c r="L480" i="9" s="1"/>
  <c r="M480" i="9" s="1"/>
  <c r="K481" i="9" a="1"/>
  <c r="K481" i="9" s="1"/>
  <c r="L481" i="9" s="1"/>
  <c r="M481" i="9" s="1"/>
  <c r="K482" i="9" a="1"/>
  <c r="K482" i="9" s="1"/>
  <c r="L482" i="9" s="1"/>
  <c r="M482" i="9" s="1"/>
  <c r="K483" i="9" a="1"/>
  <c r="K483" i="9" s="1"/>
  <c r="L483" i="9" s="1"/>
  <c r="M483" i="9" s="1"/>
  <c r="K484" i="9" a="1"/>
  <c r="K484" i="9" s="1"/>
  <c r="L484" i="9" s="1"/>
  <c r="M484" i="9" s="1"/>
  <c r="K485" i="9" a="1"/>
  <c r="K485" i="9" s="1"/>
  <c r="L485" i="9" s="1"/>
  <c r="M485" i="9" s="1"/>
  <c r="K486" i="9" a="1"/>
  <c r="K486" i="9" s="1"/>
  <c r="L486" i="9" s="1"/>
  <c r="M486" i="9" s="1"/>
  <c r="K487" i="9" a="1"/>
  <c r="K487" i="9" s="1"/>
  <c r="L487" i="9" s="1"/>
  <c r="M487" i="9" s="1"/>
  <c r="K488" i="9" a="1"/>
  <c r="K488" i="9" s="1"/>
  <c r="L488" i="9" s="1"/>
  <c r="M488" i="9" s="1"/>
  <c r="K489" i="9" a="1"/>
  <c r="K489" i="9" s="1"/>
  <c r="L489" i="9" s="1"/>
  <c r="M489" i="9" s="1"/>
  <c r="K490" i="9" a="1"/>
  <c r="K490" i="9" s="1"/>
  <c r="L490" i="9" s="1"/>
  <c r="M490" i="9" s="1"/>
  <c r="K491" i="9" a="1"/>
  <c r="K491" i="9" s="1"/>
  <c r="L491" i="9" s="1"/>
  <c r="M491" i="9" s="1"/>
  <c r="K492" i="9" a="1"/>
  <c r="K492" i="9" s="1"/>
  <c r="L492" i="9" s="1"/>
  <c r="M492" i="9" s="1"/>
  <c r="K493" i="9" a="1"/>
  <c r="K493" i="9" s="1"/>
  <c r="L493" i="9" s="1"/>
  <c r="M493" i="9" s="1"/>
  <c r="K494" i="9" a="1"/>
  <c r="K494" i="9" s="1"/>
  <c r="L494" i="9" s="1"/>
  <c r="M494" i="9" s="1"/>
  <c r="K495" i="9" a="1"/>
  <c r="K495" i="9" s="1"/>
  <c r="L495" i="9" s="1"/>
  <c r="M495" i="9" s="1"/>
  <c r="K496" i="9" a="1"/>
  <c r="K496" i="9" s="1"/>
  <c r="L496" i="9" s="1"/>
  <c r="M496" i="9" s="1"/>
  <c r="K497" i="9" a="1"/>
  <c r="K497" i="9" s="1"/>
  <c r="L497" i="9" s="1"/>
  <c r="M497" i="9" s="1"/>
  <c r="K498" i="9" a="1"/>
  <c r="K498" i="9" s="1"/>
  <c r="L498" i="9" s="1"/>
  <c r="M498" i="9" s="1"/>
  <c r="K499" i="9" a="1"/>
  <c r="K499" i="9" s="1"/>
  <c r="L499" i="9" s="1"/>
  <c r="M499" i="9" s="1"/>
  <c r="K500" i="9" a="1"/>
  <c r="K500" i="9" s="1"/>
  <c r="L500" i="9" s="1"/>
  <c r="M500" i="9" s="1"/>
  <c r="K501" i="9" a="1"/>
  <c r="K501" i="9" s="1"/>
  <c r="L501" i="9" s="1"/>
  <c r="M501" i="9" s="1"/>
  <c r="K502" i="9" a="1"/>
  <c r="K502" i="9" s="1"/>
  <c r="L502" i="9" s="1"/>
  <c r="M502" i="9" s="1"/>
  <c r="K503" i="9" a="1"/>
  <c r="K503" i="9" s="1"/>
  <c r="L503" i="9" s="1"/>
  <c r="M503" i="9" s="1"/>
  <c r="K504" i="9" a="1"/>
  <c r="K504" i="9" s="1"/>
  <c r="L504" i="9" s="1"/>
  <c r="M504" i="9" s="1"/>
  <c r="K505" i="9" a="1"/>
  <c r="K505" i="9" s="1"/>
  <c r="L505" i="9" s="1"/>
  <c r="M505" i="9" s="1"/>
  <c r="K506" i="9" a="1"/>
  <c r="K506" i="9" s="1"/>
  <c r="L506" i="9" s="1"/>
  <c r="M506" i="9" s="1"/>
  <c r="K507" i="9" a="1"/>
  <c r="K507" i="9" s="1"/>
  <c r="L507" i="9" s="1"/>
  <c r="M507" i="9" s="1"/>
  <c r="K508" i="9" a="1"/>
  <c r="K508" i="9" s="1"/>
  <c r="L508" i="9" s="1"/>
  <c r="M508" i="9" s="1"/>
  <c r="K509" i="9" a="1"/>
  <c r="K509" i="9" s="1"/>
  <c r="L509" i="9" s="1"/>
  <c r="M509" i="9" s="1"/>
  <c r="K510" i="9" a="1"/>
  <c r="K510" i="9" s="1"/>
  <c r="L510" i="9" s="1"/>
  <c r="M510" i="9" s="1"/>
  <c r="K511" i="9" a="1"/>
  <c r="K511" i="9" s="1"/>
  <c r="L511" i="9" s="1"/>
  <c r="M511" i="9" s="1"/>
  <c r="K512" i="9" a="1"/>
  <c r="K512" i="9" s="1"/>
  <c r="L512" i="9" s="1"/>
  <c r="M512" i="9" s="1"/>
  <c r="K513" i="9" a="1"/>
  <c r="K513" i="9" s="1"/>
  <c r="L513" i="9" s="1"/>
  <c r="M513" i="9" s="1"/>
  <c r="K514" i="9" a="1"/>
  <c r="K514" i="9" s="1"/>
  <c r="L514" i="9" s="1"/>
  <c r="M514" i="9" s="1"/>
  <c r="K515" i="9" a="1"/>
  <c r="K515" i="9" s="1"/>
  <c r="L515" i="9" s="1"/>
  <c r="M515" i="9" s="1"/>
  <c r="K516" i="9" a="1"/>
  <c r="K516" i="9" s="1"/>
  <c r="L516" i="9" s="1"/>
  <c r="M516" i="9" s="1"/>
  <c r="K517" i="9" a="1"/>
  <c r="K517" i="9" s="1"/>
  <c r="L517" i="9" s="1"/>
  <c r="M517" i="9" s="1"/>
  <c r="K518" i="9" a="1"/>
  <c r="K518" i="9" s="1"/>
  <c r="L518" i="9" s="1"/>
  <c r="M518" i="9" s="1"/>
  <c r="K519" i="9" a="1"/>
  <c r="K519" i="9" s="1"/>
  <c r="L519" i="9" s="1"/>
  <c r="M519" i="9" s="1"/>
  <c r="K520" i="9" a="1"/>
  <c r="K520" i="9" s="1"/>
  <c r="L520" i="9" s="1"/>
  <c r="M520" i="9" s="1"/>
  <c r="K521" i="9" a="1"/>
  <c r="K521" i="9" s="1"/>
  <c r="L521" i="9" s="1"/>
  <c r="M521" i="9" s="1"/>
  <c r="K522" i="9" a="1"/>
  <c r="K522" i="9" s="1"/>
  <c r="L522" i="9" s="1"/>
  <c r="M522" i="9" s="1"/>
  <c r="K523" i="9" a="1"/>
  <c r="K523" i="9" s="1"/>
  <c r="L523" i="9" s="1"/>
  <c r="M523" i="9" s="1"/>
  <c r="K524" i="9" a="1"/>
  <c r="K524" i="9" s="1"/>
  <c r="L524" i="9" s="1"/>
  <c r="M524" i="9" s="1"/>
  <c r="K525" i="9" a="1"/>
  <c r="K525" i="9" s="1"/>
  <c r="L525" i="9" s="1"/>
  <c r="M525" i="9" s="1"/>
  <c r="K526" i="9" a="1"/>
  <c r="K526" i="9" s="1"/>
  <c r="L526" i="9" s="1"/>
  <c r="M526" i="9" s="1"/>
  <c r="K527" i="9" a="1"/>
  <c r="K527" i="9" s="1"/>
  <c r="L527" i="9" s="1"/>
  <c r="M527" i="9" s="1"/>
  <c r="K528" i="9" a="1"/>
  <c r="K528" i="9" s="1"/>
  <c r="L528" i="9" s="1"/>
  <c r="M528" i="9" s="1"/>
  <c r="K529" i="9" a="1"/>
  <c r="K529" i="9" s="1"/>
  <c r="L529" i="9" s="1"/>
  <c r="M529" i="9" s="1"/>
  <c r="K530" i="9" a="1"/>
  <c r="K530" i="9" s="1"/>
  <c r="L530" i="9" s="1"/>
  <c r="M530" i="9" s="1"/>
  <c r="K531" i="9" a="1"/>
  <c r="K531" i="9" s="1"/>
  <c r="L531" i="9" s="1"/>
  <c r="M531" i="9" s="1"/>
  <c r="K532" i="9" a="1"/>
  <c r="K532" i="9" s="1"/>
  <c r="L532" i="9" s="1"/>
  <c r="M532" i="9" s="1"/>
  <c r="K533" i="9" a="1"/>
  <c r="K533" i="9" s="1"/>
  <c r="L533" i="9" s="1"/>
  <c r="M533" i="9" s="1"/>
  <c r="K534" i="9" a="1"/>
  <c r="K534" i="9" s="1"/>
  <c r="L534" i="9" s="1"/>
  <c r="M534" i="9" s="1"/>
  <c r="K535" i="9" a="1"/>
  <c r="K535" i="9" s="1"/>
  <c r="L535" i="9" s="1"/>
  <c r="M535" i="9" s="1"/>
  <c r="K536" i="9" a="1"/>
  <c r="K536" i="9" s="1"/>
  <c r="L536" i="9" s="1"/>
  <c r="M536" i="9" s="1"/>
  <c r="K537" i="9" a="1"/>
  <c r="K537" i="9" s="1"/>
  <c r="L537" i="9" s="1"/>
  <c r="M537" i="9" s="1"/>
  <c r="K538" i="9" a="1"/>
  <c r="K538" i="9" s="1"/>
  <c r="L538" i="9" s="1"/>
  <c r="M538" i="9" s="1"/>
  <c r="K539" i="9" a="1"/>
  <c r="K539" i="9" s="1"/>
  <c r="L539" i="9" s="1"/>
  <c r="M539" i="9" s="1"/>
  <c r="K540" i="9" a="1"/>
  <c r="K540" i="9" s="1"/>
  <c r="L540" i="9" s="1"/>
  <c r="M540" i="9" s="1"/>
  <c r="K541" i="9" a="1"/>
  <c r="K541" i="9" s="1"/>
  <c r="L541" i="9" s="1"/>
  <c r="M541" i="9" s="1"/>
  <c r="K542" i="9" a="1"/>
  <c r="K542" i="9" s="1"/>
  <c r="L542" i="9" s="1"/>
  <c r="M542" i="9" s="1"/>
  <c r="K543" i="9" a="1"/>
  <c r="K543" i="9" s="1"/>
  <c r="L543" i="9" s="1"/>
  <c r="M543" i="9" s="1"/>
  <c r="K544" i="9" a="1"/>
  <c r="K544" i="9" s="1"/>
  <c r="L544" i="9" s="1"/>
  <c r="M544" i="9" s="1"/>
  <c r="K545" i="9" a="1"/>
  <c r="K545" i="9" s="1"/>
  <c r="L545" i="9" s="1"/>
  <c r="M545" i="9" s="1"/>
  <c r="K546" i="9" a="1"/>
  <c r="K546" i="9" s="1"/>
  <c r="L546" i="9" s="1"/>
  <c r="M546" i="9" s="1"/>
  <c r="K547" i="9" a="1"/>
  <c r="K547" i="9" s="1"/>
  <c r="L547" i="9" s="1"/>
  <c r="M547" i="9" s="1"/>
  <c r="K548" i="9" a="1"/>
  <c r="K548" i="9" s="1"/>
  <c r="L548" i="9" s="1"/>
  <c r="M548" i="9" s="1"/>
  <c r="K549" i="9" a="1"/>
  <c r="K549" i="9" s="1"/>
  <c r="L549" i="9" s="1"/>
  <c r="M549" i="9" s="1"/>
  <c r="K550" i="9" a="1"/>
  <c r="K550" i="9" s="1"/>
  <c r="L550" i="9" s="1"/>
  <c r="M550" i="9" s="1"/>
  <c r="K551" i="9" a="1"/>
  <c r="K551" i="9" s="1"/>
  <c r="L551" i="9" s="1"/>
  <c r="M551" i="9" s="1"/>
  <c r="K552" i="9" a="1"/>
  <c r="K552" i="9" s="1"/>
  <c r="L552" i="9" s="1"/>
  <c r="M552" i="9" s="1"/>
  <c r="K553" i="9" a="1"/>
  <c r="K553" i="9" s="1"/>
  <c r="L553" i="9" s="1"/>
  <c r="M553" i="9" s="1"/>
  <c r="K554" i="9" a="1"/>
  <c r="K554" i="9" s="1"/>
  <c r="L554" i="9" s="1"/>
  <c r="M554" i="9" s="1"/>
  <c r="K555" i="9" a="1"/>
  <c r="K555" i="9" s="1"/>
  <c r="L555" i="9" s="1"/>
  <c r="M555" i="9" s="1"/>
  <c r="K556" i="9" a="1"/>
  <c r="K556" i="9" s="1"/>
  <c r="L556" i="9" s="1"/>
  <c r="M556" i="9" s="1"/>
  <c r="K557" i="9" a="1"/>
  <c r="K557" i="9" s="1"/>
  <c r="L557" i="9" s="1"/>
  <c r="M557" i="9" s="1"/>
  <c r="K558" i="9" a="1"/>
  <c r="K558" i="9" s="1"/>
  <c r="L558" i="9" s="1"/>
  <c r="M558" i="9" s="1"/>
  <c r="K559" i="9" a="1"/>
  <c r="K559" i="9" s="1"/>
  <c r="L559" i="9" s="1"/>
  <c r="M559" i="9" s="1"/>
  <c r="K560" i="9" a="1"/>
  <c r="K560" i="9" s="1"/>
  <c r="L560" i="9" s="1"/>
  <c r="M560" i="9" s="1"/>
  <c r="K561" i="9" a="1"/>
  <c r="K561" i="9" s="1"/>
  <c r="L561" i="9" s="1"/>
  <c r="M561" i="9" s="1"/>
  <c r="K562" i="9" a="1"/>
  <c r="K562" i="9" s="1"/>
  <c r="L562" i="9" s="1"/>
  <c r="M562" i="9" s="1"/>
  <c r="K563" i="9" a="1"/>
  <c r="K563" i="9" s="1"/>
  <c r="L563" i="9" s="1"/>
  <c r="M563" i="9" s="1"/>
  <c r="K564" i="9" a="1"/>
  <c r="K564" i="9" s="1"/>
  <c r="L564" i="9" s="1"/>
  <c r="M564" i="9" s="1"/>
  <c r="K565" i="9" a="1"/>
  <c r="K565" i="9" s="1"/>
  <c r="L565" i="9" s="1"/>
  <c r="M565" i="9" s="1"/>
  <c r="K566" i="9" a="1"/>
  <c r="K566" i="9" s="1"/>
  <c r="L566" i="9" s="1"/>
  <c r="M566" i="9" s="1"/>
  <c r="K567" i="9" a="1"/>
  <c r="K567" i="9" s="1"/>
  <c r="L567" i="9" s="1"/>
  <c r="M567" i="9" s="1"/>
  <c r="K568" i="9" a="1"/>
  <c r="K568" i="9" s="1"/>
  <c r="L568" i="9" s="1"/>
  <c r="M568" i="9" s="1"/>
  <c r="K569" i="9" a="1"/>
  <c r="K569" i="9" s="1"/>
  <c r="L569" i="9" s="1"/>
  <c r="M569" i="9" s="1"/>
  <c r="K570" i="9" a="1"/>
  <c r="K570" i="9" s="1"/>
  <c r="L570" i="9" s="1"/>
  <c r="M570" i="9" s="1"/>
  <c r="K571" i="9" a="1"/>
  <c r="K571" i="9" s="1"/>
  <c r="L571" i="9" s="1"/>
  <c r="M571" i="9" s="1"/>
  <c r="K572" i="9" a="1"/>
  <c r="K572" i="9" s="1"/>
  <c r="L572" i="9" s="1"/>
  <c r="M572" i="9" s="1"/>
  <c r="K573" i="9" a="1"/>
  <c r="K573" i="9" s="1"/>
  <c r="L573" i="9" s="1"/>
  <c r="M573" i="9" s="1"/>
  <c r="K574" i="9" a="1"/>
  <c r="K574" i="9" s="1"/>
  <c r="L574" i="9" s="1"/>
  <c r="M574" i="9" s="1"/>
  <c r="K575" i="9" a="1"/>
  <c r="K575" i="9" s="1"/>
  <c r="L575" i="9" s="1"/>
  <c r="M575" i="9" s="1"/>
  <c r="K576" i="9" a="1"/>
  <c r="K576" i="9" s="1"/>
  <c r="L576" i="9" s="1"/>
  <c r="M576" i="9" s="1"/>
  <c r="K577" i="9" a="1"/>
  <c r="K577" i="9" s="1"/>
  <c r="L577" i="9" s="1"/>
  <c r="M577" i="9" s="1"/>
  <c r="K578" i="9" a="1"/>
  <c r="K578" i="9" s="1"/>
  <c r="L578" i="9" s="1"/>
  <c r="M578" i="9" s="1"/>
  <c r="K579" i="9" a="1"/>
  <c r="K579" i="9" s="1"/>
  <c r="L579" i="9" s="1"/>
  <c r="M579" i="9" s="1"/>
  <c r="K580" i="9" a="1"/>
  <c r="K580" i="9" s="1"/>
  <c r="L580" i="9" s="1"/>
  <c r="M580" i="9" s="1"/>
  <c r="K581" i="9" a="1"/>
  <c r="K581" i="9" s="1"/>
  <c r="L581" i="9" s="1"/>
  <c r="M581" i="9" s="1"/>
  <c r="K582" i="9" a="1"/>
  <c r="K582" i="9" s="1"/>
  <c r="L582" i="9" s="1"/>
  <c r="M582" i="9" s="1"/>
  <c r="K583" i="9" a="1"/>
  <c r="K583" i="9" s="1"/>
  <c r="L583" i="9" s="1"/>
  <c r="M583" i="9" s="1"/>
  <c r="K584" i="9" a="1"/>
  <c r="K584" i="9" s="1"/>
  <c r="L584" i="9" s="1"/>
  <c r="M584" i="9" s="1"/>
  <c r="K585" i="9" a="1"/>
  <c r="K585" i="9" s="1"/>
  <c r="L585" i="9" s="1"/>
  <c r="M585" i="9" s="1"/>
  <c r="K586" i="9" a="1"/>
  <c r="K586" i="9" s="1"/>
  <c r="L586" i="9" s="1"/>
  <c r="M586" i="9" s="1"/>
  <c r="K587" i="9" a="1"/>
  <c r="K587" i="9" s="1"/>
  <c r="L587" i="9" s="1"/>
  <c r="M587" i="9" s="1"/>
  <c r="K588" i="9" a="1"/>
  <c r="K588" i="9" s="1"/>
  <c r="L588" i="9" s="1"/>
  <c r="M588" i="9" s="1"/>
  <c r="K589" i="9" a="1"/>
  <c r="K589" i="9" s="1"/>
  <c r="L589" i="9" s="1"/>
  <c r="M589" i="9" s="1"/>
  <c r="K590" i="9" a="1"/>
  <c r="K590" i="9" s="1"/>
  <c r="L590" i="9" s="1"/>
  <c r="M590" i="9" s="1"/>
  <c r="K591" i="9" a="1"/>
  <c r="K591" i="9" s="1"/>
  <c r="L591" i="9" s="1"/>
  <c r="M591" i="9" s="1"/>
  <c r="K592" i="9" a="1"/>
  <c r="K592" i="9" s="1"/>
  <c r="L592" i="9" s="1"/>
  <c r="M592" i="9" s="1"/>
  <c r="K593" i="9" a="1"/>
  <c r="K593" i="9" s="1"/>
  <c r="L593" i="9" s="1"/>
  <c r="M593" i="9" s="1"/>
  <c r="K594" i="9" a="1"/>
  <c r="K594" i="9" s="1"/>
  <c r="L594" i="9" s="1"/>
  <c r="M594" i="9" s="1"/>
  <c r="K595" i="9" a="1"/>
  <c r="K595" i="9" s="1"/>
  <c r="L595" i="9" s="1"/>
  <c r="M595" i="9" s="1"/>
  <c r="K596" i="9" a="1"/>
  <c r="K596" i="9" s="1"/>
  <c r="L596" i="9" s="1"/>
  <c r="M596" i="9" s="1"/>
  <c r="K597" i="9" a="1"/>
  <c r="K597" i="9" s="1"/>
  <c r="L597" i="9" s="1"/>
  <c r="M597" i="9" s="1"/>
  <c r="K598" i="9" a="1"/>
  <c r="K598" i="9" s="1"/>
  <c r="L598" i="9" s="1"/>
  <c r="M598" i="9" s="1"/>
  <c r="K599" i="9" a="1"/>
  <c r="K599" i="9" s="1"/>
  <c r="L599" i="9" s="1"/>
  <c r="M599" i="9" s="1"/>
  <c r="K600" i="9" a="1"/>
  <c r="K600" i="9" s="1"/>
  <c r="L600" i="9" s="1"/>
  <c r="M600" i="9" s="1"/>
  <c r="K601" i="9" a="1"/>
  <c r="K601" i="9" s="1"/>
  <c r="L601" i="9" s="1"/>
  <c r="M601" i="9" s="1"/>
  <c r="K602" i="9" a="1"/>
  <c r="K602" i="9" s="1"/>
  <c r="L602" i="9" s="1"/>
  <c r="M602" i="9" s="1"/>
  <c r="K603" i="9" a="1"/>
  <c r="K603" i="9" s="1"/>
  <c r="L603" i="9" s="1"/>
  <c r="M603" i="9" s="1"/>
  <c r="K604" i="9" a="1"/>
  <c r="K604" i="9" s="1"/>
  <c r="L604" i="9" s="1"/>
  <c r="M604" i="9" s="1"/>
  <c r="K605" i="9" a="1"/>
  <c r="K605" i="9" s="1"/>
  <c r="L605" i="9" s="1"/>
  <c r="M605" i="9" s="1"/>
  <c r="K606" i="9" a="1"/>
  <c r="K606" i="9" s="1"/>
  <c r="L606" i="9" s="1"/>
  <c r="M606" i="9" s="1"/>
  <c r="K607" i="9" a="1"/>
  <c r="K607" i="9" s="1"/>
  <c r="L607" i="9" s="1"/>
  <c r="M607" i="9" s="1"/>
  <c r="K608" i="9" a="1"/>
  <c r="K608" i="9" s="1"/>
  <c r="L608" i="9" s="1"/>
  <c r="M608" i="9" s="1"/>
  <c r="K609" i="9" a="1"/>
  <c r="K609" i="9" s="1"/>
  <c r="L609" i="9" s="1"/>
  <c r="M609" i="9" s="1"/>
  <c r="K610" i="9" a="1"/>
  <c r="K610" i="9" s="1"/>
  <c r="L610" i="9" s="1"/>
  <c r="M610" i="9" s="1"/>
  <c r="K611" i="9" a="1"/>
  <c r="K611" i="9" s="1"/>
  <c r="L611" i="9" s="1"/>
  <c r="M611" i="9" s="1"/>
  <c r="K612" i="9" a="1"/>
  <c r="K612" i="9" s="1"/>
  <c r="L612" i="9" s="1"/>
  <c r="M612" i="9" s="1"/>
  <c r="K613" i="9" a="1"/>
  <c r="K613" i="9" s="1"/>
  <c r="L613" i="9" s="1"/>
  <c r="M613" i="9" s="1"/>
  <c r="K614" i="9" a="1"/>
  <c r="K614" i="9" s="1"/>
  <c r="L614" i="9" s="1"/>
  <c r="M614" i="9" s="1"/>
  <c r="K615" i="9" a="1"/>
  <c r="K615" i="9" s="1"/>
  <c r="L615" i="9" s="1"/>
  <c r="M615" i="9" s="1"/>
  <c r="K616" i="9" a="1"/>
  <c r="K616" i="9" s="1"/>
  <c r="L616" i="9" s="1"/>
  <c r="M616" i="9" s="1"/>
  <c r="K617" i="9" a="1"/>
  <c r="K617" i="9" s="1"/>
  <c r="L617" i="9" s="1"/>
  <c r="M617" i="9" s="1"/>
  <c r="K618" i="9" a="1"/>
  <c r="K618" i="9" s="1"/>
  <c r="L618" i="9" s="1"/>
  <c r="M618" i="9" s="1"/>
  <c r="K619" i="9" a="1"/>
  <c r="K619" i="9" s="1"/>
  <c r="L619" i="9" s="1"/>
  <c r="M619" i="9" s="1"/>
  <c r="K620" i="9" a="1"/>
  <c r="K620" i="9" s="1"/>
  <c r="L620" i="9" s="1"/>
  <c r="M620" i="9" s="1"/>
  <c r="K621" i="9" a="1"/>
  <c r="K621" i="9" s="1"/>
  <c r="L621" i="9" s="1"/>
  <c r="M621" i="9" s="1"/>
  <c r="K622" i="9" a="1"/>
  <c r="K622" i="9" s="1"/>
  <c r="L622" i="9" s="1"/>
  <c r="M622" i="9" s="1"/>
  <c r="K623" i="9" a="1"/>
  <c r="K623" i="9" s="1"/>
  <c r="L623" i="9" s="1"/>
  <c r="M623" i="9" s="1"/>
  <c r="K624" i="9" a="1"/>
  <c r="K624" i="9" s="1"/>
  <c r="L624" i="9" s="1"/>
  <c r="M624" i="9" s="1"/>
  <c r="K625" i="9" a="1"/>
  <c r="K625" i="9" s="1"/>
  <c r="L625" i="9" s="1"/>
  <c r="M625" i="9" s="1"/>
  <c r="K626" i="9" a="1"/>
  <c r="K626" i="9" s="1"/>
  <c r="L626" i="9" s="1"/>
  <c r="M626" i="9" s="1"/>
  <c r="K627" i="9" a="1"/>
  <c r="K627" i="9" s="1"/>
  <c r="L627" i="9" s="1"/>
  <c r="M627" i="9" s="1"/>
  <c r="K628" i="9" a="1"/>
  <c r="K628" i="9" s="1"/>
  <c r="L628" i="9" s="1"/>
  <c r="M628" i="9" s="1"/>
  <c r="K629" i="9" a="1"/>
  <c r="K629" i="9" s="1"/>
  <c r="L629" i="9" s="1"/>
  <c r="M629" i="9" s="1"/>
  <c r="K630" i="9" a="1"/>
  <c r="K630" i="9" s="1"/>
  <c r="L630" i="9" s="1"/>
  <c r="M630" i="9" s="1"/>
  <c r="K631" i="9" a="1"/>
  <c r="K631" i="9" s="1"/>
  <c r="L631" i="9" s="1"/>
  <c r="M631" i="9" s="1"/>
  <c r="K632" i="9" a="1"/>
  <c r="K632" i="9" s="1"/>
  <c r="L632" i="9" s="1"/>
  <c r="M632" i="9" s="1"/>
  <c r="K633" i="9" a="1"/>
  <c r="K633" i="9" s="1"/>
  <c r="L633" i="9" s="1"/>
  <c r="M633" i="9" s="1"/>
  <c r="K634" i="9" a="1"/>
  <c r="K634" i="9" s="1"/>
  <c r="L634" i="9" s="1"/>
  <c r="M634" i="9" s="1"/>
  <c r="K635" i="9" a="1"/>
  <c r="K635" i="9" s="1"/>
  <c r="L635" i="9" s="1"/>
  <c r="M635" i="9" s="1"/>
  <c r="K636" i="9" a="1"/>
  <c r="K636" i="9" s="1"/>
  <c r="L636" i="9" s="1"/>
  <c r="M636" i="9" s="1"/>
  <c r="K637" i="9" a="1"/>
  <c r="K637" i="9" s="1"/>
  <c r="L637" i="9" s="1"/>
  <c r="M637" i="9" s="1"/>
  <c r="K638" i="9" a="1"/>
  <c r="K638" i="9" s="1"/>
  <c r="L638" i="9" s="1"/>
  <c r="M638" i="9" s="1"/>
  <c r="K639" i="9" a="1"/>
  <c r="K639" i="9" s="1"/>
  <c r="L639" i="9" s="1"/>
  <c r="M639" i="9" s="1"/>
  <c r="K640" i="9" a="1"/>
  <c r="K640" i="9" s="1"/>
  <c r="L640" i="9" s="1"/>
  <c r="M640" i="9" s="1"/>
  <c r="K641" i="9" a="1"/>
  <c r="K641" i="9" s="1"/>
  <c r="L641" i="9" s="1"/>
  <c r="M641" i="9" s="1"/>
  <c r="K642" i="9" a="1"/>
  <c r="K642" i="9" s="1"/>
  <c r="L642" i="9" s="1"/>
  <c r="M642" i="9" s="1"/>
  <c r="K643" i="9" a="1"/>
  <c r="K643" i="9" s="1"/>
  <c r="L643" i="9" s="1"/>
  <c r="M643" i="9" s="1"/>
  <c r="K644" i="9" a="1"/>
  <c r="K644" i="9" s="1"/>
  <c r="L644" i="9" s="1"/>
  <c r="M644" i="9" s="1"/>
  <c r="K645" i="9" a="1"/>
  <c r="K645" i="9" s="1"/>
  <c r="L645" i="9" s="1"/>
  <c r="M645" i="9" s="1"/>
  <c r="K646" i="9" a="1"/>
  <c r="K646" i="9" s="1"/>
  <c r="L646" i="9" s="1"/>
  <c r="M646" i="9" s="1"/>
  <c r="K647" i="9" a="1"/>
  <c r="K647" i="9" s="1"/>
  <c r="L647" i="9" s="1"/>
  <c r="M647" i="9" s="1"/>
  <c r="K648" i="9" a="1"/>
  <c r="K648" i="9" s="1"/>
  <c r="L648" i="9" s="1"/>
  <c r="M648" i="9" s="1"/>
  <c r="K649" i="9" a="1"/>
  <c r="K649" i="9" s="1"/>
  <c r="L649" i="9" s="1"/>
  <c r="M649" i="9" s="1"/>
  <c r="K650" i="9" a="1"/>
  <c r="K650" i="9" s="1"/>
  <c r="L650" i="9" s="1"/>
  <c r="M650" i="9" s="1"/>
  <c r="K651" i="9" a="1"/>
  <c r="K651" i="9" s="1"/>
  <c r="L651" i="9" s="1"/>
  <c r="M651" i="9" s="1"/>
  <c r="K652" i="9" a="1"/>
  <c r="K652" i="9" s="1"/>
  <c r="L652" i="9" s="1"/>
  <c r="M652" i="9" s="1"/>
  <c r="K653" i="9" a="1"/>
  <c r="K653" i="9" s="1"/>
  <c r="L653" i="9" s="1"/>
  <c r="M653" i="9" s="1"/>
  <c r="K654" i="9" a="1"/>
  <c r="K654" i="9" s="1"/>
  <c r="L654" i="9" s="1"/>
  <c r="M654" i="9" s="1"/>
  <c r="K655" i="9" a="1"/>
  <c r="K655" i="9" s="1"/>
  <c r="L655" i="9" s="1"/>
  <c r="M655" i="9" s="1"/>
  <c r="K656" i="9" a="1"/>
  <c r="K656" i="9" s="1"/>
  <c r="L656" i="9" s="1"/>
  <c r="M656" i="9" s="1"/>
  <c r="K657" i="9" a="1"/>
  <c r="K657" i="9" s="1"/>
  <c r="L657" i="9" s="1"/>
  <c r="M657" i="9" s="1"/>
  <c r="K658" i="9" a="1"/>
  <c r="K658" i="9" s="1"/>
  <c r="L658" i="9" s="1"/>
  <c r="M658" i="9" s="1"/>
  <c r="K659" i="9" a="1"/>
  <c r="K659" i="9" s="1"/>
  <c r="L659" i="9" s="1"/>
  <c r="M659" i="9" s="1"/>
  <c r="K660" i="9" a="1"/>
  <c r="K660" i="9" s="1"/>
  <c r="L660" i="9" s="1"/>
  <c r="M660" i="9" s="1"/>
  <c r="K661" i="9" a="1"/>
  <c r="K661" i="9" s="1"/>
  <c r="L661" i="9" s="1"/>
  <c r="M661" i="9" s="1"/>
  <c r="K662" i="9" a="1"/>
  <c r="K662" i="9" s="1"/>
  <c r="L662" i="9" s="1"/>
  <c r="M662" i="9" s="1"/>
  <c r="K663" i="9" a="1"/>
  <c r="K663" i="9" s="1"/>
  <c r="L663" i="9" s="1"/>
  <c r="M663" i="9" s="1"/>
  <c r="K664" i="9" a="1"/>
  <c r="K664" i="9" s="1"/>
  <c r="L664" i="9" s="1"/>
  <c r="M664" i="9" s="1"/>
  <c r="K665" i="9" a="1"/>
  <c r="K665" i="9" s="1"/>
  <c r="L665" i="9" s="1"/>
  <c r="M665" i="9" s="1"/>
  <c r="K666" i="9" a="1"/>
  <c r="K666" i="9" s="1"/>
  <c r="L666" i="9" s="1"/>
  <c r="M666" i="9" s="1"/>
  <c r="K667" i="9" a="1"/>
  <c r="K667" i="9" s="1"/>
  <c r="L667" i="9" s="1"/>
  <c r="M667" i="9" s="1"/>
  <c r="K668" i="9" a="1"/>
  <c r="K668" i="9" s="1"/>
  <c r="L668" i="9" s="1"/>
  <c r="M668" i="9" s="1"/>
  <c r="K669" i="9" a="1"/>
  <c r="K669" i="9" s="1"/>
  <c r="L669" i="9" s="1"/>
  <c r="M669" i="9" s="1"/>
  <c r="K670" i="9" a="1"/>
  <c r="K670" i="9" s="1"/>
  <c r="L670" i="9" s="1"/>
  <c r="M670" i="9" s="1"/>
  <c r="K671" i="9" a="1"/>
  <c r="K671" i="9" s="1"/>
  <c r="L671" i="9" s="1"/>
  <c r="M671" i="9" s="1"/>
  <c r="K672" i="9" a="1"/>
  <c r="K672" i="9" s="1"/>
  <c r="L672" i="9" s="1"/>
  <c r="M672" i="9" s="1"/>
  <c r="K673" i="9" a="1"/>
  <c r="K673" i="9" s="1"/>
  <c r="L673" i="9" s="1"/>
  <c r="M673" i="9" s="1"/>
  <c r="K674" i="9" a="1"/>
  <c r="K674" i="9" s="1"/>
  <c r="L674" i="9" s="1"/>
  <c r="M674" i="9" s="1"/>
  <c r="K675" i="9" a="1"/>
  <c r="K675" i="9" s="1"/>
  <c r="L675" i="9" s="1"/>
  <c r="M675" i="9" s="1"/>
  <c r="K676" i="9" a="1"/>
  <c r="K676" i="9" s="1"/>
  <c r="L676" i="9" s="1"/>
  <c r="M676" i="9" s="1"/>
  <c r="K677" i="9" a="1"/>
  <c r="K677" i="9" s="1"/>
  <c r="L677" i="9" s="1"/>
  <c r="M677" i="9" s="1"/>
  <c r="K678" i="9" a="1"/>
  <c r="K678" i="9" s="1"/>
  <c r="L678" i="9" s="1"/>
  <c r="M678" i="9" s="1"/>
  <c r="K679" i="9" a="1"/>
  <c r="K679" i="9" s="1"/>
  <c r="L679" i="9" s="1"/>
  <c r="M679" i="9" s="1"/>
  <c r="K680" i="9" a="1"/>
  <c r="K680" i="9" s="1"/>
  <c r="L680" i="9" s="1"/>
  <c r="M680" i="9" s="1"/>
  <c r="K681" i="9" a="1"/>
  <c r="K681" i="9" s="1"/>
  <c r="L681" i="9" s="1"/>
  <c r="M681" i="9" s="1"/>
  <c r="K682" i="9" a="1"/>
  <c r="K682" i="9" s="1"/>
  <c r="L682" i="9" s="1"/>
  <c r="M682" i="9" s="1"/>
  <c r="K683" i="9" a="1"/>
  <c r="K683" i="9" s="1"/>
  <c r="L683" i="9" s="1"/>
  <c r="M683" i="9" s="1"/>
  <c r="K684" i="9" a="1"/>
  <c r="K684" i="9" s="1"/>
  <c r="L684" i="9" s="1"/>
  <c r="M684" i="9" s="1"/>
  <c r="K685" i="9" a="1"/>
  <c r="K685" i="9" s="1"/>
  <c r="L685" i="9" s="1"/>
  <c r="M685" i="9" s="1"/>
  <c r="K686" i="9" a="1"/>
  <c r="K686" i="9" s="1"/>
  <c r="L686" i="9" s="1"/>
  <c r="M686" i="9" s="1"/>
  <c r="K687" i="9" a="1"/>
  <c r="K687" i="9" s="1"/>
  <c r="L687" i="9" s="1"/>
  <c r="M687" i="9" s="1"/>
  <c r="K688" i="9" a="1"/>
  <c r="K688" i="9" s="1"/>
  <c r="L688" i="9" s="1"/>
  <c r="M688" i="9" s="1"/>
  <c r="K689" i="9" a="1"/>
  <c r="K689" i="9" s="1"/>
  <c r="L689" i="9" s="1"/>
  <c r="M689" i="9" s="1"/>
  <c r="K690" i="9" a="1"/>
  <c r="K690" i="9" s="1"/>
  <c r="L690" i="9" s="1"/>
  <c r="M690" i="9" s="1"/>
  <c r="K691" i="9" a="1"/>
  <c r="K691" i="9" s="1"/>
  <c r="L691" i="9" s="1"/>
  <c r="M691" i="9" s="1"/>
  <c r="K692" i="9" a="1"/>
  <c r="K692" i="9" s="1"/>
  <c r="L692" i="9" s="1"/>
  <c r="M692" i="9" s="1"/>
  <c r="K693" i="9" a="1"/>
  <c r="K693" i="9" s="1"/>
  <c r="L693" i="9" s="1"/>
  <c r="M693" i="9" s="1"/>
  <c r="K694" i="9" a="1"/>
  <c r="K694" i="9" s="1"/>
  <c r="L694" i="9" s="1"/>
  <c r="M694" i="9" s="1"/>
  <c r="K695" i="9" a="1"/>
  <c r="K695" i="9" s="1"/>
  <c r="L695" i="9" s="1"/>
  <c r="M695" i="9" s="1"/>
  <c r="K696" i="9" a="1"/>
  <c r="K696" i="9" s="1"/>
  <c r="L696" i="9" s="1"/>
  <c r="M696" i="9" s="1"/>
  <c r="K697" i="9" a="1"/>
  <c r="K697" i="9" s="1"/>
  <c r="L697" i="9" s="1"/>
  <c r="M697" i="9" s="1"/>
  <c r="K698" i="9" a="1"/>
  <c r="K698" i="9" s="1"/>
  <c r="L698" i="9" s="1"/>
  <c r="M698" i="9" s="1"/>
  <c r="K699" i="9" a="1"/>
  <c r="K699" i="9" s="1"/>
  <c r="L699" i="9" s="1"/>
  <c r="M699" i="9" s="1"/>
  <c r="K700" i="9" a="1"/>
  <c r="K700" i="9" s="1"/>
  <c r="L700" i="9" s="1"/>
  <c r="M700" i="9" s="1"/>
  <c r="K701" i="9" a="1"/>
  <c r="K701" i="9" s="1"/>
  <c r="L701" i="9" s="1"/>
  <c r="M701" i="9" s="1"/>
  <c r="K702" i="9" a="1"/>
  <c r="K702" i="9" s="1"/>
  <c r="L702" i="9" s="1"/>
  <c r="M702" i="9" s="1"/>
  <c r="K703" i="9" a="1"/>
  <c r="K703" i="9" s="1"/>
  <c r="L703" i="9" s="1"/>
  <c r="M703" i="9" s="1"/>
  <c r="K704" i="9" a="1"/>
  <c r="K704" i="9" s="1"/>
  <c r="L704" i="9" s="1"/>
  <c r="M704" i="9" s="1"/>
  <c r="K705" i="9" a="1"/>
  <c r="K705" i="9" s="1"/>
  <c r="L705" i="9" s="1"/>
  <c r="M705" i="9" s="1"/>
  <c r="K706" i="9" a="1"/>
  <c r="K706" i="9" s="1"/>
  <c r="L706" i="9" s="1"/>
  <c r="M706" i="9" s="1"/>
  <c r="K707" i="9" a="1"/>
  <c r="K707" i="9" s="1"/>
  <c r="L707" i="9" s="1"/>
  <c r="M707" i="9" s="1"/>
  <c r="K708" i="9" a="1"/>
  <c r="K708" i="9" s="1"/>
  <c r="L708" i="9" s="1"/>
  <c r="M708" i="9" s="1"/>
  <c r="K709" i="9" a="1"/>
  <c r="K709" i="9" s="1"/>
  <c r="L709" i="9" s="1"/>
  <c r="M709" i="9" s="1"/>
  <c r="K710" i="9" a="1"/>
  <c r="K710" i="9" s="1"/>
  <c r="L710" i="9" s="1"/>
  <c r="M710" i="9" s="1"/>
  <c r="K711" i="9" a="1"/>
  <c r="K711" i="9" s="1"/>
  <c r="L711" i="9" s="1"/>
  <c r="M711" i="9" s="1"/>
  <c r="K712" i="9" a="1"/>
  <c r="K712" i="9" s="1"/>
  <c r="L712" i="9" s="1"/>
  <c r="M712" i="9" s="1"/>
  <c r="K713" i="9" a="1"/>
  <c r="K713" i="9" s="1"/>
  <c r="L713" i="9" s="1"/>
  <c r="M713" i="9" s="1"/>
  <c r="K714" i="9" a="1"/>
  <c r="K714" i="9" s="1"/>
  <c r="L714" i="9" s="1"/>
  <c r="M714" i="9" s="1"/>
  <c r="K715" i="9" a="1"/>
  <c r="K715" i="9" s="1"/>
  <c r="L715" i="9" s="1"/>
  <c r="M715" i="9" s="1"/>
  <c r="K716" i="9" a="1"/>
  <c r="K716" i="9" s="1"/>
  <c r="L716" i="9" s="1"/>
  <c r="M716" i="9" s="1"/>
  <c r="K717" i="9" a="1"/>
  <c r="K717" i="9" s="1"/>
  <c r="L717" i="9" s="1"/>
  <c r="M717" i="9" s="1"/>
  <c r="K718" i="9" a="1"/>
  <c r="K718" i="9" s="1"/>
  <c r="L718" i="9" s="1"/>
  <c r="M718" i="9" s="1"/>
  <c r="K719" i="9" a="1"/>
  <c r="K719" i="9" s="1"/>
  <c r="L719" i="9" s="1"/>
  <c r="M719" i="9" s="1"/>
  <c r="K720" i="9" a="1"/>
  <c r="K720" i="9" s="1"/>
  <c r="L720" i="9" s="1"/>
  <c r="M720" i="9" s="1"/>
  <c r="K721" i="9" a="1"/>
  <c r="K721" i="9" s="1"/>
  <c r="L721" i="9" s="1"/>
  <c r="M721" i="9" s="1"/>
  <c r="K722" i="9" a="1"/>
  <c r="K722" i="9" s="1"/>
  <c r="L722" i="9" s="1"/>
  <c r="M722" i="9" s="1"/>
  <c r="K723" i="9" a="1"/>
  <c r="K723" i="9" s="1"/>
  <c r="L723" i="9" s="1"/>
  <c r="M723" i="9" s="1"/>
  <c r="K724" i="9" a="1"/>
  <c r="K724" i="9" s="1"/>
  <c r="L724" i="9" s="1"/>
  <c r="M724" i="9" s="1"/>
  <c r="K725" i="9" a="1"/>
  <c r="K725" i="9" s="1"/>
  <c r="L725" i="9" s="1"/>
  <c r="M725" i="9" s="1"/>
  <c r="K726" i="9" a="1"/>
  <c r="K726" i="9" s="1"/>
  <c r="L726" i="9" s="1"/>
  <c r="M726" i="9" s="1"/>
  <c r="K727" i="9" a="1"/>
  <c r="K727" i="9" s="1"/>
  <c r="L727" i="9" s="1"/>
  <c r="M727" i="9" s="1"/>
  <c r="K728" i="9" a="1"/>
  <c r="K728" i="9" s="1"/>
  <c r="L728" i="9" s="1"/>
  <c r="M728" i="9" s="1"/>
  <c r="K729" i="9" a="1"/>
  <c r="K729" i="9" s="1"/>
  <c r="L729" i="9" s="1"/>
  <c r="M729" i="9" s="1"/>
  <c r="K730" i="9" a="1"/>
  <c r="K730" i="9" s="1"/>
  <c r="L730" i="9" s="1"/>
  <c r="M730" i="9" s="1"/>
  <c r="K731" i="9" a="1"/>
  <c r="K731" i="9" s="1"/>
  <c r="L731" i="9" s="1"/>
  <c r="M731" i="9" s="1"/>
  <c r="K732" i="9" a="1"/>
  <c r="K732" i="9" s="1"/>
  <c r="L732" i="9" s="1"/>
  <c r="M732" i="9" s="1"/>
  <c r="K733" i="9" a="1"/>
  <c r="K733" i="9" s="1"/>
  <c r="L733" i="9" s="1"/>
  <c r="M733" i="9" s="1"/>
  <c r="K734" i="9" a="1"/>
  <c r="K734" i="9" s="1"/>
  <c r="L734" i="9" s="1"/>
  <c r="M734" i="9" s="1"/>
  <c r="K735" i="9" a="1"/>
  <c r="K735" i="9" s="1"/>
  <c r="L735" i="9" s="1"/>
  <c r="M735" i="9" s="1"/>
  <c r="K736" i="9" a="1"/>
  <c r="K736" i="9" s="1"/>
  <c r="L736" i="9" s="1"/>
  <c r="M736" i="9" s="1"/>
  <c r="K737" i="9" a="1"/>
  <c r="K737" i="9" s="1"/>
  <c r="L737" i="9" s="1"/>
  <c r="M737" i="9" s="1"/>
  <c r="K738" i="9" a="1"/>
  <c r="K738" i="9" s="1"/>
  <c r="L738" i="9" s="1"/>
  <c r="M738" i="9" s="1"/>
  <c r="K739" i="9" a="1"/>
  <c r="K739" i="9" s="1"/>
  <c r="L739" i="9" s="1"/>
  <c r="M739" i="9" s="1"/>
  <c r="K740" i="9" a="1"/>
  <c r="K740" i="9" s="1"/>
  <c r="L740" i="9" s="1"/>
  <c r="M740" i="9" s="1"/>
  <c r="K741" i="9" a="1"/>
  <c r="K741" i="9" s="1"/>
  <c r="L741" i="9" s="1"/>
  <c r="M741" i="9" s="1"/>
  <c r="K742" i="9" a="1"/>
  <c r="K742" i="9" s="1"/>
  <c r="L742" i="9" s="1"/>
  <c r="M742" i="9" s="1"/>
  <c r="K743" i="9" a="1"/>
  <c r="K743" i="9" s="1"/>
  <c r="L743" i="9" s="1"/>
  <c r="M743" i="9" s="1"/>
  <c r="K744" i="9" a="1"/>
  <c r="K744" i="9" s="1"/>
  <c r="L744" i="9" s="1"/>
  <c r="M744" i="9" s="1"/>
  <c r="K745" i="9" a="1"/>
  <c r="K745" i="9" s="1"/>
  <c r="L745" i="9" s="1"/>
  <c r="M745" i="9" s="1"/>
  <c r="K746" i="9" a="1"/>
  <c r="K746" i="9" s="1"/>
  <c r="L746" i="9" s="1"/>
  <c r="M746" i="9" s="1"/>
  <c r="K747" i="9" a="1"/>
  <c r="K747" i="9" s="1"/>
  <c r="L747" i="9" s="1"/>
  <c r="M747" i="9" s="1"/>
  <c r="K748" i="9" a="1"/>
  <c r="K748" i="9" s="1"/>
  <c r="L748" i="9" s="1"/>
  <c r="M748" i="9" s="1"/>
  <c r="K749" i="9" a="1"/>
  <c r="K749" i="9" s="1"/>
  <c r="L749" i="9" s="1"/>
  <c r="M749" i="9" s="1"/>
  <c r="K750" i="9" a="1"/>
  <c r="K750" i="9" s="1"/>
  <c r="L750" i="9" s="1"/>
  <c r="M750" i="9" s="1"/>
  <c r="K751" i="9" a="1"/>
  <c r="K751" i="9" s="1"/>
  <c r="L751" i="9" s="1"/>
  <c r="M751" i="9" s="1"/>
  <c r="K752" i="9" a="1"/>
  <c r="K752" i="9" s="1"/>
  <c r="L752" i="9" s="1"/>
  <c r="M752" i="9" s="1"/>
  <c r="K753" i="9" a="1"/>
  <c r="K753" i="9" s="1"/>
  <c r="L753" i="9" s="1"/>
  <c r="M753" i="9" s="1"/>
  <c r="K754" i="9" a="1"/>
  <c r="K754" i="9" s="1"/>
  <c r="L754" i="9" s="1"/>
  <c r="M754" i="9" s="1"/>
  <c r="K755" i="9" a="1"/>
  <c r="K755" i="9" s="1"/>
  <c r="L755" i="9" s="1"/>
  <c r="M755" i="9" s="1"/>
  <c r="K756" i="9" a="1"/>
  <c r="K756" i="9" s="1"/>
  <c r="L756" i="9" s="1"/>
  <c r="M756" i="9" s="1"/>
  <c r="K757" i="9" a="1"/>
  <c r="K757" i="9" s="1"/>
  <c r="L757" i="9" s="1"/>
  <c r="M757" i="9" s="1"/>
  <c r="K758" i="9" a="1"/>
  <c r="K758" i="9" s="1"/>
  <c r="L758" i="9" s="1"/>
  <c r="M758" i="9" s="1"/>
  <c r="K759" i="9" a="1"/>
  <c r="K759" i="9" s="1"/>
  <c r="L759" i="9" s="1"/>
  <c r="M759" i="9" s="1"/>
  <c r="K760" i="9" a="1"/>
  <c r="K760" i="9" s="1"/>
  <c r="L760" i="9" s="1"/>
  <c r="M760" i="9" s="1"/>
  <c r="K761" i="9" a="1"/>
  <c r="K761" i="9" s="1"/>
  <c r="L761" i="9" s="1"/>
  <c r="M761" i="9" s="1"/>
  <c r="K762" i="9" a="1"/>
  <c r="K762" i="9" s="1"/>
  <c r="L762" i="9" s="1"/>
  <c r="M762" i="9" s="1"/>
  <c r="K763" i="9" a="1"/>
  <c r="K763" i="9" s="1"/>
  <c r="L763" i="9" s="1"/>
  <c r="M763" i="9" s="1"/>
  <c r="K764" i="9" a="1"/>
  <c r="K764" i="9" s="1"/>
  <c r="L764" i="9" s="1"/>
  <c r="M764" i="9" s="1"/>
  <c r="K765" i="9" a="1"/>
  <c r="K765" i="9" s="1"/>
  <c r="L765" i="9" s="1"/>
  <c r="M765" i="9" s="1"/>
  <c r="K766" i="9" a="1"/>
  <c r="K766" i="9" s="1"/>
  <c r="L766" i="9" s="1"/>
  <c r="M766" i="9" s="1"/>
  <c r="K767" i="9" a="1"/>
  <c r="K767" i="9" s="1"/>
  <c r="L767" i="9" s="1"/>
  <c r="M767" i="9" s="1"/>
  <c r="K768" i="9" a="1"/>
  <c r="K768" i="9" s="1"/>
  <c r="L768" i="9" s="1"/>
  <c r="M768" i="9" s="1"/>
  <c r="K769" i="9" a="1"/>
  <c r="K769" i="9" s="1"/>
  <c r="L769" i="9" s="1"/>
  <c r="M769" i="9" s="1"/>
  <c r="K770" i="9" a="1"/>
  <c r="K770" i="9" s="1"/>
  <c r="L770" i="9" s="1"/>
  <c r="M770" i="9" s="1"/>
  <c r="K771" i="9" a="1"/>
  <c r="K771" i="9" s="1"/>
  <c r="L771" i="9" s="1"/>
  <c r="M771" i="9" s="1"/>
  <c r="K772" i="9" a="1"/>
  <c r="K772" i="9" s="1"/>
  <c r="L772" i="9" s="1"/>
  <c r="M772" i="9" s="1"/>
  <c r="K773" i="9" a="1"/>
  <c r="K773" i="9" s="1"/>
  <c r="L773" i="9" s="1"/>
  <c r="M773" i="9" s="1"/>
  <c r="K774" i="9" a="1"/>
  <c r="K774" i="9" s="1"/>
  <c r="L774" i="9" s="1"/>
  <c r="M774" i="9" s="1"/>
  <c r="K775" i="9" a="1"/>
  <c r="K775" i="9" s="1"/>
  <c r="L775" i="9" s="1"/>
  <c r="M775" i="9" s="1"/>
  <c r="K776" i="9" a="1"/>
  <c r="K776" i="9" s="1"/>
  <c r="L776" i="9" s="1"/>
  <c r="M776" i="9" s="1"/>
  <c r="K777" i="9" a="1"/>
  <c r="K777" i="9" s="1"/>
  <c r="L777" i="9" s="1"/>
  <c r="M777" i="9" s="1"/>
  <c r="K778" i="9" a="1"/>
  <c r="K778" i="9" s="1"/>
  <c r="L778" i="9" s="1"/>
  <c r="M778" i="9" s="1"/>
  <c r="K779" i="9" a="1"/>
  <c r="K779" i="9" s="1"/>
  <c r="L779" i="9" s="1"/>
  <c r="M779" i="9" s="1"/>
  <c r="K780" i="9" a="1"/>
  <c r="K780" i="9" s="1"/>
  <c r="L780" i="9" s="1"/>
  <c r="M780" i="9" s="1"/>
  <c r="K781" i="9" a="1"/>
  <c r="K781" i="9" s="1"/>
  <c r="L781" i="9" s="1"/>
  <c r="M781" i="9" s="1"/>
  <c r="K782" i="9" a="1"/>
  <c r="K782" i="9" s="1"/>
  <c r="L782" i="9" s="1"/>
  <c r="M782" i="9" s="1"/>
  <c r="K783" i="9" a="1"/>
  <c r="K783" i="9" s="1"/>
  <c r="L783" i="9" s="1"/>
  <c r="M783" i="9" s="1"/>
  <c r="K784" i="9" a="1"/>
  <c r="K784" i="9" s="1"/>
  <c r="L784" i="9" s="1"/>
  <c r="M784" i="9" s="1"/>
  <c r="K785" i="9" a="1"/>
  <c r="K785" i="9" s="1"/>
  <c r="L785" i="9" s="1"/>
  <c r="M785" i="9" s="1"/>
  <c r="K786" i="9" a="1"/>
  <c r="K786" i="9" s="1"/>
  <c r="L786" i="9" s="1"/>
  <c r="M786" i="9" s="1"/>
  <c r="K787" i="9" a="1"/>
  <c r="K787" i="9" s="1"/>
  <c r="L787" i="9" s="1"/>
  <c r="M787" i="9" s="1"/>
  <c r="K788" i="9" a="1"/>
  <c r="K788" i="9" s="1"/>
  <c r="L788" i="9" s="1"/>
  <c r="M788" i="9" s="1"/>
  <c r="K789" i="9" a="1"/>
  <c r="K789" i="9" s="1"/>
  <c r="L789" i="9" s="1"/>
  <c r="M789" i="9" s="1"/>
  <c r="K790" i="9" a="1"/>
  <c r="K790" i="9" s="1"/>
  <c r="L790" i="9" s="1"/>
  <c r="M790" i="9" s="1"/>
  <c r="K791" i="9" a="1"/>
  <c r="K791" i="9" s="1"/>
  <c r="L791" i="9" s="1"/>
  <c r="M791" i="9" s="1"/>
  <c r="K792" i="9" a="1"/>
  <c r="K792" i="9" s="1"/>
  <c r="L792" i="9" s="1"/>
  <c r="M792" i="9" s="1"/>
  <c r="K793" i="9" a="1"/>
  <c r="K793" i="9" s="1"/>
  <c r="L793" i="9" s="1"/>
  <c r="M793" i="9" s="1"/>
  <c r="K794" i="9" a="1"/>
  <c r="K794" i="9" s="1"/>
  <c r="L794" i="9" s="1"/>
  <c r="M794" i="9" s="1"/>
  <c r="K795" i="9" a="1"/>
  <c r="K795" i="9" s="1"/>
  <c r="L795" i="9" s="1"/>
  <c r="M795" i="9" s="1"/>
  <c r="K796" i="9" a="1"/>
  <c r="K796" i="9" s="1"/>
  <c r="L796" i="9" s="1"/>
  <c r="M796" i="9" s="1"/>
  <c r="K797" i="9" a="1"/>
  <c r="K797" i="9" s="1"/>
  <c r="L797" i="9" s="1"/>
  <c r="M797" i="9" s="1"/>
  <c r="K798" i="9" a="1"/>
  <c r="K798" i="9" s="1"/>
  <c r="L798" i="9" s="1"/>
  <c r="M798" i="9" s="1"/>
  <c r="K799" i="9" a="1"/>
  <c r="K799" i="9" s="1"/>
  <c r="L799" i="9" s="1"/>
  <c r="M799" i="9" s="1"/>
  <c r="K800" i="9" a="1"/>
  <c r="K800" i="9" s="1"/>
  <c r="L800" i="9" s="1"/>
  <c r="M800" i="9" s="1"/>
  <c r="K801" i="9" a="1"/>
  <c r="K801" i="9" s="1"/>
  <c r="L801" i="9" s="1"/>
  <c r="M801" i="9" s="1"/>
  <c r="K802" i="9" a="1"/>
  <c r="K802" i="9" s="1"/>
  <c r="L802" i="9" s="1"/>
  <c r="M802" i="9" s="1"/>
  <c r="K803" i="9" a="1"/>
  <c r="K803" i="9" s="1"/>
  <c r="L803" i="9" s="1"/>
  <c r="M803" i="9" s="1"/>
  <c r="K804" i="9" a="1"/>
  <c r="K804" i="9" s="1"/>
  <c r="L804" i="9" s="1"/>
  <c r="M804" i="9" s="1"/>
  <c r="K805" i="9" a="1"/>
  <c r="K805" i="9" s="1"/>
  <c r="L805" i="9" s="1"/>
  <c r="M805" i="9" s="1"/>
  <c r="K806" i="9" a="1"/>
  <c r="K806" i="9" s="1"/>
  <c r="L806" i="9" s="1"/>
  <c r="M806" i="9" s="1"/>
  <c r="K807" i="9" a="1"/>
  <c r="K807" i="9" s="1"/>
  <c r="L807" i="9" s="1"/>
  <c r="M807" i="9" s="1"/>
  <c r="K808" i="9" a="1"/>
  <c r="K808" i="9" s="1"/>
  <c r="L808" i="9" s="1"/>
  <c r="M808" i="9" s="1"/>
  <c r="K809" i="9" a="1"/>
  <c r="K809" i="9" s="1"/>
  <c r="L809" i="9" s="1"/>
  <c r="M809" i="9" s="1"/>
  <c r="K810" i="9" a="1"/>
  <c r="K810" i="9" s="1"/>
  <c r="L810" i="9" s="1"/>
  <c r="M810" i="9" s="1"/>
  <c r="K811" i="9" a="1"/>
  <c r="K811" i="9" s="1"/>
  <c r="L811" i="9" s="1"/>
  <c r="M811" i="9" s="1"/>
  <c r="K812" i="9" a="1"/>
  <c r="K812" i="9" s="1"/>
  <c r="L812" i="9" s="1"/>
  <c r="M812" i="9" s="1"/>
  <c r="K813" i="9" a="1"/>
  <c r="K813" i="9" s="1"/>
  <c r="L813" i="9" s="1"/>
  <c r="M813" i="9" s="1"/>
  <c r="K814" i="9" a="1"/>
  <c r="K814" i="9" s="1"/>
  <c r="L814" i="9" s="1"/>
  <c r="M814" i="9" s="1"/>
  <c r="K815" i="9" a="1"/>
  <c r="K815" i="9" s="1"/>
  <c r="L815" i="9" s="1"/>
  <c r="M815" i="9" s="1"/>
  <c r="K816" i="9" a="1"/>
  <c r="K816" i="9" s="1"/>
  <c r="L816" i="9" s="1"/>
  <c r="M816" i="9" s="1"/>
  <c r="K817" i="9" a="1"/>
  <c r="K817" i="9" s="1"/>
  <c r="L817" i="9" s="1"/>
  <c r="M817" i="9" s="1"/>
  <c r="K818" i="9" a="1"/>
  <c r="K818" i="9" s="1"/>
  <c r="L818" i="9" s="1"/>
  <c r="M818" i="9" s="1"/>
  <c r="K819" i="9" a="1"/>
  <c r="K819" i="9" s="1"/>
  <c r="L819" i="9" s="1"/>
  <c r="M819" i="9" s="1"/>
  <c r="K820" i="9" a="1"/>
  <c r="K820" i="9" s="1"/>
  <c r="L820" i="9" s="1"/>
  <c r="M820" i="9" s="1"/>
  <c r="K821" i="9" a="1"/>
  <c r="K821" i="9" s="1"/>
  <c r="L821" i="9" s="1"/>
  <c r="M821" i="9" s="1"/>
  <c r="K822" i="9" a="1"/>
  <c r="K822" i="9" s="1"/>
  <c r="L822" i="9" s="1"/>
  <c r="M822" i="9" s="1"/>
  <c r="K823" i="9" a="1"/>
  <c r="K823" i="9" s="1"/>
  <c r="L823" i="9" s="1"/>
  <c r="M823" i="9" s="1"/>
  <c r="K824" i="9" a="1"/>
  <c r="K824" i="9" s="1"/>
  <c r="L824" i="9" s="1"/>
  <c r="M824" i="9" s="1"/>
  <c r="K825" i="9" a="1"/>
  <c r="K825" i="9" s="1"/>
  <c r="L825" i="9" s="1"/>
  <c r="M825" i="9" s="1"/>
  <c r="K826" i="9" a="1"/>
  <c r="K826" i="9" s="1"/>
  <c r="L826" i="9" s="1"/>
  <c r="M826" i="9" s="1"/>
  <c r="K827" i="9" a="1"/>
  <c r="K827" i="9" s="1"/>
  <c r="L827" i="9" s="1"/>
  <c r="M827" i="9" s="1"/>
  <c r="K828" i="9" a="1"/>
  <c r="K828" i="9" s="1"/>
  <c r="L828" i="9" s="1"/>
  <c r="M828" i="9" s="1"/>
  <c r="K829" i="9" a="1"/>
  <c r="K829" i="9" s="1"/>
  <c r="L829" i="9" s="1"/>
  <c r="M829" i="9" s="1"/>
  <c r="K830" i="9" a="1"/>
  <c r="K830" i="9" s="1"/>
  <c r="L830" i="9" s="1"/>
  <c r="M830" i="9" s="1"/>
  <c r="K831" i="9" a="1"/>
  <c r="K831" i="9" s="1"/>
  <c r="L831" i="9" s="1"/>
  <c r="M831" i="9" s="1"/>
  <c r="K832" i="9" a="1"/>
  <c r="K832" i="9" s="1"/>
  <c r="L832" i="9" s="1"/>
  <c r="M832" i="9" s="1"/>
  <c r="K833" i="9" a="1"/>
  <c r="K833" i="9" s="1"/>
  <c r="L833" i="9" s="1"/>
  <c r="M833" i="9" s="1"/>
  <c r="K834" i="9" a="1"/>
  <c r="K834" i="9" s="1"/>
  <c r="L834" i="9" s="1"/>
  <c r="M834" i="9" s="1"/>
  <c r="K835" i="9" a="1"/>
  <c r="K835" i="9" s="1"/>
  <c r="L835" i="9" s="1"/>
  <c r="M835" i="9" s="1"/>
  <c r="K836" i="9" a="1"/>
  <c r="K836" i="9" s="1"/>
  <c r="L836" i="9" s="1"/>
  <c r="M836" i="9" s="1"/>
  <c r="K837" i="9" a="1"/>
  <c r="K837" i="9" s="1"/>
  <c r="L837" i="9" s="1"/>
  <c r="M837" i="9" s="1"/>
  <c r="K838" i="9" a="1"/>
  <c r="K838" i="9" s="1"/>
  <c r="L838" i="9" s="1"/>
  <c r="M838" i="9" s="1"/>
  <c r="K839" i="9" a="1"/>
  <c r="K839" i="9" s="1"/>
  <c r="L839" i="9" s="1"/>
  <c r="M839" i="9" s="1"/>
  <c r="K840" i="9" a="1"/>
  <c r="K840" i="9" s="1"/>
  <c r="L840" i="9" s="1"/>
  <c r="M840" i="9" s="1"/>
  <c r="K841" i="9" a="1"/>
  <c r="K841" i="9" s="1"/>
  <c r="L841" i="9" s="1"/>
  <c r="M841" i="9" s="1"/>
  <c r="K842" i="9" a="1"/>
  <c r="K842" i="9" s="1"/>
  <c r="L842" i="9" s="1"/>
  <c r="M842" i="9" s="1"/>
  <c r="K843" i="9" a="1"/>
  <c r="K843" i="9" s="1"/>
  <c r="L843" i="9" s="1"/>
  <c r="M843" i="9" s="1"/>
  <c r="K844" i="9" a="1"/>
  <c r="K844" i="9" s="1"/>
  <c r="L844" i="9" s="1"/>
  <c r="M844" i="9" s="1"/>
  <c r="K845" i="9" a="1"/>
  <c r="K845" i="9" s="1"/>
  <c r="L845" i="9" s="1"/>
  <c r="M845" i="9" s="1"/>
  <c r="K846" i="9" a="1"/>
  <c r="K846" i="9" s="1"/>
  <c r="L846" i="9" s="1"/>
  <c r="M846" i="9" s="1"/>
  <c r="K847" i="9" a="1"/>
  <c r="K847" i="9" s="1"/>
  <c r="L847" i="9" s="1"/>
  <c r="M847" i="9" s="1"/>
  <c r="K848" i="9" a="1"/>
  <c r="K848" i="9" s="1"/>
  <c r="L848" i="9" s="1"/>
  <c r="M848" i="9" s="1"/>
  <c r="K849" i="9" a="1"/>
  <c r="K849" i="9" s="1"/>
  <c r="L849" i="9" s="1"/>
  <c r="M849" i="9" s="1"/>
  <c r="K850" i="9" a="1"/>
  <c r="K850" i="9" s="1"/>
  <c r="L850" i="9" s="1"/>
  <c r="M850" i="9" s="1"/>
  <c r="K851" i="9" a="1"/>
  <c r="K851" i="9" s="1"/>
  <c r="L851" i="9" s="1"/>
  <c r="M851" i="9" s="1"/>
  <c r="K852" i="9" a="1"/>
  <c r="K852" i="9" s="1"/>
  <c r="L852" i="9" s="1"/>
  <c r="M852" i="9" s="1"/>
  <c r="K853" i="9" a="1"/>
  <c r="K853" i="9" s="1"/>
  <c r="L853" i="9" s="1"/>
  <c r="M853" i="9" s="1"/>
  <c r="K854" i="9" a="1"/>
  <c r="K854" i="9" s="1"/>
  <c r="L854" i="9" s="1"/>
  <c r="M854" i="9" s="1"/>
  <c r="K855" i="9" a="1"/>
  <c r="K855" i="9" s="1"/>
  <c r="L855" i="9" s="1"/>
  <c r="M855" i="9" s="1"/>
  <c r="K856" i="9" a="1"/>
  <c r="K856" i="9" s="1"/>
  <c r="L856" i="9" s="1"/>
  <c r="M856" i="9" s="1"/>
  <c r="K857" i="9" a="1"/>
  <c r="K857" i="9" s="1"/>
  <c r="L857" i="9" s="1"/>
  <c r="M857" i="9" s="1"/>
  <c r="K858" i="9" a="1"/>
  <c r="K858" i="9" s="1"/>
  <c r="L858" i="9" s="1"/>
  <c r="M858" i="9" s="1"/>
  <c r="K859" i="9" a="1"/>
  <c r="K859" i="9" s="1"/>
  <c r="L859" i="9" s="1"/>
  <c r="M859" i="9" s="1"/>
  <c r="K860" i="9" a="1"/>
  <c r="K860" i="9" s="1"/>
  <c r="L860" i="9" s="1"/>
  <c r="M860" i="9" s="1"/>
  <c r="K861" i="9" a="1"/>
  <c r="K861" i="9" s="1"/>
  <c r="L861" i="9" s="1"/>
  <c r="M861" i="9" s="1"/>
  <c r="K862" i="9" a="1"/>
  <c r="K862" i="9" s="1"/>
  <c r="L862" i="9" s="1"/>
  <c r="M862" i="9" s="1"/>
  <c r="K863" i="9" a="1"/>
  <c r="K863" i="9" s="1"/>
  <c r="L863" i="9" s="1"/>
  <c r="M863" i="9" s="1"/>
  <c r="K864" i="9" a="1"/>
  <c r="K864" i="9" s="1"/>
  <c r="L864" i="9" s="1"/>
  <c r="M864" i="9" s="1"/>
  <c r="K865" i="9" a="1"/>
  <c r="K865" i="9" s="1"/>
  <c r="L865" i="9" s="1"/>
  <c r="M865" i="9" s="1"/>
  <c r="K866" i="9" a="1"/>
  <c r="K866" i="9" s="1"/>
  <c r="L866" i="9" s="1"/>
  <c r="M866" i="9" s="1"/>
  <c r="K867" i="9" a="1"/>
  <c r="K867" i="9" s="1"/>
  <c r="L867" i="9" s="1"/>
  <c r="M867" i="9" s="1"/>
  <c r="K868" i="9" a="1"/>
  <c r="K868" i="9" s="1"/>
  <c r="L868" i="9" s="1"/>
  <c r="M868" i="9" s="1"/>
  <c r="K869" i="9" a="1"/>
  <c r="K869" i="9" s="1"/>
  <c r="L869" i="9" s="1"/>
  <c r="M869" i="9" s="1"/>
  <c r="K870" i="9" a="1"/>
  <c r="K870" i="9" s="1"/>
  <c r="L870" i="9" s="1"/>
  <c r="M870" i="9" s="1"/>
  <c r="K871" i="9" a="1"/>
  <c r="K871" i="9" s="1"/>
  <c r="L871" i="9" s="1"/>
  <c r="M871" i="9" s="1"/>
  <c r="K872" i="9" a="1"/>
  <c r="K872" i="9" s="1"/>
  <c r="L872" i="9" s="1"/>
  <c r="M872" i="9" s="1"/>
  <c r="K873" i="9" a="1"/>
  <c r="K873" i="9" s="1"/>
  <c r="L873" i="9" s="1"/>
  <c r="M873" i="9" s="1"/>
  <c r="K874" i="9" a="1"/>
  <c r="K874" i="9" s="1"/>
  <c r="L874" i="9" s="1"/>
  <c r="M874" i="9" s="1"/>
  <c r="K875" i="9" a="1"/>
  <c r="K875" i="9" s="1"/>
  <c r="L875" i="9" s="1"/>
  <c r="M875" i="9" s="1"/>
  <c r="K876" i="9" a="1"/>
  <c r="K876" i="9" s="1"/>
  <c r="L876" i="9" s="1"/>
  <c r="M876" i="9" s="1"/>
  <c r="K877" i="9" a="1"/>
  <c r="K877" i="9" s="1"/>
  <c r="L877" i="9" s="1"/>
  <c r="M877" i="9" s="1"/>
  <c r="K878" i="9" a="1"/>
  <c r="K878" i="9" s="1"/>
  <c r="L878" i="9" s="1"/>
  <c r="M878" i="9" s="1"/>
  <c r="K879" i="9" a="1"/>
  <c r="K879" i="9" s="1"/>
  <c r="L879" i="9" s="1"/>
  <c r="M879" i="9" s="1"/>
  <c r="K880" i="9" a="1"/>
  <c r="K880" i="9" s="1"/>
  <c r="L880" i="9" s="1"/>
  <c r="M880" i="9" s="1"/>
  <c r="K881" i="9" a="1"/>
  <c r="K881" i="9" s="1"/>
  <c r="L881" i="9" s="1"/>
  <c r="M881" i="9" s="1"/>
  <c r="K882" i="9" a="1"/>
  <c r="K882" i="9" s="1"/>
  <c r="L882" i="9" s="1"/>
  <c r="M882" i="9" s="1"/>
  <c r="K883" i="9" a="1"/>
  <c r="K883" i="9" s="1"/>
  <c r="L883" i="9" s="1"/>
  <c r="M883" i="9" s="1"/>
  <c r="K884" i="9" a="1"/>
  <c r="K884" i="9" s="1"/>
  <c r="L884" i="9" s="1"/>
  <c r="M884" i="9" s="1"/>
  <c r="K885" i="9" a="1"/>
  <c r="K885" i="9" s="1"/>
  <c r="L885" i="9" s="1"/>
  <c r="M885" i="9" s="1"/>
  <c r="K886" i="9" a="1"/>
  <c r="K886" i="9" s="1"/>
  <c r="L886" i="9" s="1"/>
  <c r="M886" i="9" s="1"/>
  <c r="K887" i="9" a="1"/>
  <c r="K887" i="9" s="1"/>
  <c r="L887" i="9" s="1"/>
  <c r="M887" i="9" s="1"/>
  <c r="K888" i="9" a="1"/>
  <c r="K888" i="9" s="1"/>
  <c r="L888" i="9" s="1"/>
  <c r="M888" i="9" s="1"/>
  <c r="K889" i="9" a="1"/>
  <c r="K889" i="9" s="1"/>
  <c r="L889" i="9" s="1"/>
  <c r="M889" i="9" s="1"/>
  <c r="K890" i="9" a="1"/>
  <c r="K890" i="9" s="1"/>
  <c r="L890" i="9" s="1"/>
  <c r="M890" i="9" s="1"/>
  <c r="K891" i="9" a="1"/>
  <c r="K891" i="9" s="1"/>
  <c r="L891" i="9" s="1"/>
  <c r="M891" i="9" s="1"/>
  <c r="K892" i="9" a="1"/>
  <c r="K892" i="9" s="1"/>
  <c r="L892" i="9" s="1"/>
  <c r="M892" i="9" s="1"/>
  <c r="K893" i="9" a="1"/>
  <c r="K893" i="9" s="1"/>
  <c r="L893" i="9" s="1"/>
  <c r="M893" i="9" s="1"/>
  <c r="K894" i="9" a="1"/>
  <c r="K894" i="9" s="1"/>
  <c r="L894" i="9" s="1"/>
  <c r="M894" i="9" s="1"/>
  <c r="K895" i="9" a="1"/>
  <c r="K895" i="9" s="1"/>
  <c r="L895" i="9" s="1"/>
  <c r="M895" i="9" s="1"/>
  <c r="K896" i="9" a="1"/>
  <c r="K896" i="9" s="1"/>
  <c r="L896" i="9" s="1"/>
  <c r="M896" i="9" s="1"/>
  <c r="K897" i="9" a="1"/>
  <c r="K897" i="9" s="1"/>
  <c r="L897" i="9" s="1"/>
  <c r="M897" i="9" s="1"/>
  <c r="K898" i="9" a="1"/>
  <c r="K898" i="9" s="1"/>
  <c r="L898" i="9" s="1"/>
  <c r="M898" i="9" s="1"/>
  <c r="K899" i="9" a="1"/>
  <c r="K899" i="9" s="1"/>
  <c r="L899" i="9" s="1"/>
  <c r="M899" i="9" s="1"/>
  <c r="K900" i="9" a="1"/>
  <c r="K900" i="9" s="1"/>
  <c r="L900" i="9" s="1"/>
  <c r="M900" i="9" s="1"/>
  <c r="K901" i="9" a="1"/>
  <c r="K901" i="9" s="1"/>
  <c r="L901" i="9" s="1"/>
  <c r="M901" i="9" s="1"/>
  <c r="K902" i="9" a="1"/>
  <c r="K902" i="9" s="1"/>
  <c r="L902" i="9" s="1"/>
  <c r="M902" i="9" s="1"/>
  <c r="K903" i="9" a="1"/>
  <c r="K903" i="9" s="1"/>
  <c r="L903" i="9" s="1"/>
  <c r="M903" i="9" s="1"/>
  <c r="K904" i="9" a="1"/>
  <c r="K904" i="9" s="1"/>
  <c r="L904" i="9" s="1"/>
  <c r="M904" i="9" s="1"/>
  <c r="K905" i="9" a="1"/>
  <c r="K905" i="9" s="1"/>
  <c r="L905" i="9" s="1"/>
  <c r="M905" i="9" s="1"/>
  <c r="K906" i="9" a="1"/>
  <c r="K906" i="9" s="1"/>
  <c r="L906" i="9" s="1"/>
  <c r="M906" i="9" s="1"/>
  <c r="K907" i="9" a="1"/>
  <c r="K907" i="9" s="1"/>
  <c r="L907" i="9" s="1"/>
  <c r="M907" i="9" s="1"/>
  <c r="K908" i="9" a="1"/>
  <c r="K908" i="9" s="1"/>
  <c r="L908" i="9" s="1"/>
  <c r="M908" i="9" s="1"/>
  <c r="K909" i="9" a="1"/>
  <c r="K909" i="9" s="1"/>
  <c r="L909" i="9" s="1"/>
  <c r="M909" i="9" s="1"/>
  <c r="K910" i="9" a="1"/>
  <c r="K910" i="9" s="1"/>
  <c r="L910" i="9" s="1"/>
  <c r="M910" i="9" s="1"/>
  <c r="K911" i="9" a="1"/>
  <c r="K911" i="9" s="1"/>
  <c r="L911" i="9" s="1"/>
  <c r="M911" i="9" s="1"/>
  <c r="K912" i="9" a="1"/>
  <c r="K912" i="9" s="1"/>
  <c r="L912" i="9" s="1"/>
  <c r="M912" i="9" s="1"/>
  <c r="K913" i="9" a="1"/>
  <c r="K913" i="9" s="1"/>
  <c r="L913" i="9" s="1"/>
  <c r="M913" i="9" s="1"/>
  <c r="K914" i="9" a="1"/>
  <c r="K914" i="9" s="1"/>
  <c r="L914" i="9" s="1"/>
  <c r="M914" i="9" s="1"/>
  <c r="K915" i="9" a="1"/>
  <c r="K915" i="9" s="1"/>
  <c r="L915" i="9" s="1"/>
  <c r="M915" i="9" s="1"/>
  <c r="K916" i="9" a="1"/>
  <c r="K916" i="9" s="1"/>
  <c r="L916" i="9" s="1"/>
  <c r="M916" i="9" s="1"/>
  <c r="K917" i="9" a="1"/>
  <c r="K917" i="9" s="1"/>
  <c r="L917" i="9" s="1"/>
  <c r="M917" i="9" s="1"/>
  <c r="K918" i="9" a="1"/>
  <c r="K918" i="9" s="1"/>
  <c r="L918" i="9" s="1"/>
  <c r="M918" i="9" s="1"/>
  <c r="K919" i="9" a="1"/>
  <c r="K919" i="9" s="1"/>
  <c r="L919" i="9" s="1"/>
  <c r="M919" i="9" s="1"/>
  <c r="K920" i="9" a="1"/>
  <c r="K920" i="9" s="1"/>
  <c r="L920" i="9" s="1"/>
  <c r="M920" i="9" s="1"/>
  <c r="K921" i="9" a="1"/>
  <c r="K921" i="9" s="1"/>
  <c r="L921" i="9" s="1"/>
  <c r="M921" i="9" s="1"/>
  <c r="K922" i="9" a="1"/>
  <c r="K922" i="9" s="1"/>
  <c r="L922" i="9" s="1"/>
  <c r="M922" i="9" s="1"/>
  <c r="K923" i="9" a="1"/>
  <c r="K923" i="9" s="1"/>
  <c r="L923" i="9" s="1"/>
  <c r="M923" i="9" s="1"/>
  <c r="K924" i="9" a="1"/>
  <c r="K924" i="9" s="1"/>
  <c r="L924" i="9" s="1"/>
  <c r="M924" i="9" s="1"/>
  <c r="K925" i="9" a="1"/>
  <c r="K925" i="9" s="1"/>
  <c r="L925" i="9" s="1"/>
  <c r="M925" i="9" s="1"/>
  <c r="K926" i="9" a="1"/>
  <c r="K926" i="9" s="1"/>
  <c r="L926" i="9" s="1"/>
  <c r="M926" i="9" s="1"/>
  <c r="K927" i="9" a="1"/>
  <c r="K927" i="9" s="1"/>
  <c r="L927" i="9" s="1"/>
  <c r="M927" i="9" s="1"/>
  <c r="K928" i="9" a="1"/>
  <c r="K928" i="9" s="1"/>
  <c r="L928" i="9" s="1"/>
  <c r="M928" i="9" s="1"/>
  <c r="K929" i="9" a="1"/>
  <c r="K929" i="9" s="1"/>
  <c r="L929" i="9" s="1"/>
  <c r="M929" i="9" s="1"/>
  <c r="K930" i="9" a="1"/>
  <c r="K930" i="9" s="1"/>
  <c r="L930" i="9" s="1"/>
  <c r="M930" i="9" s="1"/>
  <c r="K931" i="9" a="1"/>
  <c r="K931" i="9" s="1"/>
  <c r="L931" i="9" s="1"/>
  <c r="M931" i="9" s="1"/>
  <c r="K932" i="9" a="1"/>
  <c r="K932" i="9" s="1"/>
  <c r="L932" i="9" s="1"/>
  <c r="M932" i="9" s="1"/>
  <c r="K933" i="9" a="1"/>
  <c r="K933" i="9" s="1"/>
  <c r="L933" i="9" s="1"/>
  <c r="M933" i="9" s="1"/>
  <c r="K934" i="9" a="1"/>
  <c r="K934" i="9" s="1"/>
  <c r="L934" i="9" s="1"/>
  <c r="M934" i="9" s="1"/>
  <c r="K935" i="9" a="1"/>
  <c r="K935" i="9" s="1"/>
  <c r="L935" i="9" s="1"/>
  <c r="M935" i="9" s="1"/>
  <c r="K936" i="9" a="1"/>
  <c r="K936" i="9" s="1"/>
  <c r="L936" i="9" s="1"/>
  <c r="M936" i="9" s="1"/>
  <c r="K937" i="9" a="1"/>
  <c r="K937" i="9" s="1"/>
  <c r="L937" i="9" s="1"/>
  <c r="M937" i="9" s="1"/>
  <c r="K938" i="9" a="1"/>
  <c r="K938" i="9" s="1"/>
  <c r="L938" i="9" s="1"/>
  <c r="M938" i="9" s="1"/>
  <c r="K939" i="9" a="1"/>
  <c r="K939" i="9" s="1"/>
  <c r="L939" i="9" s="1"/>
  <c r="M939" i="9" s="1"/>
  <c r="K940" i="9" a="1"/>
  <c r="K940" i="9" s="1"/>
  <c r="L940" i="9" s="1"/>
  <c r="M940" i="9" s="1"/>
  <c r="K941" i="9" a="1"/>
  <c r="K941" i="9" s="1"/>
  <c r="L941" i="9" s="1"/>
  <c r="M941" i="9" s="1"/>
  <c r="K942" i="9" a="1"/>
  <c r="K942" i="9" s="1"/>
  <c r="L942" i="9" s="1"/>
  <c r="M942" i="9" s="1"/>
  <c r="K943" i="9" a="1"/>
  <c r="K943" i="9" s="1"/>
  <c r="L943" i="9" s="1"/>
  <c r="M943" i="9" s="1"/>
  <c r="K944" i="9" a="1"/>
  <c r="K944" i="9" s="1"/>
  <c r="L944" i="9" s="1"/>
  <c r="M944" i="9" s="1"/>
  <c r="K945" i="9" a="1"/>
  <c r="K945" i="9" s="1"/>
  <c r="L945" i="9" s="1"/>
  <c r="M945" i="9" s="1"/>
  <c r="K946" i="9" a="1"/>
  <c r="K946" i="9" s="1"/>
  <c r="L946" i="9" s="1"/>
  <c r="M946" i="9" s="1"/>
  <c r="K947" i="9" a="1"/>
  <c r="K947" i="9" s="1"/>
  <c r="L947" i="9" s="1"/>
  <c r="M947" i="9" s="1"/>
  <c r="K948" i="9" a="1"/>
  <c r="K948" i="9" s="1"/>
  <c r="L948" i="9" s="1"/>
  <c r="M948" i="9" s="1"/>
  <c r="K949" i="9" a="1"/>
  <c r="K949" i="9" s="1"/>
  <c r="L949" i="9" s="1"/>
  <c r="M949" i="9" s="1"/>
  <c r="K950" i="9" a="1"/>
  <c r="K950" i="9" s="1"/>
  <c r="L950" i="9" s="1"/>
  <c r="M950" i="9" s="1"/>
  <c r="K951" i="9" a="1"/>
  <c r="K951" i="9" s="1"/>
  <c r="L951" i="9" s="1"/>
  <c r="M951" i="9" s="1"/>
  <c r="K952" i="9" a="1"/>
  <c r="K952" i="9" s="1"/>
  <c r="L952" i="9" s="1"/>
  <c r="M952" i="9" s="1"/>
  <c r="K953" i="9" a="1"/>
  <c r="K953" i="9" s="1"/>
  <c r="L953" i="9" s="1"/>
  <c r="M953" i="9" s="1"/>
  <c r="K954" i="9" a="1"/>
  <c r="K954" i="9" s="1"/>
  <c r="L954" i="9" s="1"/>
  <c r="M954" i="9" s="1"/>
  <c r="K955" i="9" a="1"/>
  <c r="K955" i="9" s="1"/>
  <c r="L955" i="9" s="1"/>
  <c r="M955" i="9" s="1"/>
  <c r="K956" i="9" a="1"/>
  <c r="K956" i="9" s="1"/>
  <c r="L956" i="9" s="1"/>
  <c r="M956" i="9" s="1"/>
  <c r="K957" i="9" a="1"/>
  <c r="K957" i="9" s="1"/>
  <c r="L957" i="9" s="1"/>
  <c r="M957" i="9" s="1"/>
  <c r="K958" i="9" a="1"/>
  <c r="K958" i="9" s="1"/>
  <c r="L958" i="9" s="1"/>
  <c r="M958" i="9" s="1"/>
  <c r="K959" i="9" a="1"/>
  <c r="K959" i="9" s="1"/>
  <c r="L959" i="9" s="1"/>
  <c r="M959" i="9" s="1"/>
  <c r="K960" i="9" a="1"/>
  <c r="K960" i="9" s="1"/>
  <c r="L960" i="9" s="1"/>
  <c r="M960" i="9" s="1"/>
  <c r="K961" i="9" a="1"/>
  <c r="K961" i="9" s="1"/>
  <c r="L961" i="9" s="1"/>
  <c r="M961" i="9" s="1"/>
  <c r="K962" i="9" a="1"/>
  <c r="K962" i="9" s="1"/>
  <c r="L962" i="9" s="1"/>
  <c r="M962" i="9" s="1"/>
  <c r="K963" i="9" a="1"/>
  <c r="K963" i="9" s="1"/>
  <c r="L963" i="9" s="1"/>
  <c r="M963" i="9" s="1"/>
  <c r="K964" i="9" a="1"/>
  <c r="K964" i="9" s="1"/>
  <c r="L964" i="9" s="1"/>
  <c r="M964" i="9" s="1"/>
  <c r="K965" i="9" a="1"/>
  <c r="K965" i="9" s="1"/>
  <c r="L965" i="9" s="1"/>
  <c r="M965" i="9" s="1"/>
  <c r="K966" i="9" a="1"/>
  <c r="K966" i="9" s="1"/>
  <c r="L966" i="9" s="1"/>
  <c r="M966" i="9" s="1"/>
  <c r="K967" i="9" a="1"/>
  <c r="K967" i="9" s="1"/>
  <c r="L967" i="9" s="1"/>
  <c r="M967" i="9" s="1"/>
  <c r="K968" i="9" a="1"/>
  <c r="K968" i="9" s="1"/>
  <c r="L968" i="9" s="1"/>
  <c r="M968" i="9" s="1"/>
  <c r="K969" i="9" a="1"/>
  <c r="K969" i="9" s="1"/>
  <c r="L969" i="9" s="1"/>
  <c r="M969" i="9" s="1"/>
  <c r="K970" i="9" a="1"/>
  <c r="K970" i="9" s="1"/>
  <c r="L970" i="9" s="1"/>
  <c r="M970" i="9" s="1"/>
  <c r="K971" i="9" a="1"/>
  <c r="K971" i="9" s="1"/>
  <c r="L971" i="9" s="1"/>
  <c r="M971" i="9" s="1"/>
  <c r="K972" i="9" a="1"/>
  <c r="K972" i="9" s="1"/>
  <c r="L972" i="9" s="1"/>
  <c r="M972" i="9" s="1"/>
  <c r="K973" i="9" a="1"/>
  <c r="K973" i="9" s="1"/>
  <c r="L973" i="9" s="1"/>
  <c r="M973" i="9" s="1"/>
  <c r="K974" i="9" a="1"/>
  <c r="K974" i="9" s="1"/>
  <c r="L974" i="9" s="1"/>
  <c r="M974" i="9" s="1"/>
  <c r="K975" i="9" a="1"/>
  <c r="K975" i="9" s="1"/>
  <c r="L975" i="9" s="1"/>
  <c r="M975" i="9" s="1"/>
  <c r="K976" i="9" a="1"/>
  <c r="K976" i="9" s="1"/>
  <c r="L976" i="9" s="1"/>
  <c r="M976" i="9" s="1"/>
  <c r="K977" i="9" a="1"/>
  <c r="K977" i="9" s="1"/>
  <c r="L977" i="9" s="1"/>
  <c r="M977" i="9" s="1"/>
  <c r="K978" i="9" a="1"/>
  <c r="K978" i="9" s="1"/>
  <c r="L978" i="9" s="1"/>
  <c r="M978" i="9" s="1"/>
  <c r="K979" i="9" a="1"/>
  <c r="K979" i="9" s="1"/>
  <c r="L979" i="9" s="1"/>
  <c r="M979" i="9" s="1"/>
  <c r="K980" i="9" a="1"/>
  <c r="K980" i="9" s="1"/>
  <c r="L980" i="9" s="1"/>
  <c r="M980" i="9" s="1"/>
  <c r="K981" i="9" a="1"/>
  <c r="K981" i="9" s="1"/>
  <c r="L981" i="9" s="1"/>
  <c r="M981" i="9" s="1"/>
  <c r="K982" i="9" a="1"/>
  <c r="K982" i="9" s="1"/>
  <c r="L982" i="9" s="1"/>
  <c r="M982" i="9" s="1"/>
  <c r="K983" i="9" a="1"/>
  <c r="K983" i="9" s="1"/>
  <c r="L983" i="9" s="1"/>
  <c r="M983" i="9" s="1"/>
  <c r="K984" i="9" a="1"/>
  <c r="K984" i="9" s="1"/>
  <c r="L984" i="9" s="1"/>
  <c r="M984" i="9" s="1"/>
  <c r="K985" i="9" a="1"/>
  <c r="K985" i="9" s="1"/>
  <c r="L985" i="9" s="1"/>
  <c r="M985" i="9" s="1"/>
  <c r="K986" i="9" a="1"/>
  <c r="K986" i="9" s="1"/>
  <c r="L986" i="9" s="1"/>
  <c r="M986" i="9" s="1"/>
  <c r="K987" i="9" a="1"/>
  <c r="K987" i="9" s="1"/>
  <c r="L987" i="9" s="1"/>
  <c r="M987" i="9" s="1"/>
  <c r="K988" i="9" a="1"/>
  <c r="K988" i="9" s="1"/>
  <c r="L988" i="9" s="1"/>
  <c r="M988" i="9" s="1"/>
  <c r="K989" i="9" a="1"/>
  <c r="K989" i="9" s="1"/>
  <c r="L989" i="9" s="1"/>
  <c r="M989" i="9" s="1"/>
  <c r="K990" i="9" a="1"/>
  <c r="K990" i="9" s="1"/>
  <c r="L990" i="9" s="1"/>
  <c r="M990" i="9" s="1"/>
  <c r="K991" i="9" a="1"/>
  <c r="K991" i="9" s="1"/>
  <c r="L991" i="9" s="1"/>
  <c r="M991" i="9" s="1"/>
  <c r="K992" i="9" a="1"/>
  <c r="K992" i="9" s="1"/>
  <c r="L992" i="9" s="1"/>
  <c r="M992" i="9" s="1"/>
  <c r="K993" i="9" a="1"/>
  <c r="K993" i="9" s="1"/>
  <c r="L993" i="9" s="1"/>
  <c r="M993" i="9" s="1"/>
  <c r="K994" i="9" a="1"/>
  <c r="K994" i="9" s="1"/>
  <c r="L994" i="9" s="1"/>
  <c r="M994" i="9" s="1"/>
  <c r="K995" i="9" a="1"/>
  <c r="K995" i="9" s="1"/>
  <c r="L995" i="9" s="1"/>
  <c r="M995" i="9" s="1"/>
  <c r="K996" i="9" a="1"/>
  <c r="K996" i="9" s="1"/>
  <c r="L996" i="9" s="1"/>
  <c r="M996" i="9" s="1"/>
  <c r="K997" i="9" a="1"/>
  <c r="K997" i="9" s="1"/>
  <c r="L997" i="9" s="1"/>
  <c r="M997" i="9" s="1"/>
  <c r="K998" i="9" a="1"/>
  <c r="K998" i="9" s="1"/>
  <c r="L998" i="9" s="1"/>
  <c r="M998" i="9" s="1"/>
  <c r="K999" i="9" a="1"/>
  <c r="K999" i="9" s="1"/>
  <c r="L999" i="9" s="1"/>
  <c r="M999" i="9" s="1"/>
  <c r="K1000" i="9" a="1"/>
  <c r="K1000" i="9" s="1"/>
  <c r="L1000" i="9" s="1"/>
  <c r="M1000" i="9" s="1"/>
  <c r="K1001" i="9" a="1"/>
  <c r="K1001" i="9" s="1"/>
  <c r="L1001" i="9" s="1"/>
  <c r="M1001" i="9" s="1"/>
  <c r="K1002" i="9" a="1"/>
  <c r="K1002" i="9" s="1"/>
  <c r="L1002" i="9" s="1"/>
  <c r="M1002" i="9" s="1"/>
  <c r="K1003" i="9" a="1"/>
  <c r="K1003" i="9" s="1"/>
  <c r="L1003" i="9" s="1"/>
  <c r="M1003" i="9" s="1"/>
  <c r="K1004" i="9" a="1"/>
  <c r="K1004" i="9" s="1"/>
  <c r="L1004" i="9" s="1"/>
  <c r="M1004" i="9" s="1"/>
  <c r="K1005" i="9" a="1"/>
  <c r="K1005" i="9" s="1"/>
  <c r="L1005" i="9" s="1"/>
  <c r="M1005" i="9" s="1"/>
  <c r="K1006" i="9" a="1"/>
  <c r="K1006" i="9" s="1"/>
  <c r="L1006" i="9" s="1"/>
  <c r="M1006" i="9" s="1"/>
  <c r="K1007" i="9" a="1"/>
  <c r="K1007" i="9" s="1"/>
  <c r="L1007" i="9" s="1"/>
  <c r="M1007" i="9" s="1"/>
  <c r="K1008" i="9" a="1"/>
  <c r="K1008" i="9" s="1"/>
  <c r="L1008" i="9" s="1"/>
  <c r="M1008" i="9" s="1"/>
  <c r="K1009" i="9" a="1"/>
  <c r="K1009" i="9" s="1"/>
  <c r="L1009" i="9" s="1"/>
  <c r="M1009" i="9" s="1"/>
  <c r="K1010" i="9" a="1"/>
  <c r="K1010" i="9" s="1"/>
  <c r="L1010" i="9" s="1"/>
  <c r="M1010" i="9" s="1"/>
  <c r="K1011" i="9" a="1"/>
  <c r="K1011" i="9" s="1"/>
  <c r="L1011" i="9" s="1"/>
  <c r="M1011" i="9" s="1"/>
  <c r="K1012" i="9" a="1"/>
  <c r="K1012" i="9" s="1"/>
  <c r="L1012" i="9" s="1"/>
  <c r="M1012" i="9" s="1"/>
  <c r="K1013" i="9" a="1"/>
  <c r="K1013" i="9" s="1"/>
  <c r="L1013" i="9" s="1"/>
  <c r="M1013" i="9" s="1"/>
  <c r="K1014" i="9" a="1"/>
  <c r="K1014" i="9" s="1"/>
  <c r="L1014" i="9" s="1"/>
  <c r="M1014" i="9" s="1"/>
  <c r="K1015" i="9" a="1"/>
  <c r="K1015" i="9" s="1"/>
  <c r="L1015" i="9" s="1"/>
  <c r="M1015" i="9" s="1"/>
  <c r="K1016" i="9" a="1"/>
  <c r="K1016" i="9" s="1"/>
  <c r="L1016" i="9" s="1"/>
  <c r="M1016" i="9" s="1"/>
  <c r="K1017" i="9" a="1"/>
  <c r="K1017" i="9" s="1"/>
  <c r="L1017" i="9" s="1"/>
  <c r="M1017" i="9" s="1"/>
  <c r="K1018" i="9" a="1"/>
  <c r="K1018" i="9" s="1"/>
  <c r="L1018" i="9" s="1"/>
  <c r="M1018" i="9" s="1"/>
  <c r="K1019" i="9" a="1"/>
  <c r="K1019" i="9" s="1"/>
  <c r="L1019" i="9" s="1"/>
  <c r="M1019" i="9" s="1"/>
  <c r="K1020" i="9" a="1"/>
  <c r="K1020" i="9" s="1"/>
  <c r="L1020" i="9" s="1"/>
  <c r="M1020" i="9" s="1"/>
  <c r="K1021" i="9" a="1"/>
  <c r="K1021" i="9" s="1"/>
  <c r="L1021" i="9" s="1"/>
  <c r="M1021" i="9" s="1"/>
  <c r="K1022" i="9" a="1"/>
  <c r="K1022" i="9" s="1"/>
  <c r="L1022" i="9" s="1"/>
  <c r="M1022" i="9" s="1"/>
  <c r="K1023" i="9" a="1"/>
  <c r="K1023" i="9" s="1"/>
  <c r="L1023" i="9" s="1"/>
  <c r="M1023" i="9" s="1"/>
  <c r="K1024" i="9" a="1"/>
  <c r="K1024" i="9" s="1"/>
  <c r="L1024" i="9" s="1"/>
  <c r="M1024" i="9" s="1"/>
  <c r="K1025" i="9" a="1"/>
  <c r="K1025" i="9" s="1"/>
  <c r="L1025" i="9" s="1"/>
  <c r="M1025" i="9" s="1"/>
  <c r="K1026" i="9" a="1"/>
  <c r="K1026" i="9" s="1"/>
  <c r="L1026" i="9" s="1"/>
  <c r="M1026" i="9" s="1"/>
  <c r="K1027" i="9" a="1"/>
  <c r="K1027" i="9" s="1"/>
  <c r="L1027" i="9" s="1"/>
  <c r="M1027" i="9" s="1"/>
  <c r="K1028" i="9" a="1"/>
  <c r="K1028" i="9" s="1"/>
  <c r="L1028" i="9" s="1"/>
  <c r="M1028" i="9" s="1"/>
  <c r="K1029" i="9" a="1"/>
  <c r="K1029" i="9" s="1"/>
  <c r="L1029" i="9" s="1"/>
  <c r="M1029" i="9" s="1"/>
  <c r="K1030" i="9" a="1"/>
  <c r="K1030" i="9" s="1"/>
  <c r="L1030" i="9" s="1"/>
  <c r="M1030" i="9" s="1"/>
  <c r="K1031" i="9" a="1"/>
  <c r="K1031" i="9" s="1"/>
  <c r="L1031" i="9" s="1"/>
  <c r="M1031" i="9" s="1"/>
  <c r="K1032" i="9" a="1"/>
  <c r="K1032" i="9" s="1"/>
  <c r="L1032" i="9" s="1"/>
  <c r="M1032" i="9" s="1"/>
  <c r="K1033" i="9" a="1"/>
  <c r="K1033" i="9" s="1"/>
  <c r="L1033" i="9" s="1"/>
  <c r="M1033" i="9" s="1"/>
  <c r="K1034" i="9" a="1"/>
  <c r="K1034" i="9" s="1"/>
  <c r="L1034" i="9" s="1"/>
  <c r="M1034" i="9" s="1"/>
  <c r="K1035" i="9" a="1"/>
  <c r="K1035" i="9" s="1"/>
  <c r="L1035" i="9" s="1"/>
  <c r="M1035" i="9" s="1"/>
  <c r="K1036" i="9" a="1"/>
  <c r="K1036" i="9" s="1"/>
  <c r="L1036" i="9" s="1"/>
  <c r="M1036" i="9" s="1"/>
  <c r="K1037" i="9" a="1"/>
  <c r="K1037" i="9" s="1"/>
  <c r="L1037" i="9" s="1"/>
  <c r="M1037" i="9" s="1"/>
  <c r="K1038" i="9" a="1"/>
  <c r="K1038" i="9" s="1"/>
  <c r="L1038" i="9" s="1"/>
  <c r="M1038" i="9" s="1"/>
  <c r="K1039" i="9" a="1"/>
  <c r="K1039" i="9" s="1"/>
  <c r="L1039" i="9" s="1"/>
  <c r="M1039" i="9" s="1"/>
  <c r="K1040" i="9" a="1"/>
  <c r="K1040" i="9" s="1"/>
  <c r="L1040" i="9" s="1"/>
  <c r="M1040" i="9" s="1"/>
  <c r="K1041" i="9" a="1"/>
  <c r="K1041" i="9" s="1"/>
  <c r="L1041" i="9" s="1"/>
  <c r="M1041" i="9" s="1"/>
  <c r="K1042" i="9" a="1"/>
  <c r="K1042" i="9" s="1"/>
  <c r="L1042" i="9" s="1"/>
  <c r="M1042" i="9" s="1"/>
  <c r="K1043" i="9" a="1"/>
  <c r="K1043" i="9" s="1"/>
  <c r="L1043" i="9" s="1"/>
  <c r="M1043" i="9" s="1"/>
  <c r="K1044" i="9" a="1"/>
  <c r="K1044" i="9" s="1"/>
  <c r="L1044" i="9" s="1"/>
  <c r="M1044" i="9" s="1"/>
  <c r="K1045" i="9" a="1"/>
  <c r="K1045" i="9" s="1"/>
  <c r="L1045" i="9" s="1"/>
  <c r="M1045" i="9" s="1"/>
  <c r="K1046" i="9" a="1"/>
  <c r="K1046" i="9" s="1"/>
  <c r="L1046" i="9" s="1"/>
  <c r="M1046" i="9" s="1"/>
  <c r="K1047" i="9" a="1"/>
  <c r="K1047" i="9" s="1"/>
  <c r="L1047" i="9" s="1"/>
  <c r="M1047" i="9" s="1"/>
  <c r="K1048" i="9" a="1"/>
  <c r="K1048" i="9" s="1"/>
  <c r="L1048" i="9" s="1"/>
  <c r="M1048" i="9" s="1"/>
  <c r="K1049" i="9" a="1"/>
  <c r="K1049" i="9" s="1"/>
  <c r="L1049" i="9" s="1"/>
  <c r="M1049" i="9" s="1"/>
  <c r="K1050" i="9" a="1"/>
  <c r="K1050" i="9" s="1"/>
  <c r="L1050" i="9" s="1"/>
  <c r="M1050" i="9" s="1"/>
  <c r="K1051" i="9" a="1"/>
  <c r="K1051" i="9" s="1"/>
  <c r="L1051" i="9" s="1"/>
  <c r="M1051" i="9" s="1"/>
  <c r="K1052" i="9" a="1"/>
  <c r="K1052" i="9" s="1"/>
  <c r="L1052" i="9" s="1"/>
  <c r="M1052" i="9" s="1"/>
  <c r="K1053" i="9" a="1"/>
  <c r="K1053" i="9" s="1"/>
  <c r="L1053" i="9" s="1"/>
  <c r="M1053" i="9" s="1"/>
  <c r="K1054" i="9" a="1"/>
  <c r="K1054" i="9" s="1"/>
  <c r="L1054" i="9" s="1"/>
  <c r="M1054" i="9" s="1"/>
  <c r="K1055" i="9" a="1"/>
  <c r="K1055" i="9" s="1"/>
  <c r="L1055" i="9" s="1"/>
  <c r="M1055" i="9" s="1"/>
  <c r="K1056" i="9" a="1"/>
  <c r="K1056" i="9" s="1"/>
  <c r="L1056" i="9" s="1"/>
  <c r="M1056" i="9" s="1"/>
  <c r="K1057" i="9" a="1"/>
  <c r="K1057" i="9" s="1"/>
  <c r="L1057" i="9" s="1"/>
  <c r="M1057" i="9" s="1"/>
  <c r="K1058" i="9" a="1"/>
  <c r="K1058" i="9" s="1"/>
  <c r="L1058" i="9" s="1"/>
  <c r="M1058" i="9" s="1"/>
  <c r="K1059" i="9" a="1"/>
  <c r="K1059" i="9" s="1"/>
  <c r="L1059" i="9" s="1"/>
  <c r="M1059" i="9" s="1"/>
  <c r="K1060" i="9" a="1"/>
  <c r="K1060" i="9" s="1"/>
  <c r="L1060" i="9" s="1"/>
  <c r="M1060" i="9" s="1"/>
  <c r="K1061" i="9" a="1"/>
  <c r="K1061" i="9" s="1"/>
  <c r="L1061" i="9" s="1"/>
  <c r="M1061" i="9" s="1"/>
  <c r="K1062" i="9" a="1"/>
  <c r="K1062" i="9" s="1"/>
  <c r="L1062" i="9" s="1"/>
  <c r="M1062" i="9" s="1"/>
  <c r="K1063" i="9" a="1"/>
  <c r="K1063" i="9" s="1"/>
  <c r="L1063" i="9" s="1"/>
  <c r="M1063" i="9" s="1"/>
  <c r="K1064" i="9" a="1"/>
  <c r="K1064" i="9" s="1"/>
  <c r="L1064" i="9" s="1"/>
  <c r="M1064" i="9" s="1"/>
  <c r="K1065" i="9" a="1"/>
  <c r="K1065" i="9" s="1"/>
  <c r="L1065" i="9" s="1"/>
  <c r="M1065" i="9" s="1"/>
  <c r="K1066" i="9" a="1"/>
  <c r="K1066" i="9" s="1"/>
  <c r="L1066" i="9" s="1"/>
  <c r="M1066" i="9" s="1"/>
  <c r="K1067" i="9" a="1"/>
  <c r="K1067" i="9" s="1"/>
  <c r="L1067" i="9" s="1"/>
  <c r="M1067" i="9" s="1"/>
  <c r="K1068" i="9" a="1"/>
  <c r="K1068" i="9" s="1"/>
  <c r="L1068" i="9" s="1"/>
  <c r="M1068" i="9" s="1"/>
  <c r="K1069" i="9" a="1"/>
  <c r="K1069" i="9" s="1"/>
  <c r="L1069" i="9" s="1"/>
  <c r="M1069" i="9" s="1"/>
  <c r="K1070" i="9" a="1"/>
  <c r="K1070" i="9" s="1"/>
  <c r="L1070" i="9" s="1"/>
  <c r="M1070" i="9" s="1"/>
  <c r="K1071" i="9" a="1"/>
  <c r="K1071" i="9" s="1"/>
  <c r="L1071" i="9" s="1"/>
  <c r="M1071" i="9" s="1"/>
  <c r="K1072" i="9" a="1"/>
  <c r="K1072" i="9" s="1"/>
  <c r="L1072" i="9" s="1"/>
  <c r="M1072" i="9" s="1"/>
  <c r="K1073" i="9" a="1"/>
  <c r="K1073" i="9" s="1"/>
  <c r="L1073" i="9" s="1"/>
  <c r="M1073" i="9" s="1"/>
  <c r="K1074" i="9" a="1"/>
  <c r="K1074" i="9" s="1"/>
  <c r="L1074" i="9" s="1"/>
  <c r="M1074" i="9" s="1"/>
  <c r="K1075" i="9" a="1"/>
  <c r="K1075" i="9" s="1"/>
  <c r="L1075" i="9" s="1"/>
  <c r="M1075" i="9" s="1"/>
  <c r="K1076" i="9" a="1"/>
  <c r="K1076" i="9" s="1"/>
  <c r="L1076" i="9" s="1"/>
  <c r="M1076" i="9" s="1"/>
  <c r="K1077" i="9" a="1"/>
  <c r="K1077" i="9" s="1"/>
  <c r="L1077" i="9" s="1"/>
  <c r="M1077" i="9" s="1"/>
  <c r="K1078" i="9" a="1"/>
  <c r="K1078" i="9" s="1"/>
  <c r="L1078" i="9" s="1"/>
  <c r="M1078" i="9" s="1"/>
  <c r="K1079" i="9" a="1"/>
  <c r="K1079" i="9" s="1"/>
  <c r="L1079" i="9" s="1"/>
  <c r="M1079" i="9" s="1"/>
  <c r="K1080" i="9" a="1"/>
  <c r="K1080" i="9" s="1"/>
  <c r="L1080" i="9" s="1"/>
  <c r="M1080" i="9" s="1"/>
  <c r="K1081" i="9" a="1"/>
  <c r="K1081" i="9" s="1"/>
  <c r="L1081" i="9" s="1"/>
  <c r="M1081" i="9" s="1"/>
  <c r="K1082" i="9" a="1"/>
  <c r="K1082" i="9" s="1"/>
  <c r="L1082" i="9" s="1"/>
  <c r="M1082" i="9" s="1"/>
  <c r="K1083" i="9" a="1"/>
  <c r="K1083" i="9" s="1"/>
  <c r="L1083" i="9" s="1"/>
  <c r="M1083" i="9" s="1"/>
  <c r="K1084" i="9" a="1"/>
  <c r="K1084" i="9" s="1"/>
  <c r="L1084" i="9" s="1"/>
  <c r="M1084" i="9" s="1"/>
  <c r="K1085" i="9" a="1"/>
  <c r="K1085" i="9" s="1"/>
  <c r="L1085" i="9" s="1"/>
  <c r="M1085" i="9" s="1"/>
  <c r="K1086" i="9" a="1"/>
  <c r="K1086" i="9" s="1"/>
  <c r="L1086" i="9" s="1"/>
  <c r="M1086" i="9" s="1"/>
  <c r="K1087" i="9" a="1"/>
  <c r="K1087" i="9" s="1"/>
  <c r="L1087" i="9" s="1"/>
  <c r="M1087" i="9" s="1"/>
  <c r="K1088" i="9" a="1"/>
  <c r="K1088" i="9" s="1"/>
  <c r="L1088" i="9" s="1"/>
  <c r="M1088" i="9" s="1"/>
  <c r="K1089" i="9" a="1"/>
  <c r="K1089" i="9" s="1"/>
  <c r="L1089" i="9" s="1"/>
  <c r="M1089" i="9" s="1"/>
  <c r="K1090" i="9" a="1"/>
  <c r="K1090" i="9" s="1"/>
  <c r="L1090" i="9" s="1"/>
  <c r="M1090" i="9" s="1"/>
  <c r="K1091" i="9" a="1"/>
  <c r="K1091" i="9" s="1"/>
  <c r="L1091" i="9" s="1"/>
  <c r="M1091" i="9" s="1"/>
  <c r="K1092" i="9" a="1"/>
  <c r="K1092" i="9" s="1"/>
  <c r="L1092" i="9" s="1"/>
  <c r="M1092" i="9" s="1"/>
  <c r="K1093" i="9" a="1"/>
  <c r="K1093" i="9" s="1"/>
  <c r="L1093" i="9" s="1"/>
  <c r="M1093" i="9" s="1"/>
  <c r="K1094" i="9" a="1"/>
  <c r="K1094" i="9" s="1"/>
  <c r="L1094" i="9" s="1"/>
  <c r="M1094" i="9" s="1"/>
  <c r="K1095" i="9" a="1"/>
  <c r="K1095" i="9" s="1"/>
  <c r="L1095" i="9" s="1"/>
  <c r="M1095" i="9" s="1"/>
  <c r="K1096" i="9" a="1"/>
  <c r="K1096" i="9" s="1"/>
  <c r="L1096" i="9" s="1"/>
  <c r="M1096" i="9" s="1"/>
  <c r="K1097" i="9" a="1"/>
  <c r="K1097" i="9" s="1"/>
  <c r="L1097" i="9" s="1"/>
  <c r="M1097" i="9" s="1"/>
  <c r="K1098" i="9" a="1"/>
  <c r="K1098" i="9" s="1"/>
  <c r="L1098" i="9" s="1"/>
  <c r="M1098" i="9" s="1"/>
  <c r="K1099" i="9" a="1"/>
  <c r="K1099" i="9" s="1"/>
  <c r="L1099" i="9" s="1"/>
  <c r="M1099" i="9" s="1"/>
  <c r="K1100" i="9" a="1"/>
  <c r="K1100" i="9" s="1"/>
  <c r="L1100" i="9" s="1"/>
  <c r="M1100" i="9" s="1"/>
  <c r="K1101" i="9" a="1"/>
  <c r="K1101" i="9" s="1"/>
  <c r="L1101" i="9" s="1"/>
  <c r="M1101" i="9" s="1"/>
  <c r="K1102" i="9" a="1"/>
  <c r="K1102" i="9" s="1"/>
  <c r="L1102" i="9" s="1"/>
  <c r="M1102" i="9" s="1"/>
  <c r="K1103" i="9" a="1"/>
  <c r="K1103" i="9" s="1"/>
  <c r="L1103" i="9" s="1"/>
  <c r="M1103" i="9" s="1"/>
  <c r="K1104" i="9" a="1"/>
  <c r="K1104" i="9" s="1"/>
  <c r="L1104" i="9" s="1"/>
  <c r="M1104" i="9" s="1"/>
  <c r="K169" i="9" a="1"/>
  <c r="K169" i="9" s="1"/>
  <c r="L169" i="9" s="1"/>
  <c r="M169" i="9" s="1"/>
  <c r="H170" i="9" a="1"/>
  <c r="H170" i="9" s="1"/>
  <c r="I170" i="9" s="1"/>
  <c r="J170" i="9" s="1"/>
  <c r="H171" i="9" a="1"/>
  <c r="H171" i="9" s="1"/>
  <c r="I171" i="9" s="1"/>
  <c r="J171" i="9" s="1"/>
  <c r="H172" i="9" a="1"/>
  <c r="H172" i="9" s="1"/>
  <c r="I172" i="9" s="1"/>
  <c r="J172" i="9" s="1"/>
  <c r="H173" i="9" a="1"/>
  <c r="H173" i="9" s="1"/>
  <c r="I173" i="9" s="1"/>
  <c r="J173" i="9" s="1"/>
  <c r="H174" i="9" a="1"/>
  <c r="H174" i="9" s="1"/>
  <c r="I174" i="9" s="1"/>
  <c r="J174" i="9" s="1"/>
  <c r="H175" i="9" a="1"/>
  <c r="H175" i="9" s="1"/>
  <c r="I175" i="9" s="1"/>
  <c r="J175" i="9" s="1"/>
  <c r="H176" i="9" a="1"/>
  <c r="H176" i="9" s="1"/>
  <c r="I176" i="9" s="1"/>
  <c r="J176" i="9" s="1"/>
  <c r="H177" i="9" a="1"/>
  <c r="H177" i="9" s="1"/>
  <c r="I177" i="9" s="1"/>
  <c r="J177" i="9" s="1"/>
  <c r="H178" i="9" a="1"/>
  <c r="H178" i="9" s="1"/>
  <c r="I178" i="9" s="1"/>
  <c r="J178" i="9" s="1"/>
  <c r="H179" i="9" a="1"/>
  <c r="H179" i="9" s="1"/>
  <c r="I179" i="9" s="1"/>
  <c r="J179" i="9" s="1"/>
  <c r="H180" i="9" a="1"/>
  <c r="H180" i="9" s="1"/>
  <c r="I180" i="9" s="1"/>
  <c r="J180" i="9" s="1"/>
  <c r="H181" i="9" a="1"/>
  <c r="H181" i="9" s="1"/>
  <c r="I181" i="9" s="1"/>
  <c r="J181" i="9" s="1"/>
  <c r="H182" i="9" a="1"/>
  <c r="H182" i="9" s="1"/>
  <c r="I182" i="9" s="1"/>
  <c r="J182" i="9" s="1"/>
  <c r="H183" i="9" a="1"/>
  <c r="H183" i="9" s="1"/>
  <c r="I183" i="9" s="1"/>
  <c r="J183" i="9" s="1"/>
  <c r="H184" i="9" a="1"/>
  <c r="H184" i="9" s="1"/>
  <c r="I184" i="9" s="1"/>
  <c r="J184" i="9" s="1"/>
  <c r="H185" i="9" a="1"/>
  <c r="H185" i="9" s="1"/>
  <c r="I185" i="9" s="1"/>
  <c r="J185" i="9" s="1"/>
  <c r="H186" i="9" a="1"/>
  <c r="H186" i="9" s="1"/>
  <c r="I186" i="9" s="1"/>
  <c r="J186" i="9" s="1"/>
  <c r="H187" i="9" a="1"/>
  <c r="H187" i="9" s="1"/>
  <c r="I187" i="9" s="1"/>
  <c r="J187" i="9" s="1"/>
  <c r="H188" i="9" a="1"/>
  <c r="H188" i="9" s="1"/>
  <c r="I188" i="9" s="1"/>
  <c r="J188" i="9" s="1"/>
  <c r="H189" i="9" a="1"/>
  <c r="H189" i="9" s="1"/>
  <c r="I189" i="9" s="1"/>
  <c r="J189" i="9" s="1"/>
  <c r="H190" i="9" a="1"/>
  <c r="H190" i="9" s="1"/>
  <c r="I190" i="9" s="1"/>
  <c r="J190" i="9" s="1"/>
  <c r="H191" i="9" a="1"/>
  <c r="H191" i="9" s="1"/>
  <c r="I191" i="9" s="1"/>
  <c r="J191" i="9" s="1"/>
  <c r="H192" i="9" a="1"/>
  <c r="H192" i="9" s="1"/>
  <c r="I192" i="9" s="1"/>
  <c r="J192" i="9" s="1"/>
  <c r="H193" i="9" a="1"/>
  <c r="H193" i="9" s="1"/>
  <c r="I193" i="9" s="1"/>
  <c r="J193" i="9" s="1"/>
  <c r="H194" i="9" a="1"/>
  <c r="H194" i="9" s="1"/>
  <c r="I194" i="9" s="1"/>
  <c r="J194" i="9" s="1"/>
  <c r="H195" i="9" a="1"/>
  <c r="H195" i="9" s="1"/>
  <c r="I195" i="9" s="1"/>
  <c r="J195" i="9" s="1"/>
  <c r="H196" i="9" a="1"/>
  <c r="H196" i="9" s="1"/>
  <c r="I196" i="9" s="1"/>
  <c r="J196" i="9" s="1"/>
  <c r="H197" i="9" a="1"/>
  <c r="H197" i="9" s="1"/>
  <c r="I197" i="9" s="1"/>
  <c r="J197" i="9" s="1"/>
  <c r="H198" i="9" a="1"/>
  <c r="H198" i="9" s="1"/>
  <c r="I198" i="9" s="1"/>
  <c r="J198" i="9" s="1"/>
  <c r="H199" i="9" a="1"/>
  <c r="H199" i="9" s="1"/>
  <c r="I199" i="9" s="1"/>
  <c r="J199" i="9" s="1"/>
  <c r="H200" i="9" a="1"/>
  <c r="H200" i="9" s="1"/>
  <c r="I200" i="9" s="1"/>
  <c r="J200" i="9" s="1"/>
  <c r="H201" i="9" a="1"/>
  <c r="H201" i="9" s="1"/>
  <c r="I201" i="9" s="1"/>
  <c r="J201" i="9" s="1"/>
  <c r="H202" i="9" a="1"/>
  <c r="H202" i="9" s="1"/>
  <c r="I202" i="9" s="1"/>
  <c r="J202" i="9" s="1"/>
  <c r="H203" i="9" a="1"/>
  <c r="H203" i="9" s="1"/>
  <c r="I203" i="9" s="1"/>
  <c r="J203" i="9" s="1"/>
  <c r="H204" i="9" a="1"/>
  <c r="H204" i="9" s="1"/>
  <c r="I204" i="9" s="1"/>
  <c r="J204" i="9" s="1"/>
  <c r="H205" i="9" a="1"/>
  <c r="H205" i="9" s="1"/>
  <c r="I205" i="9" s="1"/>
  <c r="J205" i="9" s="1"/>
  <c r="H206" i="9" a="1"/>
  <c r="H206" i="9" s="1"/>
  <c r="I206" i="9" s="1"/>
  <c r="J206" i="9" s="1"/>
  <c r="H207" i="9" a="1"/>
  <c r="H207" i="9" s="1"/>
  <c r="I207" i="9" s="1"/>
  <c r="J207" i="9" s="1"/>
  <c r="H208" i="9" a="1"/>
  <c r="H208" i="9" s="1"/>
  <c r="I208" i="9" s="1"/>
  <c r="J208" i="9" s="1"/>
  <c r="H209" i="9" a="1"/>
  <c r="H209" i="9" s="1"/>
  <c r="I209" i="9" s="1"/>
  <c r="J209" i="9" s="1"/>
  <c r="H210" i="9" a="1"/>
  <c r="H210" i="9" s="1"/>
  <c r="I210" i="9" s="1"/>
  <c r="J210" i="9" s="1"/>
  <c r="H211" i="9" a="1"/>
  <c r="H211" i="9" s="1"/>
  <c r="I211" i="9" s="1"/>
  <c r="J211" i="9" s="1"/>
  <c r="H212" i="9" a="1"/>
  <c r="H212" i="9" s="1"/>
  <c r="I212" i="9" s="1"/>
  <c r="J212" i="9" s="1"/>
  <c r="H213" i="9" a="1"/>
  <c r="H213" i="9" s="1"/>
  <c r="I213" i="9" s="1"/>
  <c r="J213" i="9" s="1"/>
  <c r="H214" i="9" a="1"/>
  <c r="H214" i="9" s="1"/>
  <c r="I214" i="9" s="1"/>
  <c r="J214" i="9" s="1"/>
  <c r="H215" i="9" a="1"/>
  <c r="H215" i="9" s="1"/>
  <c r="I215" i="9" s="1"/>
  <c r="J215" i="9" s="1"/>
  <c r="H216" i="9" a="1"/>
  <c r="H216" i="9" s="1"/>
  <c r="I216" i="9" s="1"/>
  <c r="J216" i="9" s="1"/>
  <c r="H217" i="9" a="1"/>
  <c r="H217" i="9" s="1"/>
  <c r="I217" i="9" s="1"/>
  <c r="J217" i="9" s="1"/>
  <c r="H218" i="9" a="1"/>
  <c r="H218" i="9" s="1"/>
  <c r="I218" i="9" s="1"/>
  <c r="J218" i="9" s="1"/>
  <c r="H219" i="9" a="1"/>
  <c r="H219" i="9" s="1"/>
  <c r="I219" i="9" s="1"/>
  <c r="J219" i="9" s="1"/>
  <c r="H220" i="9" a="1"/>
  <c r="H220" i="9" s="1"/>
  <c r="I220" i="9" s="1"/>
  <c r="J220" i="9" s="1"/>
  <c r="H221" i="9" a="1"/>
  <c r="H221" i="9" s="1"/>
  <c r="I221" i="9" s="1"/>
  <c r="J221" i="9" s="1"/>
  <c r="H222" i="9" a="1"/>
  <c r="H222" i="9" s="1"/>
  <c r="I222" i="9" s="1"/>
  <c r="J222" i="9" s="1"/>
  <c r="H223" i="9" a="1"/>
  <c r="H223" i="9" s="1"/>
  <c r="I223" i="9" s="1"/>
  <c r="J223" i="9" s="1"/>
  <c r="H224" i="9" a="1"/>
  <c r="H224" i="9" s="1"/>
  <c r="I224" i="9" s="1"/>
  <c r="J224" i="9" s="1"/>
  <c r="H225" i="9" a="1"/>
  <c r="H225" i="9" s="1"/>
  <c r="I225" i="9" s="1"/>
  <c r="J225" i="9" s="1"/>
  <c r="H226" i="9" a="1"/>
  <c r="H226" i="9" s="1"/>
  <c r="I226" i="9" s="1"/>
  <c r="J226" i="9" s="1"/>
  <c r="H227" i="9" a="1"/>
  <c r="H227" i="9" s="1"/>
  <c r="I227" i="9" s="1"/>
  <c r="J227" i="9" s="1"/>
  <c r="H228" i="9" a="1"/>
  <c r="H228" i="9" s="1"/>
  <c r="I228" i="9" s="1"/>
  <c r="J228" i="9" s="1"/>
  <c r="H229" i="9" a="1"/>
  <c r="H229" i="9" s="1"/>
  <c r="I229" i="9" s="1"/>
  <c r="J229" i="9" s="1"/>
  <c r="H230" i="9" a="1"/>
  <c r="H230" i="9" s="1"/>
  <c r="I230" i="9" s="1"/>
  <c r="J230" i="9" s="1"/>
  <c r="H231" i="9" a="1"/>
  <c r="H231" i="9" s="1"/>
  <c r="I231" i="9" s="1"/>
  <c r="J231" i="9" s="1"/>
  <c r="H232" i="9" a="1"/>
  <c r="H232" i="9" s="1"/>
  <c r="I232" i="9" s="1"/>
  <c r="J232" i="9" s="1"/>
  <c r="H233" i="9" a="1"/>
  <c r="H233" i="9" s="1"/>
  <c r="I233" i="9" s="1"/>
  <c r="J233" i="9" s="1"/>
  <c r="H234" i="9" a="1"/>
  <c r="H234" i="9" s="1"/>
  <c r="I234" i="9" s="1"/>
  <c r="J234" i="9" s="1"/>
  <c r="H235" i="9" a="1"/>
  <c r="H235" i="9" s="1"/>
  <c r="I235" i="9" s="1"/>
  <c r="J235" i="9" s="1"/>
  <c r="H236" i="9" a="1"/>
  <c r="H236" i="9" s="1"/>
  <c r="I236" i="9" s="1"/>
  <c r="J236" i="9" s="1"/>
  <c r="H237" i="9" a="1"/>
  <c r="H237" i="9" s="1"/>
  <c r="I237" i="9" s="1"/>
  <c r="J237" i="9" s="1"/>
  <c r="H238" i="9" a="1"/>
  <c r="H238" i="9" s="1"/>
  <c r="I238" i="9" s="1"/>
  <c r="J238" i="9" s="1"/>
  <c r="H239" i="9" a="1"/>
  <c r="H239" i="9" s="1"/>
  <c r="I239" i="9" s="1"/>
  <c r="J239" i="9" s="1"/>
  <c r="H240" i="9" a="1"/>
  <c r="H240" i="9" s="1"/>
  <c r="I240" i="9" s="1"/>
  <c r="J240" i="9" s="1"/>
  <c r="H241" i="9" a="1"/>
  <c r="H241" i="9" s="1"/>
  <c r="I241" i="9" s="1"/>
  <c r="J241" i="9" s="1"/>
  <c r="H242" i="9" a="1"/>
  <c r="H242" i="9" s="1"/>
  <c r="I242" i="9" s="1"/>
  <c r="J242" i="9" s="1"/>
  <c r="H243" i="9" a="1"/>
  <c r="H243" i="9" s="1"/>
  <c r="I243" i="9" s="1"/>
  <c r="J243" i="9" s="1"/>
  <c r="H244" i="9" a="1"/>
  <c r="H244" i="9" s="1"/>
  <c r="I244" i="9" s="1"/>
  <c r="J244" i="9" s="1"/>
  <c r="H245" i="9" a="1"/>
  <c r="H245" i="9" s="1"/>
  <c r="I245" i="9" s="1"/>
  <c r="J245" i="9" s="1"/>
  <c r="H246" i="9" a="1"/>
  <c r="H246" i="9" s="1"/>
  <c r="I246" i="9" s="1"/>
  <c r="J246" i="9" s="1"/>
  <c r="H247" i="9" a="1"/>
  <c r="H247" i="9" s="1"/>
  <c r="I247" i="9" s="1"/>
  <c r="J247" i="9" s="1"/>
  <c r="H248" i="9" a="1"/>
  <c r="H248" i="9" s="1"/>
  <c r="I248" i="9" s="1"/>
  <c r="J248" i="9" s="1"/>
  <c r="H249" i="9" a="1"/>
  <c r="H249" i="9" s="1"/>
  <c r="I249" i="9" s="1"/>
  <c r="J249" i="9" s="1"/>
  <c r="H250" i="9" a="1"/>
  <c r="H250" i="9" s="1"/>
  <c r="I250" i="9" s="1"/>
  <c r="J250" i="9" s="1"/>
  <c r="H251" i="9" a="1"/>
  <c r="H251" i="9" s="1"/>
  <c r="I251" i="9" s="1"/>
  <c r="J251" i="9" s="1"/>
  <c r="H252" i="9" a="1"/>
  <c r="H252" i="9" s="1"/>
  <c r="I252" i="9" s="1"/>
  <c r="J252" i="9" s="1"/>
  <c r="H253" i="9" a="1"/>
  <c r="H253" i="9" s="1"/>
  <c r="I253" i="9" s="1"/>
  <c r="J253" i="9" s="1"/>
  <c r="H254" i="9" a="1"/>
  <c r="H254" i="9" s="1"/>
  <c r="I254" i="9" s="1"/>
  <c r="J254" i="9" s="1"/>
  <c r="H255" i="9" a="1"/>
  <c r="H255" i="9" s="1"/>
  <c r="I255" i="9" s="1"/>
  <c r="J255" i="9" s="1"/>
  <c r="H256" i="9" a="1"/>
  <c r="H256" i="9" s="1"/>
  <c r="I256" i="9" s="1"/>
  <c r="J256" i="9" s="1"/>
  <c r="H257" i="9" a="1"/>
  <c r="H257" i="9" s="1"/>
  <c r="I257" i="9" s="1"/>
  <c r="J257" i="9" s="1"/>
  <c r="H258" i="9" a="1"/>
  <c r="H258" i="9" s="1"/>
  <c r="I258" i="9" s="1"/>
  <c r="J258" i="9" s="1"/>
  <c r="H259" i="9" a="1"/>
  <c r="H259" i="9" s="1"/>
  <c r="I259" i="9" s="1"/>
  <c r="J259" i="9" s="1"/>
  <c r="H260" i="9" a="1"/>
  <c r="H260" i="9" s="1"/>
  <c r="I260" i="9" s="1"/>
  <c r="J260" i="9" s="1"/>
  <c r="H261" i="9" a="1"/>
  <c r="H261" i="9" s="1"/>
  <c r="I261" i="9" s="1"/>
  <c r="J261" i="9" s="1"/>
  <c r="H262" i="9" a="1"/>
  <c r="H262" i="9" s="1"/>
  <c r="I262" i="9" s="1"/>
  <c r="J262" i="9" s="1"/>
  <c r="H263" i="9" a="1"/>
  <c r="H263" i="9" s="1"/>
  <c r="I263" i="9" s="1"/>
  <c r="J263" i="9" s="1"/>
  <c r="H264" i="9" a="1"/>
  <c r="H264" i="9" s="1"/>
  <c r="I264" i="9" s="1"/>
  <c r="J264" i="9" s="1"/>
  <c r="H265" i="9" a="1"/>
  <c r="H265" i="9" s="1"/>
  <c r="I265" i="9" s="1"/>
  <c r="J265" i="9" s="1"/>
  <c r="H266" i="9" a="1"/>
  <c r="H266" i="9" s="1"/>
  <c r="I266" i="9" s="1"/>
  <c r="J266" i="9" s="1"/>
  <c r="H267" i="9" a="1"/>
  <c r="H267" i="9" s="1"/>
  <c r="I267" i="9" s="1"/>
  <c r="J267" i="9" s="1"/>
  <c r="H268" i="9" a="1"/>
  <c r="H268" i="9" s="1"/>
  <c r="I268" i="9" s="1"/>
  <c r="J268" i="9" s="1"/>
  <c r="H269" i="9" a="1"/>
  <c r="H269" i="9" s="1"/>
  <c r="I269" i="9" s="1"/>
  <c r="J269" i="9" s="1"/>
  <c r="H270" i="9" a="1"/>
  <c r="H270" i="9" s="1"/>
  <c r="I270" i="9" s="1"/>
  <c r="J270" i="9" s="1"/>
  <c r="H271" i="9" a="1"/>
  <c r="H271" i="9" s="1"/>
  <c r="I271" i="9" s="1"/>
  <c r="J271" i="9" s="1"/>
  <c r="H272" i="9" a="1"/>
  <c r="H272" i="9" s="1"/>
  <c r="I272" i="9" s="1"/>
  <c r="J272" i="9" s="1"/>
  <c r="H273" i="9" a="1"/>
  <c r="H273" i="9" s="1"/>
  <c r="I273" i="9" s="1"/>
  <c r="J273" i="9" s="1"/>
  <c r="H274" i="9" a="1"/>
  <c r="H274" i="9" s="1"/>
  <c r="I274" i="9" s="1"/>
  <c r="J274" i="9" s="1"/>
  <c r="H275" i="9" a="1"/>
  <c r="H275" i="9" s="1"/>
  <c r="I275" i="9" s="1"/>
  <c r="J275" i="9" s="1"/>
  <c r="H276" i="9" a="1"/>
  <c r="H276" i="9" s="1"/>
  <c r="I276" i="9" s="1"/>
  <c r="J276" i="9" s="1"/>
  <c r="H277" i="9" a="1"/>
  <c r="H277" i="9" s="1"/>
  <c r="I277" i="9" s="1"/>
  <c r="J277" i="9" s="1"/>
  <c r="H278" i="9" a="1"/>
  <c r="H278" i="9" s="1"/>
  <c r="I278" i="9" s="1"/>
  <c r="J278" i="9" s="1"/>
  <c r="H279" i="9" a="1"/>
  <c r="H279" i="9" s="1"/>
  <c r="I279" i="9" s="1"/>
  <c r="J279" i="9" s="1"/>
  <c r="H280" i="9" a="1"/>
  <c r="H280" i="9" s="1"/>
  <c r="I280" i="9" s="1"/>
  <c r="J280" i="9" s="1"/>
  <c r="H281" i="9" a="1"/>
  <c r="H281" i="9" s="1"/>
  <c r="I281" i="9" s="1"/>
  <c r="J281" i="9" s="1"/>
  <c r="H282" i="9" a="1"/>
  <c r="H282" i="9" s="1"/>
  <c r="I282" i="9" s="1"/>
  <c r="J282" i="9" s="1"/>
  <c r="H283" i="9" a="1"/>
  <c r="H283" i="9" s="1"/>
  <c r="I283" i="9" s="1"/>
  <c r="J283" i="9" s="1"/>
  <c r="H284" i="9" a="1"/>
  <c r="H284" i="9" s="1"/>
  <c r="I284" i="9" s="1"/>
  <c r="J284" i="9" s="1"/>
  <c r="H285" i="9" a="1"/>
  <c r="H285" i="9" s="1"/>
  <c r="I285" i="9" s="1"/>
  <c r="J285" i="9" s="1"/>
  <c r="H286" i="9" a="1"/>
  <c r="H286" i="9" s="1"/>
  <c r="I286" i="9" s="1"/>
  <c r="J286" i="9" s="1"/>
  <c r="H287" i="9" a="1"/>
  <c r="H287" i="9" s="1"/>
  <c r="I287" i="9" s="1"/>
  <c r="J287" i="9" s="1"/>
  <c r="H288" i="9" a="1"/>
  <c r="H288" i="9" s="1"/>
  <c r="I288" i="9" s="1"/>
  <c r="J288" i="9" s="1"/>
  <c r="H289" i="9" a="1"/>
  <c r="H289" i="9" s="1"/>
  <c r="I289" i="9" s="1"/>
  <c r="J289" i="9" s="1"/>
  <c r="H290" i="9" a="1"/>
  <c r="H290" i="9" s="1"/>
  <c r="I290" i="9" s="1"/>
  <c r="J290" i="9" s="1"/>
  <c r="H291" i="9" a="1"/>
  <c r="H291" i="9" s="1"/>
  <c r="I291" i="9" s="1"/>
  <c r="J291" i="9" s="1"/>
  <c r="H292" i="9" a="1"/>
  <c r="H292" i="9" s="1"/>
  <c r="I292" i="9" s="1"/>
  <c r="J292" i="9" s="1"/>
  <c r="H293" i="9" a="1"/>
  <c r="H293" i="9" s="1"/>
  <c r="I293" i="9" s="1"/>
  <c r="J293" i="9" s="1"/>
  <c r="H294" i="9" a="1"/>
  <c r="H294" i="9" s="1"/>
  <c r="I294" i="9" s="1"/>
  <c r="J294" i="9" s="1"/>
  <c r="H295" i="9" a="1"/>
  <c r="H295" i="9" s="1"/>
  <c r="I295" i="9" s="1"/>
  <c r="J295" i="9" s="1"/>
  <c r="H296" i="9" a="1"/>
  <c r="H296" i="9" s="1"/>
  <c r="I296" i="9" s="1"/>
  <c r="J296" i="9" s="1"/>
  <c r="H297" i="9" a="1"/>
  <c r="H297" i="9" s="1"/>
  <c r="I297" i="9" s="1"/>
  <c r="J297" i="9" s="1"/>
  <c r="H298" i="9" a="1"/>
  <c r="H298" i="9" s="1"/>
  <c r="I298" i="9" s="1"/>
  <c r="J298" i="9" s="1"/>
  <c r="H299" i="9" a="1"/>
  <c r="H299" i="9" s="1"/>
  <c r="I299" i="9" s="1"/>
  <c r="J299" i="9" s="1"/>
  <c r="H300" i="9" a="1"/>
  <c r="H300" i="9" s="1"/>
  <c r="I300" i="9" s="1"/>
  <c r="J300" i="9" s="1"/>
  <c r="H301" i="9" a="1"/>
  <c r="H301" i="9" s="1"/>
  <c r="I301" i="9" s="1"/>
  <c r="J301" i="9" s="1"/>
  <c r="H302" i="9" a="1"/>
  <c r="H302" i="9" s="1"/>
  <c r="I302" i="9" s="1"/>
  <c r="J302" i="9" s="1"/>
  <c r="H303" i="9" a="1"/>
  <c r="H303" i="9" s="1"/>
  <c r="I303" i="9" s="1"/>
  <c r="J303" i="9" s="1"/>
  <c r="H304" i="9" a="1"/>
  <c r="H304" i="9" s="1"/>
  <c r="I304" i="9" s="1"/>
  <c r="J304" i="9" s="1"/>
  <c r="H305" i="9" a="1"/>
  <c r="H305" i="9" s="1"/>
  <c r="I305" i="9" s="1"/>
  <c r="J305" i="9" s="1"/>
  <c r="H306" i="9" a="1"/>
  <c r="H306" i="9" s="1"/>
  <c r="I306" i="9" s="1"/>
  <c r="J306" i="9" s="1"/>
  <c r="H307" i="9" a="1"/>
  <c r="H307" i="9" s="1"/>
  <c r="I307" i="9" s="1"/>
  <c r="J307" i="9" s="1"/>
  <c r="H308" i="9" a="1"/>
  <c r="H308" i="9" s="1"/>
  <c r="I308" i="9" s="1"/>
  <c r="J308" i="9" s="1"/>
  <c r="H309" i="9" a="1"/>
  <c r="H309" i="9" s="1"/>
  <c r="I309" i="9" s="1"/>
  <c r="J309" i="9" s="1"/>
  <c r="H310" i="9" a="1"/>
  <c r="H310" i="9" s="1"/>
  <c r="I310" i="9" s="1"/>
  <c r="J310" i="9" s="1"/>
  <c r="H311" i="9" a="1"/>
  <c r="H311" i="9" s="1"/>
  <c r="I311" i="9" s="1"/>
  <c r="J311" i="9" s="1"/>
  <c r="H312" i="9" a="1"/>
  <c r="H312" i="9" s="1"/>
  <c r="I312" i="9" s="1"/>
  <c r="J312" i="9" s="1"/>
  <c r="H313" i="9" a="1"/>
  <c r="H313" i="9" s="1"/>
  <c r="I313" i="9" s="1"/>
  <c r="J313" i="9" s="1"/>
  <c r="H314" i="9" a="1"/>
  <c r="H314" i="9" s="1"/>
  <c r="I314" i="9" s="1"/>
  <c r="J314" i="9" s="1"/>
  <c r="H315" i="9" a="1"/>
  <c r="H315" i="9" s="1"/>
  <c r="I315" i="9" s="1"/>
  <c r="J315" i="9" s="1"/>
  <c r="H316" i="9" a="1"/>
  <c r="H316" i="9" s="1"/>
  <c r="I316" i="9" s="1"/>
  <c r="J316" i="9" s="1"/>
  <c r="H317" i="9" a="1"/>
  <c r="H317" i="9" s="1"/>
  <c r="I317" i="9" s="1"/>
  <c r="J317" i="9" s="1"/>
  <c r="H318" i="9" a="1"/>
  <c r="H318" i="9" s="1"/>
  <c r="I318" i="9" s="1"/>
  <c r="J318" i="9" s="1"/>
  <c r="H319" i="9" a="1"/>
  <c r="H319" i="9" s="1"/>
  <c r="I319" i="9" s="1"/>
  <c r="J319" i="9" s="1"/>
  <c r="H320" i="9" a="1"/>
  <c r="H320" i="9" s="1"/>
  <c r="I320" i="9" s="1"/>
  <c r="J320" i="9" s="1"/>
  <c r="H321" i="9" a="1"/>
  <c r="H321" i="9" s="1"/>
  <c r="I321" i="9" s="1"/>
  <c r="J321" i="9" s="1"/>
  <c r="H322" i="9" a="1"/>
  <c r="H322" i="9" s="1"/>
  <c r="I322" i="9" s="1"/>
  <c r="J322" i="9" s="1"/>
  <c r="H323" i="9" a="1"/>
  <c r="H323" i="9" s="1"/>
  <c r="I323" i="9" s="1"/>
  <c r="J323" i="9" s="1"/>
  <c r="H324" i="9" a="1"/>
  <c r="H324" i="9" s="1"/>
  <c r="I324" i="9" s="1"/>
  <c r="J324" i="9" s="1"/>
  <c r="H325" i="9" a="1"/>
  <c r="H325" i="9" s="1"/>
  <c r="I325" i="9" s="1"/>
  <c r="J325" i="9" s="1"/>
  <c r="H326" i="9" a="1"/>
  <c r="H326" i="9" s="1"/>
  <c r="I326" i="9" s="1"/>
  <c r="J326" i="9" s="1"/>
  <c r="H327" i="9" a="1"/>
  <c r="H327" i="9" s="1"/>
  <c r="I327" i="9" s="1"/>
  <c r="J327" i="9" s="1"/>
  <c r="H328" i="9" a="1"/>
  <c r="H328" i="9" s="1"/>
  <c r="I328" i="9" s="1"/>
  <c r="J328" i="9" s="1"/>
  <c r="H329" i="9" a="1"/>
  <c r="H329" i="9" s="1"/>
  <c r="I329" i="9" s="1"/>
  <c r="J329" i="9" s="1"/>
  <c r="H330" i="9" a="1"/>
  <c r="H330" i="9" s="1"/>
  <c r="I330" i="9" s="1"/>
  <c r="J330" i="9" s="1"/>
  <c r="H331" i="9" a="1"/>
  <c r="H331" i="9" s="1"/>
  <c r="I331" i="9" s="1"/>
  <c r="J331" i="9" s="1"/>
  <c r="H332" i="9" a="1"/>
  <c r="H332" i="9" s="1"/>
  <c r="I332" i="9" s="1"/>
  <c r="J332" i="9" s="1"/>
  <c r="H333" i="9" a="1"/>
  <c r="H333" i="9" s="1"/>
  <c r="I333" i="9" s="1"/>
  <c r="J333" i="9" s="1"/>
  <c r="H334" i="9" a="1"/>
  <c r="H334" i="9" s="1"/>
  <c r="I334" i="9" s="1"/>
  <c r="J334" i="9" s="1"/>
  <c r="H335" i="9" a="1"/>
  <c r="H335" i="9" s="1"/>
  <c r="I335" i="9" s="1"/>
  <c r="J335" i="9" s="1"/>
  <c r="H336" i="9" a="1"/>
  <c r="H336" i="9" s="1"/>
  <c r="I336" i="9" s="1"/>
  <c r="J336" i="9" s="1"/>
  <c r="H337" i="9" a="1"/>
  <c r="H337" i="9" s="1"/>
  <c r="I337" i="9" s="1"/>
  <c r="J337" i="9" s="1"/>
  <c r="H338" i="9" a="1"/>
  <c r="H338" i="9" s="1"/>
  <c r="I338" i="9" s="1"/>
  <c r="J338" i="9" s="1"/>
  <c r="H339" i="9" a="1"/>
  <c r="H339" i="9" s="1"/>
  <c r="I339" i="9" s="1"/>
  <c r="J339" i="9" s="1"/>
  <c r="H340" i="9" a="1"/>
  <c r="H340" i="9" s="1"/>
  <c r="I340" i="9" s="1"/>
  <c r="J340" i="9" s="1"/>
  <c r="H341" i="9" a="1"/>
  <c r="H341" i="9" s="1"/>
  <c r="I341" i="9" s="1"/>
  <c r="J341" i="9" s="1"/>
  <c r="H342" i="9" a="1"/>
  <c r="H342" i="9" s="1"/>
  <c r="I342" i="9" s="1"/>
  <c r="J342" i="9" s="1"/>
  <c r="H343" i="9" a="1"/>
  <c r="H343" i="9" s="1"/>
  <c r="I343" i="9" s="1"/>
  <c r="J343" i="9" s="1"/>
  <c r="H344" i="9" a="1"/>
  <c r="H344" i="9" s="1"/>
  <c r="I344" i="9" s="1"/>
  <c r="J344" i="9" s="1"/>
  <c r="H345" i="9" a="1"/>
  <c r="H345" i="9" s="1"/>
  <c r="I345" i="9" s="1"/>
  <c r="J345" i="9" s="1"/>
  <c r="H346" i="9" a="1"/>
  <c r="H346" i="9" s="1"/>
  <c r="I346" i="9" s="1"/>
  <c r="J346" i="9" s="1"/>
  <c r="H347" i="9" a="1"/>
  <c r="H347" i="9" s="1"/>
  <c r="I347" i="9" s="1"/>
  <c r="J347" i="9" s="1"/>
  <c r="H348" i="9" a="1"/>
  <c r="H348" i="9" s="1"/>
  <c r="I348" i="9" s="1"/>
  <c r="J348" i="9" s="1"/>
  <c r="H349" i="9" a="1"/>
  <c r="H349" i="9" s="1"/>
  <c r="I349" i="9" s="1"/>
  <c r="J349" i="9" s="1"/>
  <c r="H350" i="9" a="1"/>
  <c r="H350" i="9" s="1"/>
  <c r="I350" i="9" s="1"/>
  <c r="J350" i="9" s="1"/>
  <c r="H351" i="9" a="1"/>
  <c r="H351" i="9" s="1"/>
  <c r="I351" i="9" s="1"/>
  <c r="J351" i="9" s="1"/>
  <c r="H352" i="9" a="1"/>
  <c r="H352" i="9" s="1"/>
  <c r="I352" i="9" s="1"/>
  <c r="J352" i="9" s="1"/>
  <c r="H353" i="9" a="1"/>
  <c r="H353" i="9" s="1"/>
  <c r="I353" i="9" s="1"/>
  <c r="J353" i="9" s="1"/>
  <c r="H354" i="9" a="1"/>
  <c r="H354" i="9" s="1"/>
  <c r="I354" i="9" s="1"/>
  <c r="J354" i="9" s="1"/>
  <c r="H355" i="9" a="1"/>
  <c r="H355" i="9" s="1"/>
  <c r="I355" i="9" s="1"/>
  <c r="J355" i="9" s="1"/>
  <c r="H356" i="9" a="1"/>
  <c r="H356" i="9" s="1"/>
  <c r="I356" i="9" s="1"/>
  <c r="J356" i="9" s="1"/>
  <c r="H357" i="9" a="1"/>
  <c r="H357" i="9" s="1"/>
  <c r="I357" i="9" s="1"/>
  <c r="J357" i="9" s="1"/>
  <c r="H358" i="9" a="1"/>
  <c r="H358" i="9" s="1"/>
  <c r="I358" i="9" s="1"/>
  <c r="J358" i="9" s="1"/>
  <c r="H359" i="9" a="1"/>
  <c r="H359" i="9" s="1"/>
  <c r="I359" i="9" s="1"/>
  <c r="J359" i="9" s="1"/>
  <c r="H360" i="9" a="1"/>
  <c r="H360" i="9" s="1"/>
  <c r="I360" i="9" s="1"/>
  <c r="J360" i="9" s="1"/>
  <c r="H361" i="9" a="1"/>
  <c r="H361" i="9" s="1"/>
  <c r="I361" i="9" s="1"/>
  <c r="J361" i="9" s="1"/>
  <c r="H362" i="9" a="1"/>
  <c r="H362" i="9" s="1"/>
  <c r="I362" i="9" s="1"/>
  <c r="J362" i="9" s="1"/>
  <c r="H363" i="9" a="1"/>
  <c r="H363" i="9" s="1"/>
  <c r="I363" i="9" s="1"/>
  <c r="J363" i="9" s="1"/>
  <c r="H364" i="9" a="1"/>
  <c r="H364" i="9" s="1"/>
  <c r="I364" i="9" s="1"/>
  <c r="J364" i="9" s="1"/>
  <c r="H365" i="9" a="1"/>
  <c r="H365" i="9" s="1"/>
  <c r="I365" i="9" s="1"/>
  <c r="J365" i="9" s="1"/>
  <c r="H366" i="9" a="1"/>
  <c r="H366" i="9" s="1"/>
  <c r="I366" i="9" s="1"/>
  <c r="J366" i="9" s="1"/>
  <c r="H367" i="9" a="1"/>
  <c r="H367" i="9" s="1"/>
  <c r="I367" i="9" s="1"/>
  <c r="J367" i="9" s="1"/>
  <c r="H368" i="9" a="1"/>
  <c r="H368" i="9" s="1"/>
  <c r="I368" i="9" s="1"/>
  <c r="J368" i="9" s="1"/>
  <c r="H369" i="9" a="1"/>
  <c r="H369" i="9" s="1"/>
  <c r="I369" i="9" s="1"/>
  <c r="J369" i="9" s="1"/>
  <c r="H370" i="9" a="1"/>
  <c r="H370" i="9" s="1"/>
  <c r="I370" i="9" s="1"/>
  <c r="J370" i="9" s="1"/>
  <c r="H371" i="9" a="1"/>
  <c r="H371" i="9" s="1"/>
  <c r="I371" i="9" s="1"/>
  <c r="J371" i="9" s="1"/>
  <c r="H372" i="9" a="1"/>
  <c r="H372" i="9" s="1"/>
  <c r="I372" i="9" s="1"/>
  <c r="J372" i="9" s="1"/>
  <c r="H373" i="9" a="1"/>
  <c r="H373" i="9" s="1"/>
  <c r="I373" i="9" s="1"/>
  <c r="J373" i="9" s="1"/>
  <c r="H374" i="9" a="1"/>
  <c r="H374" i="9" s="1"/>
  <c r="I374" i="9" s="1"/>
  <c r="J374" i="9" s="1"/>
  <c r="H375" i="9" a="1"/>
  <c r="H375" i="9" s="1"/>
  <c r="I375" i="9" s="1"/>
  <c r="J375" i="9" s="1"/>
  <c r="H376" i="9" a="1"/>
  <c r="H376" i="9" s="1"/>
  <c r="I376" i="9" s="1"/>
  <c r="J376" i="9" s="1"/>
  <c r="H377" i="9" a="1"/>
  <c r="H377" i="9" s="1"/>
  <c r="I377" i="9" s="1"/>
  <c r="J377" i="9" s="1"/>
  <c r="H378" i="9" a="1"/>
  <c r="H378" i="9" s="1"/>
  <c r="I378" i="9" s="1"/>
  <c r="J378" i="9" s="1"/>
  <c r="H379" i="9" a="1"/>
  <c r="H379" i="9" s="1"/>
  <c r="I379" i="9" s="1"/>
  <c r="J379" i="9" s="1"/>
  <c r="H380" i="9" a="1"/>
  <c r="H380" i="9" s="1"/>
  <c r="I380" i="9" s="1"/>
  <c r="J380" i="9" s="1"/>
  <c r="H381" i="9" a="1"/>
  <c r="H381" i="9" s="1"/>
  <c r="I381" i="9" s="1"/>
  <c r="J381" i="9" s="1"/>
  <c r="H382" i="9" a="1"/>
  <c r="H382" i="9" s="1"/>
  <c r="I382" i="9" s="1"/>
  <c r="J382" i="9" s="1"/>
  <c r="H383" i="9" a="1"/>
  <c r="H383" i="9" s="1"/>
  <c r="I383" i="9" s="1"/>
  <c r="J383" i="9" s="1"/>
  <c r="H384" i="9" a="1"/>
  <c r="H384" i="9" s="1"/>
  <c r="I384" i="9" s="1"/>
  <c r="J384" i="9" s="1"/>
  <c r="H385" i="9" a="1"/>
  <c r="H385" i="9" s="1"/>
  <c r="I385" i="9" s="1"/>
  <c r="J385" i="9" s="1"/>
  <c r="H386" i="9" a="1"/>
  <c r="H386" i="9" s="1"/>
  <c r="I386" i="9" s="1"/>
  <c r="J386" i="9" s="1"/>
  <c r="H387" i="9" a="1"/>
  <c r="H387" i="9" s="1"/>
  <c r="I387" i="9" s="1"/>
  <c r="J387" i="9" s="1"/>
  <c r="H388" i="9" a="1"/>
  <c r="H388" i="9" s="1"/>
  <c r="I388" i="9" s="1"/>
  <c r="J388" i="9" s="1"/>
  <c r="H389" i="9" a="1"/>
  <c r="H389" i="9" s="1"/>
  <c r="I389" i="9" s="1"/>
  <c r="J389" i="9" s="1"/>
  <c r="H390" i="9" a="1"/>
  <c r="H390" i="9" s="1"/>
  <c r="I390" i="9" s="1"/>
  <c r="J390" i="9" s="1"/>
  <c r="H391" i="9" a="1"/>
  <c r="H391" i="9" s="1"/>
  <c r="I391" i="9" s="1"/>
  <c r="J391" i="9" s="1"/>
  <c r="H392" i="9" a="1"/>
  <c r="H392" i="9" s="1"/>
  <c r="I392" i="9" s="1"/>
  <c r="J392" i="9" s="1"/>
  <c r="H393" i="9" a="1"/>
  <c r="H393" i="9" s="1"/>
  <c r="I393" i="9" s="1"/>
  <c r="J393" i="9" s="1"/>
  <c r="H394" i="9" a="1"/>
  <c r="H394" i="9" s="1"/>
  <c r="I394" i="9" s="1"/>
  <c r="J394" i="9" s="1"/>
  <c r="H395" i="9" a="1"/>
  <c r="H395" i="9" s="1"/>
  <c r="I395" i="9" s="1"/>
  <c r="J395" i="9" s="1"/>
  <c r="H396" i="9" a="1"/>
  <c r="H396" i="9" s="1"/>
  <c r="I396" i="9" s="1"/>
  <c r="J396" i="9" s="1"/>
  <c r="H397" i="9" a="1"/>
  <c r="H397" i="9" s="1"/>
  <c r="I397" i="9" s="1"/>
  <c r="J397" i="9" s="1"/>
  <c r="H398" i="9" a="1"/>
  <c r="H398" i="9" s="1"/>
  <c r="I398" i="9" s="1"/>
  <c r="J398" i="9" s="1"/>
  <c r="H399" i="9" a="1"/>
  <c r="H399" i="9" s="1"/>
  <c r="I399" i="9" s="1"/>
  <c r="J399" i="9" s="1"/>
  <c r="H400" i="9" a="1"/>
  <c r="H400" i="9" s="1"/>
  <c r="I400" i="9" s="1"/>
  <c r="J400" i="9" s="1"/>
  <c r="H401" i="9" a="1"/>
  <c r="H401" i="9" s="1"/>
  <c r="I401" i="9" s="1"/>
  <c r="J401" i="9" s="1"/>
  <c r="H402" i="9" a="1"/>
  <c r="H402" i="9" s="1"/>
  <c r="I402" i="9" s="1"/>
  <c r="J402" i="9" s="1"/>
  <c r="H403" i="9" a="1"/>
  <c r="H403" i="9" s="1"/>
  <c r="I403" i="9" s="1"/>
  <c r="J403" i="9" s="1"/>
  <c r="H404" i="9" a="1"/>
  <c r="H404" i="9" s="1"/>
  <c r="I404" i="9" s="1"/>
  <c r="J404" i="9" s="1"/>
  <c r="H405" i="9" a="1"/>
  <c r="H405" i="9" s="1"/>
  <c r="I405" i="9" s="1"/>
  <c r="J405" i="9" s="1"/>
  <c r="H406" i="9" a="1"/>
  <c r="H406" i="9" s="1"/>
  <c r="I406" i="9" s="1"/>
  <c r="J406" i="9" s="1"/>
  <c r="H407" i="9" a="1"/>
  <c r="H407" i="9" s="1"/>
  <c r="I407" i="9" s="1"/>
  <c r="J407" i="9" s="1"/>
  <c r="H408" i="9" a="1"/>
  <c r="H408" i="9" s="1"/>
  <c r="I408" i="9" s="1"/>
  <c r="J408" i="9" s="1"/>
  <c r="H409" i="9" a="1"/>
  <c r="H409" i="9" s="1"/>
  <c r="I409" i="9" s="1"/>
  <c r="J409" i="9" s="1"/>
  <c r="H410" i="9" a="1"/>
  <c r="H410" i="9" s="1"/>
  <c r="I410" i="9" s="1"/>
  <c r="J410" i="9" s="1"/>
  <c r="H411" i="9" a="1"/>
  <c r="H411" i="9" s="1"/>
  <c r="I411" i="9" s="1"/>
  <c r="J411" i="9" s="1"/>
  <c r="H412" i="9" a="1"/>
  <c r="H412" i="9" s="1"/>
  <c r="I412" i="9" s="1"/>
  <c r="J412" i="9" s="1"/>
  <c r="H413" i="9" a="1"/>
  <c r="H413" i="9" s="1"/>
  <c r="I413" i="9" s="1"/>
  <c r="J413" i="9" s="1"/>
  <c r="H414" i="9" a="1"/>
  <c r="H414" i="9" s="1"/>
  <c r="I414" i="9" s="1"/>
  <c r="J414" i="9" s="1"/>
  <c r="H415" i="9" a="1"/>
  <c r="H415" i="9" s="1"/>
  <c r="I415" i="9" s="1"/>
  <c r="J415" i="9" s="1"/>
  <c r="H416" i="9" a="1"/>
  <c r="H416" i="9" s="1"/>
  <c r="I416" i="9" s="1"/>
  <c r="J416" i="9" s="1"/>
  <c r="H417" i="9" a="1"/>
  <c r="H417" i="9" s="1"/>
  <c r="I417" i="9" s="1"/>
  <c r="J417" i="9" s="1"/>
  <c r="H418" i="9" a="1"/>
  <c r="H418" i="9" s="1"/>
  <c r="I418" i="9" s="1"/>
  <c r="J418" i="9" s="1"/>
  <c r="H419" i="9" a="1"/>
  <c r="H419" i="9" s="1"/>
  <c r="I419" i="9" s="1"/>
  <c r="J419" i="9" s="1"/>
  <c r="H420" i="9" a="1"/>
  <c r="H420" i="9" s="1"/>
  <c r="I420" i="9" s="1"/>
  <c r="J420" i="9" s="1"/>
  <c r="H421" i="9" a="1"/>
  <c r="H421" i="9" s="1"/>
  <c r="I421" i="9" s="1"/>
  <c r="J421" i="9" s="1"/>
  <c r="H422" i="9" a="1"/>
  <c r="H422" i="9" s="1"/>
  <c r="I422" i="9" s="1"/>
  <c r="J422" i="9" s="1"/>
  <c r="H423" i="9" a="1"/>
  <c r="H423" i="9" s="1"/>
  <c r="I423" i="9" s="1"/>
  <c r="J423" i="9" s="1"/>
  <c r="H424" i="9" a="1"/>
  <c r="H424" i="9" s="1"/>
  <c r="I424" i="9" s="1"/>
  <c r="J424" i="9" s="1"/>
  <c r="H425" i="9" a="1"/>
  <c r="H425" i="9" s="1"/>
  <c r="I425" i="9" s="1"/>
  <c r="J425" i="9" s="1"/>
  <c r="H426" i="9" a="1"/>
  <c r="H426" i="9" s="1"/>
  <c r="I426" i="9" s="1"/>
  <c r="J426" i="9" s="1"/>
  <c r="H427" i="9" a="1"/>
  <c r="H427" i="9" s="1"/>
  <c r="I427" i="9" s="1"/>
  <c r="J427" i="9" s="1"/>
  <c r="H428" i="9" a="1"/>
  <c r="H428" i="9" s="1"/>
  <c r="I428" i="9" s="1"/>
  <c r="J428" i="9" s="1"/>
  <c r="H429" i="9" a="1"/>
  <c r="H429" i="9" s="1"/>
  <c r="I429" i="9" s="1"/>
  <c r="J429" i="9" s="1"/>
  <c r="H430" i="9" a="1"/>
  <c r="H430" i="9" s="1"/>
  <c r="I430" i="9" s="1"/>
  <c r="J430" i="9" s="1"/>
  <c r="H431" i="9" a="1"/>
  <c r="H431" i="9" s="1"/>
  <c r="I431" i="9" s="1"/>
  <c r="J431" i="9" s="1"/>
  <c r="H432" i="9" a="1"/>
  <c r="H432" i="9" s="1"/>
  <c r="I432" i="9" s="1"/>
  <c r="J432" i="9" s="1"/>
  <c r="H433" i="9" a="1"/>
  <c r="H433" i="9" s="1"/>
  <c r="I433" i="9" s="1"/>
  <c r="J433" i="9" s="1"/>
  <c r="H434" i="9" a="1"/>
  <c r="H434" i="9" s="1"/>
  <c r="I434" i="9" s="1"/>
  <c r="J434" i="9" s="1"/>
  <c r="H435" i="9" a="1"/>
  <c r="H435" i="9" s="1"/>
  <c r="I435" i="9" s="1"/>
  <c r="J435" i="9" s="1"/>
  <c r="H436" i="9" a="1"/>
  <c r="H436" i="9" s="1"/>
  <c r="I436" i="9" s="1"/>
  <c r="J436" i="9" s="1"/>
  <c r="H437" i="9" a="1"/>
  <c r="H437" i="9" s="1"/>
  <c r="I437" i="9" s="1"/>
  <c r="J437" i="9" s="1"/>
  <c r="H438" i="9" a="1"/>
  <c r="H438" i="9" s="1"/>
  <c r="I438" i="9" s="1"/>
  <c r="J438" i="9" s="1"/>
  <c r="H439" i="9" a="1"/>
  <c r="H439" i="9" s="1"/>
  <c r="I439" i="9" s="1"/>
  <c r="J439" i="9" s="1"/>
  <c r="H440" i="9" a="1"/>
  <c r="H440" i="9" s="1"/>
  <c r="I440" i="9" s="1"/>
  <c r="J440" i="9" s="1"/>
  <c r="H441" i="9" a="1"/>
  <c r="H441" i="9" s="1"/>
  <c r="I441" i="9" s="1"/>
  <c r="J441" i="9" s="1"/>
  <c r="H442" i="9" a="1"/>
  <c r="H442" i="9" s="1"/>
  <c r="I442" i="9" s="1"/>
  <c r="J442" i="9" s="1"/>
  <c r="H443" i="9" a="1"/>
  <c r="H443" i="9" s="1"/>
  <c r="I443" i="9" s="1"/>
  <c r="J443" i="9" s="1"/>
  <c r="H444" i="9" a="1"/>
  <c r="H444" i="9" s="1"/>
  <c r="I444" i="9" s="1"/>
  <c r="J444" i="9" s="1"/>
  <c r="H445" i="9" a="1"/>
  <c r="H445" i="9" s="1"/>
  <c r="I445" i="9" s="1"/>
  <c r="J445" i="9" s="1"/>
  <c r="H446" i="9" a="1"/>
  <c r="H446" i="9" s="1"/>
  <c r="I446" i="9" s="1"/>
  <c r="J446" i="9" s="1"/>
  <c r="H447" i="9" a="1"/>
  <c r="H447" i="9" s="1"/>
  <c r="I447" i="9" s="1"/>
  <c r="J447" i="9" s="1"/>
  <c r="H448" i="9" a="1"/>
  <c r="H448" i="9" s="1"/>
  <c r="I448" i="9" s="1"/>
  <c r="J448" i="9" s="1"/>
  <c r="H449" i="9" a="1"/>
  <c r="H449" i="9" s="1"/>
  <c r="I449" i="9" s="1"/>
  <c r="J449" i="9" s="1"/>
  <c r="H450" i="9" a="1"/>
  <c r="H450" i="9" s="1"/>
  <c r="I450" i="9" s="1"/>
  <c r="J450" i="9" s="1"/>
  <c r="H451" i="9" a="1"/>
  <c r="H451" i="9" s="1"/>
  <c r="I451" i="9" s="1"/>
  <c r="J451" i="9" s="1"/>
  <c r="H452" i="9" a="1"/>
  <c r="H452" i="9" s="1"/>
  <c r="I452" i="9" s="1"/>
  <c r="J452" i="9" s="1"/>
  <c r="H453" i="9" a="1"/>
  <c r="H453" i="9" s="1"/>
  <c r="I453" i="9" s="1"/>
  <c r="J453" i="9" s="1"/>
  <c r="H454" i="9" a="1"/>
  <c r="H454" i="9" s="1"/>
  <c r="I454" i="9" s="1"/>
  <c r="J454" i="9" s="1"/>
  <c r="H455" i="9" a="1"/>
  <c r="H455" i="9" s="1"/>
  <c r="I455" i="9" s="1"/>
  <c r="J455" i="9" s="1"/>
  <c r="H456" i="9" a="1"/>
  <c r="H456" i="9" s="1"/>
  <c r="I456" i="9" s="1"/>
  <c r="J456" i="9" s="1"/>
  <c r="H457" i="9" a="1"/>
  <c r="H457" i="9" s="1"/>
  <c r="I457" i="9" s="1"/>
  <c r="J457" i="9" s="1"/>
  <c r="H458" i="9" a="1"/>
  <c r="H458" i="9" s="1"/>
  <c r="I458" i="9" s="1"/>
  <c r="J458" i="9" s="1"/>
  <c r="H459" i="9" a="1"/>
  <c r="H459" i="9" s="1"/>
  <c r="I459" i="9" s="1"/>
  <c r="J459" i="9" s="1"/>
  <c r="H460" i="9" a="1"/>
  <c r="H460" i="9" s="1"/>
  <c r="I460" i="9" s="1"/>
  <c r="J460" i="9" s="1"/>
  <c r="H461" i="9" a="1"/>
  <c r="H461" i="9" s="1"/>
  <c r="I461" i="9" s="1"/>
  <c r="J461" i="9" s="1"/>
  <c r="H462" i="9" a="1"/>
  <c r="H462" i="9" s="1"/>
  <c r="I462" i="9" s="1"/>
  <c r="J462" i="9" s="1"/>
  <c r="H463" i="9" a="1"/>
  <c r="H463" i="9" s="1"/>
  <c r="I463" i="9" s="1"/>
  <c r="J463" i="9" s="1"/>
  <c r="H464" i="9" a="1"/>
  <c r="H464" i="9" s="1"/>
  <c r="I464" i="9" s="1"/>
  <c r="J464" i="9" s="1"/>
  <c r="H465" i="9" a="1"/>
  <c r="H465" i="9" s="1"/>
  <c r="I465" i="9" s="1"/>
  <c r="J465" i="9" s="1"/>
  <c r="H466" i="9" a="1"/>
  <c r="H466" i="9" s="1"/>
  <c r="I466" i="9" s="1"/>
  <c r="J466" i="9" s="1"/>
  <c r="H467" i="9" a="1"/>
  <c r="H467" i="9" s="1"/>
  <c r="I467" i="9" s="1"/>
  <c r="J467" i="9" s="1"/>
  <c r="H468" i="9" a="1"/>
  <c r="H468" i="9" s="1"/>
  <c r="I468" i="9" s="1"/>
  <c r="J468" i="9" s="1"/>
  <c r="H469" i="9" a="1"/>
  <c r="H469" i="9" s="1"/>
  <c r="I469" i="9" s="1"/>
  <c r="J469" i="9" s="1"/>
  <c r="H470" i="9" a="1"/>
  <c r="H470" i="9" s="1"/>
  <c r="I470" i="9" s="1"/>
  <c r="J470" i="9" s="1"/>
  <c r="H471" i="9" a="1"/>
  <c r="H471" i="9" s="1"/>
  <c r="I471" i="9" s="1"/>
  <c r="J471" i="9" s="1"/>
  <c r="H472" i="9" a="1"/>
  <c r="H472" i="9" s="1"/>
  <c r="I472" i="9" s="1"/>
  <c r="J472" i="9" s="1"/>
  <c r="H473" i="9" a="1"/>
  <c r="H473" i="9" s="1"/>
  <c r="I473" i="9" s="1"/>
  <c r="J473" i="9" s="1"/>
  <c r="H474" i="9" a="1"/>
  <c r="H474" i="9" s="1"/>
  <c r="I474" i="9" s="1"/>
  <c r="J474" i="9" s="1"/>
  <c r="H475" i="9" a="1"/>
  <c r="H475" i="9" s="1"/>
  <c r="I475" i="9" s="1"/>
  <c r="J475" i="9" s="1"/>
  <c r="H476" i="9" a="1"/>
  <c r="H476" i="9" s="1"/>
  <c r="I476" i="9" s="1"/>
  <c r="J476" i="9" s="1"/>
  <c r="H477" i="9" a="1"/>
  <c r="H477" i="9" s="1"/>
  <c r="I477" i="9" s="1"/>
  <c r="J477" i="9" s="1"/>
  <c r="H478" i="9" a="1"/>
  <c r="H478" i="9" s="1"/>
  <c r="I478" i="9" s="1"/>
  <c r="J478" i="9" s="1"/>
  <c r="H479" i="9" a="1"/>
  <c r="H479" i="9" s="1"/>
  <c r="I479" i="9" s="1"/>
  <c r="J479" i="9" s="1"/>
  <c r="H480" i="9" a="1"/>
  <c r="H480" i="9" s="1"/>
  <c r="I480" i="9" s="1"/>
  <c r="J480" i="9" s="1"/>
  <c r="H481" i="9" a="1"/>
  <c r="H481" i="9" s="1"/>
  <c r="I481" i="9" s="1"/>
  <c r="J481" i="9" s="1"/>
  <c r="H482" i="9" a="1"/>
  <c r="H482" i="9" s="1"/>
  <c r="I482" i="9" s="1"/>
  <c r="J482" i="9" s="1"/>
  <c r="H483" i="9" a="1"/>
  <c r="H483" i="9" s="1"/>
  <c r="I483" i="9" s="1"/>
  <c r="J483" i="9" s="1"/>
  <c r="H484" i="9" a="1"/>
  <c r="H484" i="9" s="1"/>
  <c r="I484" i="9" s="1"/>
  <c r="J484" i="9" s="1"/>
  <c r="H485" i="9" a="1"/>
  <c r="H485" i="9" s="1"/>
  <c r="I485" i="9" s="1"/>
  <c r="J485" i="9" s="1"/>
  <c r="H486" i="9" a="1"/>
  <c r="H486" i="9" s="1"/>
  <c r="I486" i="9" s="1"/>
  <c r="J486" i="9" s="1"/>
  <c r="H487" i="9" a="1"/>
  <c r="H487" i="9" s="1"/>
  <c r="I487" i="9" s="1"/>
  <c r="J487" i="9" s="1"/>
  <c r="H488" i="9" a="1"/>
  <c r="H488" i="9" s="1"/>
  <c r="I488" i="9" s="1"/>
  <c r="J488" i="9" s="1"/>
  <c r="H489" i="9" a="1"/>
  <c r="H489" i="9" s="1"/>
  <c r="I489" i="9" s="1"/>
  <c r="J489" i="9" s="1"/>
  <c r="H490" i="9" a="1"/>
  <c r="H490" i="9" s="1"/>
  <c r="I490" i="9" s="1"/>
  <c r="J490" i="9" s="1"/>
  <c r="H491" i="9" a="1"/>
  <c r="H491" i="9" s="1"/>
  <c r="I491" i="9" s="1"/>
  <c r="J491" i="9" s="1"/>
  <c r="H492" i="9" a="1"/>
  <c r="H492" i="9" s="1"/>
  <c r="I492" i="9" s="1"/>
  <c r="J492" i="9" s="1"/>
  <c r="H493" i="9" a="1"/>
  <c r="H493" i="9" s="1"/>
  <c r="I493" i="9" s="1"/>
  <c r="J493" i="9" s="1"/>
  <c r="H494" i="9" a="1"/>
  <c r="H494" i="9" s="1"/>
  <c r="I494" i="9" s="1"/>
  <c r="J494" i="9" s="1"/>
  <c r="H495" i="9" a="1"/>
  <c r="H495" i="9" s="1"/>
  <c r="I495" i="9" s="1"/>
  <c r="J495" i="9" s="1"/>
  <c r="H496" i="9" a="1"/>
  <c r="H496" i="9" s="1"/>
  <c r="I496" i="9" s="1"/>
  <c r="J496" i="9" s="1"/>
  <c r="H497" i="9" a="1"/>
  <c r="H497" i="9" s="1"/>
  <c r="I497" i="9" s="1"/>
  <c r="J497" i="9" s="1"/>
  <c r="H498" i="9" a="1"/>
  <c r="H498" i="9" s="1"/>
  <c r="I498" i="9" s="1"/>
  <c r="J498" i="9" s="1"/>
  <c r="H499" i="9" a="1"/>
  <c r="H499" i="9" s="1"/>
  <c r="I499" i="9" s="1"/>
  <c r="J499" i="9" s="1"/>
  <c r="H500" i="9" a="1"/>
  <c r="H500" i="9" s="1"/>
  <c r="I500" i="9" s="1"/>
  <c r="J500" i="9" s="1"/>
  <c r="H501" i="9" a="1"/>
  <c r="H501" i="9" s="1"/>
  <c r="I501" i="9" s="1"/>
  <c r="J501" i="9" s="1"/>
  <c r="H502" i="9" a="1"/>
  <c r="H502" i="9" s="1"/>
  <c r="I502" i="9" s="1"/>
  <c r="J502" i="9" s="1"/>
  <c r="H503" i="9" a="1"/>
  <c r="H503" i="9" s="1"/>
  <c r="I503" i="9" s="1"/>
  <c r="J503" i="9" s="1"/>
  <c r="H504" i="9" a="1"/>
  <c r="H504" i="9" s="1"/>
  <c r="I504" i="9" s="1"/>
  <c r="J504" i="9" s="1"/>
  <c r="H505" i="9" a="1"/>
  <c r="H505" i="9" s="1"/>
  <c r="I505" i="9" s="1"/>
  <c r="J505" i="9" s="1"/>
  <c r="H506" i="9" a="1"/>
  <c r="H506" i="9" s="1"/>
  <c r="I506" i="9" s="1"/>
  <c r="J506" i="9" s="1"/>
  <c r="H507" i="9" a="1"/>
  <c r="H507" i="9" s="1"/>
  <c r="I507" i="9" s="1"/>
  <c r="J507" i="9" s="1"/>
  <c r="H508" i="9" a="1"/>
  <c r="H508" i="9" s="1"/>
  <c r="I508" i="9" s="1"/>
  <c r="J508" i="9" s="1"/>
  <c r="H509" i="9" a="1"/>
  <c r="H509" i="9" s="1"/>
  <c r="I509" i="9" s="1"/>
  <c r="J509" i="9" s="1"/>
  <c r="H510" i="9" a="1"/>
  <c r="H510" i="9" s="1"/>
  <c r="I510" i="9" s="1"/>
  <c r="J510" i="9" s="1"/>
  <c r="H511" i="9" a="1"/>
  <c r="H511" i="9" s="1"/>
  <c r="I511" i="9" s="1"/>
  <c r="J511" i="9" s="1"/>
  <c r="H512" i="9" a="1"/>
  <c r="H512" i="9" s="1"/>
  <c r="I512" i="9" s="1"/>
  <c r="J512" i="9" s="1"/>
  <c r="H513" i="9" a="1"/>
  <c r="H513" i="9" s="1"/>
  <c r="I513" i="9" s="1"/>
  <c r="J513" i="9" s="1"/>
  <c r="H514" i="9" a="1"/>
  <c r="H514" i="9" s="1"/>
  <c r="I514" i="9" s="1"/>
  <c r="J514" i="9" s="1"/>
  <c r="H515" i="9" a="1"/>
  <c r="H515" i="9" s="1"/>
  <c r="I515" i="9" s="1"/>
  <c r="J515" i="9" s="1"/>
  <c r="H516" i="9" a="1"/>
  <c r="H516" i="9" s="1"/>
  <c r="I516" i="9" s="1"/>
  <c r="J516" i="9" s="1"/>
  <c r="H517" i="9" a="1"/>
  <c r="H517" i="9" s="1"/>
  <c r="I517" i="9" s="1"/>
  <c r="J517" i="9" s="1"/>
  <c r="H518" i="9" a="1"/>
  <c r="H518" i="9" s="1"/>
  <c r="I518" i="9" s="1"/>
  <c r="J518" i="9" s="1"/>
  <c r="H519" i="9" a="1"/>
  <c r="H519" i="9" s="1"/>
  <c r="I519" i="9" s="1"/>
  <c r="J519" i="9" s="1"/>
  <c r="H520" i="9" a="1"/>
  <c r="H520" i="9" s="1"/>
  <c r="I520" i="9" s="1"/>
  <c r="J520" i="9" s="1"/>
  <c r="H521" i="9" a="1"/>
  <c r="H521" i="9" s="1"/>
  <c r="I521" i="9" s="1"/>
  <c r="J521" i="9" s="1"/>
  <c r="H522" i="9" a="1"/>
  <c r="H522" i="9" s="1"/>
  <c r="I522" i="9" s="1"/>
  <c r="J522" i="9" s="1"/>
  <c r="H523" i="9" a="1"/>
  <c r="H523" i="9" s="1"/>
  <c r="I523" i="9" s="1"/>
  <c r="J523" i="9" s="1"/>
  <c r="H524" i="9" a="1"/>
  <c r="H524" i="9" s="1"/>
  <c r="I524" i="9" s="1"/>
  <c r="J524" i="9" s="1"/>
  <c r="H525" i="9" a="1"/>
  <c r="H525" i="9" s="1"/>
  <c r="I525" i="9" s="1"/>
  <c r="J525" i="9" s="1"/>
  <c r="H526" i="9" a="1"/>
  <c r="H526" i="9" s="1"/>
  <c r="I526" i="9" s="1"/>
  <c r="J526" i="9" s="1"/>
  <c r="H527" i="9" a="1"/>
  <c r="H527" i="9" s="1"/>
  <c r="I527" i="9" s="1"/>
  <c r="J527" i="9" s="1"/>
  <c r="H528" i="9" a="1"/>
  <c r="H528" i="9" s="1"/>
  <c r="I528" i="9" s="1"/>
  <c r="J528" i="9" s="1"/>
  <c r="H529" i="9" a="1"/>
  <c r="H529" i="9" s="1"/>
  <c r="I529" i="9" s="1"/>
  <c r="J529" i="9" s="1"/>
  <c r="H530" i="9" a="1"/>
  <c r="H530" i="9" s="1"/>
  <c r="I530" i="9" s="1"/>
  <c r="J530" i="9" s="1"/>
  <c r="H531" i="9" a="1"/>
  <c r="H531" i="9" s="1"/>
  <c r="I531" i="9" s="1"/>
  <c r="J531" i="9" s="1"/>
  <c r="H532" i="9" a="1"/>
  <c r="H532" i="9" s="1"/>
  <c r="I532" i="9" s="1"/>
  <c r="J532" i="9" s="1"/>
  <c r="H533" i="9" a="1"/>
  <c r="H533" i="9" s="1"/>
  <c r="I533" i="9" s="1"/>
  <c r="J533" i="9" s="1"/>
  <c r="H534" i="9" a="1"/>
  <c r="H534" i="9" s="1"/>
  <c r="I534" i="9" s="1"/>
  <c r="J534" i="9" s="1"/>
  <c r="H535" i="9" a="1"/>
  <c r="H535" i="9" s="1"/>
  <c r="I535" i="9" s="1"/>
  <c r="J535" i="9" s="1"/>
  <c r="H536" i="9" a="1"/>
  <c r="H536" i="9" s="1"/>
  <c r="I536" i="9" s="1"/>
  <c r="J536" i="9" s="1"/>
  <c r="H537" i="9" a="1"/>
  <c r="H537" i="9" s="1"/>
  <c r="I537" i="9" s="1"/>
  <c r="J537" i="9" s="1"/>
  <c r="H538" i="9" a="1"/>
  <c r="H538" i="9" s="1"/>
  <c r="I538" i="9" s="1"/>
  <c r="J538" i="9" s="1"/>
  <c r="H539" i="9" a="1"/>
  <c r="H539" i="9" s="1"/>
  <c r="I539" i="9" s="1"/>
  <c r="J539" i="9" s="1"/>
  <c r="H540" i="9" a="1"/>
  <c r="H540" i="9" s="1"/>
  <c r="I540" i="9" s="1"/>
  <c r="J540" i="9" s="1"/>
  <c r="H541" i="9" a="1"/>
  <c r="H541" i="9" s="1"/>
  <c r="I541" i="9" s="1"/>
  <c r="J541" i="9" s="1"/>
  <c r="H542" i="9" a="1"/>
  <c r="H542" i="9" s="1"/>
  <c r="I542" i="9" s="1"/>
  <c r="J542" i="9" s="1"/>
  <c r="H543" i="9" a="1"/>
  <c r="H543" i="9" s="1"/>
  <c r="I543" i="9" s="1"/>
  <c r="J543" i="9" s="1"/>
  <c r="H544" i="9" a="1"/>
  <c r="H544" i="9" s="1"/>
  <c r="I544" i="9" s="1"/>
  <c r="J544" i="9" s="1"/>
  <c r="H545" i="9" a="1"/>
  <c r="H545" i="9" s="1"/>
  <c r="I545" i="9" s="1"/>
  <c r="J545" i="9" s="1"/>
  <c r="H546" i="9" a="1"/>
  <c r="H546" i="9" s="1"/>
  <c r="I546" i="9" s="1"/>
  <c r="J546" i="9" s="1"/>
  <c r="H547" i="9" a="1"/>
  <c r="H547" i="9" s="1"/>
  <c r="I547" i="9" s="1"/>
  <c r="J547" i="9" s="1"/>
  <c r="H548" i="9" a="1"/>
  <c r="H548" i="9" s="1"/>
  <c r="I548" i="9" s="1"/>
  <c r="J548" i="9" s="1"/>
  <c r="H549" i="9" a="1"/>
  <c r="H549" i="9" s="1"/>
  <c r="I549" i="9" s="1"/>
  <c r="J549" i="9" s="1"/>
  <c r="H550" i="9" a="1"/>
  <c r="H550" i="9" s="1"/>
  <c r="I550" i="9" s="1"/>
  <c r="J550" i="9" s="1"/>
  <c r="H551" i="9" a="1"/>
  <c r="H551" i="9" s="1"/>
  <c r="I551" i="9" s="1"/>
  <c r="J551" i="9" s="1"/>
  <c r="H552" i="9" a="1"/>
  <c r="H552" i="9" s="1"/>
  <c r="I552" i="9" s="1"/>
  <c r="J552" i="9" s="1"/>
  <c r="H553" i="9" a="1"/>
  <c r="H553" i="9" s="1"/>
  <c r="I553" i="9" s="1"/>
  <c r="J553" i="9" s="1"/>
  <c r="H554" i="9" a="1"/>
  <c r="H554" i="9" s="1"/>
  <c r="I554" i="9" s="1"/>
  <c r="J554" i="9" s="1"/>
  <c r="H555" i="9" a="1"/>
  <c r="H555" i="9" s="1"/>
  <c r="I555" i="9" s="1"/>
  <c r="J555" i="9" s="1"/>
  <c r="H556" i="9" a="1"/>
  <c r="H556" i="9" s="1"/>
  <c r="I556" i="9" s="1"/>
  <c r="J556" i="9" s="1"/>
  <c r="H557" i="9" a="1"/>
  <c r="H557" i="9" s="1"/>
  <c r="I557" i="9" s="1"/>
  <c r="J557" i="9" s="1"/>
  <c r="H558" i="9" a="1"/>
  <c r="H558" i="9" s="1"/>
  <c r="I558" i="9" s="1"/>
  <c r="J558" i="9" s="1"/>
  <c r="H559" i="9" a="1"/>
  <c r="H559" i="9" s="1"/>
  <c r="I559" i="9" s="1"/>
  <c r="J559" i="9" s="1"/>
  <c r="H560" i="9" a="1"/>
  <c r="H560" i="9" s="1"/>
  <c r="I560" i="9" s="1"/>
  <c r="J560" i="9" s="1"/>
  <c r="H561" i="9" a="1"/>
  <c r="H561" i="9" s="1"/>
  <c r="I561" i="9" s="1"/>
  <c r="J561" i="9" s="1"/>
  <c r="H562" i="9" a="1"/>
  <c r="H562" i="9" s="1"/>
  <c r="I562" i="9" s="1"/>
  <c r="J562" i="9" s="1"/>
  <c r="H563" i="9" a="1"/>
  <c r="H563" i="9" s="1"/>
  <c r="I563" i="9" s="1"/>
  <c r="J563" i="9" s="1"/>
  <c r="H564" i="9" a="1"/>
  <c r="H564" i="9" s="1"/>
  <c r="I564" i="9" s="1"/>
  <c r="J564" i="9" s="1"/>
  <c r="H565" i="9" a="1"/>
  <c r="H565" i="9" s="1"/>
  <c r="I565" i="9" s="1"/>
  <c r="J565" i="9" s="1"/>
  <c r="H566" i="9" a="1"/>
  <c r="H566" i="9" s="1"/>
  <c r="I566" i="9" s="1"/>
  <c r="J566" i="9" s="1"/>
  <c r="H567" i="9" a="1"/>
  <c r="H567" i="9" s="1"/>
  <c r="I567" i="9" s="1"/>
  <c r="J567" i="9" s="1"/>
  <c r="H568" i="9" a="1"/>
  <c r="H568" i="9" s="1"/>
  <c r="I568" i="9" s="1"/>
  <c r="J568" i="9" s="1"/>
  <c r="H569" i="9" a="1"/>
  <c r="H569" i="9" s="1"/>
  <c r="I569" i="9" s="1"/>
  <c r="J569" i="9" s="1"/>
  <c r="H570" i="9" a="1"/>
  <c r="H570" i="9" s="1"/>
  <c r="I570" i="9" s="1"/>
  <c r="J570" i="9" s="1"/>
  <c r="H571" i="9" a="1"/>
  <c r="H571" i="9" s="1"/>
  <c r="I571" i="9" s="1"/>
  <c r="J571" i="9" s="1"/>
  <c r="H572" i="9" a="1"/>
  <c r="H572" i="9" s="1"/>
  <c r="I572" i="9" s="1"/>
  <c r="J572" i="9" s="1"/>
  <c r="H573" i="9" a="1"/>
  <c r="H573" i="9" s="1"/>
  <c r="I573" i="9" s="1"/>
  <c r="J573" i="9" s="1"/>
  <c r="H574" i="9" a="1"/>
  <c r="H574" i="9" s="1"/>
  <c r="I574" i="9" s="1"/>
  <c r="J574" i="9" s="1"/>
  <c r="H575" i="9" a="1"/>
  <c r="H575" i="9" s="1"/>
  <c r="I575" i="9" s="1"/>
  <c r="J575" i="9" s="1"/>
  <c r="H576" i="9" a="1"/>
  <c r="H576" i="9" s="1"/>
  <c r="I576" i="9" s="1"/>
  <c r="J576" i="9" s="1"/>
  <c r="H577" i="9" a="1"/>
  <c r="H577" i="9" s="1"/>
  <c r="I577" i="9" s="1"/>
  <c r="J577" i="9" s="1"/>
  <c r="H578" i="9" a="1"/>
  <c r="H578" i="9" s="1"/>
  <c r="I578" i="9" s="1"/>
  <c r="J578" i="9" s="1"/>
  <c r="H579" i="9" a="1"/>
  <c r="H579" i="9" s="1"/>
  <c r="I579" i="9" s="1"/>
  <c r="J579" i="9" s="1"/>
  <c r="H580" i="9" a="1"/>
  <c r="H580" i="9" s="1"/>
  <c r="I580" i="9" s="1"/>
  <c r="J580" i="9" s="1"/>
  <c r="H581" i="9" a="1"/>
  <c r="H581" i="9" s="1"/>
  <c r="I581" i="9" s="1"/>
  <c r="J581" i="9" s="1"/>
  <c r="H582" i="9" a="1"/>
  <c r="H582" i="9" s="1"/>
  <c r="I582" i="9" s="1"/>
  <c r="J582" i="9" s="1"/>
  <c r="H583" i="9" a="1"/>
  <c r="H583" i="9" s="1"/>
  <c r="I583" i="9" s="1"/>
  <c r="J583" i="9" s="1"/>
  <c r="H584" i="9" a="1"/>
  <c r="H584" i="9" s="1"/>
  <c r="I584" i="9" s="1"/>
  <c r="J584" i="9" s="1"/>
  <c r="H585" i="9" a="1"/>
  <c r="H585" i="9" s="1"/>
  <c r="I585" i="9" s="1"/>
  <c r="J585" i="9" s="1"/>
  <c r="H586" i="9" a="1"/>
  <c r="H586" i="9" s="1"/>
  <c r="I586" i="9" s="1"/>
  <c r="J586" i="9" s="1"/>
  <c r="H587" i="9" a="1"/>
  <c r="H587" i="9" s="1"/>
  <c r="I587" i="9" s="1"/>
  <c r="J587" i="9" s="1"/>
  <c r="H588" i="9" a="1"/>
  <c r="H588" i="9" s="1"/>
  <c r="I588" i="9" s="1"/>
  <c r="J588" i="9" s="1"/>
  <c r="H589" i="9" a="1"/>
  <c r="H589" i="9" s="1"/>
  <c r="I589" i="9" s="1"/>
  <c r="J589" i="9" s="1"/>
  <c r="H590" i="9" a="1"/>
  <c r="H590" i="9" s="1"/>
  <c r="I590" i="9" s="1"/>
  <c r="J590" i="9" s="1"/>
  <c r="H591" i="9" a="1"/>
  <c r="H591" i="9" s="1"/>
  <c r="I591" i="9" s="1"/>
  <c r="J591" i="9" s="1"/>
  <c r="H592" i="9" a="1"/>
  <c r="H592" i="9" s="1"/>
  <c r="I592" i="9" s="1"/>
  <c r="J592" i="9" s="1"/>
  <c r="H593" i="9" a="1"/>
  <c r="H593" i="9" s="1"/>
  <c r="I593" i="9" s="1"/>
  <c r="J593" i="9" s="1"/>
  <c r="H594" i="9" a="1"/>
  <c r="H594" i="9" s="1"/>
  <c r="I594" i="9" s="1"/>
  <c r="J594" i="9" s="1"/>
  <c r="H595" i="9" a="1"/>
  <c r="H595" i="9" s="1"/>
  <c r="I595" i="9" s="1"/>
  <c r="J595" i="9" s="1"/>
  <c r="H596" i="9" a="1"/>
  <c r="H596" i="9" s="1"/>
  <c r="I596" i="9" s="1"/>
  <c r="J596" i="9" s="1"/>
  <c r="H597" i="9" a="1"/>
  <c r="H597" i="9" s="1"/>
  <c r="I597" i="9" s="1"/>
  <c r="J597" i="9" s="1"/>
  <c r="H598" i="9" a="1"/>
  <c r="H598" i="9" s="1"/>
  <c r="I598" i="9" s="1"/>
  <c r="J598" i="9" s="1"/>
  <c r="H599" i="9" a="1"/>
  <c r="H599" i="9" s="1"/>
  <c r="I599" i="9" s="1"/>
  <c r="J599" i="9" s="1"/>
  <c r="H600" i="9" a="1"/>
  <c r="H600" i="9" s="1"/>
  <c r="I600" i="9" s="1"/>
  <c r="J600" i="9" s="1"/>
  <c r="H601" i="9" a="1"/>
  <c r="H601" i="9" s="1"/>
  <c r="I601" i="9" s="1"/>
  <c r="J601" i="9" s="1"/>
  <c r="H602" i="9" a="1"/>
  <c r="H602" i="9" s="1"/>
  <c r="I602" i="9" s="1"/>
  <c r="J602" i="9" s="1"/>
  <c r="H603" i="9" a="1"/>
  <c r="H603" i="9" s="1"/>
  <c r="I603" i="9" s="1"/>
  <c r="J603" i="9" s="1"/>
  <c r="H604" i="9" a="1"/>
  <c r="H604" i="9" s="1"/>
  <c r="I604" i="9" s="1"/>
  <c r="J604" i="9" s="1"/>
  <c r="H605" i="9" a="1"/>
  <c r="H605" i="9" s="1"/>
  <c r="I605" i="9" s="1"/>
  <c r="J605" i="9" s="1"/>
  <c r="H606" i="9" a="1"/>
  <c r="H606" i="9" s="1"/>
  <c r="I606" i="9" s="1"/>
  <c r="J606" i="9" s="1"/>
  <c r="H607" i="9" a="1"/>
  <c r="H607" i="9" s="1"/>
  <c r="I607" i="9" s="1"/>
  <c r="J607" i="9" s="1"/>
  <c r="H608" i="9" a="1"/>
  <c r="H608" i="9" s="1"/>
  <c r="I608" i="9" s="1"/>
  <c r="J608" i="9" s="1"/>
  <c r="H609" i="9" a="1"/>
  <c r="H609" i="9" s="1"/>
  <c r="I609" i="9" s="1"/>
  <c r="J609" i="9" s="1"/>
  <c r="H610" i="9" a="1"/>
  <c r="H610" i="9" s="1"/>
  <c r="I610" i="9" s="1"/>
  <c r="J610" i="9" s="1"/>
  <c r="H611" i="9" a="1"/>
  <c r="H611" i="9" s="1"/>
  <c r="I611" i="9" s="1"/>
  <c r="J611" i="9" s="1"/>
  <c r="H612" i="9" a="1"/>
  <c r="H612" i="9" s="1"/>
  <c r="I612" i="9" s="1"/>
  <c r="J612" i="9" s="1"/>
  <c r="H613" i="9" a="1"/>
  <c r="H613" i="9" s="1"/>
  <c r="I613" i="9" s="1"/>
  <c r="J613" i="9" s="1"/>
  <c r="H614" i="9" a="1"/>
  <c r="H614" i="9" s="1"/>
  <c r="I614" i="9" s="1"/>
  <c r="J614" i="9" s="1"/>
  <c r="H615" i="9" a="1"/>
  <c r="H615" i="9" s="1"/>
  <c r="I615" i="9" s="1"/>
  <c r="J615" i="9" s="1"/>
  <c r="H616" i="9" a="1"/>
  <c r="H616" i="9" s="1"/>
  <c r="I616" i="9" s="1"/>
  <c r="J616" i="9" s="1"/>
  <c r="H617" i="9" a="1"/>
  <c r="H617" i="9" s="1"/>
  <c r="I617" i="9" s="1"/>
  <c r="J617" i="9" s="1"/>
  <c r="H618" i="9" a="1"/>
  <c r="H618" i="9" s="1"/>
  <c r="I618" i="9" s="1"/>
  <c r="J618" i="9" s="1"/>
  <c r="H619" i="9" a="1"/>
  <c r="H619" i="9" s="1"/>
  <c r="I619" i="9" s="1"/>
  <c r="J619" i="9" s="1"/>
  <c r="H620" i="9" a="1"/>
  <c r="H620" i="9" s="1"/>
  <c r="I620" i="9" s="1"/>
  <c r="J620" i="9" s="1"/>
  <c r="H621" i="9" a="1"/>
  <c r="H621" i="9" s="1"/>
  <c r="I621" i="9" s="1"/>
  <c r="J621" i="9" s="1"/>
  <c r="H622" i="9" a="1"/>
  <c r="H622" i="9" s="1"/>
  <c r="I622" i="9" s="1"/>
  <c r="J622" i="9" s="1"/>
  <c r="H623" i="9" a="1"/>
  <c r="H623" i="9" s="1"/>
  <c r="I623" i="9" s="1"/>
  <c r="J623" i="9" s="1"/>
  <c r="H624" i="9" a="1"/>
  <c r="H624" i="9" s="1"/>
  <c r="I624" i="9" s="1"/>
  <c r="J624" i="9" s="1"/>
  <c r="H625" i="9" a="1"/>
  <c r="H625" i="9" s="1"/>
  <c r="I625" i="9" s="1"/>
  <c r="J625" i="9" s="1"/>
  <c r="H626" i="9" a="1"/>
  <c r="H626" i="9" s="1"/>
  <c r="I626" i="9" s="1"/>
  <c r="J626" i="9" s="1"/>
  <c r="H627" i="9" a="1"/>
  <c r="H627" i="9" s="1"/>
  <c r="I627" i="9" s="1"/>
  <c r="J627" i="9" s="1"/>
  <c r="H628" i="9" a="1"/>
  <c r="H628" i="9" s="1"/>
  <c r="I628" i="9" s="1"/>
  <c r="J628" i="9" s="1"/>
  <c r="H629" i="9" a="1"/>
  <c r="H629" i="9" s="1"/>
  <c r="I629" i="9" s="1"/>
  <c r="J629" i="9" s="1"/>
  <c r="H630" i="9" a="1"/>
  <c r="H630" i="9" s="1"/>
  <c r="I630" i="9" s="1"/>
  <c r="J630" i="9" s="1"/>
  <c r="H631" i="9" a="1"/>
  <c r="H631" i="9" s="1"/>
  <c r="I631" i="9" s="1"/>
  <c r="J631" i="9" s="1"/>
  <c r="H632" i="9" a="1"/>
  <c r="H632" i="9" s="1"/>
  <c r="I632" i="9" s="1"/>
  <c r="J632" i="9" s="1"/>
  <c r="H633" i="9" a="1"/>
  <c r="H633" i="9" s="1"/>
  <c r="I633" i="9" s="1"/>
  <c r="J633" i="9" s="1"/>
  <c r="H634" i="9" a="1"/>
  <c r="H634" i="9" s="1"/>
  <c r="I634" i="9" s="1"/>
  <c r="J634" i="9" s="1"/>
  <c r="H635" i="9" a="1"/>
  <c r="H635" i="9" s="1"/>
  <c r="I635" i="9" s="1"/>
  <c r="J635" i="9" s="1"/>
  <c r="H636" i="9" a="1"/>
  <c r="H636" i="9" s="1"/>
  <c r="I636" i="9" s="1"/>
  <c r="J636" i="9" s="1"/>
  <c r="H637" i="9" a="1"/>
  <c r="H637" i="9" s="1"/>
  <c r="I637" i="9" s="1"/>
  <c r="J637" i="9" s="1"/>
  <c r="H638" i="9" a="1"/>
  <c r="H638" i="9" s="1"/>
  <c r="I638" i="9" s="1"/>
  <c r="J638" i="9" s="1"/>
  <c r="H639" i="9" a="1"/>
  <c r="H639" i="9" s="1"/>
  <c r="I639" i="9" s="1"/>
  <c r="J639" i="9" s="1"/>
  <c r="H640" i="9" a="1"/>
  <c r="H640" i="9" s="1"/>
  <c r="I640" i="9" s="1"/>
  <c r="J640" i="9" s="1"/>
  <c r="H641" i="9" a="1"/>
  <c r="H641" i="9" s="1"/>
  <c r="I641" i="9" s="1"/>
  <c r="J641" i="9" s="1"/>
  <c r="H642" i="9" a="1"/>
  <c r="H642" i="9" s="1"/>
  <c r="I642" i="9" s="1"/>
  <c r="J642" i="9" s="1"/>
  <c r="H643" i="9" a="1"/>
  <c r="H643" i="9" s="1"/>
  <c r="I643" i="9" s="1"/>
  <c r="J643" i="9" s="1"/>
  <c r="H644" i="9" a="1"/>
  <c r="H644" i="9" s="1"/>
  <c r="I644" i="9" s="1"/>
  <c r="J644" i="9" s="1"/>
  <c r="H645" i="9" a="1"/>
  <c r="H645" i="9" s="1"/>
  <c r="I645" i="9" s="1"/>
  <c r="J645" i="9" s="1"/>
  <c r="H646" i="9" a="1"/>
  <c r="H646" i="9" s="1"/>
  <c r="I646" i="9" s="1"/>
  <c r="J646" i="9" s="1"/>
  <c r="H647" i="9" a="1"/>
  <c r="H647" i="9" s="1"/>
  <c r="I647" i="9" s="1"/>
  <c r="J647" i="9" s="1"/>
  <c r="H648" i="9" a="1"/>
  <c r="H648" i="9" s="1"/>
  <c r="I648" i="9" s="1"/>
  <c r="J648" i="9" s="1"/>
  <c r="H649" i="9" a="1"/>
  <c r="H649" i="9" s="1"/>
  <c r="I649" i="9" s="1"/>
  <c r="J649" i="9" s="1"/>
  <c r="H650" i="9" a="1"/>
  <c r="H650" i="9" s="1"/>
  <c r="I650" i="9" s="1"/>
  <c r="J650" i="9" s="1"/>
  <c r="H651" i="9" a="1"/>
  <c r="H651" i="9" s="1"/>
  <c r="I651" i="9" s="1"/>
  <c r="J651" i="9" s="1"/>
  <c r="H652" i="9" a="1"/>
  <c r="H652" i="9" s="1"/>
  <c r="I652" i="9" s="1"/>
  <c r="J652" i="9" s="1"/>
  <c r="H653" i="9" a="1"/>
  <c r="H653" i="9" s="1"/>
  <c r="I653" i="9" s="1"/>
  <c r="J653" i="9" s="1"/>
  <c r="H654" i="9" a="1"/>
  <c r="H654" i="9" s="1"/>
  <c r="I654" i="9" s="1"/>
  <c r="J654" i="9" s="1"/>
  <c r="H655" i="9" a="1"/>
  <c r="H655" i="9" s="1"/>
  <c r="I655" i="9" s="1"/>
  <c r="J655" i="9" s="1"/>
  <c r="H656" i="9" a="1"/>
  <c r="H656" i="9" s="1"/>
  <c r="I656" i="9" s="1"/>
  <c r="J656" i="9" s="1"/>
  <c r="H657" i="9" a="1"/>
  <c r="H657" i="9" s="1"/>
  <c r="I657" i="9" s="1"/>
  <c r="J657" i="9" s="1"/>
  <c r="H658" i="9" a="1"/>
  <c r="H658" i="9" s="1"/>
  <c r="I658" i="9" s="1"/>
  <c r="J658" i="9" s="1"/>
  <c r="H659" i="9" a="1"/>
  <c r="H659" i="9" s="1"/>
  <c r="I659" i="9" s="1"/>
  <c r="J659" i="9" s="1"/>
  <c r="H660" i="9" a="1"/>
  <c r="H660" i="9" s="1"/>
  <c r="I660" i="9" s="1"/>
  <c r="J660" i="9" s="1"/>
  <c r="H661" i="9" a="1"/>
  <c r="H661" i="9" s="1"/>
  <c r="I661" i="9" s="1"/>
  <c r="J661" i="9" s="1"/>
  <c r="H662" i="9" a="1"/>
  <c r="H662" i="9" s="1"/>
  <c r="I662" i="9" s="1"/>
  <c r="J662" i="9" s="1"/>
  <c r="H663" i="9" a="1"/>
  <c r="H663" i="9" s="1"/>
  <c r="I663" i="9" s="1"/>
  <c r="J663" i="9" s="1"/>
  <c r="H664" i="9" a="1"/>
  <c r="H664" i="9" s="1"/>
  <c r="I664" i="9" s="1"/>
  <c r="J664" i="9" s="1"/>
  <c r="H665" i="9" a="1"/>
  <c r="H665" i="9" s="1"/>
  <c r="I665" i="9" s="1"/>
  <c r="J665" i="9" s="1"/>
  <c r="H666" i="9" a="1"/>
  <c r="H666" i="9" s="1"/>
  <c r="I666" i="9" s="1"/>
  <c r="J666" i="9" s="1"/>
  <c r="H667" i="9" a="1"/>
  <c r="H667" i="9" s="1"/>
  <c r="I667" i="9" s="1"/>
  <c r="J667" i="9" s="1"/>
  <c r="H668" i="9" a="1"/>
  <c r="H668" i="9" s="1"/>
  <c r="I668" i="9" s="1"/>
  <c r="J668" i="9" s="1"/>
  <c r="H669" i="9" a="1"/>
  <c r="H669" i="9" s="1"/>
  <c r="I669" i="9" s="1"/>
  <c r="J669" i="9" s="1"/>
  <c r="H670" i="9" a="1"/>
  <c r="H670" i="9" s="1"/>
  <c r="I670" i="9" s="1"/>
  <c r="J670" i="9" s="1"/>
  <c r="H671" i="9" a="1"/>
  <c r="H671" i="9" s="1"/>
  <c r="I671" i="9" s="1"/>
  <c r="J671" i="9" s="1"/>
  <c r="H672" i="9" a="1"/>
  <c r="H672" i="9" s="1"/>
  <c r="I672" i="9" s="1"/>
  <c r="J672" i="9" s="1"/>
  <c r="H673" i="9" a="1"/>
  <c r="H673" i="9" s="1"/>
  <c r="I673" i="9" s="1"/>
  <c r="J673" i="9" s="1"/>
  <c r="H674" i="9" a="1"/>
  <c r="H674" i="9" s="1"/>
  <c r="I674" i="9" s="1"/>
  <c r="J674" i="9" s="1"/>
  <c r="H675" i="9" a="1"/>
  <c r="H675" i="9" s="1"/>
  <c r="I675" i="9" s="1"/>
  <c r="J675" i="9" s="1"/>
  <c r="H676" i="9" a="1"/>
  <c r="H676" i="9" s="1"/>
  <c r="I676" i="9" s="1"/>
  <c r="J676" i="9" s="1"/>
  <c r="H677" i="9" a="1"/>
  <c r="H677" i="9" s="1"/>
  <c r="I677" i="9" s="1"/>
  <c r="J677" i="9" s="1"/>
  <c r="H678" i="9" a="1"/>
  <c r="H678" i="9" s="1"/>
  <c r="I678" i="9" s="1"/>
  <c r="J678" i="9" s="1"/>
  <c r="H679" i="9" a="1"/>
  <c r="H679" i="9" s="1"/>
  <c r="I679" i="9" s="1"/>
  <c r="J679" i="9" s="1"/>
  <c r="H680" i="9" a="1"/>
  <c r="H680" i="9" s="1"/>
  <c r="I680" i="9" s="1"/>
  <c r="J680" i="9" s="1"/>
  <c r="H681" i="9" a="1"/>
  <c r="H681" i="9" s="1"/>
  <c r="I681" i="9" s="1"/>
  <c r="J681" i="9" s="1"/>
  <c r="H682" i="9" a="1"/>
  <c r="H682" i="9" s="1"/>
  <c r="I682" i="9" s="1"/>
  <c r="J682" i="9" s="1"/>
  <c r="H683" i="9" a="1"/>
  <c r="H683" i="9" s="1"/>
  <c r="I683" i="9" s="1"/>
  <c r="J683" i="9" s="1"/>
  <c r="H684" i="9" a="1"/>
  <c r="H684" i="9" s="1"/>
  <c r="I684" i="9" s="1"/>
  <c r="J684" i="9" s="1"/>
  <c r="H685" i="9" a="1"/>
  <c r="H685" i="9" s="1"/>
  <c r="I685" i="9" s="1"/>
  <c r="J685" i="9" s="1"/>
  <c r="H686" i="9" a="1"/>
  <c r="H686" i="9" s="1"/>
  <c r="I686" i="9" s="1"/>
  <c r="J686" i="9" s="1"/>
  <c r="H687" i="9" a="1"/>
  <c r="H687" i="9" s="1"/>
  <c r="I687" i="9" s="1"/>
  <c r="J687" i="9" s="1"/>
  <c r="H688" i="9" a="1"/>
  <c r="H688" i="9" s="1"/>
  <c r="I688" i="9" s="1"/>
  <c r="J688" i="9" s="1"/>
  <c r="H689" i="9" a="1"/>
  <c r="H689" i="9" s="1"/>
  <c r="I689" i="9" s="1"/>
  <c r="J689" i="9" s="1"/>
  <c r="H690" i="9" a="1"/>
  <c r="H690" i="9" s="1"/>
  <c r="I690" i="9" s="1"/>
  <c r="J690" i="9" s="1"/>
  <c r="H691" i="9" a="1"/>
  <c r="H691" i="9" s="1"/>
  <c r="I691" i="9" s="1"/>
  <c r="J691" i="9" s="1"/>
  <c r="H692" i="9" a="1"/>
  <c r="H692" i="9" s="1"/>
  <c r="I692" i="9" s="1"/>
  <c r="J692" i="9" s="1"/>
  <c r="H693" i="9" a="1"/>
  <c r="H693" i="9" s="1"/>
  <c r="I693" i="9" s="1"/>
  <c r="J693" i="9" s="1"/>
  <c r="H694" i="9" a="1"/>
  <c r="H694" i="9" s="1"/>
  <c r="I694" i="9" s="1"/>
  <c r="J694" i="9" s="1"/>
  <c r="H695" i="9" a="1"/>
  <c r="H695" i="9" s="1"/>
  <c r="I695" i="9" s="1"/>
  <c r="J695" i="9" s="1"/>
  <c r="H696" i="9" a="1"/>
  <c r="H696" i="9" s="1"/>
  <c r="I696" i="9" s="1"/>
  <c r="J696" i="9" s="1"/>
  <c r="H697" i="9" a="1"/>
  <c r="H697" i="9" s="1"/>
  <c r="I697" i="9" s="1"/>
  <c r="J697" i="9" s="1"/>
  <c r="H698" i="9" a="1"/>
  <c r="H698" i="9" s="1"/>
  <c r="I698" i="9" s="1"/>
  <c r="J698" i="9" s="1"/>
  <c r="H699" i="9" a="1"/>
  <c r="H699" i="9" s="1"/>
  <c r="I699" i="9" s="1"/>
  <c r="J699" i="9" s="1"/>
  <c r="H700" i="9" a="1"/>
  <c r="H700" i="9" s="1"/>
  <c r="I700" i="9" s="1"/>
  <c r="J700" i="9" s="1"/>
  <c r="H701" i="9" a="1"/>
  <c r="H701" i="9" s="1"/>
  <c r="I701" i="9" s="1"/>
  <c r="J701" i="9" s="1"/>
  <c r="H702" i="9" a="1"/>
  <c r="H702" i="9" s="1"/>
  <c r="I702" i="9" s="1"/>
  <c r="J702" i="9" s="1"/>
  <c r="H703" i="9" a="1"/>
  <c r="H703" i="9" s="1"/>
  <c r="I703" i="9" s="1"/>
  <c r="J703" i="9" s="1"/>
  <c r="H704" i="9" a="1"/>
  <c r="H704" i="9" s="1"/>
  <c r="I704" i="9" s="1"/>
  <c r="J704" i="9" s="1"/>
  <c r="H705" i="9" a="1"/>
  <c r="H705" i="9" s="1"/>
  <c r="I705" i="9" s="1"/>
  <c r="J705" i="9" s="1"/>
  <c r="H706" i="9" a="1"/>
  <c r="H706" i="9" s="1"/>
  <c r="I706" i="9" s="1"/>
  <c r="J706" i="9" s="1"/>
  <c r="H707" i="9" a="1"/>
  <c r="H707" i="9" s="1"/>
  <c r="I707" i="9" s="1"/>
  <c r="J707" i="9" s="1"/>
  <c r="H708" i="9" a="1"/>
  <c r="H708" i="9" s="1"/>
  <c r="I708" i="9" s="1"/>
  <c r="J708" i="9" s="1"/>
  <c r="H709" i="9" a="1"/>
  <c r="H709" i="9" s="1"/>
  <c r="I709" i="9" s="1"/>
  <c r="J709" i="9" s="1"/>
  <c r="H710" i="9" a="1"/>
  <c r="H710" i="9" s="1"/>
  <c r="I710" i="9" s="1"/>
  <c r="J710" i="9" s="1"/>
  <c r="H711" i="9" a="1"/>
  <c r="H711" i="9" s="1"/>
  <c r="I711" i="9" s="1"/>
  <c r="J711" i="9" s="1"/>
  <c r="H712" i="9" a="1"/>
  <c r="H712" i="9" s="1"/>
  <c r="I712" i="9" s="1"/>
  <c r="J712" i="9" s="1"/>
  <c r="H713" i="9" a="1"/>
  <c r="H713" i="9" s="1"/>
  <c r="I713" i="9" s="1"/>
  <c r="J713" i="9" s="1"/>
  <c r="H714" i="9" a="1"/>
  <c r="H714" i="9" s="1"/>
  <c r="I714" i="9" s="1"/>
  <c r="J714" i="9" s="1"/>
  <c r="H715" i="9" a="1"/>
  <c r="H715" i="9" s="1"/>
  <c r="I715" i="9" s="1"/>
  <c r="J715" i="9" s="1"/>
  <c r="H716" i="9" a="1"/>
  <c r="H716" i="9" s="1"/>
  <c r="I716" i="9" s="1"/>
  <c r="J716" i="9" s="1"/>
  <c r="H717" i="9" a="1"/>
  <c r="H717" i="9" s="1"/>
  <c r="I717" i="9" s="1"/>
  <c r="J717" i="9" s="1"/>
  <c r="H718" i="9" a="1"/>
  <c r="H718" i="9" s="1"/>
  <c r="I718" i="9" s="1"/>
  <c r="J718" i="9" s="1"/>
  <c r="H719" i="9" a="1"/>
  <c r="H719" i="9" s="1"/>
  <c r="I719" i="9" s="1"/>
  <c r="J719" i="9" s="1"/>
  <c r="H720" i="9" a="1"/>
  <c r="H720" i="9" s="1"/>
  <c r="I720" i="9" s="1"/>
  <c r="J720" i="9" s="1"/>
  <c r="H721" i="9" a="1"/>
  <c r="H721" i="9" s="1"/>
  <c r="I721" i="9" s="1"/>
  <c r="J721" i="9" s="1"/>
  <c r="H722" i="9" a="1"/>
  <c r="H722" i="9" s="1"/>
  <c r="I722" i="9" s="1"/>
  <c r="J722" i="9" s="1"/>
  <c r="H723" i="9" a="1"/>
  <c r="H723" i="9" s="1"/>
  <c r="I723" i="9" s="1"/>
  <c r="J723" i="9" s="1"/>
  <c r="H724" i="9" a="1"/>
  <c r="H724" i="9" s="1"/>
  <c r="I724" i="9" s="1"/>
  <c r="J724" i="9" s="1"/>
  <c r="H725" i="9" a="1"/>
  <c r="H725" i="9" s="1"/>
  <c r="I725" i="9" s="1"/>
  <c r="J725" i="9" s="1"/>
  <c r="H726" i="9" a="1"/>
  <c r="H726" i="9" s="1"/>
  <c r="I726" i="9" s="1"/>
  <c r="J726" i="9" s="1"/>
  <c r="H727" i="9" a="1"/>
  <c r="H727" i="9" s="1"/>
  <c r="I727" i="9" s="1"/>
  <c r="J727" i="9" s="1"/>
  <c r="H728" i="9" a="1"/>
  <c r="H728" i="9" s="1"/>
  <c r="I728" i="9" s="1"/>
  <c r="J728" i="9" s="1"/>
  <c r="H729" i="9" a="1"/>
  <c r="H729" i="9" s="1"/>
  <c r="I729" i="9" s="1"/>
  <c r="J729" i="9" s="1"/>
  <c r="H730" i="9" a="1"/>
  <c r="H730" i="9" s="1"/>
  <c r="I730" i="9" s="1"/>
  <c r="J730" i="9" s="1"/>
  <c r="H731" i="9" a="1"/>
  <c r="H731" i="9" s="1"/>
  <c r="I731" i="9" s="1"/>
  <c r="J731" i="9" s="1"/>
  <c r="H732" i="9" a="1"/>
  <c r="H732" i="9" s="1"/>
  <c r="I732" i="9" s="1"/>
  <c r="J732" i="9" s="1"/>
  <c r="H733" i="9" a="1"/>
  <c r="H733" i="9" s="1"/>
  <c r="I733" i="9" s="1"/>
  <c r="J733" i="9" s="1"/>
  <c r="H734" i="9" a="1"/>
  <c r="H734" i="9" s="1"/>
  <c r="I734" i="9" s="1"/>
  <c r="J734" i="9" s="1"/>
  <c r="H735" i="9" a="1"/>
  <c r="H735" i="9" s="1"/>
  <c r="I735" i="9" s="1"/>
  <c r="J735" i="9" s="1"/>
  <c r="H736" i="9" a="1"/>
  <c r="H736" i="9" s="1"/>
  <c r="I736" i="9" s="1"/>
  <c r="J736" i="9" s="1"/>
  <c r="H737" i="9" a="1"/>
  <c r="H737" i="9" s="1"/>
  <c r="I737" i="9" s="1"/>
  <c r="J737" i="9" s="1"/>
  <c r="H738" i="9" a="1"/>
  <c r="H738" i="9" s="1"/>
  <c r="I738" i="9" s="1"/>
  <c r="J738" i="9" s="1"/>
  <c r="H739" i="9" a="1"/>
  <c r="H739" i="9" s="1"/>
  <c r="I739" i="9" s="1"/>
  <c r="J739" i="9" s="1"/>
  <c r="H740" i="9" a="1"/>
  <c r="H740" i="9" s="1"/>
  <c r="I740" i="9" s="1"/>
  <c r="J740" i="9" s="1"/>
  <c r="H741" i="9" a="1"/>
  <c r="H741" i="9" s="1"/>
  <c r="I741" i="9" s="1"/>
  <c r="J741" i="9" s="1"/>
  <c r="H742" i="9" a="1"/>
  <c r="H742" i="9" s="1"/>
  <c r="I742" i="9" s="1"/>
  <c r="J742" i="9" s="1"/>
  <c r="H743" i="9" a="1"/>
  <c r="H743" i="9" s="1"/>
  <c r="I743" i="9" s="1"/>
  <c r="J743" i="9" s="1"/>
  <c r="H744" i="9" a="1"/>
  <c r="H744" i="9" s="1"/>
  <c r="I744" i="9" s="1"/>
  <c r="J744" i="9" s="1"/>
  <c r="H745" i="9" a="1"/>
  <c r="H745" i="9" s="1"/>
  <c r="I745" i="9" s="1"/>
  <c r="J745" i="9" s="1"/>
  <c r="H746" i="9" a="1"/>
  <c r="H746" i="9" s="1"/>
  <c r="I746" i="9" s="1"/>
  <c r="J746" i="9" s="1"/>
  <c r="H747" i="9" a="1"/>
  <c r="H747" i="9" s="1"/>
  <c r="I747" i="9" s="1"/>
  <c r="J747" i="9" s="1"/>
  <c r="H748" i="9" a="1"/>
  <c r="H748" i="9" s="1"/>
  <c r="I748" i="9" s="1"/>
  <c r="J748" i="9" s="1"/>
  <c r="H749" i="9" a="1"/>
  <c r="H749" i="9" s="1"/>
  <c r="I749" i="9" s="1"/>
  <c r="J749" i="9" s="1"/>
  <c r="H750" i="9" a="1"/>
  <c r="H750" i="9" s="1"/>
  <c r="I750" i="9" s="1"/>
  <c r="J750" i="9" s="1"/>
  <c r="H751" i="9" a="1"/>
  <c r="H751" i="9" s="1"/>
  <c r="I751" i="9" s="1"/>
  <c r="J751" i="9" s="1"/>
  <c r="H752" i="9" a="1"/>
  <c r="H752" i="9" s="1"/>
  <c r="I752" i="9" s="1"/>
  <c r="J752" i="9" s="1"/>
  <c r="H753" i="9" a="1"/>
  <c r="H753" i="9" s="1"/>
  <c r="I753" i="9" s="1"/>
  <c r="J753" i="9" s="1"/>
  <c r="H754" i="9" a="1"/>
  <c r="H754" i="9" s="1"/>
  <c r="I754" i="9" s="1"/>
  <c r="J754" i="9" s="1"/>
  <c r="H755" i="9" a="1"/>
  <c r="H755" i="9" s="1"/>
  <c r="I755" i="9" s="1"/>
  <c r="J755" i="9" s="1"/>
  <c r="H756" i="9" a="1"/>
  <c r="H756" i="9" s="1"/>
  <c r="I756" i="9" s="1"/>
  <c r="J756" i="9" s="1"/>
  <c r="H757" i="9" a="1"/>
  <c r="H757" i="9" s="1"/>
  <c r="I757" i="9" s="1"/>
  <c r="J757" i="9" s="1"/>
  <c r="H758" i="9" a="1"/>
  <c r="H758" i="9" s="1"/>
  <c r="I758" i="9" s="1"/>
  <c r="J758" i="9" s="1"/>
  <c r="H759" i="9" a="1"/>
  <c r="H759" i="9" s="1"/>
  <c r="I759" i="9" s="1"/>
  <c r="J759" i="9" s="1"/>
  <c r="H760" i="9" a="1"/>
  <c r="H760" i="9" s="1"/>
  <c r="I760" i="9" s="1"/>
  <c r="J760" i="9" s="1"/>
  <c r="H761" i="9" a="1"/>
  <c r="H761" i="9" s="1"/>
  <c r="I761" i="9" s="1"/>
  <c r="J761" i="9" s="1"/>
  <c r="H762" i="9" a="1"/>
  <c r="H762" i="9" s="1"/>
  <c r="I762" i="9" s="1"/>
  <c r="J762" i="9" s="1"/>
  <c r="H763" i="9" a="1"/>
  <c r="H763" i="9" s="1"/>
  <c r="I763" i="9" s="1"/>
  <c r="J763" i="9" s="1"/>
  <c r="H764" i="9" a="1"/>
  <c r="H764" i="9" s="1"/>
  <c r="I764" i="9" s="1"/>
  <c r="J764" i="9" s="1"/>
  <c r="H765" i="9" a="1"/>
  <c r="H765" i="9" s="1"/>
  <c r="I765" i="9" s="1"/>
  <c r="J765" i="9" s="1"/>
  <c r="H766" i="9" a="1"/>
  <c r="H766" i="9" s="1"/>
  <c r="I766" i="9" s="1"/>
  <c r="J766" i="9" s="1"/>
  <c r="H767" i="9" a="1"/>
  <c r="H767" i="9" s="1"/>
  <c r="I767" i="9" s="1"/>
  <c r="J767" i="9" s="1"/>
  <c r="H768" i="9" a="1"/>
  <c r="H768" i="9" s="1"/>
  <c r="I768" i="9" s="1"/>
  <c r="J768" i="9" s="1"/>
  <c r="H769" i="9" a="1"/>
  <c r="H769" i="9" s="1"/>
  <c r="I769" i="9" s="1"/>
  <c r="J769" i="9" s="1"/>
  <c r="H770" i="9" a="1"/>
  <c r="H770" i="9" s="1"/>
  <c r="I770" i="9" s="1"/>
  <c r="J770" i="9" s="1"/>
  <c r="H771" i="9" a="1"/>
  <c r="H771" i="9" s="1"/>
  <c r="I771" i="9" s="1"/>
  <c r="J771" i="9" s="1"/>
  <c r="H772" i="9" a="1"/>
  <c r="H772" i="9" s="1"/>
  <c r="I772" i="9" s="1"/>
  <c r="J772" i="9" s="1"/>
  <c r="H773" i="9" a="1"/>
  <c r="H773" i="9" s="1"/>
  <c r="I773" i="9" s="1"/>
  <c r="J773" i="9" s="1"/>
  <c r="H774" i="9" a="1"/>
  <c r="H774" i="9" s="1"/>
  <c r="I774" i="9" s="1"/>
  <c r="J774" i="9" s="1"/>
  <c r="H775" i="9" a="1"/>
  <c r="H775" i="9" s="1"/>
  <c r="I775" i="9" s="1"/>
  <c r="J775" i="9" s="1"/>
  <c r="H776" i="9" a="1"/>
  <c r="H776" i="9" s="1"/>
  <c r="I776" i="9" s="1"/>
  <c r="J776" i="9" s="1"/>
  <c r="H777" i="9" a="1"/>
  <c r="H777" i="9" s="1"/>
  <c r="I777" i="9" s="1"/>
  <c r="J777" i="9" s="1"/>
  <c r="H778" i="9" a="1"/>
  <c r="H778" i="9" s="1"/>
  <c r="I778" i="9" s="1"/>
  <c r="J778" i="9" s="1"/>
  <c r="H779" i="9" a="1"/>
  <c r="H779" i="9" s="1"/>
  <c r="I779" i="9" s="1"/>
  <c r="J779" i="9" s="1"/>
  <c r="H780" i="9" a="1"/>
  <c r="H780" i="9" s="1"/>
  <c r="I780" i="9" s="1"/>
  <c r="J780" i="9" s="1"/>
  <c r="H781" i="9" a="1"/>
  <c r="H781" i="9" s="1"/>
  <c r="I781" i="9" s="1"/>
  <c r="J781" i="9" s="1"/>
  <c r="H782" i="9" a="1"/>
  <c r="H782" i="9" s="1"/>
  <c r="I782" i="9" s="1"/>
  <c r="J782" i="9" s="1"/>
  <c r="H783" i="9" a="1"/>
  <c r="H783" i="9" s="1"/>
  <c r="I783" i="9" s="1"/>
  <c r="J783" i="9" s="1"/>
  <c r="H784" i="9" a="1"/>
  <c r="H784" i="9" s="1"/>
  <c r="I784" i="9" s="1"/>
  <c r="J784" i="9" s="1"/>
  <c r="H785" i="9" a="1"/>
  <c r="H785" i="9" s="1"/>
  <c r="I785" i="9" s="1"/>
  <c r="J785" i="9" s="1"/>
  <c r="H786" i="9" a="1"/>
  <c r="H786" i="9" s="1"/>
  <c r="I786" i="9" s="1"/>
  <c r="J786" i="9" s="1"/>
  <c r="H787" i="9" a="1"/>
  <c r="H787" i="9" s="1"/>
  <c r="I787" i="9" s="1"/>
  <c r="J787" i="9" s="1"/>
  <c r="H788" i="9" a="1"/>
  <c r="H788" i="9" s="1"/>
  <c r="I788" i="9" s="1"/>
  <c r="J788" i="9" s="1"/>
  <c r="H789" i="9" a="1"/>
  <c r="H789" i="9" s="1"/>
  <c r="I789" i="9" s="1"/>
  <c r="J789" i="9" s="1"/>
  <c r="H790" i="9" a="1"/>
  <c r="H790" i="9" s="1"/>
  <c r="I790" i="9" s="1"/>
  <c r="J790" i="9" s="1"/>
  <c r="H791" i="9" a="1"/>
  <c r="H791" i="9" s="1"/>
  <c r="I791" i="9" s="1"/>
  <c r="J791" i="9" s="1"/>
  <c r="H792" i="9" a="1"/>
  <c r="H792" i="9" s="1"/>
  <c r="I792" i="9" s="1"/>
  <c r="J792" i="9" s="1"/>
  <c r="H793" i="9" a="1"/>
  <c r="H793" i="9" s="1"/>
  <c r="I793" i="9" s="1"/>
  <c r="J793" i="9" s="1"/>
  <c r="H794" i="9" a="1"/>
  <c r="H794" i="9" s="1"/>
  <c r="I794" i="9" s="1"/>
  <c r="J794" i="9" s="1"/>
  <c r="H795" i="9" a="1"/>
  <c r="H795" i="9" s="1"/>
  <c r="I795" i="9" s="1"/>
  <c r="J795" i="9" s="1"/>
  <c r="H796" i="9" a="1"/>
  <c r="H796" i="9" s="1"/>
  <c r="I796" i="9" s="1"/>
  <c r="J796" i="9" s="1"/>
  <c r="H797" i="9" a="1"/>
  <c r="H797" i="9" s="1"/>
  <c r="I797" i="9" s="1"/>
  <c r="J797" i="9" s="1"/>
  <c r="H798" i="9" a="1"/>
  <c r="H798" i="9" s="1"/>
  <c r="I798" i="9" s="1"/>
  <c r="J798" i="9" s="1"/>
  <c r="H799" i="9" a="1"/>
  <c r="H799" i="9" s="1"/>
  <c r="I799" i="9" s="1"/>
  <c r="J799" i="9" s="1"/>
  <c r="H800" i="9" a="1"/>
  <c r="H800" i="9" s="1"/>
  <c r="I800" i="9" s="1"/>
  <c r="J800" i="9" s="1"/>
  <c r="H801" i="9" a="1"/>
  <c r="H801" i="9" s="1"/>
  <c r="I801" i="9" s="1"/>
  <c r="J801" i="9" s="1"/>
  <c r="H802" i="9" a="1"/>
  <c r="H802" i="9" s="1"/>
  <c r="I802" i="9" s="1"/>
  <c r="J802" i="9" s="1"/>
  <c r="H803" i="9" a="1"/>
  <c r="H803" i="9" s="1"/>
  <c r="I803" i="9" s="1"/>
  <c r="J803" i="9" s="1"/>
  <c r="H804" i="9" a="1"/>
  <c r="H804" i="9" s="1"/>
  <c r="I804" i="9" s="1"/>
  <c r="J804" i="9" s="1"/>
  <c r="H805" i="9" a="1"/>
  <c r="H805" i="9" s="1"/>
  <c r="I805" i="9" s="1"/>
  <c r="J805" i="9" s="1"/>
  <c r="H806" i="9" a="1"/>
  <c r="H806" i="9" s="1"/>
  <c r="I806" i="9" s="1"/>
  <c r="J806" i="9" s="1"/>
  <c r="H807" i="9" a="1"/>
  <c r="H807" i="9" s="1"/>
  <c r="I807" i="9" s="1"/>
  <c r="J807" i="9" s="1"/>
  <c r="H808" i="9" a="1"/>
  <c r="H808" i="9" s="1"/>
  <c r="I808" i="9" s="1"/>
  <c r="J808" i="9" s="1"/>
  <c r="H809" i="9" a="1"/>
  <c r="H809" i="9" s="1"/>
  <c r="I809" i="9" s="1"/>
  <c r="J809" i="9" s="1"/>
  <c r="H810" i="9" a="1"/>
  <c r="H810" i="9" s="1"/>
  <c r="I810" i="9" s="1"/>
  <c r="J810" i="9" s="1"/>
  <c r="H811" i="9" a="1"/>
  <c r="H811" i="9" s="1"/>
  <c r="I811" i="9" s="1"/>
  <c r="J811" i="9" s="1"/>
  <c r="H812" i="9" a="1"/>
  <c r="H812" i="9" s="1"/>
  <c r="I812" i="9" s="1"/>
  <c r="J812" i="9" s="1"/>
  <c r="H813" i="9" a="1"/>
  <c r="H813" i="9" s="1"/>
  <c r="I813" i="9" s="1"/>
  <c r="J813" i="9" s="1"/>
  <c r="H814" i="9" a="1"/>
  <c r="H814" i="9" s="1"/>
  <c r="I814" i="9" s="1"/>
  <c r="J814" i="9" s="1"/>
  <c r="H815" i="9" a="1"/>
  <c r="H815" i="9" s="1"/>
  <c r="I815" i="9" s="1"/>
  <c r="J815" i="9" s="1"/>
  <c r="H816" i="9" a="1"/>
  <c r="H816" i="9" s="1"/>
  <c r="I816" i="9" s="1"/>
  <c r="J816" i="9" s="1"/>
  <c r="H817" i="9" a="1"/>
  <c r="H817" i="9" s="1"/>
  <c r="I817" i="9" s="1"/>
  <c r="J817" i="9" s="1"/>
  <c r="H818" i="9" a="1"/>
  <c r="H818" i="9" s="1"/>
  <c r="I818" i="9" s="1"/>
  <c r="J818" i="9" s="1"/>
  <c r="H819" i="9" a="1"/>
  <c r="H819" i="9" s="1"/>
  <c r="I819" i="9" s="1"/>
  <c r="J819" i="9" s="1"/>
  <c r="H820" i="9" a="1"/>
  <c r="H820" i="9" s="1"/>
  <c r="I820" i="9" s="1"/>
  <c r="J820" i="9" s="1"/>
  <c r="H821" i="9" a="1"/>
  <c r="H821" i="9" s="1"/>
  <c r="I821" i="9" s="1"/>
  <c r="J821" i="9" s="1"/>
  <c r="H822" i="9" a="1"/>
  <c r="H822" i="9" s="1"/>
  <c r="I822" i="9" s="1"/>
  <c r="J822" i="9" s="1"/>
  <c r="H823" i="9" a="1"/>
  <c r="H823" i="9" s="1"/>
  <c r="I823" i="9" s="1"/>
  <c r="J823" i="9" s="1"/>
  <c r="H824" i="9" a="1"/>
  <c r="H824" i="9" s="1"/>
  <c r="I824" i="9" s="1"/>
  <c r="J824" i="9" s="1"/>
  <c r="H825" i="9" a="1"/>
  <c r="H825" i="9" s="1"/>
  <c r="I825" i="9" s="1"/>
  <c r="J825" i="9" s="1"/>
  <c r="H826" i="9" a="1"/>
  <c r="H826" i="9" s="1"/>
  <c r="I826" i="9" s="1"/>
  <c r="J826" i="9" s="1"/>
  <c r="H827" i="9" a="1"/>
  <c r="H827" i="9" s="1"/>
  <c r="I827" i="9" s="1"/>
  <c r="J827" i="9" s="1"/>
  <c r="H828" i="9" a="1"/>
  <c r="H828" i="9" s="1"/>
  <c r="I828" i="9" s="1"/>
  <c r="J828" i="9" s="1"/>
  <c r="H829" i="9" a="1"/>
  <c r="H829" i="9" s="1"/>
  <c r="I829" i="9" s="1"/>
  <c r="J829" i="9" s="1"/>
  <c r="H830" i="9" a="1"/>
  <c r="H830" i="9" s="1"/>
  <c r="I830" i="9" s="1"/>
  <c r="J830" i="9" s="1"/>
  <c r="H831" i="9" a="1"/>
  <c r="H831" i="9" s="1"/>
  <c r="I831" i="9" s="1"/>
  <c r="J831" i="9" s="1"/>
  <c r="H832" i="9" a="1"/>
  <c r="H832" i="9" s="1"/>
  <c r="I832" i="9" s="1"/>
  <c r="J832" i="9" s="1"/>
  <c r="H833" i="9" a="1"/>
  <c r="H833" i="9" s="1"/>
  <c r="I833" i="9" s="1"/>
  <c r="J833" i="9" s="1"/>
  <c r="H834" i="9" a="1"/>
  <c r="H834" i="9" s="1"/>
  <c r="I834" i="9" s="1"/>
  <c r="J834" i="9" s="1"/>
  <c r="H835" i="9" a="1"/>
  <c r="H835" i="9" s="1"/>
  <c r="I835" i="9" s="1"/>
  <c r="J835" i="9" s="1"/>
  <c r="H836" i="9" a="1"/>
  <c r="H836" i="9" s="1"/>
  <c r="I836" i="9" s="1"/>
  <c r="J836" i="9" s="1"/>
  <c r="H837" i="9" a="1"/>
  <c r="H837" i="9" s="1"/>
  <c r="I837" i="9" s="1"/>
  <c r="J837" i="9" s="1"/>
  <c r="H838" i="9" a="1"/>
  <c r="H838" i="9" s="1"/>
  <c r="I838" i="9" s="1"/>
  <c r="J838" i="9" s="1"/>
  <c r="H839" i="9" a="1"/>
  <c r="H839" i="9" s="1"/>
  <c r="I839" i="9" s="1"/>
  <c r="J839" i="9" s="1"/>
  <c r="H840" i="9" a="1"/>
  <c r="H840" i="9" s="1"/>
  <c r="I840" i="9" s="1"/>
  <c r="J840" i="9" s="1"/>
  <c r="H841" i="9" a="1"/>
  <c r="H841" i="9" s="1"/>
  <c r="I841" i="9" s="1"/>
  <c r="J841" i="9" s="1"/>
  <c r="H842" i="9" a="1"/>
  <c r="H842" i="9" s="1"/>
  <c r="I842" i="9" s="1"/>
  <c r="J842" i="9" s="1"/>
  <c r="H843" i="9" a="1"/>
  <c r="H843" i="9" s="1"/>
  <c r="I843" i="9" s="1"/>
  <c r="J843" i="9" s="1"/>
  <c r="H844" i="9" a="1"/>
  <c r="H844" i="9" s="1"/>
  <c r="I844" i="9" s="1"/>
  <c r="J844" i="9" s="1"/>
  <c r="H845" i="9" a="1"/>
  <c r="H845" i="9" s="1"/>
  <c r="I845" i="9" s="1"/>
  <c r="J845" i="9" s="1"/>
  <c r="H846" i="9" a="1"/>
  <c r="H846" i="9" s="1"/>
  <c r="I846" i="9" s="1"/>
  <c r="J846" i="9" s="1"/>
  <c r="H847" i="9" a="1"/>
  <c r="H847" i="9" s="1"/>
  <c r="I847" i="9" s="1"/>
  <c r="J847" i="9" s="1"/>
  <c r="H848" i="9" a="1"/>
  <c r="H848" i="9" s="1"/>
  <c r="I848" i="9" s="1"/>
  <c r="J848" i="9" s="1"/>
  <c r="H849" i="9" a="1"/>
  <c r="H849" i="9" s="1"/>
  <c r="I849" i="9" s="1"/>
  <c r="J849" i="9" s="1"/>
  <c r="H850" i="9" a="1"/>
  <c r="H850" i="9" s="1"/>
  <c r="I850" i="9" s="1"/>
  <c r="J850" i="9" s="1"/>
  <c r="H851" i="9" a="1"/>
  <c r="H851" i="9" s="1"/>
  <c r="I851" i="9" s="1"/>
  <c r="J851" i="9" s="1"/>
  <c r="H852" i="9" a="1"/>
  <c r="H852" i="9" s="1"/>
  <c r="I852" i="9" s="1"/>
  <c r="J852" i="9" s="1"/>
  <c r="H853" i="9" a="1"/>
  <c r="H853" i="9" s="1"/>
  <c r="I853" i="9" s="1"/>
  <c r="J853" i="9" s="1"/>
  <c r="H854" i="9" a="1"/>
  <c r="H854" i="9" s="1"/>
  <c r="I854" i="9" s="1"/>
  <c r="J854" i="9" s="1"/>
  <c r="H855" i="9" a="1"/>
  <c r="H855" i="9" s="1"/>
  <c r="I855" i="9" s="1"/>
  <c r="J855" i="9" s="1"/>
  <c r="H856" i="9" a="1"/>
  <c r="H856" i="9" s="1"/>
  <c r="I856" i="9" s="1"/>
  <c r="J856" i="9" s="1"/>
  <c r="H857" i="9" a="1"/>
  <c r="H857" i="9" s="1"/>
  <c r="I857" i="9" s="1"/>
  <c r="J857" i="9" s="1"/>
  <c r="H858" i="9" a="1"/>
  <c r="H858" i="9" s="1"/>
  <c r="I858" i="9" s="1"/>
  <c r="J858" i="9" s="1"/>
  <c r="H859" i="9" a="1"/>
  <c r="H859" i="9" s="1"/>
  <c r="I859" i="9" s="1"/>
  <c r="J859" i="9" s="1"/>
  <c r="H860" i="9" a="1"/>
  <c r="H860" i="9" s="1"/>
  <c r="I860" i="9" s="1"/>
  <c r="J860" i="9" s="1"/>
  <c r="H861" i="9" a="1"/>
  <c r="H861" i="9" s="1"/>
  <c r="I861" i="9" s="1"/>
  <c r="J861" i="9" s="1"/>
  <c r="H862" i="9" a="1"/>
  <c r="H862" i="9" s="1"/>
  <c r="I862" i="9" s="1"/>
  <c r="J862" i="9" s="1"/>
  <c r="H863" i="9" a="1"/>
  <c r="H863" i="9" s="1"/>
  <c r="I863" i="9" s="1"/>
  <c r="J863" i="9" s="1"/>
  <c r="H864" i="9" a="1"/>
  <c r="H864" i="9" s="1"/>
  <c r="I864" i="9" s="1"/>
  <c r="J864" i="9" s="1"/>
  <c r="H865" i="9" a="1"/>
  <c r="H865" i="9" s="1"/>
  <c r="I865" i="9" s="1"/>
  <c r="J865" i="9" s="1"/>
  <c r="H866" i="9" a="1"/>
  <c r="H866" i="9" s="1"/>
  <c r="I866" i="9" s="1"/>
  <c r="J866" i="9" s="1"/>
  <c r="H867" i="9" a="1"/>
  <c r="H867" i="9" s="1"/>
  <c r="I867" i="9" s="1"/>
  <c r="J867" i="9" s="1"/>
  <c r="H868" i="9" a="1"/>
  <c r="H868" i="9" s="1"/>
  <c r="I868" i="9" s="1"/>
  <c r="J868" i="9" s="1"/>
  <c r="H869" i="9" a="1"/>
  <c r="H869" i="9" s="1"/>
  <c r="I869" i="9" s="1"/>
  <c r="J869" i="9" s="1"/>
  <c r="H870" i="9" a="1"/>
  <c r="H870" i="9" s="1"/>
  <c r="I870" i="9" s="1"/>
  <c r="J870" i="9" s="1"/>
  <c r="H871" i="9" a="1"/>
  <c r="H871" i="9" s="1"/>
  <c r="I871" i="9" s="1"/>
  <c r="J871" i="9" s="1"/>
  <c r="H872" i="9" a="1"/>
  <c r="H872" i="9" s="1"/>
  <c r="I872" i="9" s="1"/>
  <c r="J872" i="9" s="1"/>
  <c r="H873" i="9" a="1"/>
  <c r="H873" i="9" s="1"/>
  <c r="I873" i="9" s="1"/>
  <c r="J873" i="9" s="1"/>
  <c r="H874" i="9" a="1"/>
  <c r="H874" i="9" s="1"/>
  <c r="I874" i="9" s="1"/>
  <c r="J874" i="9" s="1"/>
  <c r="H875" i="9" a="1"/>
  <c r="H875" i="9" s="1"/>
  <c r="I875" i="9" s="1"/>
  <c r="J875" i="9" s="1"/>
  <c r="H876" i="9" a="1"/>
  <c r="H876" i="9" s="1"/>
  <c r="I876" i="9" s="1"/>
  <c r="J876" i="9" s="1"/>
  <c r="H877" i="9" a="1"/>
  <c r="H877" i="9" s="1"/>
  <c r="I877" i="9" s="1"/>
  <c r="J877" i="9" s="1"/>
  <c r="H878" i="9" a="1"/>
  <c r="H878" i="9" s="1"/>
  <c r="I878" i="9" s="1"/>
  <c r="J878" i="9" s="1"/>
  <c r="H879" i="9" a="1"/>
  <c r="H879" i="9" s="1"/>
  <c r="I879" i="9" s="1"/>
  <c r="J879" i="9" s="1"/>
  <c r="H880" i="9" a="1"/>
  <c r="H880" i="9" s="1"/>
  <c r="I880" i="9" s="1"/>
  <c r="J880" i="9" s="1"/>
  <c r="H881" i="9" a="1"/>
  <c r="H881" i="9" s="1"/>
  <c r="I881" i="9" s="1"/>
  <c r="J881" i="9" s="1"/>
  <c r="H882" i="9" a="1"/>
  <c r="H882" i="9" s="1"/>
  <c r="I882" i="9" s="1"/>
  <c r="J882" i="9" s="1"/>
  <c r="H883" i="9" a="1"/>
  <c r="H883" i="9" s="1"/>
  <c r="I883" i="9" s="1"/>
  <c r="J883" i="9" s="1"/>
  <c r="H884" i="9" a="1"/>
  <c r="H884" i="9" s="1"/>
  <c r="I884" i="9" s="1"/>
  <c r="J884" i="9" s="1"/>
  <c r="H885" i="9" a="1"/>
  <c r="H885" i="9" s="1"/>
  <c r="I885" i="9" s="1"/>
  <c r="J885" i="9" s="1"/>
  <c r="H886" i="9" a="1"/>
  <c r="H886" i="9" s="1"/>
  <c r="I886" i="9" s="1"/>
  <c r="J886" i="9" s="1"/>
  <c r="H887" i="9" a="1"/>
  <c r="H887" i="9" s="1"/>
  <c r="I887" i="9" s="1"/>
  <c r="J887" i="9" s="1"/>
  <c r="H888" i="9" a="1"/>
  <c r="H888" i="9" s="1"/>
  <c r="I888" i="9" s="1"/>
  <c r="J888" i="9" s="1"/>
  <c r="H889" i="9" a="1"/>
  <c r="H889" i="9" s="1"/>
  <c r="I889" i="9" s="1"/>
  <c r="J889" i="9" s="1"/>
  <c r="H890" i="9" a="1"/>
  <c r="H890" i="9" s="1"/>
  <c r="I890" i="9" s="1"/>
  <c r="J890" i="9" s="1"/>
  <c r="H891" i="9" a="1"/>
  <c r="H891" i="9" s="1"/>
  <c r="I891" i="9" s="1"/>
  <c r="J891" i="9" s="1"/>
  <c r="H892" i="9" a="1"/>
  <c r="H892" i="9" s="1"/>
  <c r="I892" i="9" s="1"/>
  <c r="J892" i="9" s="1"/>
  <c r="H893" i="9" a="1"/>
  <c r="H893" i="9" s="1"/>
  <c r="I893" i="9" s="1"/>
  <c r="J893" i="9" s="1"/>
  <c r="H894" i="9" a="1"/>
  <c r="H894" i="9" s="1"/>
  <c r="I894" i="9" s="1"/>
  <c r="J894" i="9" s="1"/>
  <c r="H895" i="9" a="1"/>
  <c r="H895" i="9" s="1"/>
  <c r="I895" i="9" s="1"/>
  <c r="J895" i="9" s="1"/>
  <c r="H896" i="9" a="1"/>
  <c r="H896" i="9" s="1"/>
  <c r="I896" i="9" s="1"/>
  <c r="J896" i="9" s="1"/>
  <c r="H897" i="9" a="1"/>
  <c r="H897" i="9" s="1"/>
  <c r="I897" i="9" s="1"/>
  <c r="J897" i="9" s="1"/>
  <c r="H898" i="9" a="1"/>
  <c r="H898" i="9" s="1"/>
  <c r="I898" i="9" s="1"/>
  <c r="J898" i="9" s="1"/>
  <c r="H899" i="9" a="1"/>
  <c r="H899" i="9" s="1"/>
  <c r="I899" i="9" s="1"/>
  <c r="J899" i="9" s="1"/>
  <c r="H900" i="9" a="1"/>
  <c r="H900" i="9" s="1"/>
  <c r="I900" i="9" s="1"/>
  <c r="J900" i="9" s="1"/>
  <c r="H901" i="9" a="1"/>
  <c r="H901" i="9" s="1"/>
  <c r="I901" i="9" s="1"/>
  <c r="J901" i="9" s="1"/>
  <c r="H902" i="9" a="1"/>
  <c r="H902" i="9" s="1"/>
  <c r="I902" i="9" s="1"/>
  <c r="J902" i="9" s="1"/>
  <c r="H903" i="9" a="1"/>
  <c r="H903" i="9" s="1"/>
  <c r="I903" i="9" s="1"/>
  <c r="J903" i="9" s="1"/>
  <c r="H904" i="9" a="1"/>
  <c r="H904" i="9" s="1"/>
  <c r="I904" i="9" s="1"/>
  <c r="J904" i="9" s="1"/>
  <c r="H905" i="9" a="1"/>
  <c r="H905" i="9" s="1"/>
  <c r="I905" i="9" s="1"/>
  <c r="J905" i="9" s="1"/>
  <c r="H906" i="9" a="1"/>
  <c r="H906" i="9" s="1"/>
  <c r="I906" i="9" s="1"/>
  <c r="J906" i="9" s="1"/>
  <c r="H907" i="9" a="1"/>
  <c r="H907" i="9" s="1"/>
  <c r="I907" i="9" s="1"/>
  <c r="J907" i="9" s="1"/>
  <c r="H908" i="9" a="1"/>
  <c r="H908" i="9" s="1"/>
  <c r="I908" i="9" s="1"/>
  <c r="J908" i="9" s="1"/>
  <c r="H909" i="9" a="1"/>
  <c r="H909" i="9" s="1"/>
  <c r="I909" i="9" s="1"/>
  <c r="J909" i="9" s="1"/>
  <c r="H910" i="9" a="1"/>
  <c r="H910" i="9" s="1"/>
  <c r="I910" i="9" s="1"/>
  <c r="J910" i="9" s="1"/>
  <c r="H911" i="9" a="1"/>
  <c r="H911" i="9" s="1"/>
  <c r="I911" i="9" s="1"/>
  <c r="J911" i="9" s="1"/>
  <c r="H912" i="9" a="1"/>
  <c r="H912" i="9" s="1"/>
  <c r="I912" i="9" s="1"/>
  <c r="J912" i="9" s="1"/>
  <c r="H913" i="9" a="1"/>
  <c r="H913" i="9" s="1"/>
  <c r="I913" i="9" s="1"/>
  <c r="J913" i="9" s="1"/>
  <c r="H914" i="9" a="1"/>
  <c r="H914" i="9" s="1"/>
  <c r="I914" i="9" s="1"/>
  <c r="J914" i="9" s="1"/>
  <c r="H915" i="9" a="1"/>
  <c r="H915" i="9" s="1"/>
  <c r="I915" i="9" s="1"/>
  <c r="J915" i="9" s="1"/>
  <c r="H916" i="9" a="1"/>
  <c r="H916" i="9" s="1"/>
  <c r="I916" i="9" s="1"/>
  <c r="J916" i="9" s="1"/>
  <c r="H917" i="9" a="1"/>
  <c r="H917" i="9" s="1"/>
  <c r="I917" i="9" s="1"/>
  <c r="J917" i="9" s="1"/>
  <c r="H918" i="9" a="1"/>
  <c r="H918" i="9" s="1"/>
  <c r="I918" i="9" s="1"/>
  <c r="J918" i="9" s="1"/>
  <c r="H919" i="9" a="1"/>
  <c r="H919" i="9" s="1"/>
  <c r="I919" i="9" s="1"/>
  <c r="J919" i="9" s="1"/>
  <c r="H920" i="9" a="1"/>
  <c r="H920" i="9" s="1"/>
  <c r="I920" i="9" s="1"/>
  <c r="J920" i="9" s="1"/>
  <c r="H921" i="9" a="1"/>
  <c r="H921" i="9" s="1"/>
  <c r="I921" i="9" s="1"/>
  <c r="J921" i="9" s="1"/>
  <c r="H922" i="9" a="1"/>
  <c r="H922" i="9" s="1"/>
  <c r="I922" i="9" s="1"/>
  <c r="J922" i="9" s="1"/>
  <c r="H923" i="9" a="1"/>
  <c r="H923" i="9" s="1"/>
  <c r="I923" i="9" s="1"/>
  <c r="J923" i="9" s="1"/>
  <c r="H924" i="9" a="1"/>
  <c r="H924" i="9" s="1"/>
  <c r="I924" i="9" s="1"/>
  <c r="J924" i="9" s="1"/>
  <c r="H925" i="9" a="1"/>
  <c r="H925" i="9" s="1"/>
  <c r="I925" i="9" s="1"/>
  <c r="J925" i="9" s="1"/>
  <c r="H926" i="9" a="1"/>
  <c r="H926" i="9" s="1"/>
  <c r="I926" i="9" s="1"/>
  <c r="J926" i="9" s="1"/>
  <c r="H927" i="9" a="1"/>
  <c r="H927" i="9" s="1"/>
  <c r="I927" i="9" s="1"/>
  <c r="J927" i="9" s="1"/>
  <c r="H928" i="9" a="1"/>
  <c r="H928" i="9" s="1"/>
  <c r="I928" i="9" s="1"/>
  <c r="J928" i="9" s="1"/>
  <c r="H929" i="9" a="1"/>
  <c r="H929" i="9" s="1"/>
  <c r="I929" i="9" s="1"/>
  <c r="J929" i="9" s="1"/>
  <c r="H930" i="9" a="1"/>
  <c r="H930" i="9" s="1"/>
  <c r="I930" i="9" s="1"/>
  <c r="J930" i="9" s="1"/>
  <c r="H931" i="9" a="1"/>
  <c r="H931" i="9" s="1"/>
  <c r="I931" i="9" s="1"/>
  <c r="J931" i="9" s="1"/>
  <c r="H932" i="9" a="1"/>
  <c r="H932" i="9" s="1"/>
  <c r="I932" i="9" s="1"/>
  <c r="J932" i="9" s="1"/>
  <c r="H933" i="9" a="1"/>
  <c r="H933" i="9" s="1"/>
  <c r="I933" i="9" s="1"/>
  <c r="J933" i="9" s="1"/>
  <c r="H934" i="9" a="1"/>
  <c r="H934" i="9" s="1"/>
  <c r="I934" i="9" s="1"/>
  <c r="J934" i="9" s="1"/>
  <c r="H935" i="9" a="1"/>
  <c r="H935" i="9" s="1"/>
  <c r="I935" i="9" s="1"/>
  <c r="J935" i="9" s="1"/>
  <c r="H936" i="9" a="1"/>
  <c r="H936" i="9" s="1"/>
  <c r="I936" i="9" s="1"/>
  <c r="J936" i="9" s="1"/>
  <c r="H937" i="9" a="1"/>
  <c r="H937" i="9" s="1"/>
  <c r="I937" i="9" s="1"/>
  <c r="J937" i="9" s="1"/>
  <c r="H938" i="9" a="1"/>
  <c r="H938" i="9" s="1"/>
  <c r="I938" i="9" s="1"/>
  <c r="J938" i="9" s="1"/>
  <c r="H939" i="9" a="1"/>
  <c r="H939" i="9" s="1"/>
  <c r="I939" i="9" s="1"/>
  <c r="J939" i="9" s="1"/>
  <c r="H940" i="9" a="1"/>
  <c r="H940" i="9" s="1"/>
  <c r="I940" i="9" s="1"/>
  <c r="J940" i="9" s="1"/>
  <c r="H941" i="9" a="1"/>
  <c r="H941" i="9" s="1"/>
  <c r="I941" i="9" s="1"/>
  <c r="J941" i="9" s="1"/>
  <c r="H942" i="9" a="1"/>
  <c r="H942" i="9" s="1"/>
  <c r="I942" i="9" s="1"/>
  <c r="J942" i="9" s="1"/>
  <c r="H943" i="9" a="1"/>
  <c r="H943" i="9" s="1"/>
  <c r="I943" i="9" s="1"/>
  <c r="J943" i="9" s="1"/>
  <c r="H944" i="9" a="1"/>
  <c r="H944" i="9" s="1"/>
  <c r="I944" i="9" s="1"/>
  <c r="J944" i="9" s="1"/>
  <c r="H945" i="9" a="1"/>
  <c r="H945" i="9" s="1"/>
  <c r="I945" i="9" s="1"/>
  <c r="J945" i="9" s="1"/>
  <c r="H946" i="9" a="1"/>
  <c r="H946" i="9" s="1"/>
  <c r="I946" i="9" s="1"/>
  <c r="J946" i="9" s="1"/>
  <c r="H947" i="9" a="1"/>
  <c r="H947" i="9" s="1"/>
  <c r="I947" i="9" s="1"/>
  <c r="J947" i="9" s="1"/>
  <c r="H948" i="9" a="1"/>
  <c r="H948" i="9" s="1"/>
  <c r="I948" i="9" s="1"/>
  <c r="J948" i="9" s="1"/>
  <c r="H949" i="9" a="1"/>
  <c r="H949" i="9" s="1"/>
  <c r="I949" i="9" s="1"/>
  <c r="J949" i="9" s="1"/>
  <c r="H950" i="9" a="1"/>
  <c r="H950" i="9" s="1"/>
  <c r="I950" i="9" s="1"/>
  <c r="J950" i="9" s="1"/>
  <c r="H951" i="9" a="1"/>
  <c r="H951" i="9" s="1"/>
  <c r="I951" i="9" s="1"/>
  <c r="J951" i="9" s="1"/>
  <c r="H952" i="9" a="1"/>
  <c r="H952" i="9" s="1"/>
  <c r="I952" i="9" s="1"/>
  <c r="J952" i="9" s="1"/>
  <c r="H953" i="9" a="1"/>
  <c r="H953" i="9" s="1"/>
  <c r="I953" i="9" s="1"/>
  <c r="J953" i="9" s="1"/>
  <c r="H954" i="9" a="1"/>
  <c r="H954" i="9" s="1"/>
  <c r="I954" i="9" s="1"/>
  <c r="J954" i="9" s="1"/>
  <c r="H955" i="9" a="1"/>
  <c r="H955" i="9" s="1"/>
  <c r="I955" i="9" s="1"/>
  <c r="J955" i="9" s="1"/>
  <c r="H956" i="9" a="1"/>
  <c r="H956" i="9" s="1"/>
  <c r="I956" i="9" s="1"/>
  <c r="J956" i="9" s="1"/>
  <c r="H957" i="9" a="1"/>
  <c r="H957" i="9" s="1"/>
  <c r="I957" i="9" s="1"/>
  <c r="J957" i="9" s="1"/>
  <c r="H958" i="9" a="1"/>
  <c r="H958" i="9" s="1"/>
  <c r="I958" i="9" s="1"/>
  <c r="J958" i="9" s="1"/>
  <c r="H959" i="9" a="1"/>
  <c r="H959" i="9" s="1"/>
  <c r="I959" i="9" s="1"/>
  <c r="J959" i="9" s="1"/>
  <c r="H960" i="9" a="1"/>
  <c r="H960" i="9" s="1"/>
  <c r="I960" i="9" s="1"/>
  <c r="J960" i="9" s="1"/>
  <c r="H961" i="9" a="1"/>
  <c r="H961" i="9" s="1"/>
  <c r="I961" i="9" s="1"/>
  <c r="J961" i="9" s="1"/>
  <c r="H962" i="9" a="1"/>
  <c r="H962" i="9" s="1"/>
  <c r="I962" i="9" s="1"/>
  <c r="J962" i="9" s="1"/>
  <c r="H963" i="9" a="1"/>
  <c r="H963" i="9" s="1"/>
  <c r="I963" i="9" s="1"/>
  <c r="J963" i="9" s="1"/>
  <c r="H964" i="9" a="1"/>
  <c r="H964" i="9" s="1"/>
  <c r="I964" i="9" s="1"/>
  <c r="J964" i="9" s="1"/>
  <c r="H965" i="9" a="1"/>
  <c r="H965" i="9" s="1"/>
  <c r="I965" i="9" s="1"/>
  <c r="J965" i="9" s="1"/>
  <c r="H966" i="9" a="1"/>
  <c r="H966" i="9" s="1"/>
  <c r="I966" i="9" s="1"/>
  <c r="J966" i="9" s="1"/>
  <c r="H967" i="9" a="1"/>
  <c r="H967" i="9" s="1"/>
  <c r="I967" i="9" s="1"/>
  <c r="J967" i="9" s="1"/>
  <c r="H968" i="9" a="1"/>
  <c r="H968" i="9" s="1"/>
  <c r="I968" i="9" s="1"/>
  <c r="J968" i="9" s="1"/>
  <c r="H969" i="9" a="1"/>
  <c r="H969" i="9" s="1"/>
  <c r="I969" i="9" s="1"/>
  <c r="J969" i="9" s="1"/>
  <c r="H970" i="9" a="1"/>
  <c r="H970" i="9" s="1"/>
  <c r="I970" i="9" s="1"/>
  <c r="J970" i="9" s="1"/>
  <c r="H971" i="9" a="1"/>
  <c r="H971" i="9" s="1"/>
  <c r="I971" i="9" s="1"/>
  <c r="J971" i="9" s="1"/>
  <c r="H972" i="9" a="1"/>
  <c r="H972" i="9" s="1"/>
  <c r="I972" i="9" s="1"/>
  <c r="J972" i="9" s="1"/>
  <c r="H973" i="9" a="1"/>
  <c r="H973" i="9" s="1"/>
  <c r="I973" i="9" s="1"/>
  <c r="J973" i="9" s="1"/>
  <c r="H974" i="9" a="1"/>
  <c r="H974" i="9" s="1"/>
  <c r="I974" i="9" s="1"/>
  <c r="J974" i="9" s="1"/>
  <c r="H975" i="9" a="1"/>
  <c r="H975" i="9" s="1"/>
  <c r="I975" i="9" s="1"/>
  <c r="J975" i="9" s="1"/>
  <c r="H976" i="9" a="1"/>
  <c r="H976" i="9" s="1"/>
  <c r="I976" i="9" s="1"/>
  <c r="J976" i="9" s="1"/>
  <c r="H977" i="9" a="1"/>
  <c r="H977" i="9" s="1"/>
  <c r="I977" i="9" s="1"/>
  <c r="J977" i="9" s="1"/>
  <c r="H978" i="9" a="1"/>
  <c r="H978" i="9" s="1"/>
  <c r="I978" i="9" s="1"/>
  <c r="J978" i="9" s="1"/>
  <c r="H979" i="9" a="1"/>
  <c r="H979" i="9" s="1"/>
  <c r="I979" i="9" s="1"/>
  <c r="J979" i="9" s="1"/>
  <c r="H980" i="9" a="1"/>
  <c r="H980" i="9" s="1"/>
  <c r="I980" i="9" s="1"/>
  <c r="J980" i="9" s="1"/>
  <c r="H981" i="9" a="1"/>
  <c r="H981" i="9" s="1"/>
  <c r="I981" i="9" s="1"/>
  <c r="J981" i="9" s="1"/>
  <c r="H982" i="9" a="1"/>
  <c r="H982" i="9" s="1"/>
  <c r="I982" i="9" s="1"/>
  <c r="J982" i="9" s="1"/>
  <c r="H983" i="9" a="1"/>
  <c r="H983" i="9" s="1"/>
  <c r="I983" i="9" s="1"/>
  <c r="J983" i="9" s="1"/>
  <c r="H984" i="9" a="1"/>
  <c r="H984" i="9" s="1"/>
  <c r="I984" i="9" s="1"/>
  <c r="J984" i="9" s="1"/>
  <c r="H985" i="9" a="1"/>
  <c r="H985" i="9" s="1"/>
  <c r="I985" i="9" s="1"/>
  <c r="J985" i="9" s="1"/>
  <c r="H986" i="9" a="1"/>
  <c r="H986" i="9" s="1"/>
  <c r="I986" i="9" s="1"/>
  <c r="J986" i="9" s="1"/>
  <c r="H987" i="9" a="1"/>
  <c r="H987" i="9" s="1"/>
  <c r="I987" i="9" s="1"/>
  <c r="J987" i="9" s="1"/>
  <c r="H988" i="9" a="1"/>
  <c r="H988" i="9" s="1"/>
  <c r="I988" i="9" s="1"/>
  <c r="J988" i="9" s="1"/>
  <c r="H989" i="9" a="1"/>
  <c r="H989" i="9" s="1"/>
  <c r="I989" i="9" s="1"/>
  <c r="J989" i="9" s="1"/>
  <c r="H990" i="9" a="1"/>
  <c r="H990" i="9" s="1"/>
  <c r="I990" i="9" s="1"/>
  <c r="J990" i="9" s="1"/>
  <c r="H991" i="9" a="1"/>
  <c r="H991" i="9" s="1"/>
  <c r="I991" i="9" s="1"/>
  <c r="J991" i="9" s="1"/>
  <c r="H992" i="9" a="1"/>
  <c r="H992" i="9" s="1"/>
  <c r="I992" i="9" s="1"/>
  <c r="J992" i="9" s="1"/>
  <c r="H993" i="9" a="1"/>
  <c r="H993" i="9" s="1"/>
  <c r="I993" i="9" s="1"/>
  <c r="J993" i="9" s="1"/>
  <c r="H994" i="9" a="1"/>
  <c r="H994" i="9" s="1"/>
  <c r="I994" i="9" s="1"/>
  <c r="J994" i="9" s="1"/>
  <c r="H995" i="9" a="1"/>
  <c r="H995" i="9" s="1"/>
  <c r="I995" i="9" s="1"/>
  <c r="J995" i="9" s="1"/>
  <c r="H996" i="9" a="1"/>
  <c r="H996" i="9" s="1"/>
  <c r="I996" i="9" s="1"/>
  <c r="J996" i="9" s="1"/>
  <c r="H997" i="9" a="1"/>
  <c r="H997" i="9" s="1"/>
  <c r="I997" i="9" s="1"/>
  <c r="J997" i="9" s="1"/>
  <c r="H998" i="9" a="1"/>
  <c r="H998" i="9" s="1"/>
  <c r="I998" i="9" s="1"/>
  <c r="J998" i="9" s="1"/>
  <c r="H999" i="9" a="1"/>
  <c r="H999" i="9" s="1"/>
  <c r="I999" i="9" s="1"/>
  <c r="J999" i="9" s="1"/>
  <c r="H1000" i="9" a="1"/>
  <c r="H1000" i="9" s="1"/>
  <c r="I1000" i="9" s="1"/>
  <c r="J1000" i="9" s="1"/>
  <c r="H1001" i="9" a="1"/>
  <c r="H1001" i="9" s="1"/>
  <c r="I1001" i="9" s="1"/>
  <c r="J1001" i="9" s="1"/>
  <c r="H1002" i="9" a="1"/>
  <c r="H1002" i="9" s="1"/>
  <c r="I1002" i="9" s="1"/>
  <c r="J1002" i="9" s="1"/>
  <c r="H1003" i="9" a="1"/>
  <c r="H1003" i="9" s="1"/>
  <c r="I1003" i="9" s="1"/>
  <c r="J1003" i="9" s="1"/>
  <c r="H1004" i="9" a="1"/>
  <c r="H1004" i="9" s="1"/>
  <c r="I1004" i="9" s="1"/>
  <c r="J1004" i="9" s="1"/>
  <c r="H1005" i="9" a="1"/>
  <c r="H1005" i="9" s="1"/>
  <c r="I1005" i="9" s="1"/>
  <c r="J1005" i="9" s="1"/>
  <c r="H1006" i="9" a="1"/>
  <c r="H1006" i="9" s="1"/>
  <c r="I1006" i="9" s="1"/>
  <c r="J1006" i="9" s="1"/>
  <c r="H1007" i="9" a="1"/>
  <c r="H1007" i="9" s="1"/>
  <c r="I1007" i="9" s="1"/>
  <c r="J1007" i="9" s="1"/>
  <c r="H1008" i="9" a="1"/>
  <c r="H1008" i="9" s="1"/>
  <c r="I1008" i="9" s="1"/>
  <c r="J1008" i="9" s="1"/>
  <c r="H1009" i="9" a="1"/>
  <c r="H1009" i="9" s="1"/>
  <c r="I1009" i="9" s="1"/>
  <c r="J1009" i="9" s="1"/>
  <c r="H1010" i="9" a="1"/>
  <c r="H1010" i="9" s="1"/>
  <c r="I1010" i="9" s="1"/>
  <c r="J1010" i="9" s="1"/>
  <c r="H1011" i="9" a="1"/>
  <c r="H1011" i="9" s="1"/>
  <c r="I1011" i="9" s="1"/>
  <c r="J1011" i="9" s="1"/>
  <c r="H1012" i="9" a="1"/>
  <c r="H1012" i="9" s="1"/>
  <c r="I1012" i="9" s="1"/>
  <c r="J1012" i="9" s="1"/>
  <c r="H1013" i="9" a="1"/>
  <c r="H1013" i="9" s="1"/>
  <c r="I1013" i="9" s="1"/>
  <c r="J1013" i="9" s="1"/>
  <c r="H1014" i="9" a="1"/>
  <c r="H1014" i="9" s="1"/>
  <c r="I1014" i="9" s="1"/>
  <c r="J1014" i="9" s="1"/>
  <c r="H1015" i="9" a="1"/>
  <c r="H1015" i="9" s="1"/>
  <c r="I1015" i="9" s="1"/>
  <c r="J1015" i="9" s="1"/>
  <c r="H1016" i="9" a="1"/>
  <c r="H1016" i="9" s="1"/>
  <c r="I1016" i="9" s="1"/>
  <c r="J1016" i="9" s="1"/>
  <c r="H1017" i="9" a="1"/>
  <c r="H1017" i="9" s="1"/>
  <c r="I1017" i="9" s="1"/>
  <c r="J1017" i="9" s="1"/>
  <c r="H1018" i="9" a="1"/>
  <c r="H1018" i="9" s="1"/>
  <c r="I1018" i="9" s="1"/>
  <c r="J1018" i="9" s="1"/>
  <c r="H1019" i="9" a="1"/>
  <c r="H1019" i="9" s="1"/>
  <c r="I1019" i="9" s="1"/>
  <c r="J1019" i="9" s="1"/>
  <c r="H1020" i="9" a="1"/>
  <c r="H1020" i="9" s="1"/>
  <c r="I1020" i="9" s="1"/>
  <c r="J1020" i="9" s="1"/>
  <c r="H1021" i="9" a="1"/>
  <c r="H1021" i="9" s="1"/>
  <c r="I1021" i="9" s="1"/>
  <c r="J1021" i="9" s="1"/>
  <c r="H1022" i="9" a="1"/>
  <c r="H1022" i="9" s="1"/>
  <c r="I1022" i="9" s="1"/>
  <c r="J1022" i="9" s="1"/>
  <c r="H1023" i="9" a="1"/>
  <c r="H1023" i="9" s="1"/>
  <c r="I1023" i="9" s="1"/>
  <c r="J1023" i="9" s="1"/>
  <c r="H1024" i="9" a="1"/>
  <c r="H1024" i="9" s="1"/>
  <c r="I1024" i="9" s="1"/>
  <c r="J1024" i="9" s="1"/>
  <c r="H1025" i="9" a="1"/>
  <c r="H1025" i="9" s="1"/>
  <c r="I1025" i="9" s="1"/>
  <c r="J1025" i="9" s="1"/>
  <c r="H1026" i="9" a="1"/>
  <c r="H1026" i="9" s="1"/>
  <c r="I1026" i="9" s="1"/>
  <c r="J1026" i="9" s="1"/>
  <c r="H1027" i="9" a="1"/>
  <c r="H1027" i="9" s="1"/>
  <c r="I1027" i="9" s="1"/>
  <c r="J1027" i="9" s="1"/>
  <c r="H1028" i="9" a="1"/>
  <c r="H1028" i="9" s="1"/>
  <c r="I1028" i="9" s="1"/>
  <c r="J1028" i="9" s="1"/>
  <c r="H1029" i="9" a="1"/>
  <c r="H1029" i="9" s="1"/>
  <c r="I1029" i="9" s="1"/>
  <c r="J1029" i="9" s="1"/>
  <c r="H1030" i="9" a="1"/>
  <c r="H1030" i="9" s="1"/>
  <c r="I1030" i="9" s="1"/>
  <c r="J1030" i="9" s="1"/>
  <c r="H1031" i="9" a="1"/>
  <c r="H1031" i="9" s="1"/>
  <c r="I1031" i="9" s="1"/>
  <c r="J1031" i="9" s="1"/>
  <c r="H1032" i="9" a="1"/>
  <c r="H1032" i="9" s="1"/>
  <c r="I1032" i="9" s="1"/>
  <c r="J1032" i="9" s="1"/>
  <c r="H1033" i="9" a="1"/>
  <c r="H1033" i="9" s="1"/>
  <c r="I1033" i="9" s="1"/>
  <c r="J1033" i="9" s="1"/>
  <c r="H1034" i="9" a="1"/>
  <c r="H1034" i="9" s="1"/>
  <c r="I1034" i="9" s="1"/>
  <c r="J1034" i="9" s="1"/>
  <c r="H1035" i="9" a="1"/>
  <c r="H1035" i="9" s="1"/>
  <c r="I1035" i="9" s="1"/>
  <c r="J1035" i="9" s="1"/>
  <c r="H1036" i="9" a="1"/>
  <c r="H1036" i="9" s="1"/>
  <c r="I1036" i="9" s="1"/>
  <c r="J1036" i="9" s="1"/>
  <c r="H1037" i="9" a="1"/>
  <c r="H1037" i="9" s="1"/>
  <c r="I1037" i="9" s="1"/>
  <c r="J1037" i="9" s="1"/>
  <c r="H1038" i="9" a="1"/>
  <c r="H1038" i="9" s="1"/>
  <c r="I1038" i="9" s="1"/>
  <c r="J1038" i="9" s="1"/>
  <c r="H1039" i="9" a="1"/>
  <c r="H1039" i="9" s="1"/>
  <c r="I1039" i="9" s="1"/>
  <c r="J1039" i="9" s="1"/>
  <c r="H1040" i="9" a="1"/>
  <c r="H1040" i="9" s="1"/>
  <c r="I1040" i="9" s="1"/>
  <c r="J1040" i="9" s="1"/>
  <c r="H1041" i="9" a="1"/>
  <c r="H1041" i="9" s="1"/>
  <c r="I1041" i="9" s="1"/>
  <c r="J1041" i="9" s="1"/>
  <c r="H1042" i="9" a="1"/>
  <c r="H1042" i="9" s="1"/>
  <c r="I1042" i="9" s="1"/>
  <c r="J1042" i="9" s="1"/>
  <c r="H1043" i="9" a="1"/>
  <c r="H1043" i="9" s="1"/>
  <c r="I1043" i="9" s="1"/>
  <c r="J1043" i="9" s="1"/>
  <c r="H1044" i="9" a="1"/>
  <c r="H1044" i="9" s="1"/>
  <c r="I1044" i="9" s="1"/>
  <c r="J1044" i="9" s="1"/>
  <c r="H1045" i="9" a="1"/>
  <c r="H1045" i="9" s="1"/>
  <c r="I1045" i="9" s="1"/>
  <c r="J1045" i="9" s="1"/>
  <c r="H1046" i="9" a="1"/>
  <c r="H1046" i="9" s="1"/>
  <c r="I1046" i="9" s="1"/>
  <c r="J1046" i="9" s="1"/>
  <c r="H1047" i="9" a="1"/>
  <c r="H1047" i="9" s="1"/>
  <c r="I1047" i="9" s="1"/>
  <c r="J1047" i="9" s="1"/>
  <c r="H1048" i="9" a="1"/>
  <c r="H1048" i="9" s="1"/>
  <c r="I1048" i="9" s="1"/>
  <c r="J1048" i="9" s="1"/>
  <c r="H1049" i="9" a="1"/>
  <c r="H1049" i="9" s="1"/>
  <c r="I1049" i="9" s="1"/>
  <c r="J1049" i="9" s="1"/>
  <c r="H1050" i="9" a="1"/>
  <c r="H1050" i="9" s="1"/>
  <c r="I1050" i="9" s="1"/>
  <c r="J1050" i="9" s="1"/>
  <c r="H1051" i="9" a="1"/>
  <c r="H1051" i="9" s="1"/>
  <c r="I1051" i="9" s="1"/>
  <c r="J1051" i="9" s="1"/>
  <c r="H1052" i="9" a="1"/>
  <c r="H1052" i="9" s="1"/>
  <c r="I1052" i="9" s="1"/>
  <c r="J1052" i="9" s="1"/>
  <c r="H1053" i="9" a="1"/>
  <c r="H1053" i="9" s="1"/>
  <c r="I1053" i="9" s="1"/>
  <c r="J1053" i="9" s="1"/>
  <c r="H1054" i="9" a="1"/>
  <c r="H1054" i="9" s="1"/>
  <c r="I1054" i="9" s="1"/>
  <c r="J1054" i="9" s="1"/>
  <c r="H1055" i="9" a="1"/>
  <c r="H1055" i="9" s="1"/>
  <c r="I1055" i="9" s="1"/>
  <c r="J1055" i="9" s="1"/>
  <c r="H1056" i="9" a="1"/>
  <c r="H1056" i="9" s="1"/>
  <c r="I1056" i="9" s="1"/>
  <c r="J1056" i="9" s="1"/>
  <c r="H1057" i="9" a="1"/>
  <c r="H1057" i="9" s="1"/>
  <c r="I1057" i="9" s="1"/>
  <c r="J1057" i="9" s="1"/>
  <c r="H1058" i="9" a="1"/>
  <c r="H1058" i="9" s="1"/>
  <c r="I1058" i="9" s="1"/>
  <c r="J1058" i="9" s="1"/>
  <c r="H1059" i="9" a="1"/>
  <c r="H1059" i="9" s="1"/>
  <c r="I1059" i="9" s="1"/>
  <c r="J1059" i="9" s="1"/>
  <c r="H1060" i="9" a="1"/>
  <c r="H1060" i="9" s="1"/>
  <c r="I1060" i="9" s="1"/>
  <c r="J1060" i="9" s="1"/>
  <c r="H1061" i="9" a="1"/>
  <c r="H1061" i="9" s="1"/>
  <c r="I1061" i="9" s="1"/>
  <c r="J1061" i="9" s="1"/>
  <c r="H1062" i="9" a="1"/>
  <c r="H1062" i="9" s="1"/>
  <c r="I1062" i="9" s="1"/>
  <c r="J1062" i="9" s="1"/>
  <c r="H1063" i="9" a="1"/>
  <c r="H1063" i="9" s="1"/>
  <c r="I1063" i="9" s="1"/>
  <c r="J1063" i="9" s="1"/>
  <c r="H1064" i="9" a="1"/>
  <c r="H1064" i="9" s="1"/>
  <c r="I1064" i="9" s="1"/>
  <c r="J1064" i="9" s="1"/>
  <c r="H1065" i="9" a="1"/>
  <c r="H1065" i="9" s="1"/>
  <c r="I1065" i="9" s="1"/>
  <c r="J1065" i="9" s="1"/>
  <c r="H1066" i="9" a="1"/>
  <c r="H1066" i="9" s="1"/>
  <c r="I1066" i="9" s="1"/>
  <c r="J1066" i="9" s="1"/>
  <c r="H1067" i="9" a="1"/>
  <c r="H1067" i="9" s="1"/>
  <c r="I1067" i="9" s="1"/>
  <c r="J1067" i="9" s="1"/>
  <c r="H1068" i="9" a="1"/>
  <c r="H1068" i="9" s="1"/>
  <c r="I1068" i="9" s="1"/>
  <c r="J1068" i="9" s="1"/>
  <c r="H1069" i="9" a="1"/>
  <c r="H1069" i="9" s="1"/>
  <c r="I1069" i="9" s="1"/>
  <c r="J1069" i="9" s="1"/>
  <c r="H1070" i="9" a="1"/>
  <c r="H1070" i="9" s="1"/>
  <c r="I1070" i="9" s="1"/>
  <c r="J1070" i="9" s="1"/>
  <c r="H1071" i="9" a="1"/>
  <c r="H1071" i="9" s="1"/>
  <c r="I1071" i="9" s="1"/>
  <c r="J1071" i="9" s="1"/>
  <c r="H1072" i="9" a="1"/>
  <c r="H1072" i="9" s="1"/>
  <c r="I1072" i="9" s="1"/>
  <c r="J1072" i="9" s="1"/>
  <c r="H1073" i="9" a="1"/>
  <c r="H1073" i="9" s="1"/>
  <c r="I1073" i="9" s="1"/>
  <c r="J1073" i="9" s="1"/>
  <c r="H1074" i="9" a="1"/>
  <c r="H1074" i="9" s="1"/>
  <c r="I1074" i="9" s="1"/>
  <c r="J1074" i="9" s="1"/>
  <c r="H1075" i="9" a="1"/>
  <c r="H1075" i="9" s="1"/>
  <c r="I1075" i="9" s="1"/>
  <c r="J1075" i="9" s="1"/>
  <c r="H1076" i="9" a="1"/>
  <c r="H1076" i="9" s="1"/>
  <c r="I1076" i="9" s="1"/>
  <c r="J1076" i="9" s="1"/>
  <c r="H1077" i="9" a="1"/>
  <c r="H1077" i="9" s="1"/>
  <c r="I1077" i="9" s="1"/>
  <c r="J1077" i="9" s="1"/>
  <c r="H1078" i="9" a="1"/>
  <c r="H1078" i="9" s="1"/>
  <c r="I1078" i="9" s="1"/>
  <c r="J1078" i="9" s="1"/>
  <c r="H1079" i="9" a="1"/>
  <c r="H1079" i="9" s="1"/>
  <c r="I1079" i="9" s="1"/>
  <c r="J1079" i="9" s="1"/>
  <c r="H1080" i="9" a="1"/>
  <c r="H1080" i="9" s="1"/>
  <c r="I1080" i="9" s="1"/>
  <c r="J1080" i="9" s="1"/>
  <c r="H1081" i="9" a="1"/>
  <c r="H1081" i="9" s="1"/>
  <c r="I1081" i="9" s="1"/>
  <c r="J1081" i="9" s="1"/>
  <c r="H1082" i="9" a="1"/>
  <c r="H1082" i="9" s="1"/>
  <c r="I1082" i="9" s="1"/>
  <c r="J1082" i="9" s="1"/>
  <c r="H1083" i="9" a="1"/>
  <c r="H1083" i="9" s="1"/>
  <c r="I1083" i="9" s="1"/>
  <c r="J1083" i="9" s="1"/>
  <c r="H1084" i="9" a="1"/>
  <c r="H1084" i="9" s="1"/>
  <c r="I1084" i="9" s="1"/>
  <c r="J1084" i="9" s="1"/>
  <c r="H1085" i="9" a="1"/>
  <c r="H1085" i="9" s="1"/>
  <c r="I1085" i="9" s="1"/>
  <c r="J1085" i="9" s="1"/>
  <c r="H1086" i="9" a="1"/>
  <c r="H1086" i="9" s="1"/>
  <c r="I1086" i="9" s="1"/>
  <c r="J1086" i="9" s="1"/>
  <c r="H1087" i="9" a="1"/>
  <c r="H1087" i="9" s="1"/>
  <c r="I1087" i="9" s="1"/>
  <c r="J1087" i="9" s="1"/>
  <c r="H1088" i="9" a="1"/>
  <c r="H1088" i="9" s="1"/>
  <c r="I1088" i="9" s="1"/>
  <c r="J1088" i="9" s="1"/>
  <c r="H1089" i="9" a="1"/>
  <c r="H1089" i="9" s="1"/>
  <c r="I1089" i="9" s="1"/>
  <c r="J1089" i="9" s="1"/>
  <c r="H1090" i="9" a="1"/>
  <c r="H1090" i="9" s="1"/>
  <c r="I1090" i="9" s="1"/>
  <c r="J1090" i="9" s="1"/>
  <c r="H1091" i="9" a="1"/>
  <c r="H1091" i="9" s="1"/>
  <c r="I1091" i="9" s="1"/>
  <c r="J1091" i="9" s="1"/>
  <c r="H1092" i="9" a="1"/>
  <c r="H1092" i="9" s="1"/>
  <c r="I1092" i="9" s="1"/>
  <c r="J1092" i="9" s="1"/>
  <c r="H1093" i="9" a="1"/>
  <c r="H1093" i="9" s="1"/>
  <c r="I1093" i="9" s="1"/>
  <c r="J1093" i="9" s="1"/>
  <c r="H1094" i="9" a="1"/>
  <c r="H1094" i="9" s="1"/>
  <c r="I1094" i="9" s="1"/>
  <c r="J1094" i="9" s="1"/>
  <c r="H1095" i="9" a="1"/>
  <c r="H1095" i="9" s="1"/>
  <c r="I1095" i="9" s="1"/>
  <c r="J1095" i="9" s="1"/>
  <c r="H1096" i="9" a="1"/>
  <c r="H1096" i="9" s="1"/>
  <c r="I1096" i="9" s="1"/>
  <c r="J1096" i="9" s="1"/>
  <c r="H1097" i="9" a="1"/>
  <c r="H1097" i="9" s="1"/>
  <c r="I1097" i="9" s="1"/>
  <c r="J1097" i="9" s="1"/>
  <c r="H1098" i="9" a="1"/>
  <c r="H1098" i="9" s="1"/>
  <c r="I1098" i="9" s="1"/>
  <c r="J1098" i="9" s="1"/>
  <c r="H1099" i="9" a="1"/>
  <c r="H1099" i="9" s="1"/>
  <c r="I1099" i="9" s="1"/>
  <c r="J1099" i="9" s="1"/>
  <c r="H1100" i="9" a="1"/>
  <c r="H1100" i="9" s="1"/>
  <c r="I1100" i="9" s="1"/>
  <c r="J1100" i="9" s="1"/>
  <c r="H1101" i="9" a="1"/>
  <c r="H1101" i="9" s="1"/>
  <c r="I1101" i="9" s="1"/>
  <c r="J1101" i="9" s="1"/>
  <c r="H1102" i="9" a="1"/>
  <c r="H1102" i="9" s="1"/>
  <c r="I1102" i="9" s="1"/>
  <c r="J1102" i="9" s="1"/>
  <c r="H1103" i="9" a="1"/>
  <c r="H1103" i="9" s="1"/>
  <c r="I1103" i="9" s="1"/>
  <c r="J1103" i="9" s="1"/>
  <c r="H1104" i="9" a="1"/>
  <c r="H1104" i="9" s="1"/>
  <c r="I1104" i="9" s="1"/>
  <c r="J1104" i="9" s="1"/>
  <c r="H169" i="9" a="1"/>
  <c r="H169" i="9" s="1"/>
  <c r="I169" i="9" s="1"/>
  <c r="J169" i="9" s="1"/>
  <c r="C169" i="9" a="1"/>
  <c r="C169" i="9" s="1"/>
  <c r="D164" i="9"/>
  <c r="E164" i="9"/>
  <c r="F164" i="9"/>
  <c r="G164" i="9"/>
  <c r="H164" i="9"/>
  <c r="I164" i="9"/>
  <c r="J164" i="9"/>
  <c r="K164" i="9"/>
  <c r="L164" i="9"/>
  <c r="M164" i="9"/>
  <c r="N164" i="9"/>
  <c r="O164" i="9"/>
  <c r="P164" i="9"/>
  <c r="Q164" i="9"/>
  <c r="R164" i="9"/>
  <c r="S164" i="9"/>
  <c r="T164" i="9"/>
  <c r="U164" i="9"/>
  <c r="V164" i="9"/>
  <c r="W164" i="9"/>
  <c r="X164" i="9"/>
  <c r="Y164" i="9"/>
  <c r="Z164" i="9"/>
  <c r="AB164" i="9"/>
  <c r="C1194" i="9" a="1"/>
  <c r="C1194" i="9" s="1"/>
  <c r="C11" i="9" a="1"/>
  <c r="I159" i="9" s="1"/>
  <c r="K1105" i="9" a="1"/>
  <c r="K1105" i="9" s="1"/>
  <c r="L1105" i="9" s="1"/>
  <c r="M1105" i="9" s="1"/>
  <c r="K1106" i="9" a="1"/>
  <c r="K1106" i="9" s="1"/>
  <c r="L1106" i="9" s="1"/>
  <c r="M1106" i="9" s="1"/>
  <c r="K1107" i="9" a="1"/>
  <c r="K1107" i="9" s="1"/>
  <c r="L1107" i="9" s="1"/>
  <c r="M1107" i="9" s="1"/>
  <c r="K1108" i="9" a="1"/>
  <c r="K1108" i="9" s="1"/>
  <c r="L1108" i="9" s="1"/>
  <c r="M1108" i="9" s="1"/>
  <c r="K1109" i="9" a="1"/>
  <c r="K1109" i="9" s="1"/>
  <c r="L1109" i="9" s="1"/>
  <c r="M1109" i="9" s="1"/>
  <c r="K1110" i="9" a="1"/>
  <c r="K1110" i="9" s="1"/>
  <c r="L1110" i="9" s="1"/>
  <c r="M1110" i="9" s="1"/>
  <c r="K1111" i="9" a="1"/>
  <c r="K1111" i="9" s="1"/>
  <c r="L1111" i="9" s="1"/>
  <c r="M1111" i="9" s="1"/>
  <c r="K1112" i="9" a="1"/>
  <c r="K1112" i="9" s="1"/>
  <c r="L1112" i="9" s="1"/>
  <c r="M1112" i="9" s="1"/>
  <c r="K1113" i="9" a="1"/>
  <c r="K1113" i="9" s="1"/>
  <c r="L1113" i="9" s="1"/>
  <c r="M1113" i="9" s="1"/>
  <c r="K1114" i="9" a="1"/>
  <c r="K1114" i="9" s="1"/>
  <c r="L1114" i="9" s="1"/>
  <c r="M1114" i="9" s="1"/>
  <c r="K1115" i="9" a="1"/>
  <c r="K1115" i="9" s="1"/>
  <c r="L1115" i="9" s="1"/>
  <c r="M1115" i="9" s="1"/>
  <c r="K1116" i="9" a="1"/>
  <c r="K1116" i="9" s="1"/>
  <c r="L1116" i="9" s="1"/>
  <c r="M1116" i="9" s="1"/>
  <c r="K1117" i="9" a="1"/>
  <c r="K1117" i="9" s="1"/>
  <c r="L1117" i="9" s="1"/>
  <c r="M1117" i="9" s="1"/>
  <c r="K1118" i="9" a="1"/>
  <c r="K1118" i="9" s="1"/>
  <c r="L1118" i="9" s="1"/>
  <c r="M1118" i="9" s="1"/>
  <c r="K1119" i="9" a="1"/>
  <c r="K1119" i="9" s="1"/>
  <c r="L1119" i="9" s="1"/>
  <c r="M1119" i="9" s="1"/>
  <c r="K1120" i="9" a="1"/>
  <c r="K1120" i="9" s="1"/>
  <c r="L1120" i="9" s="1"/>
  <c r="M1120" i="9" s="1"/>
  <c r="K1121" i="9" a="1"/>
  <c r="K1121" i="9" s="1"/>
  <c r="L1121" i="9" s="1"/>
  <c r="M1121" i="9" s="1"/>
  <c r="K1122" i="9" a="1"/>
  <c r="K1122" i="9" s="1"/>
  <c r="L1122" i="9" s="1"/>
  <c r="M1122" i="9" s="1"/>
  <c r="K1123" i="9" a="1"/>
  <c r="K1123" i="9" s="1"/>
  <c r="L1123" i="9" s="1"/>
  <c r="M1123" i="9" s="1"/>
  <c r="K1124" i="9" a="1"/>
  <c r="K1124" i="9" s="1"/>
  <c r="L1124" i="9" s="1"/>
  <c r="M1124" i="9" s="1"/>
  <c r="K1125" i="9" a="1"/>
  <c r="K1125" i="9" s="1"/>
  <c r="L1125" i="9" s="1"/>
  <c r="M1125" i="9" s="1"/>
  <c r="K1126" i="9" a="1"/>
  <c r="K1126" i="9" s="1"/>
  <c r="L1126" i="9" s="1"/>
  <c r="M1126" i="9" s="1"/>
  <c r="K1127" i="9" a="1"/>
  <c r="K1127" i="9" s="1"/>
  <c r="L1127" i="9" s="1"/>
  <c r="M1127" i="9" s="1"/>
  <c r="K1128" i="9" a="1"/>
  <c r="K1128" i="9" s="1"/>
  <c r="L1128" i="9" s="1"/>
  <c r="M1128" i="9" s="1"/>
  <c r="K1129" i="9" a="1"/>
  <c r="K1129" i="9" s="1"/>
  <c r="L1129" i="9" s="1"/>
  <c r="M1129" i="9" s="1"/>
  <c r="K1130" i="9" a="1"/>
  <c r="K1130" i="9" s="1"/>
  <c r="L1130" i="9" s="1"/>
  <c r="M1130" i="9" s="1"/>
  <c r="K1131" i="9" a="1"/>
  <c r="K1131" i="9" s="1"/>
  <c r="L1131" i="9" s="1"/>
  <c r="M1131" i="9" s="1"/>
  <c r="K1132" i="9" a="1"/>
  <c r="K1132" i="9" s="1"/>
  <c r="L1132" i="9" s="1"/>
  <c r="M1132" i="9" s="1"/>
  <c r="K1133" i="9" a="1"/>
  <c r="K1133" i="9" s="1"/>
  <c r="L1133" i="9" s="1"/>
  <c r="M1133" i="9" s="1"/>
  <c r="K1134" i="9" a="1"/>
  <c r="K1134" i="9" s="1"/>
  <c r="L1134" i="9" s="1"/>
  <c r="M1134" i="9" s="1"/>
  <c r="K1135" i="9" a="1"/>
  <c r="K1135" i="9" s="1"/>
  <c r="L1135" i="9" s="1"/>
  <c r="M1135" i="9" s="1"/>
  <c r="K1136" i="9" a="1"/>
  <c r="K1136" i="9" s="1"/>
  <c r="L1136" i="9" s="1"/>
  <c r="M1136" i="9" s="1"/>
  <c r="K1137" i="9" a="1"/>
  <c r="K1137" i="9" s="1"/>
  <c r="L1137" i="9" s="1"/>
  <c r="M1137" i="9" s="1"/>
  <c r="K1138" i="9" a="1"/>
  <c r="K1138" i="9" s="1"/>
  <c r="L1138" i="9" s="1"/>
  <c r="M1138" i="9" s="1"/>
  <c r="K1139" i="9" a="1"/>
  <c r="K1139" i="9" s="1"/>
  <c r="L1139" i="9" s="1"/>
  <c r="M1139" i="9" s="1"/>
  <c r="K1140" i="9" a="1"/>
  <c r="K1140" i="9" s="1"/>
  <c r="L1140" i="9" s="1"/>
  <c r="M1140" i="9" s="1"/>
  <c r="K1141" i="9" a="1"/>
  <c r="K1141" i="9" s="1"/>
  <c r="L1141" i="9" s="1"/>
  <c r="M1141" i="9" s="1"/>
  <c r="K1142" i="9" a="1"/>
  <c r="K1142" i="9" s="1"/>
  <c r="L1142" i="9" s="1"/>
  <c r="M1142" i="9" s="1"/>
  <c r="K1143" i="9" a="1"/>
  <c r="K1143" i="9" s="1"/>
  <c r="L1143" i="9" s="1"/>
  <c r="M1143" i="9" s="1"/>
  <c r="K1144" i="9" a="1"/>
  <c r="K1144" i="9" s="1"/>
  <c r="L1144" i="9" s="1"/>
  <c r="M1144" i="9" s="1"/>
  <c r="K1145" i="9" a="1"/>
  <c r="K1145" i="9" s="1"/>
  <c r="L1145" i="9" s="1"/>
  <c r="M1145" i="9" s="1"/>
  <c r="K1146" i="9" a="1"/>
  <c r="K1146" i="9" s="1"/>
  <c r="L1146" i="9" s="1"/>
  <c r="M1146" i="9" s="1"/>
  <c r="K1147" i="9" a="1"/>
  <c r="K1147" i="9" s="1"/>
  <c r="L1147" i="9" s="1"/>
  <c r="M1147" i="9" s="1"/>
  <c r="K1148" i="9" a="1"/>
  <c r="K1148" i="9" s="1"/>
  <c r="L1148" i="9" s="1"/>
  <c r="M1148" i="9" s="1"/>
  <c r="K1149" i="9" a="1"/>
  <c r="K1149" i="9" s="1"/>
  <c r="L1149" i="9" s="1"/>
  <c r="M1149" i="9" s="1"/>
  <c r="K1150" i="9" a="1"/>
  <c r="K1150" i="9" s="1"/>
  <c r="L1150" i="9" s="1"/>
  <c r="M1150" i="9" s="1"/>
  <c r="K1151" i="9" a="1"/>
  <c r="K1151" i="9" s="1"/>
  <c r="L1151" i="9" s="1"/>
  <c r="M1151" i="9" s="1"/>
  <c r="K1152" i="9" a="1"/>
  <c r="K1152" i="9" s="1"/>
  <c r="L1152" i="9" s="1"/>
  <c r="M1152" i="9" s="1"/>
  <c r="K1153" i="9" a="1"/>
  <c r="K1153" i="9" s="1"/>
  <c r="L1153" i="9" s="1"/>
  <c r="M1153" i="9" s="1"/>
  <c r="K1154" i="9" a="1"/>
  <c r="K1154" i="9" s="1"/>
  <c r="L1154" i="9" s="1"/>
  <c r="M1154" i="9" s="1"/>
  <c r="K1155" i="9" a="1"/>
  <c r="K1155" i="9" s="1"/>
  <c r="L1155" i="9" s="1"/>
  <c r="M1155" i="9" s="1"/>
  <c r="K1156" i="9" a="1"/>
  <c r="K1156" i="9" s="1"/>
  <c r="L1156" i="9" s="1"/>
  <c r="M1156" i="9" s="1"/>
  <c r="K1157" i="9" a="1"/>
  <c r="K1157" i="9" s="1"/>
  <c r="L1157" i="9" s="1"/>
  <c r="M1157" i="9" s="1"/>
  <c r="K1158" i="9" a="1"/>
  <c r="K1158" i="9" s="1"/>
  <c r="L1158" i="9" s="1"/>
  <c r="M1158" i="9" s="1"/>
  <c r="K1159" i="9" a="1"/>
  <c r="K1159" i="9" s="1"/>
  <c r="L1159" i="9" s="1"/>
  <c r="M1159" i="9" s="1"/>
  <c r="K1160" i="9" a="1"/>
  <c r="K1160" i="9" s="1"/>
  <c r="L1160" i="9" s="1"/>
  <c r="M1160" i="9" s="1"/>
  <c r="K1161" i="9" a="1"/>
  <c r="K1161" i="9" s="1"/>
  <c r="L1161" i="9" s="1"/>
  <c r="M1161" i="9" s="1"/>
  <c r="K1162" i="9" a="1"/>
  <c r="K1162" i="9" s="1"/>
  <c r="L1162" i="9" s="1"/>
  <c r="M1162" i="9" s="1"/>
  <c r="K1163" i="9" a="1"/>
  <c r="K1163" i="9" s="1"/>
  <c r="L1163" i="9" s="1"/>
  <c r="M1163" i="9" s="1"/>
  <c r="K1164" i="9" a="1"/>
  <c r="K1164" i="9" s="1"/>
  <c r="L1164" i="9" s="1"/>
  <c r="M1164" i="9" s="1"/>
  <c r="K1165" i="9" a="1"/>
  <c r="K1165" i="9" s="1"/>
  <c r="L1165" i="9" s="1"/>
  <c r="M1165" i="9" s="1"/>
  <c r="K1166" i="9" a="1"/>
  <c r="K1166" i="9" s="1"/>
  <c r="L1166" i="9" s="1"/>
  <c r="M1166" i="9" s="1"/>
  <c r="K1167" i="9" a="1"/>
  <c r="K1167" i="9" s="1"/>
  <c r="L1167" i="9" s="1"/>
  <c r="M1167" i="9" s="1"/>
  <c r="K1168" i="9" a="1"/>
  <c r="K1168" i="9" s="1"/>
  <c r="L1168" i="9" s="1"/>
  <c r="M1168" i="9" s="1"/>
  <c r="K1169" i="9" a="1"/>
  <c r="K1169" i="9" s="1"/>
  <c r="L1169" i="9" s="1"/>
  <c r="M1169" i="9" s="1"/>
  <c r="K1170" i="9" a="1"/>
  <c r="K1170" i="9" s="1"/>
  <c r="L1170" i="9" s="1"/>
  <c r="M1170" i="9" s="1"/>
  <c r="K1171" i="9" a="1"/>
  <c r="K1171" i="9" s="1"/>
  <c r="L1171" i="9" s="1"/>
  <c r="M1171" i="9" s="1"/>
  <c r="K1172" i="9" a="1"/>
  <c r="K1172" i="9" s="1"/>
  <c r="L1172" i="9" s="1"/>
  <c r="M1172" i="9" s="1"/>
  <c r="K1173" i="9" a="1"/>
  <c r="K1173" i="9" s="1"/>
  <c r="L1173" i="9" s="1"/>
  <c r="M1173" i="9" s="1"/>
  <c r="K1174" i="9" a="1"/>
  <c r="K1174" i="9" s="1"/>
  <c r="L1174" i="9" s="1"/>
  <c r="M1174" i="9" s="1"/>
  <c r="K1175" i="9" a="1"/>
  <c r="K1175" i="9" s="1"/>
  <c r="L1175" i="9" s="1"/>
  <c r="M1175" i="9" s="1"/>
  <c r="K1176" i="9" a="1"/>
  <c r="K1176" i="9" s="1"/>
  <c r="L1176" i="9" s="1"/>
  <c r="M1176" i="9" s="1"/>
  <c r="K1177" i="9" a="1"/>
  <c r="K1177" i="9" s="1"/>
  <c r="L1177" i="9" s="1"/>
  <c r="M1177" i="9" s="1"/>
  <c r="K1178" i="9" a="1"/>
  <c r="K1178" i="9" s="1"/>
  <c r="L1178" i="9" s="1"/>
  <c r="M1178" i="9" s="1"/>
  <c r="K1179" i="9" a="1"/>
  <c r="K1179" i="9" s="1"/>
  <c r="L1179" i="9" s="1"/>
  <c r="M1179" i="9" s="1"/>
  <c r="K1180" i="9" a="1"/>
  <c r="K1180" i="9" s="1"/>
  <c r="L1180" i="9" s="1"/>
  <c r="M1180" i="9" s="1"/>
  <c r="K1181" i="9" a="1"/>
  <c r="K1181" i="9" s="1"/>
  <c r="L1181" i="9" s="1"/>
  <c r="M1181" i="9" s="1"/>
  <c r="K1182" i="9" a="1"/>
  <c r="K1182" i="9" s="1"/>
  <c r="L1182" i="9" s="1"/>
  <c r="M1182" i="9" s="1"/>
  <c r="K1183" i="9" a="1"/>
  <c r="K1183" i="9" s="1"/>
  <c r="L1183" i="9" s="1"/>
  <c r="M1183" i="9" s="1"/>
  <c r="K1184" i="9" a="1"/>
  <c r="K1184" i="9" s="1"/>
  <c r="L1184" i="9" s="1"/>
  <c r="M1184" i="9" s="1"/>
  <c r="K1185" i="9" a="1"/>
  <c r="K1185" i="9" s="1"/>
  <c r="L1185" i="9" s="1"/>
  <c r="M1185" i="9" s="1"/>
  <c r="K1186" i="9" a="1"/>
  <c r="K1186" i="9" s="1"/>
  <c r="L1186" i="9" s="1"/>
  <c r="M1186" i="9" s="1"/>
  <c r="K1187" i="9" a="1"/>
  <c r="K1187" i="9" s="1"/>
  <c r="L1187" i="9" s="1"/>
  <c r="M1187" i="9" s="1"/>
  <c r="K1188" i="9" a="1"/>
  <c r="K1188" i="9" s="1"/>
  <c r="L1188" i="9" s="1"/>
  <c r="M1188" i="9" s="1"/>
  <c r="K1189" i="9" a="1"/>
  <c r="K1189" i="9" s="1"/>
  <c r="L1189" i="9" s="1"/>
  <c r="M1189" i="9" s="1"/>
  <c r="H1105" i="9" a="1"/>
  <c r="H1105" i="9" s="1"/>
  <c r="I1105" i="9" s="1"/>
  <c r="J1105" i="9" s="1"/>
  <c r="H1106" i="9" a="1"/>
  <c r="H1106" i="9" s="1"/>
  <c r="I1106" i="9" s="1"/>
  <c r="J1106" i="9" s="1"/>
  <c r="H1107" i="9" a="1"/>
  <c r="H1107" i="9" s="1"/>
  <c r="I1107" i="9" s="1"/>
  <c r="J1107" i="9" s="1"/>
  <c r="H1108" i="9" a="1"/>
  <c r="H1108" i="9" s="1"/>
  <c r="I1108" i="9" s="1"/>
  <c r="J1108" i="9" s="1"/>
  <c r="H1109" i="9" a="1"/>
  <c r="H1109" i="9" s="1"/>
  <c r="I1109" i="9" s="1"/>
  <c r="J1109" i="9" s="1"/>
  <c r="H1110" i="9" a="1"/>
  <c r="H1110" i="9" s="1"/>
  <c r="I1110" i="9" s="1"/>
  <c r="J1110" i="9" s="1"/>
  <c r="H1111" i="9" a="1"/>
  <c r="H1111" i="9" s="1"/>
  <c r="I1111" i="9" s="1"/>
  <c r="J1111" i="9" s="1"/>
  <c r="H1112" i="9" a="1"/>
  <c r="H1112" i="9" s="1"/>
  <c r="I1112" i="9" s="1"/>
  <c r="J1112" i="9" s="1"/>
  <c r="H1113" i="9" a="1"/>
  <c r="H1113" i="9" s="1"/>
  <c r="I1113" i="9" s="1"/>
  <c r="J1113" i="9" s="1"/>
  <c r="H1114" i="9" a="1"/>
  <c r="H1114" i="9" s="1"/>
  <c r="I1114" i="9" s="1"/>
  <c r="J1114" i="9" s="1"/>
  <c r="H1115" i="9" a="1"/>
  <c r="H1115" i="9" s="1"/>
  <c r="I1115" i="9" s="1"/>
  <c r="J1115" i="9" s="1"/>
  <c r="H1116" i="9" a="1"/>
  <c r="H1116" i="9" s="1"/>
  <c r="I1116" i="9" s="1"/>
  <c r="J1116" i="9" s="1"/>
  <c r="H1117" i="9" a="1"/>
  <c r="H1117" i="9" s="1"/>
  <c r="I1117" i="9" s="1"/>
  <c r="J1117" i="9" s="1"/>
  <c r="H1118" i="9" a="1"/>
  <c r="H1118" i="9" s="1"/>
  <c r="I1118" i="9" s="1"/>
  <c r="J1118" i="9" s="1"/>
  <c r="H1119" i="9" a="1"/>
  <c r="H1119" i="9" s="1"/>
  <c r="I1119" i="9" s="1"/>
  <c r="J1119" i="9" s="1"/>
  <c r="H1120" i="9" a="1"/>
  <c r="H1120" i="9" s="1"/>
  <c r="I1120" i="9" s="1"/>
  <c r="J1120" i="9" s="1"/>
  <c r="H1121" i="9" a="1"/>
  <c r="H1121" i="9" s="1"/>
  <c r="I1121" i="9" s="1"/>
  <c r="J1121" i="9" s="1"/>
  <c r="H1122" i="9" a="1"/>
  <c r="H1122" i="9" s="1"/>
  <c r="I1122" i="9" s="1"/>
  <c r="J1122" i="9" s="1"/>
  <c r="H1123" i="9" a="1"/>
  <c r="H1123" i="9" s="1"/>
  <c r="I1123" i="9" s="1"/>
  <c r="J1123" i="9" s="1"/>
  <c r="H1124" i="9" a="1"/>
  <c r="H1124" i="9" s="1"/>
  <c r="I1124" i="9" s="1"/>
  <c r="J1124" i="9" s="1"/>
  <c r="H1125" i="9" a="1"/>
  <c r="H1125" i="9" s="1"/>
  <c r="I1125" i="9" s="1"/>
  <c r="J1125" i="9" s="1"/>
  <c r="H1126" i="9" a="1"/>
  <c r="H1126" i="9" s="1"/>
  <c r="I1126" i="9" s="1"/>
  <c r="J1126" i="9" s="1"/>
  <c r="H1127" i="9" a="1"/>
  <c r="H1127" i="9" s="1"/>
  <c r="I1127" i="9" s="1"/>
  <c r="J1127" i="9" s="1"/>
  <c r="H1128" i="9" a="1"/>
  <c r="H1128" i="9" s="1"/>
  <c r="I1128" i="9" s="1"/>
  <c r="J1128" i="9" s="1"/>
  <c r="H1129" i="9" a="1"/>
  <c r="H1129" i="9" s="1"/>
  <c r="I1129" i="9" s="1"/>
  <c r="J1129" i="9" s="1"/>
  <c r="H1130" i="9" a="1"/>
  <c r="H1130" i="9" s="1"/>
  <c r="I1130" i="9" s="1"/>
  <c r="J1130" i="9" s="1"/>
  <c r="H1131" i="9" a="1"/>
  <c r="H1131" i="9" s="1"/>
  <c r="I1131" i="9" s="1"/>
  <c r="J1131" i="9" s="1"/>
  <c r="H1132" i="9" a="1"/>
  <c r="H1132" i="9" s="1"/>
  <c r="I1132" i="9" s="1"/>
  <c r="J1132" i="9" s="1"/>
  <c r="H1133" i="9" a="1"/>
  <c r="H1133" i="9" s="1"/>
  <c r="I1133" i="9" s="1"/>
  <c r="J1133" i="9" s="1"/>
  <c r="H1134" i="9" a="1"/>
  <c r="H1134" i="9" s="1"/>
  <c r="I1134" i="9" s="1"/>
  <c r="J1134" i="9" s="1"/>
  <c r="H1135" i="9" a="1"/>
  <c r="H1135" i="9" s="1"/>
  <c r="I1135" i="9" s="1"/>
  <c r="J1135" i="9" s="1"/>
  <c r="H1136" i="9" a="1"/>
  <c r="H1136" i="9" s="1"/>
  <c r="I1136" i="9" s="1"/>
  <c r="J1136" i="9" s="1"/>
  <c r="H1137" i="9" a="1"/>
  <c r="H1137" i="9" s="1"/>
  <c r="I1137" i="9" s="1"/>
  <c r="J1137" i="9" s="1"/>
  <c r="H1138" i="9" a="1"/>
  <c r="H1138" i="9" s="1"/>
  <c r="I1138" i="9" s="1"/>
  <c r="J1138" i="9" s="1"/>
  <c r="H1139" i="9" a="1"/>
  <c r="H1139" i="9" s="1"/>
  <c r="I1139" i="9" s="1"/>
  <c r="J1139" i="9" s="1"/>
  <c r="H1140" i="9" a="1"/>
  <c r="H1140" i="9" s="1"/>
  <c r="I1140" i="9" s="1"/>
  <c r="J1140" i="9" s="1"/>
  <c r="H1141" i="9" a="1"/>
  <c r="H1141" i="9" s="1"/>
  <c r="I1141" i="9" s="1"/>
  <c r="J1141" i="9" s="1"/>
  <c r="H1142" i="9" a="1"/>
  <c r="H1142" i="9" s="1"/>
  <c r="I1142" i="9" s="1"/>
  <c r="J1142" i="9" s="1"/>
  <c r="H1143" i="9" a="1"/>
  <c r="H1143" i="9" s="1"/>
  <c r="I1143" i="9" s="1"/>
  <c r="J1143" i="9" s="1"/>
  <c r="H1144" i="9" a="1"/>
  <c r="H1144" i="9" s="1"/>
  <c r="I1144" i="9" s="1"/>
  <c r="J1144" i="9" s="1"/>
  <c r="H1145" i="9" a="1"/>
  <c r="H1145" i="9" s="1"/>
  <c r="I1145" i="9" s="1"/>
  <c r="J1145" i="9" s="1"/>
  <c r="H1146" i="9" a="1"/>
  <c r="H1146" i="9" s="1"/>
  <c r="I1146" i="9" s="1"/>
  <c r="J1146" i="9" s="1"/>
  <c r="H1147" i="9" a="1"/>
  <c r="H1147" i="9" s="1"/>
  <c r="I1147" i="9" s="1"/>
  <c r="J1147" i="9" s="1"/>
  <c r="H1148" i="9" a="1"/>
  <c r="H1148" i="9" s="1"/>
  <c r="I1148" i="9" s="1"/>
  <c r="J1148" i="9" s="1"/>
  <c r="H1149" i="9" a="1"/>
  <c r="H1149" i="9" s="1"/>
  <c r="I1149" i="9" s="1"/>
  <c r="J1149" i="9" s="1"/>
  <c r="H1150" i="9" a="1"/>
  <c r="H1150" i="9" s="1"/>
  <c r="I1150" i="9" s="1"/>
  <c r="J1150" i="9" s="1"/>
  <c r="H1151" i="9" a="1"/>
  <c r="H1151" i="9" s="1"/>
  <c r="I1151" i="9" s="1"/>
  <c r="J1151" i="9" s="1"/>
  <c r="H1152" i="9" a="1"/>
  <c r="H1152" i="9" s="1"/>
  <c r="I1152" i="9" s="1"/>
  <c r="J1152" i="9" s="1"/>
  <c r="H1153" i="9" a="1"/>
  <c r="H1153" i="9" s="1"/>
  <c r="I1153" i="9" s="1"/>
  <c r="J1153" i="9" s="1"/>
  <c r="H1154" i="9" a="1"/>
  <c r="H1154" i="9" s="1"/>
  <c r="I1154" i="9" s="1"/>
  <c r="J1154" i="9" s="1"/>
  <c r="H1155" i="9" a="1"/>
  <c r="H1155" i="9" s="1"/>
  <c r="I1155" i="9" s="1"/>
  <c r="J1155" i="9" s="1"/>
  <c r="H1156" i="9" a="1"/>
  <c r="H1156" i="9" s="1"/>
  <c r="I1156" i="9" s="1"/>
  <c r="J1156" i="9" s="1"/>
  <c r="H1157" i="9" a="1"/>
  <c r="H1157" i="9" s="1"/>
  <c r="I1157" i="9" s="1"/>
  <c r="J1157" i="9" s="1"/>
  <c r="H1158" i="9" a="1"/>
  <c r="H1158" i="9" s="1"/>
  <c r="I1158" i="9" s="1"/>
  <c r="J1158" i="9" s="1"/>
  <c r="H1159" i="9" a="1"/>
  <c r="H1159" i="9" s="1"/>
  <c r="I1159" i="9" s="1"/>
  <c r="J1159" i="9" s="1"/>
  <c r="H1160" i="9" a="1"/>
  <c r="H1160" i="9" s="1"/>
  <c r="I1160" i="9" s="1"/>
  <c r="J1160" i="9" s="1"/>
  <c r="H1161" i="9" a="1"/>
  <c r="H1161" i="9" s="1"/>
  <c r="I1161" i="9" s="1"/>
  <c r="J1161" i="9" s="1"/>
  <c r="H1162" i="9" a="1"/>
  <c r="H1162" i="9" s="1"/>
  <c r="I1162" i="9" s="1"/>
  <c r="J1162" i="9" s="1"/>
  <c r="H1163" i="9" a="1"/>
  <c r="H1163" i="9" s="1"/>
  <c r="I1163" i="9" s="1"/>
  <c r="J1163" i="9" s="1"/>
  <c r="H1164" i="9" a="1"/>
  <c r="H1164" i="9" s="1"/>
  <c r="I1164" i="9" s="1"/>
  <c r="J1164" i="9" s="1"/>
  <c r="H1165" i="9" a="1"/>
  <c r="H1165" i="9" s="1"/>
  <c r="I1165" i="9" s="1"/>
  <c r="J1165" i="9" s="1"/>
  <c r="H1166" i="9" a="1"/>
  <c r="H1166" i="9" s="1"/>
  <c r="I1166" i="9" s="1"/>
  <c r="J1166" i="9" s="1"/>
  <c r="H1167" i="9" a="1"/>
  <c r="H1167" i="9" s="1"/>
  <c r="I1167" i="9" s="1"/>
  <c r="J1167" i="9" s="1"/>
  <c r="H1168" i="9" a="1"/>
  <c r="H1168" i="9" s="1"/>
  <c r="I1168" i="9" s="1"/>
  <c r="J1168" i="9" s="1"/>
  <c r="H1169" i="9" a="1"/>
  <c r="H1169" i="9" s="1"/>
  <c r="I1169" i="9" s="1"/>
  <c r="J1169" i="9" s="1"/>
  <c r="H1170" i="9" a="1"/>
  <c r="H1170" i="9" s="1"/>
  <c r="I1170" i="9" s="1"/>
  <c r="J1170" i="9" s="1"/>
  <c r="H1171" i="9" a="1"/>
  <c r="H1171" i="9" s="1"/>
  <c r="I1171" i="9" s="1"/>
  <c r="J1171" i="9" s="1"/>
  <c r="H1172" i="9" a="1"/>
  <c r="H1172" i="9" s="1"/>
  <c r="I1172" i="9" s="1"/>
  <c r="J1172" i="9" s="1"/>
  <c r="H1173" i="9" a="1"/>
  <c r="H1173" i="9" s="1"/>
  <c r="I1173" i="9" s="1"/>
  <c r="J1173" i="9" s="1"/>
  <c r="H1174" i="9" a="1"/>
  <c r="H1174" i="9" s="1"/>
  <c r="I1174" i="9" s="1"/>
  <c r="J1174" i="9" s="1"/>
  <c r="H1175" i="9" a="1"/>
  <c r="H1175" i="9" s="1"/>
  <c r="I1175" i="9" s="1"/>
  <c r="J1175" i="9" s="1"/>
  <c r="H1176" i="9" a="1"/>
  <c r="H1176" i="9" s="1"/>
  <c r="I1176" i="9" s="1"/>
  <c r="J1176" i="9" s="1"/>
  <c r="H1177" i="9" a="1"/>
  <c r="H1177" i="9" s="1"/>
  <c r="I1177" i="9" s="1"/>
  <c r="J1177" i="9" s="1"/>
  <c r="H1178" i="9" a="1"/>
  <c r="H1178" i="9" s="1"/>
  <c r="I1178" i="9" s="1"/>
  <c r="J1178" i="9" s="1"/>
  <c r="H1179" i="9" a="1"/>
  <c r="H1179" i="9" s="1"/>
  <c r="I1179" i="9" s="1"/>
  <c r="J1179" i="9" s="1"/>
  <c r="H1180" i="9" a="1"/>
  <c r="H1180" i="9" s="1"/>
  <c r="I1180" i="9" s="1"/>
  <c r="J1180" i="9" s="1"/>
  <c r="H1181" i="9" a="1"/>
  <c r="H1181" i="9" s="1"/>
  <c r="I1181" i="9" s="1"/>
  <c r="J1181" i="9" s="1"/>
  <c r="H1182" i="9" a="1"/>
  <c r="H1182" i="9" s="1"/>
  <c r="I1182" i="9" s="1"/>
  <c r="J1182" i="9" s="1"/>
  <c r="H1183" i="9" a="1"/>
  <c r="H1183" i="9" s="1"/>
  <c r="I1183" i="9" s="1"/>
  <c r="J1183" i="9" s="1"/>
  <c r="H1184" i="9" a="1"/>
  <c r="H1184" i="9" s="1"/>
  <c r="I1184" i="9" s="1"/>
  <c r="J1184" i="9" s="1"/>
  <c r="H1185" i="9" a="1"/>
  <c r="H1185" i="9" s="1"/>
  <c r="I1185" i="9" s="1"/>
  <c r="J1185" i="9" s="1"/>
  <c r="H1186" i="9" a="1"/>
  <c r="H1186" i="9" s="1"/>
  <c r="I1186" i="9" s="1"/>
  <c r="J1186" i="9" s="1"/>
  <c r="H1187" i="9" a="1"/>
  <c r="H1187" i="9" s="1"/>
  <c r="I1187" i="9" s="1"/>
  <c r="J1187" i="9" s="1"/>
  <c r="H1188" i="9" a="1"/>
  <c r="H1188" i="9" s="1"/>
  <c r="I1188" i="9" s="1"/>
  <c r="J1188" i="9" s="1"/>
  <c r="H1189" i="9" a="1"/>
  <c r="H1189" i="9" s="1"/>
  <c r="I1189" i="9" s="1"/>
  <c r="J1189" i="9" s="1"/>
  <c r="G1184" i="9"/>
  <c r="G1176" i="9"/>
  <c r="G1168" i="9"/>
  <c r="G1160" i="9"/>
  <c r="G1152" i="9"/>
  <c r="G1144" i="9"/>
  <c r="G1136" i="9"/>
  <c r="G1185" i="9"/>
  <c r="G1177" i="9"/>
  <c r="G1169" i="9"/>
  <c r="G1161" i="9"/>
  <c r="G1153" i="9"/>
  <c r="G1145" i="9"/>
  <c r="G1137" i="9"/>
  <c r="G1183" i="9"/>
  <c r="G1175" i="9"/>
  <c r="G1167" i="9"/>
  <c r="G1159" i="9"/>
  <c r="G1151" i="9"/>
  <c r="G1143" i="9"/>
  <c r="G1135" i="9"/>
  <c r="G1182" i="9"/>
  <c r="G1174" i="9"/>
  <c r="G1166" i="9"/>
  <c r="G1158" i="9"/>
  <c r="G1150" i="9"/>
  <c r="G1142" i="9"/>
  <c r="G1189" i="9"/>
  <c r="G1181" i="9"/>
  <c r="G1173" i="9"/>
  <c r="G1165" i="9"/>
  <c r="G1157" i="9"/>
  <c r="G1149" i="9"/>
  <c r="G1141" i="9"/>
  <c r="G1188" i="9"/>
  <c r="G1180" i="9"/>
  <c r="G1172" i="9"/>
  <c r="G1164" i="9"/>
  <c r="G1156" i="9"/>
  <c r="G1148" i="9"/>
  <c r="G1140" i="9"/>
  <c r="G1187" i="9"/>
  <c r="G1179" i="9"/>
  <c r="G1171" i="9"/>
  <c r="G1163" i="9"/>
  <c r="G1155" i="9"/>
  <c r="G1147" i="9"/>
  <c r="G1139" i="9"/>
  <c r="G1186" i="9"/>
  <c r="G1178" i="9"/>
  <c r="G1170" i="9"/>
  <c r="G1162" i="9"/>
  <c r="G1154" i="9"/>
  <c r="G1146" i="9"/>
  <c r="G1138" i="9"/>
  <c r="H163" i="9" l="1"/>
  <c r="W163" i="9"/>
  <c r="O163" i="9"/>
  <c r="G163" i="9"/>
  <c r="X163" i="9"/>
  <c r="V163" i="9"/>
  <c r="N163" i="9"/>
  <c r="F163" i="9"/>
  <c r="U163" i="9"/>
  <c r="M163" i="9"/>
  <c r="E163" i="9"/>
  <c r="T163" i="9"/>
  <c r="L163" i="9"/>
  <c r="D163" i="9"/>
  <c r="AB163" i="9"/>
  <c r="S163" i="9"/>
  <c r="K163" i="9"/>
  <c r="Z163" i="9"/>
  <c r="R163" i="9"/>
  <c r="J163" i="9"/>
  <c r="P163" i="9"/>
  <c r="Y163" i="9"/>
  <c r="Q163" i="9"/>
  <c r="I163" i="9"/>
  <c r="P162" i="9"/>
  <c r="G162" i="9"/>
  <c r="H162" i="9"/>
  <c r="W162" i="9"/>
  <c r="O162" i="9"/>
  <c r="V162" i="9"/>
  <c r="N162" i="9"/>
  <c r="F162" i="9"/>
  <c r="E162" i="9"/>
  <c r="T162" i="9"/>
  <c r="L162" i="9"/>
  <c r="D162" i="9"/>
  <c r="M162" i="9"/>
  <c r="AB162" i="9"/>
  <c r="S162" i="9"/>
  <c r="K162" i="9"/>
  <c r="X162" i="9"/>
  <c r="U162" i="9"/>
  <c r="J162" i="9"/>
  <c r="Z162" i="9"/>
  <c r="R162" i="9"/>
  <c r="Y162" i="9"/>
  <c r="Q162" i="9"/>
  <c r="I162" i="9"/>
  <c r="G161" i="9"/>
  <c r="V161" i="9"/>
  <c r="X161" i="9"/>
  <c r="P161" i="9"/>
  <c r="H161" i="9"/>
  <c r="U161" i="9"/>
  <c r="M161" i="9"/>
  <c r="E161" i="9"/>
  <c r="F161" i="9"/>
  <c r="T161" i="9"/>
  <c r="L161" i="9"/>
  <c r="D161" i="9"/>
  <c r="W161" i="9"/>
  <c r="AB161" i="9"/>
  <c r="S161" i="9"/>
  <c r="K161" i="9"/>
  <c r="Z161" i="9"/>
  <c r="R161" i="9"/>
  <c r="J161" i="9"/>
  <c r="O161" i="9"/>
  <c r="N161" i="9"/>
  <c r="Y161" i="9"/>
  <c r="Q161" i="9"/>
  <c r="I161" i="9"/>
  <c r="X160" i="9"/>
  <c r="P160" i="9"/>
  <c r="H160" i="9"/>
  <c r="W160" i="9"/>
  <c r="V160" i="9"/>
  <c r="N160" i="9"/>
  <c r="F160" i="9"/>
  <c r="U160" i="9"/>
  <c r="M160" i="9"/>
  <c r="E160" i="9"/>
  <c r="T160" i="9"/>
  <c r="L160" i="9"/>
  <c r="D160" i="9"/>
  <c r="O160" i="9"/>
  <c r="AB160" i="9"/>
  <c r="S160" i="9"/>
  <c r="K160" i="9"/>
  <c r="Z160" i="9"/>
  <c r="R160" i="9"/>
  <c r="J160" i="9"/>
  <c r="G160" i="9"/>
  <c r="Y160" i="9"/>
  <c r="Q160" i="9"/>
  <c r="I160" i="9"/>
  <c r="X159" i="9"/>
  <c r="P159" i="9"/>
  <c r="H159" i="9"/>
  <c r="X113" i="9"/>
  <c r="W159" i="9"/>
  <c r="O159" i="9"/>
  <c r="G159" i="9"/>
  <c r="R105" i="9"/>
  <c r="V159" i="9"/>
  <c r="N159" i="9"/>
  <c r="F159" i="9"/>
  <c r="U159" i="9"/>
  <c r="M159" i="9"/>
  <c r="E159" i="9"/>
  <c r="T159" i="9"/>
  <c r="L159" i="9"/>
  <c r="D159" i="9"/>
  <c r="AB159" i="9"/>
  <c r="S159" i="9"/>
  <c r="K159" i="9"/>
  <c r="Z159" i="9"/>
  <c r="R159" i="9"/>
  <c r="J159" i="9"/>
  <c r="Y159" i="9"/>
  <c r="Q159" i="9"/>
  <c r="F158" i="9"/>
  <c r="N158" i="9"/>
  <c r="V158" i="9"/>
  <c r="S71" i="9"/>
  <c r="N133" i="9"/>
  <c r="V112" i="9"/>
  <c r="Q158" i="9"/>
  <c r="R158" i="9"/>
  <c r="G158" i="9"/>
  <c r="O158" i="9"/>
  <c r="W158" i="9"/>
  <c r="I75" i="9"/>
  <c r="E47" i="9"/>
  <c r="F123" i="9"/>
  <c r="I158" i="9"/>
  <c r="D31" i="9"/>
  <c r="J158" i="9"/>
  <c r="H158" i="9"/>
  <c r="P158" i="9"/>
  <c r="X158" i="9"/>
  <c r="V120" i="9"/>
  <c r="I125" i="9"/>
  <c r="J130" i="9"/>
  <c r="H157" i="9"/>
  <c r="Y158" i="9"/>
  <c r="M113" i="9"/>
  <c r="X124" i="9"/>
  <c r="X157" i="9"/>
  <c r="K158" i="9"/>
  <c r="S158" i="9"/>
  <c r="AB158" i="9"/>
  <c r="W68" i="9"/>
  <c r="D77" i="9"/>
  <c r="E158" i="9"/>
  <c r="U158" i="9"/>
  <c r="Z158" i="9"/>
  <c r="P157" i="9"/>
  <c r="R65" i="9"/>
  <c r="Y129" i="9"/>
  <c r="M158" i="9"/>
  <c r="D101" i="9"/>
  <c r="O74" i="9"/>
  <c r="T158" i="9"/>
  <c r="L158" i="9"/>
  <c r="D158" i="9"/>
  <c r="I157" i="9"/>
  <c r="Q157" i="9"/>
  <c r="Y157" i="9"/>
  <c r="I95" i="9"/>
  <c r="O131" i="9"/>
  <c r="T123" i="9"/>
  <c r="K116" i="9"/>
  <c r="F100" i="9"/>
  <c r="AB136" i="9"/>
  <c r="E58" i="9"/>
  <c r="E88" i="9"/>
  <c r="E19" i="9"/>
  <c r="D24" i="9"/>
  <c r="Z130" i="9"/>
  <c r="D22" i="9"/>
  <c r="Y109" i="9"/>
  <c r="R125" i="9"/>
  <c r="W135" i="9"/>
  <c r="N144" i="9"/>
  <c r="I136" i="9"/>
  <c r="R157" i="9"/>
  <c r="Z157" i="9"/>
  <c r="H58" i="9"/>
  <c r="W131" i="9"/>
  <c r="X126" i="9"/>
  <c r="N100" i="9"/>
  <c r="M137" i="9"/>
  <c r="D97" i="9"/>
  <c r="E35" i="9"/>
  <c r="D48" i="9"/>
  <c r="D38" i="9"/>
  <c r="I114" i="9"/>
  <c r="K137" i="9"/>
  <c r="X145" i="9"/>
  <c r="J144" i="9"/>
  <c r="K109" i="9"/>
  <c r="E12" i="9"/>
  <c r="F144" i="9"/>
  <c r="Y104" i="9"/>
  <c r="T157" i="9"/>
  <c r="H130" i="9"/>
  <c r="D67" i="9"/>
  <c r="D36" i="9"/>
  <c r="D87" i="9"/>
  <c r="K97" i="9"/>
  <c r="U139" i="9"/>
  <c r="AB100" i="9"/>
  <c r="E116" i="9"/>
  <c r="T111" i="9"/>
  <c r="W157" i="9"/>
  <c r="S112" i="9"/>
  <c r="J105" i="9"/>
  <c r="D135" i="9"/>
  <c r="N112" i="9"/>
  <c r="V118" i="9"/>
  <c r="J157" i="9"/>
  <c r="N119" i="9"/>
  <c r="E66" i="9"/>
  <c r="M132" i="9"/>
  <c r="K131" i="9"/>
  <c r="S137" i="9"/>
  <c r="K157" i="9"/>
  <c r="AB157" i="9"/>
  <c r="W136" i="9"/>
  <c r="L128" i="9"/>
  <c r="AB142" i="9"/>
  <c r="D34" i="9"/>
  <c r="D41" i="9"/>
  <c r="D63" i="9"/>
  <c r="W85" i="9"/>
  <c r="Z145" i="9"/>
  <c r="I137" i="9"/>
  <c r="AB110" i="9"/>
  <c r="D58" i="9"/>
  <c r="D89" i="9"/>
  <c r="P145" i="9"/>
  <c r="M106" i="9"/>
  <c r="M157" i="9"/>
  <c r="F99" i="9"/>
  <c r="G48" i="9"/>
  <c r="P103" i="9"/>
  <c r="E69" i="9"/>
  <c r="R45" i="9"/>
  <c r="F114" i="9"/>
  <c r="E134" i="9"/>
  <c r="L111" i="9"/>
  <c r="S157" i="9"/>
  <c r="H144" i="9"/>
  <c r="D59" i="9"/>
  <c r="D12" i="9"/>
  <c r="W129" i="9"/>
  <c r="F139" i="9"/>
  <c r="L157" i="9"/>
  <c r="J131" i="9"/>
  <c r="Q119" i="9"/>
  <c r="E121" i="9"/>
  <c r="Q104" i="9"/>
  <c r="R110" i="9"/>
  <c r="G157" i="9"/>
  <c r="K126" i="9"/>
  <c r="D129" i="9"/>
  <c r="N123" i="9"/>
  <c r="D157" i="9"/>
  <c r="R144" i="9"/>
  <c r="M143" i="9"/>
  <c r="E20" i="9"/>
  <c r="E157" i="9"/>
  <c r="V128" i="9"/>
  <c r="V123" i="9"/>
  <c r="AB121" i="9"/>
  <c r="AB115" i="9"/>
  <c r="AB105" i="9"/>
  <c r="O68" i="9"/>
  <c r="D104" i="9"/>
  <c r="E132" i="9"/>
  <c r="U62" i="9"/>
  <c r="E93" i="9"/>
  <c r="N102" i="9"/>
  <c r="E141" i="9"/>
  <c r="J109" i="9"/>
  <c r="AB120" i="9"/>
  <c r="P141" i="9"/>
  <c r="G68" i="9"/>
  <c r="P99" i="9"/>
  <c r="V142" i="9"/>
  <c r="N96" i="9"/>
  <c r="V157" i="9"/>
  <c r="N157" i="9"/>
  <c r="F157" i="9"/>
  <c r="Q129" i="9"/>
  <c r="O157" i="9"/>
  <c r="D80" i="9"/>
  <c r="E109" i="9"/>
  <c r="G137" i="9"/>
  <c r="U157" i="9"/>
  <c r="I156" i="9"/>
  <c r="X72" i="9"/>
  <c r="X44" i="9"/>
  <c r="J92" i="9"/>
  <c r="W57" i="9"/>
  <c r="J81" i="9"/>
  <c r="U39" i="9"/>
  <c r="F61" i="9"/>
  <c r="H79" i="9"/>
  <c r="G98" i="9"/>
  <c r="S108" i="9"/>
  <c r="Q123" i="9"/>
  <c r="F137" i="9"/>
  <c r="V52" i="9"/>
  <c r="U104" i="9"/>
  <c r="H116" i="9"/>
  <c r="O127" i="9"/>
  <c r="Y138" i="9"/>
  <c r="K50" i="9"/>
  <c r="J101" i="9"/>
  <c r="V109" i="9"/>
  <c r="Y116" i="9"/>
  <c r="X121" i="9"/>
  <c r="F125" i="9"/>
  <c r="X127" i="9"/>
  <c r="V130" i="9"/>
  <c r="R133" i="9"/>
  <c r="V136" i="9"/>
  <c r="S139" i="9"/>
  <c r="O142" i="9"/>
  <c r="L145" i="9"/>
  <c r="U47" i="9"/>
  <c r="Q70" i="9"/>
  <c r="L93" i="9"/>
  <c r="S101" i="9"/>
  <c r="W104" i="9"/>
  <c r="F108" i="9"/>
  <c r="X110" i="9"/>
  <c r="U113" i="9"/>
  <c r="R116" i="9"/>
  <c r="U119" i="9"/>
  <c r="S122" i="9"/>
  <c r="W125" i="9"/>
  <c r="S128" i="9"/>
  <c r="P131" i="9"/>
  <c r="T134" i="9"/>
  <c r="Q137" i="9"/>
  <c r="V140" i="9"/>
  <c r="Q143" i="9"/>
  <c r="O146" i="9"/>
  <c r="Q59" i="9"/>
  <c r="K82" i="9"/>
  <c r="Y99" i="9"/>
  <c r="F103" i="9"/>
  <c r="Z105" i="9"/>
  <c r="W108" i="9"/>
  <c r="R111" i="9"/>
  <c r="P114" i="9"/>
  <c r="T117" i="9"/>
  <c r="P120" i="9"/>
  <c r="M123" i="9"/>
  <c r="I126" i="9"/>
  <c r="F129" i="9"/>
  <c r="Y131" i="9"/>
  <c r="F135" i="9"/>
  <c r="Z137" i="9"/>
  <c r="W140" i="9"/>
  <c r="R143" i="9"/>
  <c r="P146" i="9"/>
  <c r="N57" i="9"/>
  <c r="K46" i="9"/>
  <c r="H69" i="9"/>
  <c r="Y91" i="9"/>
  <c r="G101" i="9"/>
  <c r="Y103" i="9"/>
  <c r="W106" i="9"/>
  <c r="S109" i="9"/>
  <c r="W112" i="9"/>
  <c r="F116" i="9"/>
  <c r="X118" i="9"/>
  <c r="U121" i="9"/>
  <c r="R124" i="9"/>
  <c r="U127" i="9"/>
  <c r="S130" i="9"/>
  <c r="N23" i="9"/>
  <c r="H82" i="9"/>
  <c r="G54" i="9"/>
  <c r="N95" i="9"/>
  <c r="L60" i="9"/>
  <c r="U83" i="9"/>
  <c r="Y43" i="9"/>
  <c r="O62" i="9"/>
  <c r="K81" i="9"/>
  <c r="H99" i="9"/>
  <c r="M110" i="9"/>
  <c r="S124" i="9"/>
  <c r="H138" i="9"/>
  <c r="L61" i="9"/>
  <c r="W105" i="9"/>
  <c r="I117" i="9"/>
  <c r="Q128" i="9"/>
  <c r="Z139" i="9"/>
  <c r="T61" i="9"/>
  <c r="K102" i="9"/>
  <c r="G110" i="9"/>
  <c r="K118" i="9"/>
  <c r="J122" i="9"/>
  <c r="N125" i="9"/>
  <c r="J128" i="9"/>
  <c r="G131" i="9"/>
  <c r="Z133" i="9"/>
  <c r="H137" i="9"/>
  <c r="AB139" i="9"/>
  <c r="W142" i="9"/>
  <c r="T145" i="9"/>
  <c r="S50" i="9"/>
  <c r="M73" i="9"/>
  <c r="I96" i="9"/>
  <c r="L102" i="9"/>
  <c r="I105" i="9"/>
  <c r="N108" i="9"/>
  <c r="I111" i="9"/>
  <c r="G114" i="9"/>
  <c r="Z116" i="9"/>
  <c r="G120" i="9"/>
  <c r="L123" i="9"/>
  <c r="H126" i="9"/>
  <c r="AB128" i="9"/>
  <c r="X131" i="9"/>
  <c r="AB134" i="9"/>
  <c r="Y137" i="9"/>
  <c r="G141" i="9"/>
  <c r="Y143" i="9"/>
  <c r="W146" i="9"/>
  <c r="M62" i="9"/>
  <c r="G85" i="9"/>
  <c r="K100" i="9"/>
  <c r="N103" i="9"/>
  <c r="L106" i="9"/>
  <c r="H109" i="9"/>
  <c r="Z111" i="9"/>
  <c r="X114" i="9"/>
  <c r="AB117" i="9"/>
  <c r="X120" i="9"/>
  <c r="U123" i="9"/>
  <c r="Q126" i="9"/>
  <c r="N129" i="9"/>
  <c r="K132" i="9"/>
  <c r="N135" i="9"/>
  <c r="L138" i="9"/>
  <c r="H141" i="9"/>
  <c r="Z143" i="9"/>
  <c r="X146" i="9"/>
  <c r="K60" i="9"/>
  <c r="I49" i="9"/>
  <c r="Z71" i="9"/>
  <c r="U94" i="9"/>
  <c r="O101" i="9"/>
  <c r="K104" i="9"/>
  <c r="H107" i="9"/>
  <c r="L110" i="9"/>
  <c r="I113" i="9"/>
  <c r="N116" i="9"/>
  <c r="I119" i="9"/>
  <c r="G122" i="9"/>
  <c r="Z124" i="9"/>
  <c r="G128" i="9"/>
  <c r="L131" i="9"/>
  <c r="H134" i="9"/>
  <c r="P156" i="9"/>
  <c r="F87" i="9"/>
  <c r="V58" i="9"/>
  <c r="F74" i="9"/>
  <c r="K45" i="9"/>
  <c r="I69" i="9"/>
  <c r="T92" i="9"/>
  <c r="H52" i="9"/>
  <c r="Z69" i="9"/>
  <c r="N88" i="9"/>
  <c r="U99" i="9"/>
  <c r="H117" i="9"/>
  <c r="L130" i="9"/>
  <c r="F143" i="9"/>
  <c r="M98" i="9"/>
  <c r="N110" i="9"/>
  <c r="W121" i="9"/>
  <c r="I133" i="9"/>
  <c r="Q144" i="9"/>
  <c r="N84" i="9"/>
  <c r="P105" i="9"/>
  <c r="Z112" i="9"/>
  <c r="F120" i="9"/>
  <c r="S123" i="9"/>
  <c r="O126" i="9"/>
  <c r="L129" i="9"/>
  <c r="I132" i="9"/>
  <c r="L135" i="9"/>
  <c r="J138" i="9"/>
  <c r="F141" i="9"/>
  <c r="X143" i="9"/>
  <c r="V146" i="9"/>
  <c r="I59" i="9"/>
  <c r="Y81" i="9"/>
  <c r="X99" i="9"/>
  <c r="M103" i="9"/>
  <c r="K106" i="9"/>
  <c r="O109" i="9"/>
  <c r="K112" i="9"/>
  <c r="H115" i="9"/>
  <c r="L118" i="9"/>
  <c r="I121" i="9"/>
  <c r="N124" i="9"/>
  <c r="I127" i="9"/>
  <c r="G130" i="9"/>
  <c r="Z132" i="9"/>
  <c r="G136" i="9"/>
  <c r="L139" i="9"/>
  <c r="H142" i="9"/>
  <c r="AB144" i="9"/>
  <c r="J45" i="9"/>
  <c r="Y70" i="9"/>
  <c r="T93" i="9"/>
  <c r="T101" i="9"/>
  <c r="P104" i="9"/>
  <c r="M107" i="9"/>
  <c r="I110" i="9"/>
  <c r="F113" i="9"/>
  <c r="Y115" i="9"/>
  <c r="F119" i="9"/>
  <c r="Z121" i="9"/>
  <c r="W124" i="9"/>
  <c r="R127" i="9"/>
  <c r="P130" i="9"/>
  <c r="T133" i="9"/>
  <c r="P136" i="9"/>
  <c r="M139" i="9"/>
  <c r="I142" i="9"/>
  <c r="F145" i="9"/>
  <c r="Z45" i="9"/>
  <c r="R71" i="9"/>
  <c r="V57" i="9"/>
  <c r="O80" i="9"/>
  <c r="T99" i="9"/>
  <c r="P102" i="9"/>
  <c r="M105" i="9"/>
  <c r="J108" i="9"/>
  <c r="M111" i="9"/>
  <c r="K114" i="9"/>
  <c r="O117" i="9"/>
  <c r="K120" i="9"/>
  <c r="H123" i="9"/>
  <c r="L126" i="9"/>
  <c r="Z43" i="9"/>
  <c r="I82" i="9"/>
  <c r="T33" i="9"/>
  <c r="AB77" i="9"/>
  <c r="I53" i="9"/>
  <c r="H84" i="9"/>
  <c r="R103" i="9"/>
  <c r="P128" i="9"/>
  <c r="AB146" i="9"/>
  <c r="O111" i="9"/>
  <c r="M130" i="9"/>
  <c r="J13" i="9"/>
  <c r="N104" i="9"/>
  <c r="W115" i="9"/>
  <c r="AB123" i="9"/>
  <c r="R128" i="9"/>
  <c r="Y132" i="9"/>
  <c r="X137" i="9"/>
  <c r="G142" i="9"/>
  <c r="H16" i="9"/>
  <c r="J76" i="9"/>
  <c r="R100" i="9"/>
  <c r="Y105" i="9"/>
  <c r="P110" i="9"/>
  <c r="P115" i="9"/>
  <c r="O120" i="9"/>
  <c r="G125" i="9"/>
  <c r="U129" i="9"/>
  <c r="L134" i="9"/>
  <c r="T139" i="9"/>
  <c r="K144" i="9"/>
  <c r="W53" i="9"/>
  <c r="X90" i="9"/>
  <c r="U102" i="9"/>
  <c r="U107" i="9"/>
  <c r="L112" i="9"/>
  <c r="S116" i="9"/>
  <c r="R121" i="9"/>
  <c r="X125" i="9"/>
  <c r="X130" i="9"/>
  <c r="V135" i="9"/>
  <c r="G140" i="9"/>
  <c r="T144" i="9"/>
  <c r="P54" i="9"/>
  <c r="S60" i="9"/>
  <c r="S97" i="9"/>
  <c r="I103" i="9"/>
  <c r="X107" i="9"/>
  <c r="O112" i="9"/>
  <c r="W117" i="9"/>
  <c r="O122" i="9"/>
  <c r="AB126" i="9"/>
  <c r="T131" i="9"/>
  <c r="X134" i="9"/>
  <c r="U137" i="9"/>
  <c r="R140" i="9"/>
  <c r="U143" i="9"/>
  <c r="S146" i="9"/>
  <c r="Z104" i="9"/>
  <c r="M116" i="9"/>
  <c r="T127" i="9"/>
  <c r="G139" i="9"/>
  <c r="E34" i="9"/>
  <c r="E98" i="9"/>
  <c r="D27" i="9"/>
  <c r="D91" i="9"/>
  <c r="E29" i="9"/>
  <c r="D78" i="9"/>
  <c r="E126" i="9"/>
  <c r="E71" i="9"/>
  <c r="D120" i="9"/>
  <c r="D49" i="9"/>
  <c r="E73" i="9"/>
  <c r="D42" i="9"/>
  <c r="D106" i="9"/>
  <c r="I91" i="9"/>
  <c r="Q109" i="9"/>
  <c r="Y120" i="9"/>
  <c r="L132" i="9"/>
  <c r="S143" i="9"/>
  <c r="E59" i="9"/>
  <c r="E123" i="9"/>
  <c r="D52" i="9"/>
  <c r="D116" i="9"/>
  <c r="E133" i="9"/>
  <c r="J57" i="9"/>
  <c r="G91" i="9"/>
  <c r="P48" i="9"/>
  <c r="Y86" i="9"/>
  <c r="F56" i="9"/>
  <c r="Q85" i="9"/>
  <c r="V105" i="9"/>
  <c r="U131" i="9"/>
  <c r="P75" i="9"/>
  <c r="K113" i="9"/>
  <c r="N131" i="9"/>
  <c r="I36" i="9"/>
  <c r="Z106" i="9"/>
  <c r="S118" i="9"/>
  <c r="M124" i="9"/>
  <c r="Z128" i="9"/>
  <c r="J133" i="9"/>
  <c r="R138" i="9"/>
  <c r="H143" i="9"/>
  <c r="AB38" i="9"/>
  <c r="F79" i="9"/>
  <c r="K101" i="9"/>
  <c r="S106" i="9"/>
  <c r="Q111" i="9"/>
  <c r="X115" i="9"/>
  <c r="W120" i="9"/>
  <c r="O125" i="9"/>
  <c r="O130" i="9"/>
  <c r="M135" i="9"/>
  <c r="F140" i="9"/>
  <c r="S144" i="9"/>
  <c r="T56" i="9"/>
  <c r="Q96" i="9"/>
  <c r="V103" i="9"/>
  <c r="G108" i="9"/>
  <c r="T112" i="9"/>
  <c r="L117" i="9"/>
  <c r="L122" i="9"/>
  <c r="Y126" i="9"/>
  <c r="I131" i="9"/>
  <c r="H136" i="9"/>
  <c r="O140" i="9"/>
  <c r="N145" i="9"/>
  <c r="F63" i="9"/>
  <c r="N63" i="9"/>
  <c r="L99" i="9"/>
  <c r="Q103" i="9"/>
  <c r="R108" i="9"/>
  <c r="Q113" i="9"/>
  <c r="H118" i="9"/>
  <c r="W122" i="9"/>
  <c r="M127" i="9"/>
  <c r="F132" i="9"/>
  <c r="I135" i="9"/>
  <c r="G138" i="9"/>
  <c r="Z140" i="9"/>
  <c r="G144" i="9"/>
  <c r="F57" i="9"/>
  <c r="N106" i="9"/>
  <c r="V117" i="9"/>
  <c r="H129" i="9"/>
  <c r="Q140" i="9"/>
  <c r="E42" i="9"/>
  <c r="E106" i="9"/>
  <c r="D35" i="9"/>
  <c r="D99" i="9"/>
  <c r="E45" i="9"/>
  <c r="D102" i="9"/>
  <c r="D15" i="9"/>
  <c r="E95" i="9"/>
  <c r="D144" i="9"/>
  <c r="D73" i="9"/>
  <c r="E97" i="9"/>
  <c r="D50" i="9"/>
  <c r="D114" i="9"/>
  <c r="R99" i="9"/>
  <c r="Z110" i="9"/>
  <c r="M122" i="9"/>
  <c r="U133" i="9"/>
  <c r="G145" i="9"/>
  <c r="E67" i="9"/>
  <c r="E131" i="9"/>
  <c r="D60" i="9"/>
  <c r="D124" i="9"/>
  <c r="D14" i="9"/>
  <c r="AB95" i="9"/>
  <c r="T62" i="9"/>
  <c r="G52" i="9"/>
  <c r="O89" i="9"/>
  <c r="J58" i="9"/>
  <c r="J90" i="9"/>
  <c r="J113" i="9"/>
  <c r="P133" i="9"/>
  <c r="F84" i="9"/>
  <c r="M114" i="9"/>
  <c r="J134" i="9"/>
  <c r="P64" i="9"/>
  <c r="K107" i="9"/>
  <c r="L119" i="9"/>
  <c r="U124" i="9"/>
  <c r="T129" i="9"/>
  <c r="K134" i="9"/>
  <c r="Z138" i="9"/>
  <c r="P143" i="9"/>
  <c r="Y44" i="9"/>
  <c r="V84" i="9"/>
  <c r="T102" i="9"/>
  <c r="L107" i="9"/>
  <c r="Y111" i="9"/>
  <c r="J116" i="9"/>
  <c r="Q121" i="9"/>
  <c r="P126" i="9"/>
  <c r="W130" i="9"/>
  <c r="U135" i="9"/>
  <c r="N140" i="9"/>
  <c r="M145" i="9"/>
  <c r="J65" i="9"/>
  <c r="I99" i="9"/>
  <c r="H104" i="9"/>
  <c r="O108" i="9"/>
  <c r="N113" i="9"/>
  <c r="M118" i="9"/>
  <c r="T122" i="9"/>
  <c r="J127" i="9"/>
  <c r="Q131" i="9"/>
  <c r="V49" i="9"/>
  <c r="I87" i="9"/>
  <c r="N98" i="9"/>
  <c r="L76" i="9"/>
  <c r="L120" i="9"/>
  <c r="H100" i="9"/>
  <c r="T124" i="9"/>
  <c r="J87" i="9"/>
  <c r="O115" i="9"/>
  <c r="W126" i="9"/>
  <c r="S134" i="9"/>
  <c r="N141" i="9"/>
  <c r="L56" i="9"/>
  <c r="J100" i="9"/>
  <c r="G109" i="9"/>
  <c r="K117" i="9"/>
  <c r="F124" i="9"/>
  <c r="J132" i="9"/>
  <c r="S138" i="9"/>
  <c r="AB18" i="9"/>
  <c r="Q99" i="9"/>
  <c r="T106" i="9"/>
  <c r="H114" i="9"/>
  <c r="J121" i="9"/>
  <c r="T128" i="9"/>
  <c r="X136" i="9"/>
  <c r="Q142" i="9"/>
  <c r="W48" i="9"/>
  <c r="L66" i="9"/>
  <c r="V100" i="9"/>
  <c r="O106" i="9"/>
  <c r="Y113" i="9"/>
  <c r="Y119" i="9"/>
  <c r="S125" i="9"/>
  <c r="N132" i="9"/>
  <c r="K136" i="9"/>
  <c r="X139" i="9"/>
  <c r="O144" i="9"/>
  <c r="K99" i="9"/>
  <c r="P113" i="9"/>
  <c r="R130" i="9"/>
  <c r="V144" i="9"/>
  <c r="E82" i="9"/>
  <c r="D43" i="9"/>
  <c r="D123" i="9"/>
  <c r="D30" i="9"/>
  <c r="D47" i="9"/>
  <c r="D16" i="9"/>
  <c r="E112" i="9"/>
  <c r="E113" i="9"/>
  <c r="D74" i="9"/>
  <c r="Y59" i="9"/>
  <c r="M112" i="9"/>
  <c r="R126" i="9"/>
  <c r="X140" i="9"/>
  <c r="E75" i="9"/>
  <c r="D20" i="9"/>
  <c r="D100" i="9"/>
  <c r="D46" i="9"/>
  <c r="E86" i="9"/>
  <c r="E39" i="9"/>
  <c r="D64" i="9"/>
  <c r="E128" i="9"/>
  <c r="E25" i="9"/>
  <c r="E137" i="9"/>
  <c r="X103" i="9"/>
  <c r="U116" i="9"/>
  <c r="F128" i="9"/>
  <c r="O139" i="9"/>
  <c r="E28" i="9"/>
  <c r="E92" i="9"/>
  <c r="D21" i="9"/>
  <c r="D85" i="9"/>
  <c r="E21" i="9"/>
  <c r="D86" i="9"/>
  <c r="D23" i="9"/>
  <c r="E31" i="9"/>
  <c r="D128" i="9"/>
  <c r="D57" i="9"/>
  <c r="Z99" i="9"/>
  <c r="K111" i="9"/>
  <c r="U122" i="9"/>
  <c r="F134" i="9"/>
  <c r="O145" i="9"/>
  <c r="J104" i="9"/>
  <c r="S115" i="9"/>
  <c r="N128" i="9"/>
  <c r="W139" i="9"/>
  <c r="O85" i="9"/>
  <c r="X108" i="9"/>
  <c r="I120" i="9"/>
  <c r="R131" i="9"/>
  <c r="Z142" i="9"/>
  <c r="V101" i="9"/>
  <c r="H113" i="9"/>
  <c r="Q124" i="9"/>
  <c r="X135" i="9"/>
  <c r="Z76" i="9"/>
  <c r="V107" i="9"/>
  <c r="G119" i="9"/>
  <c r="Q130" i="9"/>
  <c r="Y141" i="9"/>
  <c r="F59" i="9"/>
  <c r="AB98" i="9"/>
  <c r="U19" i="9"/>
  <c r="F93" i="9"/>
  <c r="N121" i="9"/>
  <c r="Y101" i="9"/>
  <c r="U125" i="9"/>
  <c r="U98" i="9"/>
  <c r="N120" i="9"/>
  <c r="H127" i="9"/>
  <c r="T135" i="9"/>
  <c r="V141" i="9"/>
  <c r="AB61" i="9"/>
  <c r="AB102" i="9"/>
  <c r="W109" i="9"/>
  <c r="S117" i="9"/>
  <c r="V124" i="9"/>
  <c r="R132" i="9"/>
  <c r="O141" i="9"/>
  <c r="Y41" i="9"/>
  <c r="S100" i="9"/>
  <c r="AB106" i="9"/>
  <c r="I115" i="9"/>
  <c r="AB122" i="9"/>
  <c r="V129" i="9"/>
  <c r="J137" i="9"/>
  <c r="Y142" i="9"/>
  <c r="T51" i="9"/>
  <c r="W74" i="9"/>
  <c r="W101" i="9"/>
  <c r="P107" i="9"/>
  <c r="S114" i="9"/>
  <c r="S120" i="9"/>
  <c r="T126" i="9"/>
  <c r="V132" i="9"/>
  <c r="S136" i="9"/>
  <c r="J140" i="9"/>
  <c r="W144" i="9"/>
  <c r="U100" i="9"/>
  <c r="Z114" i="9"/>
  <c r="AB131" i="9"/>
  <c r="J146" i="9"/>
  <c r="E90" i="9"/>
  <c r="D51" i="9"/>
  <c r="D131" i="9"/>
  <c r="D54" i="9"/>
  <c r="D71" i="9"/>
  <c r="D40" i="9"/>
  <c r="D33" i="9"/>
  <c r="E129" i="9"/>
  <c r="D82" i="9"/>
  <c r="V79" i="9"/>
  <c r="W113" i="9"/>
  <c r="AB127" i="9"/>
  <c r="J142" i="9"/>
  <c r="E83" i="9"/>
  <c r="D28" i="9"/>
  <c r="D108" i="9"/>
  <c r="D70" i="9"/>
  <c r="E110" i="9"/>
  <c r="E63" i="9"/>
  <c r="D88" i="9"/>
  <c r="E144" i="9"/>
  <c r="E41" i="9"/>
  <c r="X21" i="9"/>
  <c r="L105" i="9"/>
  <c r="G118" i="9"/>
  <c r="P129" i="9"/>
  <c r="Y140" i="9"/>
  <c r="E36" i="9"/>
  <c r="E100" i="9"/>
  <c r="D29" i="9"/>
  <c r="D93" i="9"/>
  <c r="E53" i="9"/>
  <c r="D110" i="9"/>
  <c r="D39" i="9"/>
  <c r="E55" i="9"/>
  <c r="E32" i="9"/>
  <c r="D81" i="9"/>
  <c r="M101" i="9"/>
  <c r="U112" i="9"/>
  <c r="H124" i="9"/>
  <c r="O135" i="9"/>
  <c r="Y146" i="9"/>
  <c r="T105" i="9"/>
  <c r="F117" i="9"/>
  <c r="X129" i="9"/>
  <c r="J141" i="9"/>
  <c r="Y96" i="9"/>
  <c r="J110" i="9"/>
  <c r="S121" i="9"/>
  <c r="AB132" i="9"/>
  <c r="M144" i="9"/>
  <c r="H103" i="9"/>
  <c r="R114" i="9"/>
  <c r="Z125" i="9"/>
  <c r="L137" i="9"/>
  <c r="L88" i="9"/>
  <c r="I109" i="9"/>
  <c r="Q120" i="9"/>
  <c r="Z131" i="9"/>
  <c r="K143" i="9"/>
  <c r="X156" i="9"/>
  <c r="AB67" i="9"/>
  <c r="AB65" i="9"/>
  <c r="L65" i="9"/>
  <c r="W80" i="9"/>
  <c r="Y139" i="9"/>
  <c r="T108" i="9"/>
  <c r="U141" i="9"/>
  <c r="M108" i="9"/>
  <c r="Z122" i="9"/>
  <c r="N130" i="9"/>
  <c r="P137" i="9"/>
  <c r="Z144" i="9"/>
  <c r="R87" i="9"/>
  <c r="O104" i="9"/>
  <c r="AB112" i="9"/>
  <c r="M119" i="9"/>
  <c r="Y127" i="9"/>
  <c r="O136" i="9"/>
  <c r="X142" i="9"/>
  <c r="U73" i="9"/>
  <c r="M102" i="9"/>
  <c r="Q110" i="9"/>
  <c r="U118" i="9"/>
  <c r="H125" i="9"/>
  <c r="L133" i="9"/>
  <c r="AB138" i="9"/>
  <c r="V145" i="9"/>
  <c r="R27" i="9"/>
  <c r="H86" i="9"/>
  <c r="S104" i="9"/>
  <c r="T110" i="9"/>
  <c r="V116" i="9"/>
  <c r="P123" i="9"/>
  <c r="I129" i="9"/>
  <c r="W133" i="9"/>
  <c r="O138" i="9"/>
  <c r="L142" i="9"/>
  <c r="Y145" i="9"/>
  <c r="W107" i="9"/>
  <c r="F122" i="9"/>
  <c r="J136" i="9"/>
  <c r="E50" i="9"/>
  <c r="E130" i="9"/>
  <c r="D75" i="9"/>
  <c r="E61" i="9"/>
  <c r="E22" i="9"/>
  <c r="E23" i="9"/>
  <c r="E16" i="9"/>
  <c r="D137" i="9"/>
  <c r="D26" i="9"/>
  <c r="D122" i="9"/>
  <c r="W103" i="9"/>
  <c r="F118" i="9"/>
  <c r="G135" i="9"/>
  <c r="E27" i="9"/>
  <c r="E107" i="9"/>
  <c r="D68" i="9"/>
  <c r="E37" i="9"/>
  <c r="D142" i="9"/>
  <c r="D55" i="9"/>
  <c r="E127" i="9"/>
  <c r="E24" i="9"/>
  <c r="D65" i="9"/>
  <c r="E81" i="9"/>
  <c r="Q91" i="9"/>
  <c r="R109" i="9"/>
  <c r="N122" i="9"/>
  <c r="V133" i="9"/>
  <c r="H145" i="9"/>
  <c r="E60" i="9"/>
  <c r="E124" i="9"/>
  <c r="D53" i="9"/>
  <c r="D117" i="9"/>
  <c r="E125" i="9"/>
  <c r="E70" i="9"/>
  <c r="D103" i="9"/>
  <c r="D32" i="9"/>
  <c r="E104" i="9"/>
  <c r="V42" i="9"/>
  <c r="S105" i="9"/>
  <c r="AB116" i="9"/>
  <c r="M128" i="9"/>
  <c r="V139" i="9"/>
  <c r="M94" i="9"/>
  <c r="W44" i="9"/>
  <c r="H95" i="9"/>
  <c r="W100" i="9"/>
  <c r="Z102" i="9"/>
  <c r="S145" i="9"/>
  <c r="P121" i="9"/>
  <c r="Q132" i="9"/>
  <c r="F146" i="9"/>
  <c r="U103" i="9"/>
  <c r="O114" i="9"/>
  <c r="Q127" i="9"/>
  <c r="K138" i="9"/>
  <c r="R76" i="9"/>
  <c r="P109" i="9"/>
  <c r="V119" i="9"/>
  <c r="S132" i="9"/>
  <c r="X141" i="9"/>
  <c r="O43" i="9"/>
  <c r="H102" i="9"/>
  <c r="U111" i="9"/>
  <c r="M121" i="9"/>
  <c r="K130" i="9"/>
  <c r="W138" i="9"/>
  <c r="I145" i="9"/>
  <c r="S110" i="9"/>
  <c r="W134" i="9"/>
  <c r="E74" i="9"/>
  <c r="D83" i="9"/>
  <c r="D118" i="9"/>
  <c r="E119" i="9"/>
  <c r="D121" i="9"/>
  <c r="D66" i="9"/>
  <c r="K105" i="9"/>
  <c r="O129" i="9"/>
  <c r="E43" i="9"/>
  <c r="D44" i="9"/>
  <c r="E117" i="9"/>
  <c r="D79" i="9"/>
  <c r="D112" i="9"/>
  <c r="D113" i="9"/>
  <c r="G80" i="9"/>
  <c r="K115" i="9"/>
  <c r="H135" i="9"/>
  <c r="E44" i="9"/>
  <c r="E140" i="9"/>
  <c r="D109" i="9"/>
  <c r="D62" i="9"/>
  <c r="D119" i="9"/>
  <c r="E56" i="9"/>
  <c r="S82" i="9"/>
  <c r="R115" i="9"/>
  <c r="T132" i="9"/>
  <c r="AB99" i="9"/>
  <c r="J114" i="9"/>
  <c r="U132" i="9"/>
  <c r="Z146" i="9"/>
  <c r="N107" i="9"/>
  <c r="P124" i="9"/>
  <c r="U138" i="9"/>
  <c r="M100" i="9"/>
  <c r="N117" i="9"/>
  <c r="S131" i="9"/>
  <c r="H54" i="9"/>
  <c r="AB111" i="9"/>
  <c r="J126" i="9"/>
  <c r="P140" i="9"/>
  <c r="K49" i="9"/>
  <c r="Y110" i="9"/>
  <c r="L144" i="9"/>
  <c r="L115" i="9"/>
  <c r="P139" i="9"/>
  <c r="E122" i="9"/>
  <c r="D72" i="9"/>
  <c r="H108" i="9"/>
  <c r="E91" i="9"/>
  <c r="D127" i="9"/>
  <c r="F101" i="9"/>
  <c r="F138" i="9"/>
  <c r="D133" i="9"/>
  <c r="V102" i="9"/>
  <c r="W102" i="9"/>
  <c r="J71" i="9"/>
  <c r="Q141" i="9"/>
  <c r="T100" i="9"/>
  <c r="G129" i="9"/>
  <c r="G67" i="9"/>
  <c r="G126" i="9"/>
  <c r="T107" i="9"/>
  <c r="H131" i="9"/>
  <c r="O124" i="9"/>
  <c r="S77" i="9"/>
  <c r="T115" i="9"/>
  <c r="K141" i="9"/>
  <c r="E138" i="9"/>
  <c r="E57" i="9"/>
  <c r="E99" i="9"/>
  <c r="E79" i="9"/>
  <c r="O102" i="9"/>
  <c r="E76" i="9"/>
  <c r="E94" i="9"/>
  <c r="I104" i="9"/>
  <c r="G107" i="9"/>
  <c r="Q114" i="9"/>
  <c r="V138" i="9"/>
  <c r="M72" i="9"/>
  <c r="H111" i="9"/>
  <c r="U67" i="9"/>
  <c r="U145" i="9"/>
  <c r="R137" i="9"/>
  <c r="G106" i="9"/>
  <c r="Q135" i="9"/>
  <c r="O123" i="9"/>
  <c r="E102" i="9"/>
  <c r="D138" i="9"/>
  <c r="D132" i="9"/>
  <c r="E89" i="9"/>
  <c r="D61" i="9"/>
  <c r="F107" i="9"/>
  <c r="N138" i="9"/>
  <c r="L51" i="9"/>
  <c r="V134" i="9"/>
  <c r="O63" i="9"/>
  <c r="J75" i="9"/>
  <c r="L141" i="9"/>
  <c r="AB135" i="9"/>
  <c r="F130" i="9"/>
  <c r="P90" i="9"/>
  <c r="H110" i="9"/>
  <c r="K122" i="9"/>
  <c r="G146" i="9"/>
  <c r="Q115" i="9"/>
  <c r="G43" i="9"/>
  <c r="P118" i="9"/>
  <c r="T142" i="9"/>
  <c r="E26" i="9"/>
  <c r="D95" i="9"/>
  <c r="D146" i="9"/>
  <c r="Q146" i="9"/>
  <c r="D140" i="9"/>
  <c r="E143" i="9"/>
  <c r="E105" i="9"/>
  <c r="S126" i="9"/>
  <c r="E108" i="9"/>
  <c r="E101" i="9"/>
  <c r="D56" i="9"/>
  <c r="P108" i="9"/>
  <c r="Z109" i="9"/>
  <c r="S142" i="9"/>
  <c r="M117" i="9"/>
  <c r="G74" i="9"/>
  <c r="L127" i="9"/>
  <c r="F68" i="9"/>
  <c r="G47" i="9"/>
  <c r="AB114" i="9"/>
  <c r="R107" i="9"/>
  <c r="AB72" i="9"/>
  <c r="K123" i="9"/>
  <c r="F136" i="9"/>
  <c r="N146" i="9"/>
  <c r="G104" i="9"/>
  <c r="W114" i="9"/>
  <c r="K128" i="9"/>
  <c r="W141" i="9"/>
  <c r="N79" i="9"/>
  <c r="X109" i="9"/>
  <c r="H120" i="9"/>
  <c r="AB133" i="9"/>
  <c r="J143" i="9"/>
  <c r="F52" i="9"/>
  <c r="X102" i="9"/>
  <c r="G112" i="9"/>
  <c r="X123" i="9"/>
  <c r="G133" i="9"/>
  <c r="H139" i="9"/>
  <c r="Q145" i="9"/>
  <c r="F112" i="9"/>
  <c r="T137" i="9"/>
  <c r="E114" i="9"/>
  <c r="D107" i="9"/>
  <c r="E14" i="9"/>
  <c r="E135" i="9"/>
  <c r="E17" i="9"/>
  <c r="D90" i="9"/>
  <c r="U106" i="9"/>
  <c r="Y130" i="9"/>
  <c r="E51" i="9"/>
  <c r="D76" i="9"/>
  <c r="D94" i="9"/>
  <c r="D111" i="9"/>
  <c r="D136" i="9"/>
  <c r="D145" i="9"/>
  <c r="S99" i="9"/>
  <c r="P119" i="9"/>
  <c r="R136" i="9"/>
  <c r="E52" i="9"/>
  <c r="D13" i="9"/>
  <c r="D125" i="9"/>
  <c r="D134" i="9"/>
  <c r="D143" i="9"/>
  <c r="E80" i="9"/>
  <c r="AB93" i="9"/>
  <c r="N118" i="9"/>
  <c r="Y136" i="9"/>
  <c r="N101" i="9"/>
  <c r="O118" i="9"/>
  <c r="G134" i="9"/>
  <c r="O48" i="9"/>
  <c r="S111" i="9"/>
  <c r="Y125" i="9"/>
  <c r="H140" i="9"/>
  <c r="R104" i="9"/>
  <c r="W118" i="9"/>
  <c r="F133" i="9"/>
  <c r="J99" i="9"/>
  <c r="O113" i="9"/>
  <c r="S127" i="9"/>
  <c r="U144" i="9"/>
  <c r="N136" i="9"/>
  <c r="P142" i="9"/>
  <c r="G124" i="9"/>
  <c r="X54" i="9"/>
  <c r="J124" i="9"/>
  <c r="K146" i="9"/>
  <c r="Z141" i="9"/>
  <c r="E54" i="9"/>
  <c r="D98" i="9"/>
  <c r="Q136" i="9"/>
  <c r="D126" i="9"/>
  <c r="E40" i="9"/>
  <c r="Z120" i="9"/>
  <c r="D37" i="9"/>
  <c r="E38" i="9"/>
  <c r="E120" i="9"/>
  <c r="M138" i="9"/>
  <c r="P135" i="9"/>
  <c r="K127" i="9"/>
  <c r="F106" i="9"/>
  <c r="O134" i="9"/>
  <c r="Y114" i="9"/>
  <c r="I146" i="9"/>
  <c r="H156" i="9"/>
  <c r="S83" i="9"/>
  <c r="F104" i="9"/>
  <c r="K139" i="9"/>
  <c r="AB118" i="9"/>
  <c r="J111" i="9"/>
  <c r="H146" i="9"/>
  <c r="K125" i="9"/>
  <c r="K77" i="9"/>
  <c r="E78" i="9"/>
  <c r="D130" i="9"/>
  <c r="AB137" i="9"/>
  <c r="E30" i="9"/>
  <c r="E65" i="9"/>
  <c r="W123" i="9"/>
  <c r="D45" i="9"/>
  <c r="E136" i="9"/>
  <c r="I141" i="9"/>
  <c r="L100" i="9"/>
  <c r="W145" i="9"/>
  <c r="O107" i="9"/>
  <c r="L116" i="9"/>
  <c r="V108" i="9"/>
  <c r="P125" i="9"/>
  <c r="G117" i="9"/>
  <c r="T88" i="9"/>
  <c r="E18" i="9"/>
  <c r="E145" i="9"/>
  <c r="E115" i="9"/>
  <c r="E96" i="9"/>
  <c r="T143" i="9"/>
  <c r="E77" i="9"/>
  <c r="D25" i="9"/>
  <c r="Q108" i="9"/>
  <c r="Z115" i="9"/>
  <c r="G123" i="9"/>
  <c r="U117" i="9"/>
  <c r="D18" i="9"/>
  <c r="E85" i="9"/>
  <c r="G102" i="9"/>
  <c r="W128" i="9"/>
  <c r="Z108" i="9"/>
  <c r="Z127" i="9"/>
  <c r="R112" i="9"/>
  <c r="O103" i="9"/>
  <c r="Y108" i="9"/>
  <c r="U101" i="9"/>
  <c r="R142" i="9"/>
  <c r="E118" i="9"/>
  <c r="J125" i="9"/>
  <c r="E103" i="9"/>
  <c r="T116" i="9"/>
  <c r="E13" i="9"/>
  <c r="O128" i="9"/>
  <c r="U24" i="9"/>
  <c r="AB101" i="9"/>
  <c r="Y121" i="9"/>
  <c r="P127" i="9"/>
  <c r="Y134" i="9"/>
  <c r="F102" i="9"/>
  <c r="L121" i="9"/>
  <c r="D141" i="9"/>
  <c r="D92" i="9"/>
  <c r="L143" i="9"/>
  <c r="L101" i="9"/>
  <c r="F127" i="9"/>
  <c r="R141" i="9"/>
  <c r="K110" i="9"/>
  <c r="N134" i="9"/>
  <c r="G103" i="9"/>
  <c r="I124" i="9"/>
  <c r="AB143" i="9"/>
  <c r="Z126" i="9"/>
  <c r="D105" i="9"/>
  <c r="E142" i="9"/>
  <c r="D69" i="9"/>
  <c r="R146" i="9"/>
  <c r="I108" i="9"/>
  <c r="D17" i="9"/>
  <c r="E62" i="9"/>
  <c r="E139" i="9"/>
  <c r="O119" i="9"/>
  <c r="E72" i="9"/>
  <c r="D19" i="9"/>
  <c r="Y124" i="9"/>
  <c r="Y135" i="9"/>
  <c r="F89" i="9"/>
  <c r="T138" i="9"/>
  <c r="X104" i="9"/>
  <c r="S133" i="9"/>
  <c r="U140" i="9"/>
  <c r="I140" i="9"/>
  <c r="I130" i="9"/>
  <c r="V122" i="9"/>
  <c r="Q125" i="9"/>
  <c r="E111" i="9"/>
  <c r="E84" i="9"/>
  <c r="V106" i="9"/>
  <c r="E46" i="9"/>
  <c r="N139" i="9"/>
  <c r="E48" i="9"/>
  <c r="E146" i="9"/>
  <c r="S141" i="9"/>
  <c r="L83" i="9"/>
  <c r="V113" i="9"/>
  <c r="K133" i="9"/>
  <c r="M140" i="9"/>
  <c r="Y122" i="9"/>
  <c r="Q54" i="9"/>
  <c r="M133" i="9"/>
  <c r="T121" i="9"/>
  <c r="U128" i="9"/>
  <c r="Z136" i="9"/>
  <c r="K121" i="9"/>
  <c r="E87" i="9"/>
  <c r="K142" i="9"/>
  <c r="E64" i="9"/>
  <c r="J115" i="9"/>
  <c r="D96" i="9"/>
  <c r="D139" i="9"/>
  <c r="R120" i="9"/>
  <c r="P134" i="9"/>
  <c r="U105" i="9"/>
  <c r="U134" i="9"/>
  <c r="I143" i="9"/>
  <c r="X64" i="9"/>
  <c r="AB119" i="9"/>
  <c r="J120" i="9"/>
  <c r="G113" i="9"/>
  <c r="X119" i="9"/>
  <c r="W119" i="9"/>
  <c r="E15" i="9"/>
  <c r="E68" i="9"/>
  <c r="E49" i="9"/>
  <c r="D84" i="9"/>
  <c r="E33" i="9"/>
  <c r="D115" i="9"/>
  <c r="H119" i="9"/>
  <c r="O133" i="9"/>
  <c r="AB104" i="9"/>
  <c r="M134" i="9"/>
  <c r="Z87" i="9"/>
  <c r="M129" i="9"/>
  <c r="T118" i="9"/>
  <c r="Q105" i="9"/>
  <c r="O53" i="9"/>
  <c r="V125" i="9"/>
  <c r="Q100" i="9"/>
  <c r="Z118" i="9"/>
  <c r="I118" i="9"/>
  <c r="K78" i="9"/>
  <c r="R122" i="9"/>
  <c r="T119" i="9"/>
  <c r="Q116" i="9"/>
  <c r="T113" i="9"/>
  <c r="W110" i="9"/>
  <c r="AB107" i="9"/>
  <c r="H105" i="9"/>
  <c r="Z101" i="9"/>
  <c r="W95" i="9"/>
  <c r="I70" i="9"/>
  <c r="M47" i="9"/>
  <c r="K145" i="9"/>
  <c r="N142" i="9"/>
  <c r="R139" i="9"/>
  <c r="U136" i="9"/>
  <c r="Y133" i="9"/>
  <c r="F131" i="9"/>
  <c r="I128" i="9"/>
  <c r="M125" i="9"/>
  <c r="Q122" i="9"/>
  <c r="S119" i="9"/>
  <c r="X116" i="9"/>
  <c r="AB113" i="9"/>
  <c r="G111" i="9"/>
  <c r="L108" i="9"/>
  <c r="O105" i="9"/>
  <c r="R102" i="9"/>
  <c r="V99" i="9"/>
  <c r="I81" i="9"/>
  <c r="P58" i="9"/>
  <c r="T146" i="9"/>
  <c r="V143" i="9"/>
  <c r="S140" i="9"/>
  <c r="V137" i="9"/>
  <c r="Q134" i="9"/>
  <c r="M131" i="9"/>
  <c r="V127" i="9"/>
  <c r="K124" i="9"/>
  <c r="F121" i="9"/>
  <c r="X117" i="9"/>
  <c r="T114" i="9"/>
  <c r="T109" i="9"/>
  <c r="N105" i="9"/>
  <c r="O100" i="9"/>
  <c r="P69" i="9"/>
  <c r="W98" i="9"/>
  <c r="G94" i="9"/>
  <c r="X89" i="9"/>
  <c r="X84" i="9"/>
  <c r="Y80" i="9"/>
  <c r="Z75" i="9"/>
  <c r="L71" i="9"/>
  <c r="V66" i="9"/>
  <c r="V61" i="9"/>
  <c r="X57" i="9"/>
  <c r="X52" i="9"/>
  <c r="I48" i="9"/>
  <c r="Q43" i="9"/>
  <c r="Z13" i="9"/>
  <c r="V94" i="9"/>
  <c r="G89" i="9"/>
  <c r="M83" i="9"/>
  <c r="T77" i="9"/>
  <c r="K71" i="9"/>
  <c r="S65" i="9"/>
  <c r="Z59" i="9"/>
  <c r="I54" i="9"/>
  <c r="H48" i="9"/>
  <c r="V30" i="9"/>
  <c r="F95" i="9"/>
  <c r="W86" i="9"/>
  <c r="R77" i="9"/>
  <c r="S66" i="9"/>
  <c r="V53" i="9"/>
  <c r="V90" i="9"/>
  <c r="S67" i="9"/>
  <c r="O44" i="9"/>
  <c r="V81" i="9"/>
  <c r="U58" i="9"/>
  <c r="S95" i="9"/>
  <c r="L54" i="9"/>
  <c r="W14" i="9"/>
  <c r="W156" i="9"/>
  <c r="O156" i="9"/>
  <c r="G156" i="9"/>
  <c r="I116" i="9"/>
  <c r="L113" i="9"/>
  <c r="O110" i="9"/>
  <c r="S107" i="9"/>
  <c r="V104" i="9"/>
  <c r="R101" i="9"/>
  <c r="H90" i="9"/>
  <c r="M67" i="9"/>
  <c r="Q44" i="9"/>
  <c r="Y144" i="9"/>
  <c r="F142" i="9"/>
  <c r="J139" i="9"/>
  <c r="M136" i="9"/>
  <c r="Q133" i="9"/>
  <c r="U130" i="9"/>
  <c r="W127" i="9"/>
  <c r="AB124" i="9"/>
  <c r="I122" i="9"/>
  <c r="K119" i="9"/>
  <c r="P116" i="9"/>
  <c r="S113" i="9"/>
  <c r="V110" i="9"/>
  <c r="Z107" i="9"/>
  <c r="G105" i="9"/>
  <c r="J102" i="9"/>
  <c r="N99" i="9"/>
  <c r="L78" i="9"/>
  <c r="R55" i="9"/>
  <c r="L146" i="9"/>
  <c r="N143" i="9"/>
  <c r="K140" i="9"/>
  <c r="N137" i="9"/>
  <c r="I134" i="9"/>
  <c r="T130" i="9"/>
  <c r="N127" i="9"/>
  <c r="Y123" i="9"/>
  <c r="T120" i="9"/>
  <c r="P117" i="9"/>
  <c r="L114" i="9"/>
  <c r="L109" i="9"/>
  <c r="L104" i="9"/>
  <c r="G100" i="9"/>
  <c r="V63" i="9"/>
  <c r="O98" i="9"/>
  <c r="N93" i="9"/>
  <c r="P89" i="9"/>
  <c r="P84" i="9"/>
  <c r="X79" i="9"/>
  <c r="R75" i="9"/>
  <c r="K70" i="9"/>
  <c r="N66" i="9"/>
  <c r="N61" i="9"/>
  <c r="V56" i="9"/>
  <c r="P52" i="9"/>
  <c r="O47" i="9"/>
  <c r="I43" i="9"/>
  <c r="V98" i="9"/>
  <c r="AB92" i="9"/>
  <c r="K87" i="9"/>
  <c r="R81" i="9"/>
  <c r="Q75" i="9"/>
  <c r="Q69" i="9"/>
  <c r="W63" i="9"/>
  <c r="I58" i="9"/>
  <c r="O52" i="9"/>
  <c r="S45" i="9"/>
  <c r="P16" i="9"/>
  <c r="R92" i="9"/>
  <c r="AB83" i="9"/>
  <c r="V74" i="9"/>
  <c r="AB62" i="9"/>
  <c r="I45" i="9"/>
  <c r="Q82" i="9"/>
  <c r="G59" i="9"/>
  <c r="V96" i="9"/>
  <c r="J73" i="9"/>
  <c r="H50" i="9"/>
  <c r="N87" i="9"/>
  <c r="V46" i="9"/>
  <c r="V156" i="9"/>
  <c r="N156" i="9"/>
  <c r="F156" i="9"/>
  <c r="U156" i="9"/>
  <c r="M156" i="9"/>
  <c r="E156" i="9"/>
  <c r="I144" i="9"/>
  <c r="M141" i="9"/>
  <c r="Q138" i="9"/>
  <c r="S135" i="9"/>
  <c r="X132" i="9"/>
  <c r="AB129" i="9"/>
  <c r="G127" i="9"/>
  <c r="L124" i="9"/>
  <c r="O121" i="9"/>
  <c r="R118" i="9"/>
  <c r="V115" i="9"/>
  <c r="Y112" i="9"/>
  <c r="F110" i="9"/>
  <c r="J107" i="9"/>
  <c r="M104" i="9"/>
  <c r="Q101" i="9"/>
  <c r="O95" i="9"/>
  <c r="S72" i="9"/>
  <c r="Y49" i="9"/>
  <c r="R145" i="9"/>
  <c r="U142" i="9"/>
  <c r="Q139" i="9"/>
  <c r="L136" i="9"/>
  <c r="H133" i="9"/>
  <c r="Z129" i="9"/>
  <c r="U126" i="9"/>
  <c r="I123" i="9"/>
  <c r="Z119" i="9"/>
  <c r="W116" i="9"/>
  <c r="P112" i="9"/>
  <c r="K108" i="9"/>
  <c r="J103" i="9"/>
  <c r="G95" i="9"/>
  <c r="J55" i="9"/>
  <c r="AB96" i="9"/>
  <c r="U92" i="9"/>
  <c r="T87" i="9"/>
  <c r="V83" i="9"/>
  <c r="V78" i="9"/>
  <c r="I74" i="9"/>
  <c r="R69" i="9"/>
  <c r="R64" i="9"/>
  <c r="U60" i="9"/>
  <c r="T55" i="9"/>
  <c r="F51" i="9"/>
  <c r="U46" i="9"/>
  <c r="H31" i="9"/>
  <c r="F98" i="9"/>
  <c r="L92" i="9"/>
  <c r="Q86" i="9"/>
  <c r="X80" i="9"/>
  <c r="X74" i="9"/>
  <c r="X68" i="9"/>
  <c r="G63" i="9"/>
  <c r="O57" i="9"/>
  <c r="U51" i="9"/>
  <c r="Z44" i="9"/>
  <c r="T98" i="9"/>
  <c r="X91" i="9"/>
  <c r="Z82" i="9"/>
  <c r="T73" i="9"/>
  <c r="K61" i="9"/>
  <c r="Q41" i="9"/>
  <c r="T79" i="9"/>
  <c r="J56" i="9"/>
  <c r="Y93" i="9"/>
  <c r="N70" i="9"/>
  <c r="J47" i="9"/>
  <c r="X83" i="9"/>
  <c r="L27" i="9"/>
  <c r="T156" i="9"/>
  <c r="L156" i="9"/>
  <c r="D156" i="9"/>
  <c r="H121" i="9"/>
  <c r="Z117" i="9"/>
  <c r="G115" i="9"/>
  <c r="J112" i="9"/>
  <c r="N109" i="9"/>
  <c r="R106" i="9"/>
  <c r="T103" i="9"/>
  <c r="I100" i="9"/>
  <c r="Q81" i="9"/>
  <c r="X58" i="9"/>
  <c r="U146" i="9"/>
  <c r="W143" i="9"/>
  <c r="AB140" i="9"/>
  <c r="I138" i="9"/>
  <c r="K135" i="9"/>
  <c r="P132" i="9"/>
  <c r="S129" i="9"/>
  <c r="V126" i="9"/>
  <c r="Z123" i="9"/>
  <c r="G121" i="9"/>
  <c r="J118" i="9"/>
  <c r="N115" i="9"/>
  <c r="Q112" i="9"/>
  <c r="U109" i="9"/>
  <c r="Y106" i="9"/>
  <c r="AB103" i="9"/>
  <c r="I101" i="9"/>
  <c r="S92" i="9"/>
  <c r="X69" i="9"/>
  <c r="AB46" i="9"/>
  <c r="J145" i="9"/>
  <c r="M142" i="9"/>
  <c r="I139" i="9"/>
  <c r="Z135" i="9"/>
  <c r="W132" i="9"/>
  <c r="R129" i="9"/>
  <c r="M126" i="9"/>
  <c r="X122" i="9"/>
  <c r="R119" i="9"/>
  <c r="G116" i="9"/>
  <c r="H112" i="9"/>
  <c r="I107" i="9"/>
  <c r="Y102" i="9"/>
  <c r="N89" i="9"/>
  <c r="N52" i="9"/>
  <c r="K96" i="9"/>
  <c r="M92" i="9"/>
  <c r="L87" i="9"/>
  <c r="U82" i="9"/>
  <c r="N78" i="9"/>
  <c r="O73" i="9"/>
  <c r="J69" i="9"/>
  <c r="J64" i="9"/>
  <c r="S59" i="9"/>
  <c r="L55" i="9"/>
  <c r="M50" i="9"/>
  <c r="M46" i="9"/>
  <c r="L28" i="9"/>
  <c r="T97" i="9"/>
  <c r="Z91" i="9"/>
  <c r="I86" i="9"/>
  <c r="P80" i="9"/>
  <c r="P74" i="9"/>
  <c r="P68" i="9"/>
  <c r="V62" i="9"/>
  <c r="G57" i="9"/>
  <c r="M51" i="9"/>
  <c r="J44" i="9"/>
  <c r="L98" i="9"/>
  <c r="P91" i="9"/>
  <c r="R82" i="9"/>
  <c r="R72" i="9"/>
  <c r="J60" i="9"/>
  <c r="S38" i="9"/>
  <c r="L79" i="9"/>
  <c r="X55" i="9"/>
  <c r="Q93" i="9"/>
  <c r="F70" i="9"/>
  <c r="X46" i="9"/>
  <c r="P83" i="9"/>
  <c r="G24" i="9"/>
  <c r="AB156" i="9"/>
  <c r="S156" i="9"/>
  <c r="K156" i="9"/>
  <c r="R117" i="9"/>
  <c r="V114" i="9"/>
  <c r="X111" i="9"/>
  <c r="F109" i="9"/>
  <c r="J106" i="9"/>
  <c r="L103" i="9"/>
  <c r="W99" i="9"/>
  <c r="T78" i="9"/>
  <c r="Z55" i="9"/>
  <c r="M146" i="9"/>
  <c r="O143" i="9"/>
  <c r="T140" i="9"/>
  <c r="W137" i="9"/>
  <c r="Z134" i="9"/>
  <c r="H132" i="9"/>
  <c r="K129" i="9"/>
  <c r="N126" i="9"/>
  <c r="R123" i="9"/>
  <c r="U120" i="9"/>
  <c r="Y117" i="9"/>
  <c r="F115" i="9"/>
  <c r="I112" i="9"/>
  <c r="M109" i="9"/>
  <c r="Q106" i="9"/>
  <c r="S103" i="9"/>
  <c r="X100" i="9"/>
  <c r="V89" i="9"/>
  <c r="AB66" i="9"/>
  <c r="I44" i="9"/>
  <c r="X144" i="9"/>
  <c r="AB141" i="9"/>
  <c r="X138" i="9"/>
  <c r="R135" i="9"/>
  <c r="O132" i="9"/>
  <c r="J129" i="9"/>
  <c r="AB125" i="9"/>
  <c r="P122" i="9"/>
  <c r="Y118" i="9"/>
  <c r="U115" i="9"/>
  <c r="V111" i="9"/>
  <c r="P106" i="9"/>
  <c r="Q102" i="9"/>
  <c r="P86" i="9"/>
  <c r="W43" i="9"/>
  <c r="Y95" i="9"/>
  <c r="K91" i="9"/>
  <c r="Z86" i="9"/>
  <c r="AB81" i="9"/>
  <c r="F78" i="9"/>
  <c r="G73" i="9"/>
  <c r="I68" i="9"/>
  <c r="X63" i="9"/>
  <c r="Z58" i="9"/>
  <c r="Z54" i="9"/>
  <c r="AB49" i="9"/>
  <c r="L45" i="9"/>
  <c r="O25" i="9"/>
  <c r="X95" i="9"/>
  <c r="I90" i="9"/>
  <c r="O84" i="9"/>
  <c r="U78" i="9"/>
  <c r="T72" i="9"/>
  <c r="U66" i="9"/>
  <c r="AB60" i="9"/>
  <c r="K55" i="9"/>
  <c r="J49" i="9"/>
  <c r="K42" i="9"/>
  <c r="H96" i="9"/>
  <c r="S88" i="9"/>
  <c r="U79" i="9"/>
  <c r="O69" i="9"/>
  <c r="S56" i="9"/>
  <c r="Z93" i="9"/>
  <c r="W70" i="9"/>
  <c r="S47" i="9"/>
  <c r="L85" i="9"/>
  <c r="Y61" i="9"/>
  <c r="Y98" i="9"/>
  <c r="S74" i="9"/>
  <c r="P23" i="9"/>
  <c r="Z156" i="9"/>
  <c r="R156" i="9"/>
  <c r="J156" i="9"/>
  <c r="J117" i="9"/>
  <c r="N114" i="9"/>
  <c r="P111" i="9"/>
  <c r="U108" i="9"/>
  <c r="X105" i="9"/>
  <c r="S102" i="9"/>
  <c r="O99" i="9"/>
  <c r="X75" i="9"/>
  <c r="G53" i="9"/>
  <c r="AB145" i="9"/>
  <c r="G143" i="9"/>
  <c r="L140" i="9"/>
  <c r="O137" i="9"/>
  <c r="R134" i="9"/>
  <c r="V131" i="9"/>
  <c r="Y128" i="9"/>
  <c r="F126" i="9"/>
  <c r="J123" i="9"/>
  <c r="M120" i="9"/>
  <c r="Q117" i="9"/>
  <c r="U114" i="9"/>
  <c r="W111" i="9"/>
  <c r="AB108" i="9"/>
  <c r="I106" i="9"/>
  <c r="K103" i="9"/>
  <c r="P100" i="9"/>
  <c r="X86" i="9"/>
  <c r="H64" i="9"/>
  <c r="L33" i="9"/>
  <c r="P144" i="9"/>
  <c r="T141" i="9"/>
  <c r="P138" i="9"/>
  <c r="J135" i="9"/>
  <c r="G132" i="9"/>
  <c r="X128" i="9"/>
  <c r="T125" i="9"/>
  <c r="V121" i="9"/>
  <c r="Q118" i="9"/>
  <c r="M115" i="9"/>
  <c r="N111" i="9"/>
  <c r="H106" i="9"/>
  <c r="P101" i="9"/>
  <c r="T83" i="9"/>
  <c r="N30" i="9"/>
  <c r="Q95" i="9"/>
  <c r="R90" i="9"/>
  <c r="R86" i="9"/>
  <c r="S81" i="9"/>
  <c r="AB76" i="9"/>
  <c r="U72" i="9"/>
  <c r="O67" i="9"/>
  <c r="P63" i="9"/>
  <c r="R58" i="9"/>
  <c r="Y53" i="9"/>
  <c r="S49" i="9"/>
  <c r="K44" i="9"/>
  <c r="Q22" i="9"/>
  <c r="P95" i="9"/>
  <c r="W89" i="9"/>
  <c r="G84" i="9"/>
  <c r="M78" i="9"/>
  <c r="L72" i="9"/>
  <c r="M66" i="9"/>
  <c r="T60" i="9"/>
  <c r="Y54" i="9"/>
  <c r="X48" i="9"/>
  <c r="M39" i="9"/>
  <c r="V95" i="9"/>
  <c r="K88" i="9"/>
  <c r="S78" i="9"/>
  <c r="G69" i="9"/>
  <c r="Q55" i="9"/>
  <c r="R93" i="9"/>
  <c r="O70" i="9"/>
  <c r="K47" i="9"/>
  <c r="S84" i="9"/>
  <c r="Q61" i="9"/>
  <c r="Q98" i="9"/>
  <c r="K74" i="9"/>
  <c r="AB15" i="9"/>
  <c r="Y156" i="9"/>
  <c r="Q156" i="9"/>
  <c r="Q17" i="9"/>
  <c r="P67" i="9"/>
  <c r="W77" i="9"/>
  <c r="Z89" i="9"/>
  <c r="M29" i="9"/>
  <c r="S52" i="9"/>
  <c r="M64" i="9"/>
  <c r="U75" i="9"/>
  <c r="W87" i="9"/>
  <c r="Q12" i="9"/>
  <c r="I50" i="9"/>
  <c r="R61" i="9"/>
  <c r="K73" i="9"/>
  <c r="AB84" i="9"/>
  <c r="O96" i="9"/>
  <c r="F48" i="9"/>
  <c r="AB56" i="9"/>
  <c r="M63" i="9"/>
  <c r="W69" i="9"/>
  <c r="G75" i="9"/>
  <c r="F80" i="9"/>
  <c r="M84" i="9"/>
  <c r="M89" i="9"/>
  <c r="Z92" i="9"/>
  <c r="X96" i="9"/>
  <c r="M19" i="9"/>
  <c r="W42" i="9"/>
  <c r="L46" i="9"/>
  <c r="R49" i="9"/>
  <c r="W52" i="9"/>
  <c r="S55" i="9"/>
  <c r="Q58" i="9"/>
  <c r="M61" i="9"/>
  <c r="I64" i="9"/>
  <c r="F67" i="9"/>
  <c r="Y69" i="9"/>
  <c r="F73" i="9"/>
  <c r="Y75" i="9"/>
  <c r="G79" i="9"/>
  <c r="Z81" i="9"/>
  <c r="W84" i="9"/>
  <c r="S87" i="9"/>
  <c r="Q90" i="9"/>
  <c r="M93" i="9"/>
  <c r="J96" i="9"/>
  <c r="G99" i="9"/>
  <c r="F34" i="9"/>
  <c r="S44" i="9"/>
  <c r="W47" i="9"/>
  <c r="U50" i="9"/>
  <c r="Q53" i="9"/>
  <c r="N56" i="9"/>
  <c r="K59" i="9"/>
  <c r="G62" i="9"/>
  <c r="Z64" i="9"/>
  <c r="W67" i="9"/>
  <c r="S70" i="9"/>
  <c r="W73" i="9"/>
  <c r="T76" i="9"/>
  <c r="P79" i="9"/>
  <c r="M82" i="9"/>
  <c r="I85" i="9"/>
  <c r="F88" i="9"/>
  <c r="Z90" i="9"/>
  <c r="V93" i="9"/>
  <c r="S96" i="9"/>
  <c r="T66" i="9"/>
  <c r="K92" i="9"/>
  <c r="H101" i="9"/>
  <c r="Z103" i="9"/>
  <c r="X106" i="9"/>
  <c r="AB109" i="9"/>
  <c r="X112" i="9"/>
  <c r="F25" i="9"/>
  <c r="T70" i="9"/>
  <c r="H78" i="9"/>
  <c r="L90" i="9"/>
  <c r="J32" i="9"/>
  <c r="L53" i="9"/>
  <c r="U64" i="9"/>
  <c r="G76" i="9"/>
  <c r="I88" i="9"/>
  <c r="N15" i="9"/>
  <c r="Q50" i="9"/>
  <c r="Z61" i="9"/>
  <c r="S73" i="9"/>
  <c r="M85" i="9"/>
  <c r="W96" i="9"/>
  <c r="N48" i="9"/>
  <c r="O58" i="9"/>
  <c r="O64" i="9"/>
  <c r="X70" i="9"/>
  <c r="O75" i="9"/>
  <c r="V80" i="9"/>
  <c r="N85" i="9"/>
  <c r="U89" i="9"/>
  <c r="S93" i="9"/>
  <c r="J97" i="9"/>
  <c r="I22" i="9"/>
  <c r="H43" i="9"/>
  <c r="T46" i="9"/>
  <c r="Z49" i="9"/>
  <c r="H53" i="9"/>
  <c r="AB55" i="9"/>
  <c r="Y58" i="9"/>
  <c r="U61" i="9"/>
  <c r="Q64" i="9"/>
  <c r="N67" i="9"/>
  <c r="J70" i="9"/>
  <c r="N73" i="9"/>
  <c r="K76" i="9"/>
  <c r="O79" i="9"/>
  <c r="L82" i="9"/>
  <c r="H85" i="9"/>
  <c r="AB87" i="9"/>
  <c r="Y90" i="9"/>
  <c r="U93" i="9"/>
  <c r="R96" i="9"/>
  <c r="AB148" i="9"/>
  <c r="N29" i="9"/>
  <c r="L91" i="9"/>
  <c r="S80" i="9"/>
  <c r="W92" i="9"/>
  <c r="F44" i="9"/>
  <c r="W55" i="9"/>
  <c r="J67" i="9"/>
  <c r="Q78" i="9"/>
  <c r="U90" i="9"/>
  <c r="O35" i="9"/>
  <c r="AB52" i="9"/>
  <c r="V64" i="9"/>
  <c r="H76" i="9"/>
  <c r="X87" i="9"/>
  <c r="V15" i="9"/>
  <c r="Z50" i="9"/>
  <c r="P59" i="9"/>
  <c r="Q65" i="9"/>
  <c r="Y71" i="9"/>
  <c r="Q76" i="9"/>
  <c r="H81" i="9"/>
  <c r="V85" i="9"/>
  <c r="G90" i="9"/>
  <c r="L94" i="9"/>
  <c r="R97" i="9"/>
  <c r="G25" i="9"/>
  <c r="P43" i="9"/>
  <c r="F47" i="9"/>
  <c r="L50" i="9"/>
  <c r="P53" i="9"/>
  <c r="M56" i="9"/>
  <c r="J59" i="9"/>
  <c r="F62" i="9"/>
  <c r="Y64" i="9"/>
  <c r="V67" i="9"/>
  <c r="R70" i="9"/>
  <c r="V73" i="9"/>
  <c r="S76" i="9"/>
  <c r="W79" i="9"/>
  <c r="T82" i="9"/>
  <c r="P85" i="9"/>
  <c r="M88" i="9"/>
  <c r="J91" i="9"/>
  <c r="F94" i="9"/>
  <c r="Z96" i="9"/>
  <c r="X16" i="9"/>
  <c r="P42" i="9"/>
  <c r="T45" i="9"/>
  <c r="Q48" i="9"/>
  <c r="N51" i="9"/>
  <c r="J54" i="9"/>
  <c r="H57" i="9"/>
  <c r="AB59" i="9"/>
  <c r="W62" i="9"/>
  <c r="T65" i="9"/>
  <c r="Q68" i="9"/>
  <c r="T71" i="9"/>
  <c r="Q74" i="9"/>
  <c r="M77" i="9"/>
  <c r="I80" i="9"/>
  <c r="F83" i="9"/>
  <c r="Y85" i="9"/>
  <c r="V88" i="9"/>
  <c r="S91" i="9"/>
  <c r="O94" i="9"/>
  <c r="M97" i="9"/>
  <c r="S46" i="9"/>
  <c r="K72" i="9"/>
  <c r="AB97" i="9"/>
  <c r="X101" i="9"/>
  <c r="T104" i="9"/>
  <c r="Q107" i="9"/>
  <c r="U110" i="9"/>
  <c r="R113" i="9"/>
  <c r="O116" i="9"/>
  <c r="J119" i="9"/>
  <c r="H122" i="9"/>
  <c r="L125" i="9"/>
  <c r="H128" i="9"/>
  <c r="AB130" i="9"/>
  <c r="X133" i="9"/>
  <c r="T136" i="9"/>
  <c r="D149" i="9"/>
  <c r="S32" i="9"/>
  <c r="H94" i="9"/>
  <c r="AB80" i="9"/>
  <c r="H93" i="9"/>
  <c r="N44" i="9"/>
  <c r="I56" i="9"/>
  <c r="R67" i="9"/>
  <c r="Y78" i="9"/>
  <c r="F91" i="9"/>
  <c r="K38" i="9"/>
  <c r="M53" i="9"/>
  <c r="H65" i="9"/>
  <c r="P76" i="9"/>
  <c r="J88" i="9"/>
  <c r="T18" i="9"/>
  <c r="K51" i="9"/>
  <c r="X59" i="9"/>
  <c r="K66" i="9"/>
  <c r="J72" i="9"/>
  <c r="Y76" i="9"/>
  <c r="P81" i="9"/>
  <c r="O86" i="9"/>
  <c r="H91" i="9"/>
  <c r="T94" i="9"/>
  <c r="Z97" i="9"/>
  <c r="Z27" i="9"/>
  <c r="X43" i="9"/>
  <c r="N47" i="9"/>
  <c r="AB50" i="9"/>
  <c r="X53" i="9"/>
  <c r="U56" i="9"/>
  <c r="R59" i="9"/>
  <c r="N62" i="9"/>
  <c r="K65" i="9"/>
  <c r="H68" i="9"/>
  <c r="Z70" i="9"/>
  <c r="H74" i="9"/>
  <c r="L77" i="9"/>
  <c r="H80" i="9"/>
  <c r="AB82" i="9"/>
  <c r="X85" i="9"/>
  <c r="U88" i="9"/>
  <c r="R91" i="9"/>
  <c r="N94" i="9"/>
  <c r="L97" i="9"/>
  <c r="X42" i="9"/>
  <c r="AB45" i="9"/>
  <c r="Y48" i="9"/>
  <c r="V51" i="9"/>
  <c r="R54" i="9"/>
  <c r="P57" i="9"/>
  <c r="M60" i="9"/>
  <c r="H63" i="9"/>
  <c r="F66" i="9"/>
  <c r="Y68" i="9"/>
  <c r="AB71" i="9"/>
  <c r="Y74" i="9"/>
  <c r="U77" i="9"/>
  <c r="Q80" i="9"/>
  <c r="N83" i="9"/>
  <c r="J86" i="9"/>
  <c r="H89" i="9"/>
  <c r="AB91" i="9"/>
  <c r="W94" i="9"/>
  <c r="U97" i="9"/>
  <c r="Q49" i="9"/>
  <c r="H75" i="9"/>
  <c r="M99" i="9"/>
  <c r="I102" i="9"/>
  <c r="F105" i="9"/>
  <c r="Y107" i="9"/>
  <c r="F111" i="9"/>
  <c r="Z113" i="9"/>
  <c r="H155" i="9"/>
  <c r="P155" i="9"/>
  <c r="X155" i="9"/>
  <c r="O154" i="9"/>
  <c r="K149" i="9"/>
  <c r="L150" i="9"/>
  <c r="E150" i="9"/>
  <c r="O147" i="9"/>
  <c r="R149" i="9"/>
  <c r="O151" i="9"/>
  <c r="X150" i="9"/>
  <c r="Q151" i="9"/>
  <c r="Y15" i="9"/>
  <c r="V23" i="9"/>
  <c r="AB31" i="9"/>
  <c r="P39" i="9"/>
  <c r="T16" i="9"/>
  <c r="K25" i="9"/>
  <c r="N32" i="9"/>
  <c r="Y39" i="9"/>
  <c r="O17" i="9"/>
  <c r="R24" i="9"/>
  <c r="G32" i="9"/>
  <c r="T40" i="9"/>
  <c r="P17" i="9"/>
  <c r="AB24" i="9"/>
  <c r="R33" i="9"/>
  <c r="U40" i="9"/>
  <c r="Y17" i="9"/>
  <c r="P26" i="9"/>
  <c r="AB33" i="9"/>
  <c r="P41" i="9"/>
  <c r="Q16" i="9"/>
  <c r="H20" i="9"/>
  <c r="L23" i="9"/>
  <c r="R26" i="9"/>
  <c r="V29" i="9"/>
  <c r="M33" i="9"/>
  <c r="R36" i="9"/>
  <c r="H40" i="9"/>
  <c r="S12" i="9"/>
  <c r="X15" i="9"/>
  <c r="V18" i="9"/>
  <c r="R21" i="9"/>
  <c r="O24" i="9"/>
  <c r="T27" i="9"/>
  <c r="P30" i="9"/>
  <c r="N33" i="9"/>
  <c r="K36" i="9"/>
  <c r="O39" i="9"/>
  <c r="M42" i="9"/>
  <c r="N34" i="9"/>
  <c r="L44" i="9"/>
  <c r="H47" i="9"/>
  <c r="F50" i="9"/>
  <c r="Y52" i="9"/>
  <c r="U55" i="9"/>
  <c r="S58" i="9"/>
  <c r="W61" i="9"/>
  <c r="S64" i="9"/>
  <c r="X67" i="9"/>
  <c r="AB70" i="9"/>
  <c r="X73" i="9"/>
  <c r="U76" i="9"/>
  <c r="Q79" i="9"/>
  <c r="N82" i="9"/>
  <c r="R85" i="9"/>
  <c r="O88" i="9"/>
  <c r="T91" i="9"/>
  <c r="P94" i="9"/>
  <c r="N97" i="9"/>
  <c r="K23" i="9"/>
  <c r="Z42" i="9"/>
  <c r="V45" i="9"/>
  <c r="S48" i="9"/>
  <c r="P51" i="9"/>
  <c r="T54" i="9"/>
  <c r="R57" i="9"/>
  <c r="O60" i="9"/>
  <c r="J63" i="9"/>
  <c r="H66" i="9"/>
  <c r="L69" i="9"/>
  <c r="G72" i="9"/>
  <c r="I155" i="9"/>
  <c r="Q155" i="9"/>
  <c r="Y155" i="9"/>
  <c r="P154" i="9"/>
  <c r="K150" i="9"/>
  <c r="T150" i="9"/>
  <c r="M151" i="9"/>
  <c r="N148" i="9"/>
  <c r="Z149" i="9"/>
  <c r="V152" i="9"/>
  <c r="X151" i="9"/>
  <c r="Y151" i="9"/>
  <c r="M17" i="9"/>
  <c r="X24" i="9"/>
  <c r="M32" i="9"/>
  <c r="Z40" i="9"/>
  <c r="V17" i="9"/>
  <c r="S25" i="9"/>
  <c r="X33" i="9"/>
  <c r="AB40" i="9"/>
  <c r="W17" i="9"/>
  <c r="F26" i="9"/>
  <c r="I33" i="9"/>
  <c r="F41" i="9"/>
  <c r="Z18" i="9"/>
  <c r="G26" i="9"/>
  <c r="Z33" i="9"/>
  <c r="I42" i="9"/>
  <c r="L19" i="9"/>
  <c r="X26" i="9"/>
  <c r="N35" i="9"/>
  <c r="J12" i="9"/>
  <c r="Y16" i="9"/>
  <c r="P20" i="9"/>
  <c r="T23" i="9"/>
  <c r="Z26" i="9"/>
  <c r="O30" i="9"/>
  <c r="U33" i="9"/>
  <c r="K37" i="9"/>
  <c r="P40" i="9"/>
  <c r="L13" i="9"/>
  <c r="J16" i="9"/>
  <c r="G19" i="9"/>
  <c r="Z21" i="9"/>
  <c r="W24" i="9"/>
  <c r="F28" i="9"/>
  <c r="X30" i="9"/>
  <c r="V33" i="9"/>
  <c r="S36" i="9"/>
  <c r="W39" i="9"/>
  <c r="L14" i="9"/>
  <c r="J37" i="9"/>
  <c r="T44" i="9"/>
  <c r="P47" i="9"/>
  <c r="N50" i="9"/>
  <c r="J53" i="9"/>
  <c r="G56" i="9"/>
  <c r="L59" i="9"/>
  <c r="H62" i="9"/>
  <c r="M65" i="9"/>
  <c r="J68" i="9"/>
  <c r="M71" i="9"/>
  <c r="J74" i="9"/>
  <c r="F77" i="9"/>
  <c r="Y79" i="9"/>
  <c r="V82" i="9"/>
  <c r="Z85" i="9"/>
  <c r="W88" i="9"/>
  <c r="F92" i="9"/>
  <c r="X94" i="9"/>
  <c r="V97" i="9"/>
  <c r="I26" i="9"/>
  <c r="K43" i="9"/>
  <c r="G46" i="9"/>
  <c r="AB48" i="9"/>
  <c r="X51" i="9"/>
  <c r="F55" i="9"/>
  <c r="Z57" i="9"/>
  <c r="W60" i="9"/>
  <c r="R63" i="9"/>
  <c r="P66" i="9"/>
  <c r="T69" i="9"/>
  <c r="O72" i="9"/>
  <c r="J155" i="9"/>
  <c r="R155" i="9"/>
  <c r="Z155" i="9"/>
  <c r="X154" i="9"/>
  <c r="S151" i="9"/>
  <c r="T151" i="9"/>
  <c r="U151" i="9"/>
  <c r="V149" i="9"/>
  <c r="Z151" i="9"/>
  <c r="F153" i="9"/>
  <c r="G153" i="9"/>
  <c r="X152" i="9"/>
  <c r="U17" i="9"/>
  <c r="L26" i="9"/>
  <c r="O33" i="9"/>
  <c r="L41" i="9"/>
  <c r="I19" i="9"/>
  <c r="U26" i="9"/>
  <c r="J34" i="9"/>
  <c r="O42" i="9"/>
  <c r="Y18" i="9"/>
  <c r="N26" i="9"/>
  <c r="S34" i="9"/>
  <c r="H42" i="9"/>
  <c r="K19" i="9"/>
  <c r="P27" i="9"/>
  <c r="AB34" i="9"/>
  <c r="H12" i="9"/>
  <c r="V20" i="9"/>
  <c r="Y27" i="9"/>
  <c r="V35" i="9"/>
  <c r="R12" i="9"/>
  <c r="K17" i="9"/>
  <c r="X20" i="9"/>
  <c r="F24" i="9"/>
  <c r="S27" i="9"/>
  <c r="W30" i="9"/>
  <c r="G34" i="9"/>
  <c r="S37" i="9"/>
  <c r="X40" i="9"/>
  <c r="T13" i="9"/>
  <c r="R16" i="9"/>
  <c r="O19" i="9"/>
  <c r="K22" i="9"/>
  <c r="I25" i="9"/>
  <c r="N28" i="9"/>
  <c r="J31" i="9"/>
  <c r="H34" i="9"/>
  <c r="L37" i="9"/>
  <c r="I40" i="9"/>
  <c r="J17" i="9"/>
  <c r="G40" i="9"/>
  <c r="AB44" i="9"/>
  <c r="X47" i="9"/>
  <c r="V50" i="9"/>
  <c r="R53" i="9"/>
  <c r="O56" i="9"/>
  <c r="T59" i="9"/>
  <c r="P62" i="9"/>
  <c r="U65" i="9"/>
  <c r="R68" i="9"/>
  <c r="U71" i="9"/>
  <c r="R74" i="9"/>
  <c r="N77" i="9"/>
  <c r="J80" i="9"/>
  <c r="G83" i="9"/>
  <c r="K86" i="9"/>
  <c r="I89" i="9"/>
  <c r="N92" i="9"/>
  <c r="J95" i="9"/>
  <c r="H98" i="9"/>
  <c r="AB28" i="9"/>
  <c r="S43" i="9"/>
  <c r="O46" i="9"/>
  <c r="M49" i="9"/>
  <c r="J52" i="9"/>
  <c r="N55" i="9"/>
  <c r="L58" i="9"/>
  <c r="H61" i="9"/>
  <c r="Z63" i="9"/>
  <c r="X66" i="9"/>
  <c r="AB69" i="9"/>
  <c r="W72" i="9"/>
  <c r="F76" i="9"/>
  <c r="K155" i="9"/>
  <c r="S155" i="9"/>
  <c r="AB155" i="9"/>
  <c r="D154" i="9"/>
  <c r="Y154" i="9"/>
  <c r="J152" i="9"/>
  <c r="AB152" i="9"/>
  <c r="T152" i="9"/>
  <c r="F150" i="9"/>
  <c r="P147" i="9"/>
  <c r="J150" i="9"/>
  <c r="O153" i="9"/>
  <c r="I153" i="9"/>
  <c r="W18" i="9"/>
  <c r="T26" i="9"/>
  <c r="Y34" i="9"/>
  <c r="N42" i="9"/>
  <c r="Q19" i="9"/>
  <c r="H28" i="9"/>
  <c r="K35" i="9"/>
  <c r="F12" i="9"/>
  <c r="L20" i="9"/>
  <c r="O27" i="9"/>
  <c r="L35" i="9"/>
  <c r="H13" i="9"/>
  <c r="M20" i="9"/>
  <c r="X27" i="9"/>
  <c r="O36" i="9"/>
  <c r="I13" i="9"/>
  <c r="G21" i="9"/>
  <c r="T29" i="9"/>
  <c r="X36" i="9"/>
  <c r="S13" i="9"/>
  <c r="AB17" i="9"/>
  <c r="I21" i="9"/>
  <c r="V24" i="9"/>
  <c r="AB27" i="9"/>
  <c r="I31" i="9"/>
  <c r="O34" i="9"/>
  <c r="L38" i="9"/>
  <c r="J41" i="9"/>
  <c r="F14" i="9"/>
  <c r="Z16" i="9"/>
  <c r="W19" i="9"/>
  <c r="S22" i="9"/>
  <c r="Q25" i="9"/>
  <c r="V28" i="9"/>
  <c r="R31" i="9"/>
  <c r="P34" i="9"/>
  <c r="T37" i="9"/>
  <c r="Q40" i="9"/>
  <c r="G20" i="9"/>
  <c r="Q42" i="9"/>
  <c r="M45" i="9"/>
  <c r="J48" i="9"/>
  <c r="G51" i="9"/>
  <c r="Z53" i="9"/>
  <c r="W56" i="9"/>
  <c r="F60" i="9"/>
  <c r="X62" i="9"/>
  <c r="G66" i="9"/>
  <c r="Z68" i="9"/>
  <c r="F72" i="9"/>
  <c r="Z74" i="9"/>
  <c r="V77" i="9"/>
  <c r="R80" i="9"/>
  <c r="O83" i="9"/>
  <c r="S86" i="9"/>
  <c r="Q89" i="9"/>
  <c r="V92" i="9"/>
  <c r="R95" i="9"/>
  <c r="P98" i="9"/>
  <c r="X31" i="9"/>
  <c r="AB43" i="9"/>
  <c r="W46" i="9"/>
  <c r="U49" i="9"/>
  <c r="R52" i="9"/>
  <c r="V55" i="9"/>
  <c r="T58" i="9"/>
  <c r="P61" i="9"/>
  <c r="L64" i="9"/>
  <c r="I67" i="9"/>
  <c r="M70" i="9"/>
  <c r="I73" i="9"/>
  <c r="D155" i="9"/>
  <c r="L155" i="9"/>
  <c r="T155" i="9"/>
  <c r="L154" i="9"/>
  <c r="J153" i="9"/>
  <c r="K153" i="9"/>
  <c r="AB153" i="9"/>
  <c r="F151" i="9"/>
  <c r="X147" i="9"/>
  <c r="Y147" i="9"/>
  <c r="R147" i="9"/>
  <c r="C11" i="9"/>
  <c r="J20" i="9"/>
  <c r="U27" i="9"/>
  <c r="J35" i="9"/>
  <c r="N13" i="9"/>
  <c r="S20" i="9"/>
  <c r="P28" i="9"/>
  <c r="U36" i="9"/>
  <c r="G13" i="9"/>
  <c r="T20" i="9"/>
  <c r="Y28" i="9"/>
  <c r="N36" i="9"/>
  <c r="P13" i="9"/>
  <c r="V21" i="9"/>
  <c r="Z28" i="9"/>
  <c r="W36" i="9"/>
  <c r="S14" i="9"/>
  <c r="H22" i="9"/>
  <c r="AB29" i="9"/>
  <c r="J38" i="9"/>
  <c r="AB13" i="9"/>
  <c r="M18" i="9"/>
  <c r="Y21" i="9"/>
  <c r="H25" i="9"/>
  <c r="M28" i="9"/>
  <c r="Q31" i="9"/>
  <c r="W34" i="9"/>
  <c r="T38" i="9"/>
  <c r="R41" i="9"/>
  <c r="N14" i="9"/>
  <c r="L17" i="9"/>
  <c r="I20" i="9"/>
  <c r="AB22" i="9"/>
  <c r="Y25" i="9"/>
  <c r="G29" i="9"/>
  <c r="Z31" i="9"/>
  <c r="X34" i="9"/>
  <c r="AB37" i="9"/>
  <c r="Y40" i="9"/>
  <c r="Y22" i="9"/>
  <c r="Y42" i="9"/>
  <c r="U45" i="9"/>
  <c r="R48" i="9"/>
  <c r="O51" i="9"/>
  <c r="K54" i="9"/>
  <c r="I57" i="9"/>
  <c r="N60" i="9"/>
  <c r="I63" i="9"/>
  <c r="O66" i="9"/>
  <c r="K69" i="9"/>
  <c r="N72" i="9"/>
  <c r="K75" i="9"/>
  <c r="G78" i="9"/>
  <c r="Z80" i="9"/>
  <c r="W83" i="9"/>
  <c r="AB86" i="9"/>
  <c r="Y89" i="9"/>
  <c r="G93" i="9"/>
  <c r="Z95" i="9"/>
  <c r="X98" i="9"/>
  <c r="V34" i="9"/>
  <c r="M44" i="9"/>
  <c r="I47" i="9"/>
  <c r="G50" i="9"/>
  <c r="Z52" i="9"/>
  <c r="H56" i="9"/>
  <c r="AB58" i="9"/>
  <c r="X61" i="9"/>
  <c r="T64" i="9"/>
  <c r="Q67" i="9"/>
  <c r="U70" i="9"/>
  <c r="Q73" i="9"/>
  <c r="E155" i="9"/>
  <c r="M155" i="9"/>
  <c r="U155" i="9"/>
  <c r="Z100" i="9"/>
  <c r="M154" i="9"/>
  <c r="U147" i="9"/>
  <c r="N147" i="9"/>
  <c r="S147" i="9"/>
  <c r="M152" i="9"/>
  <c r="W148" i="9"/>
  <c r="H148" i="9"/>
  <c r="Y148" i="9"/>
  <c r="AB12" i="9"/>
  <c r="R20" i="9"/>
  <c r="H29" i="9"/>
  <c r="L36" i="9"/>
  <c r="V13" i="9"/>
  <c r="M22" i="9"/>
  <c r="Q29" i="9"/>
  <c r="F37" i="9"/>
  <c r="Q14" i="9"/>
  <c r="U21" i="9"/>
  <c r="J29" i="9"/>
  <c r="W37" i="9"/>
  <c r="R14" i="9"/>
  <c r="G22" i="9"/>
  <c r="T30" i="9"/>
  <c r="X37" i="9"/>
  <c r="AB14" i="9"/>
  <c r="R23" i="9"/>
  <c r="G31" i="9"/>
  <c r="R38" i="9"/>
  <c r="G15" i="9"/>
  <c r="F19" i="9"/>
  <c r="J22" i="9"/>
  <c r="P25" i="9"/>
  <c r="U28" i="9"/>
  <c r="Y31" i="9"/>
  <c r="H35" i="9"/>
  <c r="F39" i="9"/>
  <c r="Z41" i="9"/>
  <c r="V14" i="9"/>
  <c r="T17" i="9"/>
  <c r="Q20" i="9"/>
  <c r="M23" i="9"/>
  <c r="K26" i="9"/>
  <c r="O29" i="9"/>
  <c r="L32" i="9"/>
  <c r="I35" i="9"/>
  <c r="M38" i="9"/>
  <c r="K41" i="9"/>
  <c r="W25" i="9"/>
  <c r="J43" i="9"/>
  <c r="F46" i="9"/>
  <c r="Z48" i="9"/>
  <c r="W51" i="9"/>
  <c r="S54" i="9"/>
  <c r="Q57" i="9"/>
  <c r="V60" i="9"/>
  <c r="Q63" i="9"/>
  <c r="W66" i="9"/>
  <c r="S69" i="9"/>
  <c r="V72" i="9"/>
  <c r="S75" i="9"/>
  <c r="O78" i="9"/>
  <c r="L81" i="9"/>
  <c r="I84" i="9"/>
  <c r="M87" i="9"/>
  <c r="K90" i="9"/>
  <c r="O93" i="9"/>
  <c r="L96" i="9"/>
  <c r="T14" i="9"/>
  <c r="R37" i="9"/>
  <c r="U44" i="9"/>
  <c r="Q47" i="9"/>
  <c r="O50" i="9"/>
  <c r="K53" i="9"/>
  <c r="P56" i="9"/>
  <c r="M59" i="9"/>
  <c r="I62" i="9"/>
  <c r="F65" i="9"/>
  <c r="Y67" i="9"/>
  <c r="F71" i="9"/>
  <c r="Z36" i="9"/>
  <c r="F155" i="9"/>
  <c r="N155" i="9"/>
  <c r="V155" i="9"/>
  <c r="Z77" i="9"/>
  <c r="N154" i="9"/>
  <c r="T147" i="9"/>
  <c r="D148" i="9"/>
  <c r="U148" i="9"/>
  <c r="R150" i="9"/>
  <c r="U152" i="9"/>
  <c r="G150" i="9"/>
  <c r="H149" i="9"/>
  <c r="I149" i="9"/>
  <c r="O14" i="9"/>
  <c r="S21" i="9"/>
  <c r="P29" i="9"/>
  <c r="F38" i="9"/>
  <c r="X14" i="9"/>
  <c r="U22" i="9"/>
  <c r="Z30" i="9"/>
  <c r="G38" i="9"/>
  <c r="Y14" i="9"/>
  <c r="H23" i="9"/>
  <c r="K30" i="9"/>
  <c r="H38" i="9"/>
  <c r="F16" i="9"/>
  <c r="I23" i="9"/>
  <c r="F31" i="9"/>
  <c r="K39" i="9"/>
  <c r="G16" i="9"/>
  <c r="Z23" i="9"/>
  <c r="Q32" i="9"/>
  <c r="T39" i="9"/>
  <c r="O15" i="9"/>
  <c r="N19" i="9"/>
  <c r="R22" i="9"/>
  <c r="X25" i="9"/>
  <c r="F29" i="9"/>
  <c r="K32" i="9"/>
  <c r="P35" i="9"/>
  <c r="N39" i="9"/>
  <c r="L42" i="9"/>
  <c r="H15" i="9"/>
  <c r="F18" i="9"/>
  <c r="Y20" i="9"/>
  <c r="U23" i="9"/>
  <c r="S26" i="9"/>
  <c r="W29" i="9"/>
  <c r="T32" i="9"/>
  <c r="Q35" i="9"/>
  <c r="U38" i="9"/>
  <c r="S41" i="9"/>
  <c r="T28" i="9"/>
  <c r="R43" i="9"/>
  <c r="N46" i="9"/>
  <c r="L49" i="9"/>
  <c r="I52" i="9"/>
  <c r="AB54" i="9"/>
  <c r="Y57" i="9"/>
  <c r="G61" i="9"/>
  <c r="Y63" i="9"/>
  <c r="H67" i="9"/>
  <c r="L70" i="9"/>
  <c r="H73" i="9"/>
  <c r="AB75" i="9"/>
  <c r="W78" i="9"/>
  <c r="T81" i="9"/>
  <c r="Q84" i="9"/>
  <c r="U87" i="9"/>
  <c r="S90" i="9"/>
  <c r="W93" i="9"/>
  <c r="T96" i="9"/>
  <c r="R17" i="9"/>
  <c r="O40" i="9"/>
  <c r="F45" i="9"/>
  <c r="Y47" i="9"/>
  <c r="W50" i="9"/>
  <c r="S53" i="9"/>
  <c r="X56" i="9"/>
  <c r="U59" i="9"/>
  <c r="Q62" i="9"/>
  <c r="N65" i="9"/>
  <c r="K68" i="9"/>
  <c r="N71" i="9"/>
  <c r="AB88" i="9"/>
  <c r="G86" i="9"/>
  <c r="K83" i="9"/>
  <c r="N80" i="9"/>
  <c r="J77" i="9"/>
  <c r="N74" i="9"/>
  <c r="Q71" i="9"/>
  <c r="V68" i="9"/>
  <c r="I65" i="9"/>
  <c r="L62" i="9"/>
  <c r="H59" i="9"/>
  <c r="K56" i="9"/>
  <c r="N53" i="9"/>
  <c r="R50" i="9"/>
  <c r="T47" i="9"/>
  <c r="P44" i="9"/>
  <c r="W35" i="9"/>
  <c r="Y12" i="9"/>
  <c r="G96" i="9"/>
  <c r="J93" i="9"/>
  <c r="N90" i="9"/>
  <c r="P87" i="9"/>
  <c r="T84" i="9"/>
  <c r="W81" i="9"/>
  <c r="Z78" i="9"/>
  <c r="V75" i="9"/>
  <c r="Y72" i="9"/>
  <c r="G70" i="9"/>
  <c r="K67" i="9"/>
  <c r="N64" i="9"/>
  <c r="J61" i="9"/>
  <c r="N58" i="9"/>
  <c r="P55" i="9"/>
  <c r="T52" i="9"/>
  <c r="W49" i="9"/>
  <c r="Y46" i="9"/>
  <c r="G44" i="9"/>
  <c r="R32" i="9"/>
  <c r="Z98" i="9"/>
  <c r="F96" i="9"/>
  <c r="I93" i="9"/>
  <c r="M90" i="9"/>
  <c r="O87" i="9"/>
  <c r="K84" i="9"/>
  <c r="N81" i="9"/>
  <c r="I78" i="9"/>
  <c r="M75" i="9"/>
  <c r="P72" i="9"/>
  <c r="U69" i="9"/>
  <c r="Y66" i="9"/>
  <c r="AB63" i="9"/>
  <c r="I61" i="9"/>
  <c r="M58" i="9"/>
  <c r="O55" i="9"/>
  <c r="K52" i="9"/>
  <c r="N49" i="9"/>
  <c r="P46" i="9"/>
  <c r="T43" i="9"/>
  <c r="Q26" i="9"/>
  <c r="I98" i="9"/>
  <c r="K95" i="9"/>
  <c r="O92" i="9"/>
  <c r="R89" i="9"/>
  <c r="T86" i="9"/>
  <c r="H83" i="9"/>
  <c r="K80" i="9"/>
  <c r="O77" i="9"/>
  <c r="Y73" i="9"/>
  <c r="H51" i="9"/>
  <c r="G88" i="9"/>
  <c r="K64" i="9"/>
  <c r="P31" i="9"/>
  <c r="J21" i="9"/>
  <c r="J26" i="9"/>
  <c r="S39" i="9"/>
  <c r="Q39" i="9"/>
  <c r="I150" i="9"/>
  <c r="W155" i="9"/>
  <c r="I71" i="9"/>
  <c r="N68" i="9"/>
  <c r="W64" i="9"/>
  <c r="S61" i="9"/>
  <c r="W58" i="9"/>
  <c r="Y55" i="9"/>
  <c r="F53" i="9"/>
  <c r="J50" i="9"/>
  <c r="L47" i="9"/>
  <c r="H44" i="9"/>
  <c r="Z32" i="9"/>
  <c r="S98" i="9"/>
  <c r="U95" i="9"/>
  <c r="Y92" i="9"/>
  <c r="F90" i="9"/>
  <c r="H87" i="9"/>
  <c r="L84" i="9"/>
  <c r="O81" i="9"/>
  <c r="R78" i="9"/>
  <c r="N75" i="9"/>
  <c r="Q72" i="9"/>
  <c r="V69" i="9"/>
  <c r="Z66" i="9"/>
  <c r="F64" i="9"/>
  <c r="Y60" i="9"/>
  <c r="F58" i="9"/>
  <c r="H55" i="9"/>
  <c r="L52" i="9"/>
  <c r="O49" i="9"/>
  <c r="Q46" i="9"/>
  <c r="U43" i="9"/>
  <c r="U29" i="9"/>
  <c r="R98" i="9"/>
  <c r="T95" i="9"/>
  <c r="X92" i="9"/>
  <c r="AB89" i="9"/>
  <c r="G87" i="9"/>
  <c r="Y83" i="9"/>
  <c r="F81" i="9"/>
  <c r="X77" i="9"/>
  <c r="AB74" i="9"/>
  <c r="H72" i="9"/>
  <c r="M69" i="9"/>
  <c r="Q66" i="9"/>
  <c r="S63" i="9"/>
  <c r="X60" i="9"/>
  <c r="AB57" i="9"/>
  <c r="G55" i="9"/>
  <c r="Y51" i="9"/>
  <c r="F49" i="9"/>
  <c r="H46" i="9"/>
  <c r="L43" i="9"/>
  <c r="S23" i="9"/>
  <c r="W97" i="9"/>
  <c r="Y94" i="9"/>
  <c r="G92" i="9"/>
  <c r="J89" i="9"/>
  <c r="L86" i="9"/>
  <c r="W82" i="9"/>
  <c r="Z79" i="9"/>
  <c r="G77" i="9"/>
  <c r="V71" i="9"/>
  <c r="K48" i="9"/>
  <c r="J85" i="9"/>
  <c r="O61" i="9"/>
  <c r="AB41" i="9"/>
  <c r="N18" i="9"/>
  <c r="Z22" i="9"/>
  <c r="H32" i="9"/>
  <c r="L31" i="9"/>
  <c r="P150" i="9"/>
  <c r="O155" i="9"/>
  <c r="U52" i="9"/>
  <c r="X49" i="9"/>
  <c r="R46" i="9"/>
  <c r="V43" i="9"/>
  <c r="F30" i="9"/>
  <c r="K98" i="9"/>
  <c r="M95" i="9"/>
  <c r="Q92" i="9"/>
  <c r="T89" i="9"/>
  <c r="V86" i="9"/>
  <c r="Z83" i="9"/>
  <c r="G81" i="9"/>
  <c r="J78" i="9"/>
  <c r="F75" i="9"/>
  <c r="I72" i="9"/>
  <c r="N69" i="9"/>
  <c r="R66" i="9"/>
  <c r="T63" i="9"/>
  <c r="Q60" i="9"/>
  <c r="T57" i="9"/>
  <c r="V54" i="9"/>
  <c r="Z51" i="9"/>
  <c r="G49" i="9"/>
  <c r="I46" i="9"/>
  <c r="M43" i="9"/>
  <c r="Y26" i="9"/>
  <c r="J98" i="9"/>
  <c r="L95" i="9"/>
  <c r="P92" i="9"/>
  <c r="S89" i="9"/>
  <c r="U86" i="9"/>
  <c r="Q83" i="9"/>
  <c r="T80" i="9"/>
  <c r="P77" i="9"/>
  <c r="T74" i="9"/>
  <c r="W71" i="9"/>
  <c r="AB68" i="9"/>
  <c r="I66" i="9"/>
  <c r="K63" i="9"/>
  <c r="P60" i="9"/>
  <c r="S57" i="9"/>
  <c r="U54" i="9"/>
  <c r="Q51" i="9"/>
  <c r="T48" i="9"/>
  <c r="W45" i="9"/>
  <c r="S42" i="9"/>
  <c r="W20" i="9"/>
  <c r="O97" i="9"/>
  <c r="Q94" i="9"/>
  <c r="U91" i="9"/>
  <c r="X88" i="9"/>
  <c r="S85" i="9"/>
  <c r="O82" i="9"/>
  <c r="R79" i="9"/>
  <c r="V76" i="9"/>
  <c r="S68" i="9"/>
  <c r="N45" i="9"/>
  <c r="F82" i="9"/>
  <c r="K58" i="9"/>
  <c r="G39" i="9"/>
  <c r="P15" i="9"/>
  <c r="V19" i="9"/>
  <c r="S24" i="9"/>
  <c r="W23" i="9"/>
  <c r="O150" i="9"/>
  <c r="V154" i="9"/>
  <c r="G155" i="9"/>
  <c r="W90" i="9"/>
  <c r="Y87" i="9"/>
  <c r="F85" i="9"/>
  <c r="J82" i="9"/>
  <c r="M79" i="9"/>
  <c r="I76" i="9"/>
  <c r="L73" i="9"/>
  <c r="P70" i="9"/>
  <c r="T67" i="9"/>
  <c r="G64" i="9"/>
  <c r="Z60" i="9"/>
  <c r="G58" i="9"/>
  <c r="I55" i="9"/>
  <c r="M52" i="9"/>
  <c r="P49" i="9"/>
  <c r="J46" i="9"/>
  <c r="N43" i="9"/>
  <c r="J27" i="9"/>
  <c r="Y97" i="9"/>
  <c r="AB94" i="9"/>
  <c r="I92" i="9"/>
  <c r="L89" i="9"/>
  <c r="N86" i="9"/>
  <c r="R83" i="9"/>
  <c r="U80" i="9"/>
  <c r="Q77" i="9"/>
  <c r="U74" i="9"/>
  <c r="X71" i="9"/>
  <c r="F69" i="9"/>
  <c r="J66" i="9"/>
  <c r="L63" i="9"/>
  <c r="I60" i="9"/>
  <c r="L57" i="9"/>
  <c r="N54" i="9"/>
  <c r="R51" i="9"/>
  <c r="U48" i="9"/>
  <c r="X45" i="9"/>
  <c r="AB42" i="9"/>
  <c r="AB23" i="9"/>
  <c r="X97" i="9"/>
  <c r="Z94" i="9"/>
  <c r="H92" i="9"/>
  <c r="K89" i="9"/>
  <c r="M86" i="9"/>
  <c r="I83" i="9"/>
  <c r="L80" i="9"/>
  <c r="H77" i="9"/>
  <c r="L74" i="9"/>
  <c r="O71" i="9"/>
  <c r="T68" i="9"/>
  <c r="W65" i="9"/>
  <c r="Z62" i="9"/>
  <c r="H60" i="9"/>
  <c r="K57" i="9"/>
  <c r="M54" i="9"/>
  <c r="I51" i="9"/>
  <c r="L48" i="9"/>
  <c r="O45" i="9"/>
  <c r="W40" i="9"/>
  <c r="Z17" i="9"/>
  <c r="G97" i="9"/>
  <c r="I94" i="9"/>
  <c r="M91" i="9"/>
  <c r="P88" i="9"/>
  <c r="K85" i="9"/>
  <c r="G82" i="9"/>
  <c r="J79" i="9"/>
  <c r="N76" i="9"/>
  <c r="V65" i="9"/>
  <c r="R42" i="9"/>
  <c r="I79" i="9"/>
  <c r="M55" i="9"/>
  <c r="Y35" i="9"/>
  <c r="K12" i="9"/>
  <c r="I16" i="9"/>
  <c r="N16" i="9"/>
  <c r="L16" i="9"/>
  <c r="U153" i="9"/>
  <c r="T50" i="9"/>
  <c r="V47" i="9"/>
  <c r="R44" i="9"/>
  <c r="Q36" i="9"/>
  <c r="R13" i="9"/>
  <c r="P96" i="9"/>
  <c r="K93" i="9"/>
  <c r="O90" i="9"/>
  <c r="Q87" i="9"/>
  <c r="U84" i="9"/>
  <c r="X81" i="9"/>
  <c r="AB78" i="9"/>
  <c r="W75" i="9"/>
  <c r="Z72" i="9"/>
  <c r="H70" i="9"/>
  <c r="L67" i="9"/>
  <c r="U63" i="9"/>
  <c r="R60" i="9"/>
  <c r="U57" i="9"/>
  <c r="W54" i="9"/>
  <c r="AB51" i="9"/>
  <c r="H49" i="9"/>
  <c r="Y45" i="9"/>
  <c r="F43" i="9"/>
  <c r="M24" i="9"/>
  <c r="Q97" i="9"/>
  <c r="S94" i="9"/>
  <c r="W91" i="9"/>
  <c r="Z88" i="9"/>
  <c r="F86" i="9"/>
  <c r="J83" i="9"/>
  <c r="M80" i="9"/>
  <c r="I77" i="9"/>
  <c r="M74" i="9"/>
  <c r="P71" i="9"/>
  <c r="U68" i="9"/>
  <c r="X65" i="9"/>
  <c r="S62" i="9"/>
  <c r="W59" i="9"/>
  <c r="Z56" i="9"/>
  <c r="F54" i="9"/>
  <c r="J51" i="9"/>
  <c r="M48" i="9"/>
  <c r="P45" i="9"/>
  <c r="T42" i="9"/>
  <c r="H21" i="9"/>
  <c r="P97" i="9"/>
  <c r="R94" i="9"/>
  <c r="V91" i="9"/>
  <c r="Y88" i="9"/>
  <c r="AB85" i="9"/>
  <c r="X82" i="9"/>
  <c r="S79" i="9"/>
  <c r="W76" i="9"/>
  <c r="Z73" i="9"/>
  <c r="G71" i="9"/>
  <c r="L68" i="9"/>
  <c r="O65" i="9"/>
  <c r="R62" i="9"/>
  <c r="V59" i="9"/>
  <c r="Y56" i="9"/>
  <c r="AB53" i="9"/>
  <c r="X50" i="9"/>
  <c r="Z47" i="9"/>
  <c r="G45" i="9"/>
  <c r="Z37" i="9"/>
  <c r="F15" i="9"/>
  <c r="U96" i="9"/>
  <c r="X93" i="9"/>
  <c r="AB90" i="9"/>
  <c r="H88" i="9"/>
  <c r="R84" i="9"/>
  <c r="U81" i="9"/>
  <c r="X78" i="9"/>
  <c r="T75" i="9"/>
  <c r="Y62" i="9"/>
  <c r="O20" i="9"/>
  <c r="M76" i="9"/>
  <c r="Q52" i="9"/>
  <c r="F33" i="9"/>
  <c r="V39" i="9"/>
  <c r="H41" i="9"/>
  <c r="J39" i="9"/>
  <c r="N38" i="9"/>
  <c r="G147" i="9"/>
  <c r="M57" i="9"/>
  <c r="O54" i="9"/>
  <c r="S51" i="9"/>
  <c r="V48" i="9"/>
  <c r="Q45" i="9"/>
  <c r="U42" i="9"/>
  <c r="P21" i="9"/>
  <c r="I97" i="9"/>
  <c r="K94" i="9"/>
  <c r="O91" i="9"/>
  <c r="R88" i="9"/>
  <c r="U85" i="9"/>
  <c r="Y82" i="9"/>
  <c r="AB79" i="9"/>
  <c r="X76" i="9"/>
  <c r="AB73" i="9"/>
  <c r="H71" i="9"/>
  <c r="M68" i="9"/>
  <c r="P65" i="9"/>
  <c r="K62" i="9"/>
  <c r="O59" i="9"/>
  <c r="R56" i="9"/>
  <c r="U53" i="9"/>
  <c r="Y50" i="9"/>
  <c r="AB47" i="9"/>
  <c r="H45" i="9"/>
  <c r="I41" i="9"/>
  <c r="L18" i="9"/>
  <c r="H97" i="9"/>
  <c r="J94" i="9"/>
  <c r="N91" i="9"/>
  <c r="Q88" i="9"/>
  <c r="T85" i="9"/>
  <c r="P82" i="9"/>
  <c r="K79" i="9"/>
  <c r="O76" i="9"/>
  <c r="R73" i="9"/>
  <c r="V70" i="9"/>
  <c r="Z67" i="9"/>
  <c r="G65" i="9"/>
  <c r="J62" i="9"/>
  <c r="N59" i="9"/>
  <c r="Q56" i="9"/>
  <c r="T53" i="9"/>
  <c r="P50" i="9"/>
  <c r="R47" i="9"/>
  <c r="V44" i="9"/>
  <c r="G35" i="9"/>
  <c r="I12" i="9"/>
  <c r="M96" i="9"/>
  <c r="P93" i="9"/>
  <c r="T90" i="9"/>
  <c r="V87" i="9"/>
  <c r="J84" i="9"/>
  <c r="M81" i="9"/>
  <c r="P78" i="9"/>
  <c r="L75" i="9"/>
  <c r="G60" i="9"/>
  <c r="F97" i="9"/>
  <c r="P73" i="9"/>
  <c r="T49" i="9"/>
  <c r="H30" i="9"/>
  <c r="J36" i="9"/>
  <c r="Y32" i="9"/>
  <c r="U31" i="9"/>
  <c r="Q30" i="9"/>
  <c r="E149" i="9"/>
  <c r="Y77" i="9"/>
  <c r="T154" i="9"/>
  <c r="AB154" i="9"/>
  <c r="I154" i="9"/>
  <c r="D147" i="9"/>
  <c r="S149" i="9"/>
  <c r="R152" i="9"/>
  <c r="L148" i="9"/>
  <c r="D151" i="9"/>
  <c r="S153" i="9"/>
  <c r="M149" i="9"/>
  <c r="D152" i="9"/>
  <c r="J148" i="9"/>
  <c r="W147" i="9"/>
  <c r="N150" i="9"/>
  <c r="E153" i="9"/>
  <c r="Z150" i="9"/>
  <c r="G148" i="9"/>
  <c r="W150" i="9"/>
  <c r="N153" i="9"/>
  <c r="P148" i="9"/>
  <c r="H151" i="9"/>
  <c r="W153" i="9"/>
  <c r="Q149" i="9"/>
  <c r="H152" i="9"/>
  <c r="L12" i="9"/>
  <c r="I15" i="9"/>
  <c r="G18" i="9"/>
  <c r="Z20" i="9"/>
  <c r="H24" i="9"/>
  <c r="AB26" i="9"/>
  <c r="X29" i="9"/>
  <c r="U32" i="9"/>
  <c r="R35" i="9"/>
  <c r="V38" i="9"/>
  <c r="T41" i="9"/>
  <c r="H14" i="9"/>
  <c r="F17" i="9"/>
  <c r="Y19" i="9"/>
  <c r="G23" i="9"/>
  <c r="AB25" i="9"/>
  <c r="X28" i="9"/>
  <c r="T31" i="9"/>
  <c r="R34" i="9"/>
  <c r="N37" i="9"/>
  <c r="K40" i="9"/>
  <c r="N12" i="9"/>
  <c r="K15" i="9"/>
  <c r="I18" i="9"/>
  <c r="AB20" i="9"/>
  <c r="X23" i="9"/>
  <c r="V26" i="9"/>
  <c r="R29" i="9"/>
  <c r="O32" i="9"/>
  <c r="T35" i="9"/>
  <c r="P38" i="9"/>
  <c r="N41" i="9"/>
  <c r="X13" i="9"/>
  <c r="V16" i="9"/>
  <c r="S19" i="9"/>
  <c r="O22" i="9"/>
  <c r="M25" i="9"/>
  <c r="J28" i="9"/>
  <c r="N31" i="9"/>
  <c r="L34" i="9"/>
  <c r="H37" i="9"/>
  <c r="AB39" i="9"/>
  <c r="P12" i="9"/>
  <c r="M15" i="9"/>
  <c r="K18" i="9"/>
  <c r="O21" i="9"/>
  <c r="L24" i="9"/>
  <c r="I27" i="9"/>
  <c r="M30" i="9"/>
  <c r="K33" i="9"/>
  <c r="H36" i="9"/>
  <c r="Z38" i="9"/>
  <c r="X41" i="9"/>
  <c r="M14" i="9"/>
  <c r="Y65" i="9"/>
  <c r="E154" i="9"/>
  <c r="G154" i="9"/>
  <c r="Q154" i="9"/>
  <c r="L147" i="9"/>
  <c r="AB149" i="9"/>
  <c r="Z152" i="9"/>
  <c r="T148" i="9"/>
  <c r="L151" i="9"/>
  <c r="F147" i="9"/>
  <c r="U149" i="9"/>
  <c r="L152" i="9"/>
  <c r="J149" i="9"/>
  <c r="F148" i="9"/>
  <c r="V150" i="9"/>
  <c r="M153" i="9"/>
  <c r="R151" i="9"/>
  <c r="O148" i="9"/>
  <c r="G151" i="9"/>
  <c r="V153" i="9"/>
  <c r="X148" i="9"/>
  <c r="P151" i="9"/>
  <c r="J147" i="9"/>
  <c r="Y149" i="9"/>
  <c r="P152" i="9"/>
  <c r="T12" i="9"/>
  <c r="Q15" i="9"/>
  <c r="O18" i="9"/>
  <c r="K21" i="9"/>
  <c r="P24" i="9"/>
  <c r="M27" i="9"/>
  <c r="I30" i="9"/>
  <c r="G33" i="9"/>
  <c r="Z35" i="9"/>
  <c r="H39" i="9"/>
  <c r="F42" i="9"/>
  <c r="P14" i="9"/>
  <c r="N17" i="9"/>
  <c r="K20" i="9"/>
  <c r="O23" i="9"/>
  <c r="M26" i="9"/>
  <c r="I29" i="9"/>
  <c r="F32" i="9"/>
  <c r="Z34" i="9"/>
  <c r="V37" i="9"/>
  <c r="S40" i="9"/>
  <c r="V12" i="9"/>
  <c r="S15" i="9"/>
  <c r="Q18" i="9"/>
  <c r="M21" i="9"/>
  <c r="J24" i="9"/>
  <c r="G27" i="9"/>
  <c r="Z29" i="9"/>
  <c r="W32" i="9"/>
  <c r="F36" i="9"/>
  <c r="X38" i="9"/>
  <c r="V41" i="9"/>
  <c r="J14" i="9"/>
  <c r="H17" i="9"/>
  <c r="AB19" i="9"/>
  <c r="W22" i="9"/>
  <c r="U25" i="9"/>
  <c r="R28" i="9"/>
  <c r="V31" i="9"/>
  <c r="T34" i="9"/>
  <c r="P37" i="9"/>
  <c r="M40" i="9"/>
  <c r="X12" i="9"/>
  <c r="U15" i="9"/>
  <c r="S18" i="9"/>
  <c r="W21" i="9"/>
  <c r="T24" i="9"/>
  <c r="Q27" i="9"/>
  <c r="U30" i="9"/>
  <c r="S33" i="9"/>
  <c r="P36" i="9"/>
  <c r="L39" i="9"/>
  <c r="J42" i="9"/>
  <c r="U14" i="9"/>
  <c r="S17" i="9"/>
  <c r="Y36" i="9"/>
  <c r="K13" i="9"/>
  <c r="V40" i="9"/>
  <c r="Y37" i="9"/>
  <c r="F35" i="9"/>
  <c r="I32" i="9"/>
  <c r="L29" i="9"/>
  <c r="H26" i="9"/>
  <c r="J23" i="9"/>
  <c r="N20" i="9"/>
  <c r="I17" i="9"/>
  <c r="K14" i="9"/>
  <c r="W41" i="9"/>
  <c r="Y38" i="9"/>
  <c r="G36" i="9"/>
  <c r="J33" i="9"/>
  <c r="L30" i="9"/>
  <c r="H27" i="9"/>
  <c r="K24" i="9"/>
  <c r="N21" i="9"/>
  <c r="R18" i="9"/>
  <c r="T15" i="9"/>
  <c r="W12" i="9"/>
  <c r="L40" i="9"/>
  <c r="O37" i="9"/>
  <c r="K34" i="9"/>
  <c r="M31" i="9"/>
  <c r="Q28" i="9"/>
  <c r="T25" i="9"/>
  <c r="V22" i="9"/>
  <c r="Z19" i="9"/>
  <c r="G17" i="9"/>
  <c r="I14" i="9"/>
  <c r="G42" i="9"/>
  <c r="I39" i="9"/>
  <c r="M36" i="9"/>
  <c r="P33" i="9"/>
  <c r="R30" i="9"/>
  <c r="V27" i="9"/>
  <c r="Y24" i="9"/>
  <c r="AB21" i="9"/>
  <c r="X18" i="9"/>
  <c r="Z15" i="9"/>
  <c r="F13" i="9"/>
  <c r="R40" i="9"/>
  <c r="U37" i="9"/>
  <c r="Q34" i="9"/>
  <c r="S31" i="9"/>
  <c r="W28" i="9"/>
  <c r="Z25" i="9"/>
  <c r="F23" i="9"/>
  <c r="X19" i="9"/>
  <c r="AB16" i="9"/>
  <c r="G14" i="9"/>
  <c r="X153" i="9"/>
  <c r="I151" i="9"/>
  <c r="Q148" i="9"/>
  <c r="W152" i="9"/>
  <c r="H150" i="9"/>
  <c r="Q147" i="9"/>
  <c r="N152" i="9"/>
  <c r="W149" i="9"/>
  <c r="H147" i="9"/>
  <c r="Z148" i="9"/>
  <c r="E152" i="9"/>
  <c r="N149" i="9"/>
  <c r="Y152" i="9"/>
  <c r="T153" i="9"/>
  <c r="E151" i="9"/>
  <c r="M148" i="9"/>
  <c r="S152" i="9"/>
  <c r="D150" i="9"/>
  <c r="M147" i="9"/>
  <c r="K151" i="9"/>
  <c r="S148" i="9"/>
  <c r="Z154" i="9"/>
  <c r="H154" i="9"/>
  <c r="F154" i="9"/>
  <c r="X35" i="9"/>
  <c r="AB32" i="9"/>
  <c r="G30" i="9"/>
  <c r="K27" i="9"/>
  <c r="N24" i="9"/>
  <c r="Q21" i="9"/>
  <c r="U18" i="9"/>
  <c r="W15" i="9"/>
  <c r="Z12" i="9"/>
  <c r="N40" i="9"/>
  <c r="Q37" i="9"/>
  <c r="U34" i="9"/>
  <c r="W31" i="9"/>
  <c r="S28" i="9"/>
  <c r="V25" i="9"/>
  <c r="X22" i="9"/>
  <c r="F20" i="9"/>
  <c r="W16" i="9"/>
  <c r="Y13" i="9"/>
  <c r="O41" i="9"/>
  <c r="Q38" i="9"/>
  <c r="U35" i="9"/>
  <c r="X32" i="9"/>
  <c r="S29" i="9"/>
  <c r="W26" i="9"/>
  <c r="Y23" i="9"/>
  <c r="F21" i="9"/>
  <c r="J18" i="9"/>
  <c r="L15" i="9"/>
  <c r="O12" i="9"/>
  <c r="Z39" i="9"/>
  <c r="G37" i="9"/>
  <c r="Y33" i="9"/>
  <c r="AB30" i="9"/>
  <c r="I28" i="9"/>
  <c r="L25" i="9"/>
  <c r="N22" i="9"/>
  <c r="R19" i="9"/>
  <c r="U16" i="9"/>
  <c r="W13" i="9"/>
  <c r="U41" i="9"/>
  <c r="W38" i="9"/>
  <c r="AB35" i="9"/>
  <c r="H33" i="9"/>
  <c r="J30" i="9"/>
  <c r="N27" i="9"/>
  <c r="Q24" i="9"/>
  <c r="T21" i="9"/>
  <c r="P18" i="9"/>
  <c r="R15" i="9"/>
  <c r="U12" i="9"/>
  <c r="J40" i="9"/>
  <c r="M37" i="9"/>
  <c r="I34" i="9"/>
  <c r="K31" i="9"/>
  <c r="O28" i="9"/>
  <c r="R25" i="9"/>
  <c r="T22" i="9"/>
  <c r="P19" i="9"/>
  <c r="S16" i="9"/>
  <c r="U13" i="9"/>
  <c r="P153" i="9"/>
  <c r="Y150" i="9"/>
  <c r="I148" i="9"/>
  <c r="O152" i="9"/>
  <c r="X149" i="9"/>
  <c r="I147" i="9"/>
  <c r="F152" i="9"/>
  <c r="O149" i="9"/>
  <c r="Q153" i="9"/>
  <c r="R148" i="9"/>
  <c r="V151" i="9"/>
  <c r="F149" i="9"/>
  <c r="I152" i="9"/>
  <c r="L153" i="9"/>
  <c r="U150" i="9"/>
  <c r="E148" i="9"/>
  <c r="K152" i="9"/>
  <c r="T149" i="9"/>
  <c r="E147" i="9"/>
  <c r="AB150" i="9"/>
  <c r="K148" i="9"/>
  <c r="R154" i="9"/>
  <c r="S154" i="9"/>
  <c r="K154" i="9"/>
  <c r="F40" i="9"/>
  <c r="I37" i="9"/>
  <c r="M34" i="9"/>
  <c r="O31" i="9"/>
  <c r="K28" i="9"/>
  <c r="N25" i="9"/>
  <c r="P22" i="9"/>
  <c r="T19" i="9"/>
  <c r="O16" i="9"/>
  <c r="Q13" i="9"/>
  <c r="G41" i="9"/>
  <c r="I38" i="9"/>
  <c r="M35" i="9"/>
  <c r="P32" i="9"/>
  <c r="K29" i="9"/>
  <c r="O26" i="9"/>
  <c r="Q23" i="9"/>
  <c r="U20" i="9"/>
  <c r="X17" i="9"/>
  <c r="Z14" i="9"/>
  <c r="G12" i="9"/>
  <c r="R39" i="9"/>
  <c r="V36" i="9"/>
  <c r="Q33" i="9"/>
  <c r="S30" i="9"/>
  <c r="W27" i="9"/>
  <c r="Z24" i="9"/>
  <c r="F22" i="9"/>
  <c r="J19" i="9"/>
  <c r="M16" i="9"/>
  <c r="O13" i="9"/>
  <c r="M41" i="9"/>
  <c r="O38" i="9"/>
  <c r="S35" i="9"/>
  <c r="V32" i="9"/>
  <c r="Y29" i="9"/>
  <c r="F27" i="9"/>
  <c r="I24" i="9"/>
  <c r="L21" i="9"/>
  <c r="H18" i="9"/>
  <c r="J15" i="9"/>
  <c r="M12" i="9"/>
  <c r="X39" i="9"/>
  <c r="T36" i="9"/>
  <c r="W33" i="9"/>
  <c r="Y30" i="9"/>
  <c r="G28" i="9"/>
  <c r="J25" i="9"/>
  <c r="L22" i="9"/>
  <c r="H19" i="9"/>
  <c r="K16" i="9"/>
  <c r="M13" i="9"/>
  <c r="H153" i="9"/>
  <c r="Q150" i="9"/>
  <c r="Z147" i="9"/>
  <c r="G152" i="9"/>
  <c r="P149" i="9"/>
  <c r="Y153" i="9"/>
  <c r="W151" i="9"/>
  <c r="G149" i="9"/>
  <c r="Q152" i="9"/>
  <c r="K147" i="9"/>
  <c r="N151" i="9"/>
  <c r="V148" i="9"/>
  <c r="J151" i="9"/>
  <c r="D153" i="9"/>
  <c r="M150" i="9"/>
  <c r="V147" i="9"/>
  <c r="AB151" i="9"/>
  <c r="L149" i="9"/>
  <c r="R153" i="9"/>
  <c r="S150" i="9"/>
  <c r="AB147" i="9"/>
  <c r="J154" i="9"/>
  <c r="W154" i="9"/>
  <c r="U154" i="9"/>
  <c r="Y84" i="9"/>
  <c r="AB36" i="9"/>
  <c r="Z46" i="9"/>
  <c r="Z84" i="9"/>
  <c r="Z153" i="9"/>
  <c r="AB64" i="9"/>
  <c r="N1181" i="9"/>
  <c r="P1174" i="9"/>
  <c r="D1194" i="9" a="1"/>
  <c r="D1194" i="9" s="1"/>
  <c r="D169" i="9" a="1"/>
  <c r="N1122" i="9" s="1"/>
  <c r="P1139" i="9"/>
  <c r="N1154" i="9"/>
  <c r="P1181" i="9"/>
  <c r="O1139" i="9"/>
  <c r="Q1174" i="9"/>
  <c r="Q1159" i="9"/>
  <c r="O1159" i="9"/>
  <c r="N1159" i="9"/>
  <c r="P1159" i="9"/>
  <c r="N1148" i="9"/>
  <c r="Q1148" i="9"/>
  <c r="P1148" i="9"/>
  <c r="O1148" i="9"/>
  <c r="Q1147" i="9"/>
  <c r="N1147" i="9"/>
  <c r="P1147" i="9"/>
  <c r="O1147" i="9"/>
  <c r="Q1167" i="9"/>
  <c r="N1186" i="9"/>
  <c r="O1186" i="9"/>
  <c r="P1186" i="9"/>
  <c r="Q1186" i="9"/>
  <c r="O1176" i="9"/>
  <c r="P1176" i="9"/>
  <c r="Q1176" i="9"/>
  <c r="N1176" i="9"/>
  <c r="P1137" i="9"/>
  <c r="O1137" i="9"/>
  <c r="N1137" i="9"/>
  <c r="Q1137" i="9"/>
  <c r="O1188" i="9"/>
  <c r="Q1166" i="9"/>
  <c r="P1166" i="9"/>
  <c r="O1166" i="9"/>
  <c r="N1166" i="9"/>
  <c r="N1169" i="9"/>
  <c r="Q1169" i="9"/>
  <c r="P1169" i="9"/>
  <c r="O1169" i="9"/>
  <c r="N1149" i="9"/>
  <c r="Q1149" i="9"/>
  <c r="P1149" i="9"/>
  <c r="O1149" i="9"/>
  <c r="N1146" i="9"/>
  <c r="O1146" i="9"/>
  <c r="P1158" i="9"/>
  <c r="O1158" i="9"/>
  <c r="Q1158" i="9"/>
  <c r="N1158" i="9"/>
  <c r="O1187" i="9"/>
  <c r="P1187" i="9"/>
  <c r="Q1187" i="9"/>
  <c r="N1187" i="9"/>
  <c r="N1157" i="9"/>
  <c r="Q1157" i="9"/>
  <c r="P1157" i="9"/>
  <c r="O1157" i="9"/>
  <c r="P1138" i="9"/>
  <c r="N1138" i="9"/>
  <c r="Q1138" i="9"/>
  <c r="O1138" i="9"/>
  <c r="O1175" i="9"/>
  <c r="N1175" i="9"/>
  <c r="P1175" i="9"/>
  <c r="Q1175" i="9"/>
  <c r="O1136" i="9"/>
  <c r="P1136" i="9"/>
  <c r="N1136" i="9"/>
  <c r="Q1136" i="9"/>
  <c r="Q1165" i="9"/>
  <c r="O1165" i="9"/>
  <c r="N1165" i="9"/>
  <c r="P1165" i="9"/>
  <c r="P1185" i="9"/>
  <c r="N1185" i="9"/>
  <c r="O1185" i="9"/>
  <c r="Q1185" i="9"/>
  <c r="P1184" i="9"/>
  <c r="N1184" i="9"/>
  <c r="O1184" i="9"/>
  <c r="Q1184" i="9"/>
  <c r="Q1164" i="9"/>
  <c r="P1164" i="9"/>
  <c r="O1164" i="9"/>
  <c r="N1164" i="9"/>
  <c r="O1145" i="9"/>
  <c r="P1145" i="9"/>
  <c r="Q1145" i="9"/>
  <c r="N1145" i="9"/>
  <c r="P1135" i="9"/>
  <c r="N1135" i="9"/>
  <c r="O1135" i="9"/>
  <c r="Q1135" i="9"/>
  <c r="O1179" i="9"/>
  <c r="P1179" i="9"/>
  <c r="N1179" i="9"/>
  <c r="Q1179" i="9"/>
  <c r="P1168" i="9"/>
  <c r="Q1168" i="9"/>
  <c r="O1168" i="9"/>
  <c r="N1168" i="9"/>
  <c r="N1177" i="9"/>
  <c r="Q1177" i="9"/>
  <c r="P1177" i="9"/>
  <c r="O1177" i="9"/>
  <c r="P1156" i="9"/>
  <c r="Q1156" i="9"/>
  <c r="N1156" i="9"/>
  <c r="O1156" i="9"/>
  <c r="N1155" i="9"/>
  <c r="O1155" i="9"/>
  <c r="Q1155" i="9"/>
  <c r="P1155" i="9"/>
  <c r="Q1154" i="9"/>
  <c r="P1183" i="9"/>
  <c r="O1183" i="9"/>
  <c r="N1183" i="9"/>
  <c r="Q1183" i="9"/>
  <c r="P1144" i="9"/>
  <c r="Q1144" i="9"/>
  <c r="O1144" i="9"/>
  <c r="N1144" i="9"/>
  <c r="O1173" i="9"/>
  <c r="N1173" i="9"/>
  <c r="Q1173" i="9"/>
  <c r="P1173" i="9"/>
  <c r="Q1163" i="9"/>
  <c r="N1163" i="9"/>
  <c r="P1163" i="9"/>
  <c r="O1163" i="9"/>
  <c r="P1153" i="9"/>
  <c r="N1153" i="9"/>
  <c r="Q1153" i="9"/>
  <c r="O1153" i="9"/>
  <c r="N1143" i="9"/>
  <c r="P1143" i="9"/>
  <c r="Q1143" i="9"/>
  <c r="O1143" i="9"/>
  <c r="N1182" i="9"/>
  <c r="P1182" i="9"/>
  <c r="Q1182" i="9"/>
  <c r="O1182" i="9"/>
  <c r="N1172" i="9"/>
  <c r="O1172" i="9"/>
  <c r="P1172" i="9"/>
  <c r="Q1172" i="9"/>
  <c r="Q1162" i="9"/>
  <c r="P1162" i="9"/>
  <c r="N1162" i="9"/>
  <c r="O1162" i="9"/>
  <c r="N1171" i="9"/>
  <c r="Q1171" i="9"/>
  <c r="O1171" i="9"/>
  <c r="P1171" i="9"/>
  <c r="P1161" i="9"/>
  <c r="Q1161" i="9"/>
  <c r="O1161" i="9"/>
  <c r="N1161" i="9"/>
  <c r="P1152" i="9"/>
  <c r="Q1152" i="9"/>
  <c r="O1152" i="9"/>
  <c r="N1152" i="9"/>
  <c r="O1142" i="9"/>
  <c r="Q1142" i="9"/>
  <c r="P1142" i="9"/>
  <c r="N1142" i="9"/>
  <c r="P1178" i="9"/>
  <c r="N1178" i="9"/>
  <c r="Q1178" i="9"/>
  <c r="O1178" i="9"/>
  <c r="Q1146" i="9"/>
  <c r="Q1151" i="9"/>
  <c r="O1151" i="9"/>
  <c r="P1151" i="9"/>
  <c r="N1151" i="9"/>
  <c r="N1141" i="9"/>
  <c r="P1141" i="9"/>
  <c r="Q1141" i="9"/>
  <c r="O1141" i="9"/>
  <c r="P1189" i="9"/>
  <c r="Q1189" i="9"/>
  <c r="O1189" i="9"/>
  <c r="N1189" i="9"/>
  <c r="O1180" i="9"/>
  <c r="N1180" i="9"/>
  <c r="P1180" i="9"/>
  <c r="Q1180" i="9"/>
  <c r="O1170" i="9"/>
  <c r="N1170" i="9"/>
  <c r="Q1170" i="9"/>
  <c r="P1170" i="9"/>
  <c r="N1160" i="9"/>
  <c r="P1160" i="9"/>
  <c r="Q1160" i="9"/>
  <c r="O1160" i="9"/>
  <c r="O1150" i="9"/>
  <c r="Q1150" i="9"/>
  <c r="N1150" i="9"/>
  <c r="P1150" i="9"/>
  <c r="P1140" i="9"/>
  <c r="O1140" i="9"/>
  <c r="N1140" i="9"/>
  <c r="Q1140" i="9"/>
  <c r="P1167" i="9"/>
  <c r="N1167" i="9"/>
  <c r="O1167" i="9"/>
  <c r="O1181" i="9"/>
  <c r="P1154" i="9"/>
  <c r="Q1181" i="9"/>
  <c r="N1139" i="9"/>
  <c r="P1146" i="9"/>
  <c r="Q1188" i="9"/>
  <c r="O1174" i="9"/>
  <c r="Q1139" i="9"/>
  <c r="N1174" i="9"/>
  <c r="N1188" i="9"/>
  <c r="P1188" i="9"/>
  <c r="O1154" i="9"/>
  <c r="I16" i="10"/>
  <c r="Y100" i="9"/>
  <c r="H16" i="10"/>
  <c r="G16" i="10"/>
  <c r="Z65" i="9"/>
  <c r="F1194" i="9" a="1"/>
  <c r="F1194" i="9" s="1"/>
  <c r="E169" i="9" a="1"/>
  <c r="E1194" i="9" a="1"/>
  <c r="AA164" i="9"/>
  <c r="F169" i="9" a="1"/>
  <c r="AA39" i="9" l="1"/>
  <c r="AA77" i="9"/>
  <c r="AA140" i="9"/>
  <c r="AA38" i="9"/>
  <c r="AA33" i="9"/>
  <c r="AA92" i="9"/>
  <c r="AA76" i="9"/>
  <c r="AA122" i="9"/>
  <c r="AA130" i="9"/>
  <c r="AA71" i="9"/>
  <c r="AA106" i="9"/>
  <c r="AA158" i="9"/>
  <c r="AA50" i="9"/>
  <c r="AA162" i="9"/>
  <c r="AA163" i="9"/>
  <c r="AA126" i="9"/>
  <c r="AA104" i="9"/>
  <c r="AA109" i="9"/>
  <c r="AA159" i="9"/>
  <c r="AA145" i="9"/>
  <c r="AA160" i="9"/>
  <c r="AA161" i="9"/>
  <c r="AA61" i="9"/>
  <c r="AA96" i="9"/>
  <c r="AA124" i="9"/>
  <c r="AA118" i="9"/>
  <c r="AA135" i="9"/>
  <c r="AA150" i="9"/>
  <c r="AA27" i="9"/>
  <c r="AA156" i="9"/>
  <c r="AA142" i="9"/>
  <c r="AA102" i="9"/>
  <c r="AA108" i="9"/>
  <c r="AA37" i="9"/>
  <c r="AA34" i="9"/>
  <c r="AA133" i="9"/>
  <c r="AA132" i="9"/>
  <c r="AA107" i="9"/>
  <c r="AA58" i="9"/>
  <c r="AA137" i="9"/>
  <c r="AA129" i="9"/>
  <c r="AA134" i="9"/>
  <c r="AA101" i="9"/>
  <c r="AA120" i="9"/>
  <c r="AA42" i="9"/>
  <c r="AA151" i="9"/>
  <c r="AA82" i="9"/>
  <c r="AA127" i="9"/>
  <c r="AA115" i="9"/>
  <c r="AA116" i="9"/>
  <c r="AA157" i="9"/>
  <c r="AA62" i="9"/>
  <c r="AA117" i="9"/>
  <c r="AA44" i="9"/>
  <c r="AA49" i="9"/>
  <c r="AA103" i="9"/>
  <c r="AA59" i="9"/>
  <c r="AA125" i="9"/>
  <c r="AA138" i="9"/>
  <c r="AA54" i="9"/>
  <c r="AA152" i="9"/>
  <c r="AA83" i="9"/>
  <c r="AA78" i="9"/>
  <c r="AA63" i="9"/>
  <c r="AA141" i="9"/>
  <c r="AA81" i="9"/>
  <c r="AA95" i="9"/>
  <c r="AA26" i="9"/>
  <c r="AA155" i="9"/>
  <c r="AA69" i="9"/>
  <c r="AA53" i="9"/>
  <c r="AA93" i="9"/>
  <c r="AA114" i="9"/>
  <c r="AA110" i="9"/>
  <c r="AA98" i="9"/>
  <c r="AA48" i="9"/>
  <c r="AA43" i="9"/>
  <c r="AA35" i="9"/>
  <c r="AA94" i="9"/>
  <c r="AA22" i="9"/>
  <c r="AA66" i="9"/>
  <c r="AA25" i="9"/>
  <c r="AA18" i="9"/>
  <c r="AA75" i="9"/>
  <c r="AA128" i="9"/>
  <c r="AA80" i="9"/>
  <c r="AA136" i="9"/>
  <c r="AA121" i="9"/>
  <c r="AA139" i="9"/>
  <c r="AA146" i="9"/>
  <c r="AA41" i="9"/>
  <c r="AA143" i="9"/>
  <c r="AA131" i="9"/>
  <c r="AA20" i="9"/>
  <c r="AA89" i="9"/>
  <c r="AA85" i="9"/>
  <c r="AA123" i="9"/>
  <c r="AA119" i="9"/>
  <c r="AA112" i="9"/>
  <c r="AA105" i="9"/>
  <c r="AA30" i="9"/>
  <c r="AA13" i="9"/>
  <c r="AA47" i="9"/>
  <c r="AA57" i="9"/>
  <c r="AA28" i="9"/>
  <c r="AA68" i="9"/>
  <c r="AA113" i="9"/>
  <c r="AA91" i="9"/>
  <c r="AA86" i="9"/>
  <c r="AA70" i="9"/>
  <c r="AA111" i="9"/>
  <c r="AA99" i="9"/>
  <c r="AA55" i="9"/>
  <c r="AA45" i="9"/>
  <c r="AA52" i="9"/>
  <c r="AA74" i="9"/>
  <c r="AA14" i="9"/>
  <c r="AA12" i="9"/>
  <c r="AA144" i="9"/>
  <c r="AA32" i="9"/>
  <c r="AA40" i="9"/>
  <c r="AA67" i="9"/>
  <c r="AA87" i="9"/>
  <c r="AA65" i="9"/>
  <c r="AA147" i="9"/>
  <c r="AA56" i="9"/>
  <c r="AA88" i="9"/>
  <c r="AA97" i="9"/>
  <c r="AA60" i="9"/>
  <c r="AA51" i="9"/>
  <c r="AA36" i="9"/>
  <c r="AA31" i="9"/>
  <c r="AA17" i="9"/>
  <c r="AA90" i="9"/>
  <c r="AA72" i="9"/>
  <c r="AA79" i="9"/>
  <c r="AA16" i="9"/>
  <c r="AA64" i="9"/>
  <c r="AA46" i="9"/>
  <c r="AA15" i="9"/>
  <c r="AA23" i="9"/>
  <c r="AA148" i="9"/>
  <c r="AA149" i="9"/>
  <c r="AA19" i="9"/>
  <c r="AA73" i="9"/>
  <c r="AA154" i="9"/>
  <c r="AA21" i="9"/>
  <c r="AA29" i="9"/>
  <c r="AA24" i="9"/>
  <c r="X11" i="9"/>
  <c r="Q11" i="9"/>
  <c r="I11" i="9"/>
  <c r="F11" i="9"/>
  <c r="Z11" i="9"/>
  <c r="AK11" i="9" s="1" a="1"/>
  <c r="AK11" i="9" s="1"/>
  <c r="W11" i="9"/>
  <c r="D11" i="9"/>
  <c r="P11" i="9"/>
  <c r="O11" i="9"/>
  <c r="H11" i="9"/>
  <c r="V11" i="9"/>
  <c r="M11" i="9"/>
  <c r="T11" i="9"/>
  <c r="G11" i="9"/>
  <c r="N11" i="9"/>
  <c r="U11" i="9"/>
  <c r="E11" i="9"/>
  <c r="J11" i="9"/>
  <c r="S11" i="9"/>
  <c r="L11" i="9"/>
  <c r="R11" i="9"/>
  <c r="AB11" i="9"/>
  <c r="AD11" i="9" s="1" a="1"/>
  <c r="AD11" i="9" s="1"/>
  <c r="K11" i="9"/>
  <c r="Y11" i="9"/>
  <c r="AH11" i="9" s="1" a="1"/>
  <c r="AH11" i="9" s="1"/>
  <c r="AA153" i="9"/>
  <c r="AA84" i="9"/>
  <c r="N207" i="9"/>
  <c r="N266" i="9"/>
  <c r="N321" i="9"/>
  <c r="N387" i="9"/>
  <c r="N173" i="9"/>
  <c r="N208" i="9"/>
  <c r="N190" i="9"/>
  <c r="N175" i="9"/>
  <c r="N322" i="9"/>
  <c r="N432" i="9"/>
  <c r="N265" i="9"/>
  <c r="N216" i="9"/>
  <c r="N197" i="9"/>
  <c r="N239" i="9"/>
  <c r="N407" i="9"/>
  <c r="N422" i="9"/>
  <c r="N300" i="9"/>
  <c r="N220" i="9"/>
  <c r="N170" i="9"/>
  <c r="N188" i="9"/>
  <c r="N385" i="9"/>
  <c r="N262" i="9"/>
  <c r="N243" i="9"/>
  <c r="N294" i="9"/>
  <c r="N286" i="9"/>
  <c r="N345" i="9"/>
  <c r="N293" i="9"/>
  <c r="N354" i="9"/>
  <c r="N172" i="9"/>
  <c r="N192" i="9"/>
  <c r="N247" i="9"/>
  <c r="N374" i="9"/>
  <c r="N255" i="9"/>
  <c r="N194" i="9"/>
  <c r="N366" i="9"/>
  <c r="N332" i="9"/>
  <c r="N240" i="9"/>
  <c r="N288" i="9"/>
  <c r="N278" i="9"/>
  <c r="N308" i="9"/>
  <c r="N284" i="9"/>
  <c r="N258" i="9"/>
  <c r="N301" i="9"/>
  <c r="N272" i="9"/>
  <c r="N316" i="9"/>
  <c r="N312" i="9"/>
  <c r="N417" i="9"/>
  <c r="N206" i="9"/>
  <c r="N391" i="9"/>
  <c r="N392" i="9"/>
  <c r="N217" i="9"/>
  <c r="N202" i="9"/>
  <c r="N290" i="9"/>
  <c r="N248" i="9"/>
  <c r="N799" i="9"/>
  <c r="N1091" i="9"/>
  <c r="N1096" i="9"/>
  <c r="N1020" i="9"/>
  <c r="N501" i="9"/>
  <c r="N733" i="9"/>
  <c r="N1028" i="9"/>
  <c r="N494" i="9"/>
  <c r="N1076" i="9"/>
  <c r="N1005" i="9"/>
  <c r="N788" i="9"/>
  <c r="N642" i="9"/>
  <c r="N1022" i="9"/>
  <c r="N1044" i="9"/>
  <c r="N892" i="9"/>
  <c r="N734" i="9"/>
  <c r="N634" i="9"/>
  <c r="N1060" i="9"/>
  <c r="N446" i="9"/>
  <c r="N660" i="9"/>
  <c r="N914" i="9"/>
  <c r="N564" i="9"/>
  <c r="N792" i="9"/>
  <c r="N1095" i="9"/>
  <c r="N594" i="9"/>
  <c r="N555" i="9"/>
  <c r="N1065" i="9"/>
  <c r="N847" i="9"/>
  <c r="N920" i="9"/>
  <c r="N853" i="9"/>
  <c r="N985" i="9"/>
  <c r="N613" i="9"/>
  <c r="N1054" i="9"/>
  <c r="N930" i="9"/>
  <c r="N840" i="9"/>
  <c r="N541" i="9"/>
  <c r="N408" i="9"/>
  <c r="N490" i="9"/>
  <c r="N466" i="9"/>
  <c r="N574" i="9"/>
  <c r="N458" i="9"/>
  <c r="N949" i="9"/>
  <c r="N697" i="9"/>
  <c r="N758" i="9"/>
  <c r="N462" i="9"/>
  <c r="N569" i="9"/>
  <c r="N690" i="9"/>
  <c r="N504" i="9"/>
  <c r="N723" i="9"/>
  <c r="N603" i="9"/>
  <c r="N712" i="9"/>
  <c r="N1042" i="9"/>
  <c r="N604" i="9"/>
  <c r="N732" i="9"/>
  <c r="N654" i="9"/>
  <c r="N658" i="9"/>
  <c r="N1004" i="9"/>
  <c r="N628" i="9"/>
  <c r="N809" i="9"/>
  <c r="N832" i="9"/>
  <c r="N741" i="9"/>
  <c r="N486" i="9"/>
  <c r="N1041" i="9"/>
  <c r="N830" i="9"/>
  <c r="N775" i="9"/>
  <c r="N802" i="9"/>
  <c r="N975" i="9"/>
  <c r="N728" i="9"/>
  <c r="N549" i="9"/>
  <c r="N498" i="9"/>
  <c r="N698" i="9"/>
  <c r="N834" i="9"/>
  <c r="N860" i="9"/>
  <c r="N599" i="9"/>
  <c r="N402" i="9"/>
  <c r="N612" i="9"/>
  <c r="N329" i="9"/>
  <c r="N683" i="9"/>
  <c r="N396" i="9"/>
  <c r="N382" i="9"/>
  <c r="N347" i="9"/>
  <c r="N677" i="9"/>
  <c r="N276" i="9"/>
  <c r="N947" i="9"/>
  <c r="N215" i="9"/>
  <c r="N281" i="9"/>
  <c r="N641" i="9"/>
  <c r="N846" i="9"/>
  <c r="N1014" i="9"/>
  <c r="N918" i="9"/>
  <c r="N978" i="9"/>
  <c r="N1081" i="9"/>
  <c r="N725" i="9"/>
  <c r="N1089" i="9"/>
  <c r="N869" i="9"/>
  <c r="N524" i="9"/>
  <c r="N572" i="9"/>
  <c r="N965" i="9"/>
  <c r="N688" i="9"/>
  <c r="N649" i="9"/>
  <c r="N479" i="9"/>
  <c r="N717" i="9"/>
  <c r="N576" i="9"/>
  <c r="N563" i="9"/>
  <c r="N764" i="9"/>
  <c r="N739" i="9"/>
  <c r="N573" i="9"/>
  <c r="N1046" i="9"/>
  <c r="N945" i="9"/>
  <c r="N1103" i="9"/>
  <c r="N625" i="9"/>
  <c r="N476" i="9"/>
  <c r="N776" i="9"/>
  <c r="N1094" i="9"/>
  <c r="N782" i="9"/>
  <c r="N794" i="9"/>
  <c r="N736" i="9"/>
  <c r="N849" i="9"/>
  <c r="N708" i="9"/>
  <c r="N754" i="9"/>
  <c r="N687" i="9"/>
  <c r="N538" i="9"/>
  <c r="N927" i="9"/>
  <c r="N668" i="9"/>
  <c r="N515" i="9"/>
  <c r="N756" i="9"/>
  <c r="N727" i="9"/>
  <c r="N696" i="9"/>
  <c r="N617" i="9"/>
  <c r="N873" i="9"/>
  <c r="N298" i="9"/>
  <c r="N900" i="9"/>
  <c r="N212" i="9"/>
  <c r="N305" i="9"/>
  <c r="N512" i="9"/>
  <c r="N254" i="9"/>
  <c r="N903" i="9"/>
  <c r="N261" i="9"/>
  <c r="N1077" i="9"/>
  <c r="N275" i="9"/>
  <c r="N705" i="9"/>
  <c r="N548" i="9"/>
  <c r="N796" i="9"/>
  <c r="N714" i="9"/>
  <c r="N1058" i="9"/>
  <c r="N932" i="9"/>
  <c r="N205" i="9"/>
  <c r="N237" i="9"/>
  <c r="N729" i="9"/>
  <c r="N663" i="9"/>
  <c r="N882" i="9"/>
  <c r="N872" i="9"/>
  <c r="N623" i="9"/>
  <c r="N678" i="9"/>
  <c r="N540" i="9"/>
  <c r="N384" i="9"/>
  <c r="N357" i="9"/>
  <c r="N588" i="9"/>
  <c r="N311" i="9"/>
  <c r="N964" i="9"/>
  <c r="N1057" i="9"/>
  <c r="N323" i="9"/>
  <c r="N565" i="9"/>
  <c r="N453" i="9"/>
  <c r="N699" i="9"/>
  <c r="N1021" i="9"/>
  <c r="N818" i="9"/>
  <c r="N1015" i="9"/>
  <c r="N707" i="9"/>
  <c r="N514" i="9"/>
  <c r="N554" i="9"/>
  <c r="N318" i="9"/>
  <c r="N539" i="9"/>
  <c r="N1002" i="9"/>
  <c r="N744" i="9"/>
  <c r="N880" i="9"/>
  <c r="N331" i="9"/>
  <c r="N454" i="9"/>
  <c r="N874" i="9"/>
  <c r="N954" i="9"/>
  <c r="N937" i="9"/>
  <c r="N223" i="9"/>
  <c r="N413" i="9"/>
  <c r="N689" i="9"/>
  <c r="N400" i="9"/>
  <c r="N181" i="9"/>
  <c r="N306" i="9"/>
  <c r="N313" i="9"/>
  <c r="N807" i="9"/>
  <c r="N640" i="9"/>
  <c r="N527" i="9"/>
  <c r="N405" i="9"/>
  <c r="N295" i="9"/>
  <c r="N451" i="9"/>
  <c r="N214" i="9"/>
  <c r="N659" i="9"/>
  <c r="N424" i="9"/>
  <c r="N519" i="9"/>
  <c r="N434" i="9"/>
  <c r="N378" i="9"/>
  <c r="N769" i="9"/>
  <c r="N431" i="9"/>
  <c r="N365" i="9"/>
  <c r="N550" i="9"/>
  <c r="N409" i="9"/>
  <c r="N960" i="9"/>
  <c r="N213" i="9"/>
  <c r="N567" i="9"/>
  <c r="N581" i="9"/>
  <c r="N210" i="9"/>
  <c r="N575" i="9"/>
  <c r="N253" i="9"/>
  <c r="N433" i="9"/>
  <c r="N931" i="9"/>
  <c r="N415" i="9"/>
  <c r="N646" i="9"/>
  <c r="N614" i="9"/>
  <c r="N489" i="9"/>
  <c r="N1059" i="9"/>
  <c r="N721" i="9"/>
  <c r="N457" i="9"/>
  <c r="N711" i="9"/>
  <c r="N676" i="9"/>
  <c r="N772" i="9"/>
  <c r="N608" i="9"/>
  <c r="N452" i="9"/>
  <c r="N416" i="9"/>
  <c r="N330" i="9"/>
  <c r="N793" i="9"/>
  <c r="N421" i="9"/>
  <c r="N393" i="9"/>
  <c r="N480" i="9"/>
  <c r="N470" i="9"/>
  <c r="N447" i="9"/>
  <c r="N621" i="9"/>
  <c r="N578" i="9"/>
  <c r="N611" i="9"/>
  <c r="N1071" i="9"/>
  <c r="N915" i="9"/>
  <c r="N784" i="9"/>
  <c r="N506" i="9"/>
  <c r="N518" i="9"/>
  <c r="N505" i="9"/>
  <c r="N902" i="9"/>
  <c r="N969" i="9"/>
  <c r="N854" i="9"/>
  <c r="N939" i="9"/>
  <c r="N753" i="9"/>
  <c r="N426" i="9"/>
  <c r="N684" i="9"/>
  <c r="N1090" i="9"/>
  <c r="D169" i="9"/>
  <c r="N169" i="9" s="1"/>
  <c r="N824" i="9"/>
  <c r="N745" i="9"/>
  <c r="N274" i="9"/>
  <c r="N314" i="9"/>
  <c r="N925" i="9"/>
  <c r="N629" i="9"/>
  <c r="N808" i="9"/>
  <c r="N886" i="9"/>
  <c r="N664" i="9"/>
  <c r="N747" i="9"/>
  <c r="N533" i="9"/>
  <c r="N543" i="9"/>
  <c r="N610" i="9"/>
  <c r="N283" i="9"/>
  <c r="N556" i="9"/>
  <c r="N766" i="9"/>
  <c r="N488" i="9"/>
  <c r="N189" i="9"/>
  <c r="N622" i="9"/>
  <c r="N360" i="9"/>
  <c r="N951" i="9"/>
  <c r="N397" i="9"/>
  <c r="N225" i="9"/>
  <c r="N503" i="9"/>
  <c r="N349" i="9"/>
  <c r="N571" i="9"/>
  <c r="N1056" i="9"/>
  <c r="N972" i="9"/>
  <c r="N468" i="9"/>
  <c r="N296" i="9"/>
  <c r="N430" i="9"/>
  <c r="N1030" i="9"/>
  <c r="N178" i="9"/>
  <c r="N211" i="9"/>
  <c r="N516" i="9"/>
  <c r="N183" i="9"/>
  <c r="N813" i="9"/>
  <c r="N763" i="9"/>
  <c r="N204" i="9"/>
  <c r="N184" i="9"/>
  <c r="N441" i="9"/>
  <c r="N546" i="9"/>
  <c r="N277" i="9"/>
  <c r="N200" i="9"/>
  <c r="N662" i="9"/>
  <c r="N562" i="9"/>
  <c r="N406" i="9"/>
  <c r="N601" i="9"/>
  <c r="N1023" i="9"/>
  <c r="N368" i="9"/>
  <c r="N335" i="9"/>
  <c r="N386" i="9"/>
  <c r="N619" i="9"/>
  <c r="N1040" i="9"/>
  <c r="N1035" i="9"/>
  <c r="N963" i="9"/>
  <c r="N638" i="9"/>
  <c r="N443" i="9"/>
  <c r="N651" i="9"/>
  <c r="N652" i="9"/>
  <c r="N896" i="9"/>
  <c r="N675" i="9"/>
  <c r="N743" i="9"/>
  <c r="N797" i="9"/>
  <c r="N786" i="9"/>
  <c r="N923" i="9"/>
  <c r="N843" i="9"/>
  <c r="N910" i="9"/>
  <c r="N998" i="9"/>
  <c r="N606" i="9"/>
  <c r="N821" i="9"/>
  <c r="N811" i="9"/>
  <c r="N279" i="9"/>
  <c r="N607" i="9"/>
  <c r="N179" i="9"/>
  <c r="N487" i="9"/>
  <c r="N661" i="9"/>
  <c r="N483" i="9"/>
  <c r="N618" i="9"/>
  <c r="N224" i="9"/>
  <c r="N228" i="9"/>
  <c r="N264" i="9"/>
  <c r="N427" i="9"/>
  <c r="N235" i="9"/>
  <c r="N338" i="9"/>
  <c r="N908" i="9"/>
  <c r="N440" i="9"/>
  <c r="N201" i="9"/>
  <c r="N1074" i="9"/>
  <c r="N302" i="9"/>
  <c r="N482" i="9"/>
  <c r="N379" i="9"/>
  <c r="N412" i="9"/>
  <c r="N195" i="9"/>
  <c r="N966" i="9"/>
  <c r="N863" i="9"/>
  <c r="N463" i="9"/>
  <c r="N233" i="9"/>
  <c r="N410" i="9"/>
  <c r="N879" i="9"/>
  <c r="N236" i="9"/>
  <c r="N344" i="9"/>
  <c r="N738" i="9"/>
  <c r="N942" i="9"/>
  <c r="N559" i="9"/>
  <c r="N191" i="9"/>
  <c r="N665" i="9"/>
  <c r="N232" i="9"/>
  <c r="N414" i="9"/>
  <c r="N333" i="9"/>
  <c r="N841" i="9"/>
  <c r="N833" i="9"/>
  <c r="N534" i="9"/>
  <c r="N995" i="9"/>
  <c r="N704" i="9"/>
  <c r="N1008" i="9"/>
  <c r="N887" i="9"/>
  <c r="N865" i="9"/>
  <c r="N425" i="9"/>
  <c r="N637" i="9"/>
  <c r="N1001" i="9"/>
  <c r="N889" i="9"/>
  <c r="N703" i="9"/>
  <c r="N499" i="9"/>
  <c r="N1045" i="9"/>
  <c r="N474" i="9"/>
  <c r="N523" i="9"/>
  <c r="N820" i="9"/>
  <c r="N1012" i="9"/>
  <c r="N785" i="9"/>
  <c r="N757" i="9"/>
  <c r="N558" i="9"/>
  <c r="N537" i="9"/>
  <c r="N593" i="9"/>
  <c r="N234" i="9"/>
  <c r="N513" i="9"/>
  <c r="N245" i="9"/>
  <c r="N526" i="9"/>
  <c r="N495" i="9"/>
  <c r="N906" i="9"/>
  <c r="N420" i="9"/>
  <c r="N823" i="9"/>
  <c r="N810" i="9"/>
  <c r="N484" i="9"/>
  <c r="N536" i="9"/>
  <c r="N337" i="9"/>
  <c r="N973" i="9"/>
  <c r="N403" i="9"/>
  <c r="N367" i="9"/>
  <c r="N244" i="9"/>
  <c r="N633" i="9"/>
  <c r="N222" i="9"/>
  <c r="N750" i="9"/>
  <c r="N967" i="9"/>
  <c r="N352" i="9"/>
  <c r="N325" i="9"/>
  <c r="N509" i="9"/>
  <c r="N362" i="9"/>
  <c r="N851" i="9"/>
  <c r="N176" i="9"/>
  <c r="N355" i="9"/>
  <c r="N358" i="9"/>
  <c r="N857" i="9"/>
  <c r="N229" i="9"/>
  <c r="N600" i="9"/>
  <c r="N442" i="9"/>
  <c r="N895" i="9"/>
  <c r="N193" i="9"/>
  <c r="N377" i="9"/>
  <c r="N267" i="9"/>
  <c r="N180" i="9"/>
  <c r="N586" i="9"/>
  <c r="N467" i="9"/>
  <c r="N1099" i="9"/>
  <c r="N1053" i="9"/>
  <c r="N1097" i="9"/>
  <c r="N814" i="9"/>
  <c r="N783" i="9"/>
  <c r="N770" i="9"/>
  <c r="N1031" i="9"/>
  <c r="N730" i="9"/>
  <c r="N718" i="9"/>
  <c r="N1102" i="9"/>
  <c r="N897" i="9"/>
  <c r="N720" i="9"/>
  <c r="N511" i="9"/>
  <c r="N584" i="9"/>
  <c r="N829" i="9"/>
  <c r="N1063" i="9"/>
  <c r="N418" i="9"/>
  <c r="N450" i="9"/>
  <c r="N502" i="9"/>
  <c r="N1085" i="9"/>
  <c r="N1079" i="9"/>
  <c r="N477" i="9"/>
  <c r="N448" i="9"/>
  <c r="N553" i="9"/>
  <c r="N398" i="9"/>
  <c r="N822" i="9"/>
  <c r="N404" i="9"/>
  <c r="N460" i="9"/>
  <c r="N639" i="9"/>
  <c r="N650" i="9"/>
  <c r="N304" i="9"/>
  <c r="N285" i="9"/>
  <c r="N171" i="9"/>
  <c r="N632" i="9"/>
  <c r="N221" i="9"/>
  <c r="N373" i="9"/>
  <c r="N852" i="9"/>
  <c r="N496" i="9"/>
  <c r="N469" i="9"/>
  <c r="N577" i="9"/>
  <c r="N250" i="9"/>
  <c r="N912" i="9"/>
  <c r="N1101" i="9"/>
  <c r="N256" i="9"/>
  <c r="N196" i="9"/>
  <c r="N602" i="9"/>
  <c r="N252" i="9"/>
  <c r="N580" i="9"/>
  <c r="N955" i="9"/>
  <c r="N1062" i="9"/>
  <c r="N924" i="9"/>
  <c r="N1073" i="9"/>
  <c r="N944" i="9"/>
  <c r="N961" i="9"/>
  <c r="N781" i="9"/>
  <c r="N774" i="9"/>
  <c r="N1078" i="9"/>
  <c r="N856" i="9"/>
  <c r="N992" i="9"/>
  <c r="N1033" i="9"/>
  <c r="N916" i="9"/>
  <c r="N986" i="9"/>
  <c r="N669" i="9"/>
  <c r="N787" i="9"/>
  <c r="N1066" i="9"/>
  <c r="N917" i="9"/>
  <c r="N806" i="9"/>
  <c r="N1003" i="9"/>
  <c r="N423" i="9"/>
  <c r="N742" i="9"/>
  <c r="N438" i="9"/>
  <c r="N1036" i="9"/>
  <c r="N435" i="9"/>
  <c r="N898" i="9"/>
  <c r="N582" i="9"/>
  <c r="N855" i="9"/>
  <c r="N749" i="9"/>
  <c r="N671" i="9"/>
  <c r="N508" i="9"/>
  <c r="N445" i="9"/>
  <c r="N497" i="9"/>
  <c r="N645" i="9"/>
  <c r="N875" i="9"/>
  <c r="N686" i="9"/>
  <c r="N1007" i="9"/>
  <c r="N241" i="9"/>
  <c r="N203" i="9"/>
  <c r="N263" i="9"/>
  <c r="N319" i="9"/>
  <c r="N570" i="9"/>
  <c r="N1032" i="9"/>
  <c r="N590" i="9"/>
  <c r="N862" i="9"/>
  <c r="N339" i="9"/>
  <c r="N231" i="9"/>
  <c r="N1212" i="9"/>
  <c r="N1116" i="9"/>
  <c r="N1112" i="9"/>
  <c r="N1070" i="9"/>
  <c r="N1050" i="9"/>
  <c r="N1051" i="9"/>
  <c r="N991" i="9"/>
  <c r="N926" i="9"/>
  <c r="N1038" i="9"/>
  <c r="N982" i="9"/>
  <c r="N885" i="9"/>
  <c r="N940" i="9"/>
  <c r="N959" i="9"/>
  <c r="N894" i="9"/>
  <c r="N867" i="9"/>
  <c r="N805" i="9"/>
  <c r="N1092" i="9"/>
  <c r="N858" i="9"/>
  <c r="N1006" i="9"/>
  <c r="N1027" i="9"/>
  <c r="N609" i="9"/>
  <c r="N561" i="9"/>
  <c r="N891" i="9"/>
  <c r="N552" i="9"/>
  <c r="N493" i="9"/>
  <c r="N459" i="9"/>
  <c r="N928" i="9"/>
  <c r="N816" i="9"/>
  <c r="N890" i="9"/>
  <c r="N528" i="9"/>
  <c r="N1034" i="9"/>
  <c r="N801" i="9"/>
  <c r="N701" i="9"/>
  <c r="N740" i="9"/>
  <c r="N428" i="9"/>
  <c r="N455" i="9"/>
  <c r="N287" i="9"/>
  <c r="N478" i="9"/>
  <c r="N870" i="9"/>
  <c r="N848" i="9"/>
  <c r="N682" i="9"/>
  <c r="N666" i="9"/>
  <c r="N475" i="9"/>
  <c r="N303" i="9"/>
  <c r="N218" i="9"/>
  <c r="N977" i="9"/>
  <c r="N209" i="9"/>
  <c r="N292" i="9"/>
  <c r="N280" i="9"/>
  <c r="N353" i="9"/>
  <c r="N521" i="9"/>
  <c r="N709" i="9"/>
  <c r="N905" i="9"/>
  <c r="N631" i="9"/>
  <c r="N839" i="9"/>
  <c r="N751" i="9"/>
  <c r="N950" i="9"/>
  <c r="N182" i="9"/>
  <c r="N187" i="9"/>
  <c r="N817" i="9"/>
  <c r="N545" i="9"/>
  <c r="N1121" i="9"/>
  <c r="N1064" i="9"/>
  <c r="N1075" i="9"/>
  <c r="N956" i="9"/>
  <c r="N1100" i="9"/>
  <c r="N999" i="9"/>
  <c r="N831" i="9"/>
  <c r="N881" i="9"/>
  <c r="N968" i="9"/>
  <c r="N1026" i="9"/>
  <c r="N835" i="9"/>
  <c r="N1049" i="9"/>
  <c r="N904" i="9"/>
  <c r="N1048" i="9"/>
  <c r="N627" i="9"/>
  <c r="N647" i="9"/>
  <c r="N589" i="9"/>
  <c r="N962" i="9"/>
  <c r="N952" i="9"/>
  <c r="N888" i="9"/>
  <c r="N946" i="9"/>
  <c r="N644" i="9"/>
  <c r="N878" i="9"/>
  <c r="N731" i="9"/>
  <c r="N1011" i="9"/>
  <c r="N437" i="9"/>
  <c r="N981" i="9"/>
  <c r="N1093" i="9"/>
  <c r="N680" i="9"/>
  <c r="N974" i="9"/>
  <c r="N636" i="9"/>
  <c r="N592" i="9"/>
  <c r="N481" i="9"/>
  <c r="N361" i="9"/>
  <c r="N681" i="9"/>
  <c r="N667" i="9"/>
  <c r="N583" i="9"/>
  <c r="N310" i="9"/>
  <c r="N522" i="9"/>
  <c r="N719" i="9"/>
  <c r="N351" i="9"/>
  <c r="N598" i="9"/>
  <c r="N648" i="9"/>
  <c r="N198" i="9"/>
  <c r="N517" i="9"/>
  <c r="N907" i="9"/>
  <c r="N724" i="9"/>
  <c r="N342" i="9"/>
  <c r="N771" i="9"/>
  <c r="N375" i="9"/>
  <c r="N560" i="9"/>
  <c r="N242" i="9"/>
  <c r="N399" i="9"/>
  <c r="N1039" i="9"/>
  <c r="N861" i="9"/>
  <c r="N1105" i="9"/>
  <c r="N1132" i="9"/>
  <c r="N941" i="9"/>
  <c r="N1087" i="9"/>
  <c r="N655" i="9"/>
  <c r="N859" i="9"/>
  <c r="N990" i="9"/>
  <c r="N685" i="9"/>
  <c r="N779" i="9"/>
  <c r="N997" i="9"/>
  <c r="N877" i="9"/>
  <c r="N679" i="9"/>
  <c r="N826" i="9"/>
  <c r="N868" i="9"/>
  <c r="N657" i="9"/>
  <c r="N984" i="9"/>
  <c r="N971" i="9"/>
  <c r="N1069" i="9"/>
  <c r="N371" i="9"/>
  <c r="N762" i="9"/>
  <c r="N473" i="9"/>
  <c r="N510" i="9"/>
  <c r="N800" i="9"/>
  <c r="N979" i="9"/>
  <c r="N691" i="9"/>
  <c r="N626" i="9"/>
  <c r="N791" i="9"/>
  <c r="N1029" i="9"/>
  <c r="N909" i="9"/>
  <c r="N789" i="9"/>
  <c r="N566" i="9"/>
  <c r="N1019" i="9"/>
  <c r="N790" i="9"/>
  <c r="N411" i="9"/>
  <c r="N324" i="9"/>
  <c r="N777" i="9"/>
  <c r="N246" i="9"/>
  <c r="N933" i="9"/>
  <c r="N376" i="9"/>
  <c r="N1080" i="9"/>
  <c r="N230" i="9"/>
  <c r="N359" i="9"/>
  <c r="N827" i="9"/>
  <c r="N957" i="9"/>
  <c r="N315" i="9"/>
  <c r="N383" i="9"/>
  <c r="N380" i="9"/>
  <c r="N185" i="9"/>
  <c r="N370" i="9"/>
  <c r="N507" i="9"/>
  <c r="N726" i="9"/>
  <c r="N899" i="9"/>
  <c r="N864" i="9"/>
  <c r="N1025" i="9"/>
  <c r="N461" i="9"/>
  <c r="N591" i="9"/>
  <c r="N336" i="9"/>
  <c r="N326" i="9"/>
  <c r="N369" i="9"/>
  <c r="N485" i="9"/>
  <c r="N1088" i="9"/>
  <c r="N989" i="9"/>
  <c r="N815" i="9"/>
  <c r="N958" i="9"/>
  <c r="N259" i="9"/>
  <c r="N260" i="9"/>
  <c r="N535" i="9"/>
  <c r="N464" i="9"/>
  <c r="N395" i="9"/>
  <c r="N394" i="9"/>
  <c r="N186" i="9"/>
  <c r="N530" i="9"/>
  <c r="N825" i="9"/>
  <c r="N1043" i="9"/>
  <c r="N492" i="9"/>
  <c r="N579" i="9"/>
  <c r="N328" i="9"/>
  <c r="N199" i="9"/>
  <c r="N597" i="9"/>
  <c r="N174" i="9"/>
  <c r="N693" i="9"/>
  <c r="N913" i="9"/>
  <c r="N760" i="9"/>
  <c r="N472" i="9"/>
  <c r="N372" i="9"/>
  <c r="N444" i="9"/>
  <c r="N249" i="9"/>
  <c r="N1086" i="9"/>
  <c r="N674" i="9"/>
  <c r="N737" i="9"/>
  <c r="N759" i="9"/>
  <c r="N713" i="9"/>
  <c r="N844" i="9"/>
  <c r="N348" i="9"/>
  <c r="N532" i="9"/>
  <c r="N551" i="9"/>
  <c r="N439" i="9"/>
  <c r="N401" i="9"/>
  <c r="N1084" i="9"/>
  <c r="N695" i="9"/>
  <c r="N935" i="9"/>
  <c r="N1072" i="9"/>
  <c r="N883" i="9"/>
  <c r="N836" i="9"/>
  <c r="N587" i="9"/>
  <c r="N911" i="9"/>
  <c r="N643" i="9"/>
  <c r="N356" i="9"/>
  <c r="N700" i="9"/>
  <c r="N269" i="9"/>
  <c r="N219" i="9"/>
  <c r="N1052" i="9"/>
  <c r="N615" i="9"/>
  <c r="N635" i="9"/>
  <c r="N938" i="9"/>
  <c r="N389" i="9"/>
  <c r="N761" i="9"/>
  <c r="N1018" i="9"/>
  <c r="N596" i="9"/>
  <c r="N746" i="9"/>
  <c r="N465" i="9"/>
  <c r="N227" i="9"/>
  <c r="N340" i="9"/>
  <c r="N1128" i="9"/>
  <c r="N1113" i="9"/>
  <c r="N1111" i="9"/>
  <c r="N1083" i="9"/>
  <c r="N1098" i="9"/>
  <c r="N842" i="9"/>
  <c r="N778" i="9"/>
  <c r="N768" i="9"/>
  <c r="N363" i="9"/>
  <c r="N317" i="9"/>
  <c r="N388" i="9"/>
  <c r="N309" i="9"/>
  <c r="N1134" i="9"/>
  <c r="N1107" i="9"/>
  <c r="N1109" i="9"/>
  <c r="N1123" i="9"/>
  <c r="N1127" i="9"/>
  <c r="N1129" i="9"/>
  <c r="N1024" i="9"/>
  <c r="N1068" i="9"/>
  <c r="N983" i="9"/>
  <c r="N993" i="9"/>
  <c r="N525" i="9"/>
  <c r="N547" i="9"/>
  <c r="N722" i="9"/>
  <c r="N449" i="9"/>
  <c r="N996" i="9"/>
  <c r="N291" i="9"/>
  <c r="N1118" i="9"/>
  <c r="N1126" i="9"/>
  <c r="N1119" i="9"/>
  <c r="N1130" i="9"/>
  <c r="N866" i="9"/>
  <c r="N1061" i="9"/>
  <c r="N715" i="9"/>
  <c r="N672" i="9"/>
  <c r="N752" i="9"/>
  <c r="N500" i="9"/>
  <c r="N970" i="9"/>
  <c r="N706" i="9"/>
  <c r="N765" i="9"/>
  <c r="N346" i="9"/>
  <c r="N595" i="9"/>
  <c r="N819" i="9"/>
  <c r="N850" i="9"/>
  <c r="N620" i="9"/>
  <c r="N456" i="9"/>
  <c r="N568" i="9"/>
  <c r="N327" i="9"/>
  <c r="N271" i="9"/>
  <c r="N334" i="9"/>
  <c r="N871" i="9"/>
  <c r="N838" i="9"/>
  <c r="N1047" i="9"/>
  <c r="N307" i="9"/>
  <c r="N531" i="9"/>
  <c r="N381" i="9"/>
  <c r="N299" i="9"/>
  <c r="N605" i="9"/>
  <c r="N238" i="9"/>
  <c r="N710" i="9"/>
  <c r="N803" i="9"/>
  <c r="N876" i="9"/>
  <c r="N804" i="9"/>
  <c r="N544" i="9"/>
  <c r="N320" i="9"/>
  <c r="N419" i="9"/>
  <c r="N471" i="9"/>
  <c r="N273" i="9"/>
  <c r="N585" i="9"/>
  <c r="N694" i="9"/>
  <c r="N226" i="9"/>
  <c r="N1016" i="9"/>
  <c r="N1017" i="9"/>
  <c r="N436" i="9"/>
  <c r="N364" i="9"/>
  <c r="N520" i="9"/>
  <c r="N557" i="9"/>
  <c r="N901" i="9"/>
  <c r="N390" i="9"/>
  <c r="N1013" i="9"/>
  <c r="N653" i="9"/>
  <c r="N755" i="9"/>
  <c r="N1009" i="9"/>
  <c r="N289" i="9"/>
  <c r="N1082" i="9"/>
  <c r="N270" i="9"/>
  <c r="N798" i="9"/>
  <c r="N177" i="9"/>
  <c r="N542" i="9"/>
  <c r="N268" i="9"/>
  <c r="N297" i="9"/>
  <c r="N251" i="9"/>
  <c r="N670" i="9"/>
  <c r="N624" i="9"/>
  <c r="N350" i="9"/>
  <c r="N341" i="9"/>
  <c r="N1115" i="9"/>
  <c r="N1125" i="9"/>
  <c r="N1133" i="9"/>
  <c r="N1124" i="9"/>
  <c r="N1120" i="9"/>
  <c r="N929" i="9"/>
  <c r="N1037" i="9"/>
  <c r="N921" i="9"/>
  <c r="N987" i="9"/>
  <c r="N1010" i="9"/>
  <c r="N976" i="9"/>
  <c r="N702" i="9"/>
  <c r="N692" i="9"/>
  <c r="N812" i="9"/>
  <c r="N953" i="9"/>
  <c r="N673" i="9"/>
  <c r="N491" i="9"/>
  <c r="N980" i="9"/>
  <c r="N994" i="9"/>
  <c r="N429" i="9"/>
  <c r="N716" i="9"/>
  <c r="N343" i="9"/>
  <c r="N656" i="9"/>
  <c r="N529" i="9"/>
  <c r="N837" i="9"/>
  <c r="N748" i="9"/>
  <c r="N1106" i="9"/>
  <c r="N1117" i="9"/>
  <c r="N1131" i="9"/>
  <c r="N780" i="9"/>
  <c r="N1110" i="9"/>
  <c r="N1108" i="9"/>
  <c r="N1067" i="9"/>
  <c r="N934" i="9"/>
  <c r="N1000" i="9"/>
  <c r="N845" i="9"/>
  <c r="N988" i="9"/>
  <c r="N893" i="9"/>
  <c r="N943" i="9"/>
  <c r="N948" i="9"/>
  <c r="N735" i="9"/>
  <c r="N1104" i="9"/>
  <c r="N767" i="9"/>
  <c r="N795" i="9"/>
  <c r="N884" i="9"/>
  <c r="N616" i="9"/>
  <c r="N919" i="9"/>
  <c r="N773" i="9"/>
  <c r="N282" i="9"/>
  <c r="N257" i="9"/>
  <c r="N630" i="9"/>
  <c r="N1055" i="9"/>
  <c r="N922" i="9"/>
  <c r="N936" i="9"/>
  <c r="N828" i="9"/>
  <c r="N1114" i="9"/>
  <c r="N1250" i="9"/>
  <c r="N1254" i="9"/>
  <c r="N1243" i="9"/>
  <c r="N1221" i="9"/>
  <c r="N1270" i="9"/>
  <c r="N1216" i="9"/>
  <c r="N1272" i="9"/>
  <c r="N1251" i="9"/>
  <c r="N1223" i="9"/>
  <c r="N1214" i="9"/>
  <c r="N1196" i="9"/>
  <c r="N1245" i="9"/>
  <c r="N1241" i="9"/>
  <c r="N1258" i="9"/>
  <c r="N1205" i="9"/>
  <c r="N1255" i="9"/>
  <c r="N1207" i="9"/>
  <c r="N1233" i="9"/>
  <c r="N1244" i="9"/>
  <c r="N1239" i="9"/>
  <c r="N1204" i="9"/>
  <c r="N1201" i="9"/>
  <c r="N1256" i="9"/>
  <c r="N1220" i="9"/>
  <c r="N1213" i="9"/>
  <c r="N1235" i="9"/>
  <c r="N1261" i="9"/>
  <c r="N1275" i="9"/>
  <c r="N1209" i="9"/>
  <c r="N1236" i="9"/>
  <c r="N1232" i="9"/>
  <c r="N1257" i="9"/>
  <c r="N1246" i="9"/>
  <c r="N1242" i="9"/>
  <c r="N1197" i="9"/>
  <c r="N1230" i="9"/>
  <c r="N1262" i="9"/>
  <c r="N1203" i="9"/>
  <c r="N1266" i="9"/>
  <c r="N1265" i="9"/>
  <c r="N1264" i="9"/>
  <c r="N1249" i="9"/>
  <c r="N1210" i="9"/>
  <c r="N1219" i="9"/>
  <c r="N1259" i="9"/>
  <c r="N1248" i="9"/>
  <c r="N1238" i="9"/>
  <c r="N1224" i="9"/>
  <c r="N1231" i="9"/>
  <c r="N1267" i="9"/>
  <c r="N1240" i="9"/>
  <c r="N1228" i="9"/>
  <c r="N1276" i="9"/>
  <c r="N1195" i="9"/>
  <c r="N1234" i="9"/>
  <c r="N1199" i="9"/>
  <c r="N1247" i="9"/>
  <c r="N1273" i="9"/>
  <c r="N1194" i="9"/>
  <c r="N1253" i="9"/>
  <c r="N1206" i="9"/>
  <c r="N1222" i="9"/>
  <c r="N1260" i="9"/>
  <c r="N1198" i="9"/>
  <c r="N1268" i="9"/>
  <c r="N1277" i="9"/>
  <c r="N1217" i="9"/>
  <c r="N1278" i="9"/>
  <c r="N1208" i="9"/>
  <c r="N1274" i="9"/>
  <c r="N1200" i="9"/>
  <c r="N1226" i="9"/>
  <c r="N1279" i="9"/>
  <c r="N1218" i="9"/>
  <c r="N1269" i="9"/>
  <c r="N1271" i="9"/>
  <c r="N1202" i="9"/>
  <c r="N1211" i="9"/>
  <c r="N1229" i="9"/>
  <c r="N1237" i="9"/>
  <c r="N1252" i="9"/>
  <c r="N1263" i="9"/>
  <c r="N1227" i="9"/>
  <c r="N1215" i="9"/>
  <c r="N1225" i="9"/>
  <c r="AA100" i="9"/>
  <c r="P1245" i="9"/>
  <c r="E1194" i="9"/>
  <c r="G1207" i="9"/>
  <c r="Q1207" i="9" s="1"/>
  <c r="G1270" i="9"/>
  <c r="Q1270" i="9" s="1"/>
  <c r="G1236" i="9"/>
  <c r="Q1236" i="9" s="1"/>
  <c r="G1279" i="9"/>
  <c r="Q1279" i="9" s="1"/>
  <c r="G1228" i="9"/>
  <c r="Q1228" i="9" s="1"/>
  <c r="G1267" i="9"/>
  <c r="Q1267" i="9" s="1"/>
  <c r="G1266" i="9"/>
  <c r="Q1266" i="9" s="1"/>
  <c r="G1224" i="9"/>
  <c r="Q1224" i="9" s="1"/>
  <c r="G1278" i="9"/>
  <c r="Q1278" i="9" s="1"/>
  <c r="G1242" i="9"/>
  <c r="Q1242" i="9" s="1"/>
  <c r="G1204" i="9"/>
  <c r="Q1204" i="9" s="1"/>
  <c r="G1260" i="9"/>
  <c r="Q1260" i="9" s="1"/>
  <c r="G1239" i="9"/>
  <c r="Q1239" i="9" s="1"/>
  <c r="G1229" i="9"/>
  <c r="Q1229" i="9" s="1"/>
  <c r="G1231" i="9"/>
  <c r="Q1231" i="9" s="1"/>
  <c r="G1276" i="9"/>
  <c r="Q1276" i="9" s="1"/>
  <c r="G1275" i="9"/>
  <c r="Q1275" i="9" s="1"/>
  <c r="G1251" i="9"/>
  <c r="Q1251" i="9" s="1"/>
  <c r="G1273" i="9"/>
  <c r="Q1273" i="9" s="1"/>
  <c r="G1258" i="9"/>
  <c r="Q1258" i="9" s="1"/>
  <c r="G1232" i="9"/>
  <c r="Q1232" i="9" s="1"/>
  <c r="G1209" i="9"/>
  <c r="Q1209" i="9" s="1"/>
  <c r="G1213" i="9"/>
  <c r="Q1213" i="9" s="1"/>
  <c r="G1197" i="9"/>
  <c r="Q1197" i="9" s="1"/>
  <c r="G1216" i="9"/>
  <c r="Q1216" i="9" s="1"/>
  <c r="G1202" i="9"/>
  <c r="Q1202" i="9" s="1"/>
  <c r="G1218" i="9"/>
  <c r="Q1218" i="9" s="1"/>
  <c r="G1230" i="9"/>
  <c r="Q1230" i="9" s="1"/>
  <c r="G1253" i="9"/>
  <c r="Q1253" i="9" s="1"/>
  <c r="G1268" i="9"/>
  <c r="Q1268" i="9" s="1"/>
  <c r="G1211" i="9"/>
  <c r="Q1211" i="9" s="1"/>
  <c r="G1244" i="9"/>
  <c r="Q1244" i="9" s="1"/>
  <c r="G1217" i="9"/>
  <c r="Q1217" i="9" s="1"/>
  <c r="G1226" i="9"/>
  <c r="Q1226" i="9" s="1"/>
  <c r="G1203" i="9"/>
  <c r="Q1203" i="9" s="1"/>
  <c r="G1221" i="9"/>
  <c r="Q1221" i="9" s="1"/>
  <c r="G1210" i="9"/>
  <c r="Q1210" i="9" s="1"/>
  <c r="G1196" i="9"/>
  <c r="Q1196" i="9" s="1"/>
  <c r="G1254" i="9"/>
  <c r="Q1254" i="9" s="1"/>
  <c r="G1214" i="9"/>
  <c r="Q1214" i="9" s="1"/>
  <c r="G1243" i="9"/>
  <c r="Q1243" i="9" s="1"/>
  <c r="G1215" i="9"/>
  <c r="Q1215" i="9" s="1"/>
  <c r="G1264" i="9"/>
  <c r="Q1264" i="9" s="1"/>
  <c r="G1227" i="9"/>
  <c r="Q1227" i="9" s="1"/>
  <c r="G1205" i="9"/>
  <c r="Q1205" i="9" s="1"/>
  <c r="G1225" i="9"/>
  <c r="Q1225" i="9" s="1"/>
  <c r="G1195" i="9"/>
  <c r="Q1195" i="9" s="1"/>
  <c r="G1271" i="9"/>
  <c r="Q1271" i="9" s="1"/>
  <c r="G1265" i="9"/>
  <c r="Q1265" i="9" s="1"/>
  <c r="G1222" i="9"/>
  <c r="Q1222" i="9" s="1"/>
  <c r="G1201" i="9"/>
  <c r="Q1201" i="9" s="1"/>
  <c r="G1223" i="9"/>
  <c r="Q1223" i="9" s="1"/>
  <c r="G1249" i="9"/>
  <c r="Q1249" i="9" s="1"/>
  <c r="G1277" i="9"/>
  <c r="Q1277" i="9" s="1"/>
  <c r="G1255" i="9"/>
  <c r="Q1255" i="9" s="1"/>
  <c r="G1212" i="9"/>
  <c r="Q1212" i="9" s="1"/>
  <c r="G1257" i="9"/>
  <c r="Q1257" i="9" s="1"/>
  <c r="G1219" i="9"/>
  <c r="Q1219" i="9" s="1"/>
  <c r="G1263" i="9"/>
  <c r="Q1263" i="9" s="1"/>
  <c r="G1220" i="9"/>
  <c r="Q1220" i="9" s="1"/>
  <c r="G1200" i="9"/>
  <c r="Q1200" i="9" s="1"/>
  <c r="G1208" i="9"/>
  <c r="Q1208" i="9" s="1"/>
  <c r="G1198" i="9"/>
  <c r="Q1198" i="9" s="1"/>
  <c r="G1206" i="9"/>
  <c r="Q1206" i="9" s="1"/>
  <c r="G1261" i="9"/>
  <c r="Q1261" i="9" s="1"/>
  <c r="G1252" i="9"/>
  <c r="Q1252" i="9" s="1"/>
  <c r="G1247" i="9"/>
  <c r="Q1247" i="9" s="1"/>
  <c r="G1272" i="9"/>
  <c r="Q1272" i="9" s="1"/>
  <c r="G1246" i="9"/>
  <c r="Q1246" i="9" s="1"/>
  <c r="G1238" i="9"/>
  <c r="Q1238" i="9" s="1"/>
  <c r="G1248" i="9"/>
  <c r="Q1248" i="9" s="1"/>
  <c r="G1262" i="9"/>
  <c r="Q1262" i="9" s="1"/>
  <c r="G1237" i="9"/>
  <c r="Q1237" i="9" s="1"/>
  <c r="G1274" i="9"/>
  <c r="Q1274" i="9" s="1"/>
  <c r="G1245" i="9"/>
  <c r="Q1245" i="9" s="1"/>
  <c r="G1256" i="9"/>
  <c r="Q1256" i="9" s="1"/>
  <c r="G1241" i="9"/>
  <c r="Q1241" i="9" s="1"/>
  <c r="G1235" i="9"/>
  <c r="Q1235" i="9" s="1"/>
  <c r="G1233" i="9"/>
  <c r="Q1233" i="9" s="1"/>
  <c r="G1269" i="9"/>
  <c r="Q1269" i="9" s="1"/>
  <c r="G1240" i="9"/>
  <c r="Q1240" i="9" s="1"/>
  <c r="G1234" i="9"/>
  <c r="Q1234" i="9" s="1"/>
  <c r="G1199" i="9"/>
  <c r="Q1199" i="9" s="1"/>
  <c r="G1259" i="9"/>
  <c r="Q1259" i="9" s="1"/>
  <c r="G1250" i="9"/>
  <c r="Q1250" i="9" s="1"/>
  <c r="P1036" i="9"/>
  <c r="P652" i="9"/>
  <c r="P716" i="9"/>
  <c r="P809" i="9"/>
  <c r="P1048" i="9"/>
  <c r="P704" i="9"/>
  <c r="P927" i="9"/>
  <c r="P1006" i="9"/>
  <c r="P828" i="9"/>
  <c r="P707" i="9"/>
  <c r="P819" i="9"/>
  <c r="P905" i="9"/>
  <c r="P960" i="9"/>
  <c r="P768" i="9"/>
  <c r="P783" i="9"/>
  <c r="P655" i="9"/>
  <c r="P996" i="9"/>
  <c r="P964" i="9"/>
  <c r="P1060" i="9"/>
  <c r="P897" i="9"/>
  <c r="P769" i="9"/>
  <c r="P1024" i="9"/>
  <c r="P824" i="9"/>
  <c r="P968" i="9"/>
  <c r="P756" i="9"/>
  <c r="P659" i="9"/>
  <c r="P844" i="9"/>
  <c r="P657" i="9"/>
  <c r="P871" i="9"/>
  <c r="P711" i="9"/>
  <c r="P987" i="9"/>
  <c r="P1065" i="9"/>
  <c r="P1103" i="9"/>
  <c r="P974" i="9"/>
  <c r="P1041" i="9"/>
  <c r="P654" i="9"/>
  <c r="P446" i="9"/>
  <c r="P746" i="9"/>
  <c r="P862" i="9"/>
  <c r="P286" i="9"/>
  <c r="P1102" i="9"/>
  <c r="P893" i="9"/>
  <c r="P685" i="9"/>
  <c r="P450" i="9"/>
  <c r="P1067" i="9"/>
  <c r="P1035" i="9"/>
  <c r="P646" i="9"/>
  <c r="P398" i="9"/>
  <c r="P625" i="9"/>
  <c r="P814" i="9"/>
  <c r="P350" i="9"/>
  <c r="P198" i="9"/>
  <c r="P917" i="9"/>
  <c r="P789" i="9"/>
  <c r="P962" i="9"/>
  <c r="P442" i="9"/>
  <c r="P932" i="9"/>
  <c r="P622" i="9"/>
  <c r="P922" i="9"/>
  <c r="P362" i="9"/>
  <c r="P218" i="9"/>
  <c r="P1101" i="9"/>
  <c r="P595" i="9"/>
  <c r="P669" i="9"/>
  <c r="P472" i="9"/>
  <c r="P647" i="9"/>
  <c r="P407" i="9"/>
  <c r="P645" i="9"/>
  <c r="P389" i="9"/>
  <c r="P213" i="9"/>
  <c r="P786" i="9"/>
  <c r="P329" i="9"/>
  <c r="P201" i="9"/>
  <c r="P504" i="9"/>
  <c r="P264" i="9"/>
  <c r="P1050" i="9"/>
  <c r="P495" i="9"/>
  <c r="P578" i="9"/>
  <c r="P473" i="9"/>
  <c r="P529" i="9"/>
  <c r="P306" i="9"/>
  <c r="P400" i="9"/>
  <c r="P447" i="9"/>
  <c r="P1082" i="9"/>
  <c r="P253" i="9"/>
  <c r="P1077" i="9"/>
  <c r="P433" i="9"/>
  <c r="P273" i="9"/>
  <c r="P640" i="9"/>
  <c r="P320" i="9"/>
  <c r="P192" i="9"/>
  <c r="P551" i="9"/>
  <c r="P379" i="9"/>
  <c r="P413" i="9"/>
  <c r="P482" i="9"/>
  <c r="P576" i="9"/>
  <c r="P339" i="9"/>
  <c r="P501" i="9"/>
  <c r="P826" i="9"/>
  <c r="P361" i="9"/>
  <c r="P295" i="9"/>
  <c r="P738" i="9"/>
  <c r="P211" i="9"/>
  <c r="P628" i="9"/>
  <c r="P493" i="9"/>
  <c r="P324" i="9"/>
  <c r="P271" i="9"/>
  <c r="P730" i="9"/>
  <c r="P484" i="9"/>
  <c r="P589" i="9"/>
  <c r="P260" i="9"/>
  <c r="P770" i="9"/>
  <c r="P396" i="9"/>
  <c r="P228" i="9"/>
  <c r="P604" i="9"/>
  <c r="P300" i="9"/>
  <c r="P172" i="9"/>
  <c r="P780" i="9"/>
  <c r="P979" i="9"/>
  <c r="P969" i="9"/>
  <c r="P793" i="9"/>
  <c r="P1032" i="9"/>
  <c r="P688" i="9"/>
  <c r="P911" i="9"/>
  <c r="P990" i="9"/>
  <c r="P724" i="9"/>
  <c r="P667" i="9"/>
  <c r="P755" i="9"/>
  <c r="P761" i="9"/>
  <c r="P896" i="9"/>
  <c r="P752" i="9"/>
  <c r="P767" i="9"/>
  <c r="P886" i="9"/>
  <c r="P700" i="9"/>
  <c r="P764" i="9"/>
  <c r="P980" i="9"/>
  <c r="P881" i="9"/>
  <c r="P689" i="9"/>
  <c r="P1008" i="9"/>
  <c r="P808" i="9"/>
  <c r="P951" i="9"/>
  <c r="P875" i="9"/>
  <c r="P860" i="9"/>
  <c r="P796" i="9"/>
  <c r="P976" i="9"/>
  <c r="P855" i="9"/>
  <c r="P695" i="9"/>
  <c r="P940" i="9"/>
  <c r="P1049" i="9"/>
  <c r="P1087" i="9"/>
  <c r="P958" i="9"/>
  <c r="P936" i="9"/>
  <c r="P574" i="9"/>
  <c r="P430" i="9"/>
  <c r="P633" i="9"/>
  <c r="P830" i="9"/>
  <c r="P262" i="9"/>
  <c r="P1070" i="9"/>
  <c r="P861" i="9"/>
  <c r="P235" i="9"/>
  <c r="P434" i="9"/>
  <c r="P1059" i="9"/>
  <c r="P1027" i="9"/>
  <c r="P526" i="9"/>
  <c r="P382" i="9"/>
  <c r="P609" i="9"/>
  <c r="P790" i="9"/>
  <c r="P326" i="9"/>
  <c r="P182" i="9"/>
  <c r="P901" i="9"/>
  <c r="P773" i="9"/>
  <c r="P690" i="9"/>
  <c r="P426" i="9"/>
  <c r="P1057" i="9"/>
  <c r="P757" i="9"/>
  <c r="P834" i="9"/>
  <c r="P346" i="9"/>
  <c r="P202" i="9"/>
  <c r="P1085" i="9"/>
  <c r="P499" i="9"/>
  <c r="P403" i="9"/>
  <c r="P456" i="9"/>
  <c r="P631" i="9"/>
  <c r="P391" i="9"/>
  <c r="P629" i="9"/>
  <c r="P325" i="9"/>
  <c r="P197" i="9"/>
  <c r="P278" i="9"/>
  <c r="P313" i="9"/>
  <c r="P185" i="9"/>
  <c r="P488" i="9"/>
  <c r="P248" i="9"/>
  <c r="P970" i="9"/>
  <c r="P351" i="9"/>
  <c r="P514" i="9"/>
  <c r="P1093" i="9"/>
  <c r="P513" i="9"/>
  <c r="P242" i="9"/>
  <c r="P384" i="9"/>
  <c r="P431" i="9"/>
  <c r="P1002" i="9"/>
  <c r="P237" i="9"/>
  <c r="P1013" i="9"/>
  <c r="P417" i="9"/>
  <c r="P257" i="9"/>
  <c r="P624" i="9"/>
  <c r="P304" i="9"/>
  <c r="P176" i="9"/>
  <c r="P535" i="9"/>
  <c r="P637" i="9"/>
  <c r="P397" i="9"/>
  <c r="P354" i="9"/>
  <c r="P560" i="9"/>
  <c r="P818" i="9"/>
  <c r="P485" i="9"/>
  <c r="P585" i="9"/>
  <c r="P345" i="9"/>
  <c r="P279" i="9"/>
  <c r="P491" i="9"/>
  <c r="P1066" i="9"/>
  <c r="P292" i="9"/>
  <c r="P387" i="9"/>
  <c r="P212" i="9"/>
  <c r="P207" i="9"/>
  <c r="P596" i="9"/>
  <c r="P436" i="9"/>
  <c r="P525" i="9"/>
  <c r="P587" i="9"/>
  <c r="P682" i="9"/>
  <c r="P380" i="9"/>
  <c r="P600" i="9"/>
  <c r="P588" i="9"/>
  <c r="P284" i="9"/>
  <c r="P341" i="9"/>
  <c r="P660" i="9"/>
  <c r="P947" i="9"/>
  <c r="P953" i="9"/>
  <c r="P777" i="9"/>
  <c r="P1016" i="9"/>
  <c r="P672" i="9"/>
  <c r="P895" i="9"/>
  <c r="P942" i="9"/>
  <c r="P891" i="9"/>
  <c r="P651" i="9"/>
  <c r="P723" i="9"/>
  <c r="P745" i="9"/>
  <c r="P880" i="9"/>
  <c r="P736" i="9"/>
  <c r="P751" i="9"/>
  <c r="P870" i="9"/>
  <c r="P971" i="9"/>
  <c r="P708" i="9"/>
  <c r="P676" i="9"/>
  <c r="P865" i="9"/>
  <c r="P1068" i="9"/>
  <c r="P992" i="9"/>
  <c r="P792" i="9"/>
  <c r="P935" i="9"/>
  <c r="P843" i="9"/>
  <c r="P812" i="9"/>
  <c r="P740" i="9"/>
  <c r="P744" i="9"/>
  <c r="P839" i="9"/>
  <c r="P679" i="9"/>
  <c r="P1075" i="9"/>
  <c r="P1033" i="9"/>
  <c r="P1071" i="9"/>
  <c r="P918" i="9"/>
  <c r="P1095" i="9"/>
  <c r="P558" i="9"/>
  <c r="P414" i="9"/>
  <c r="P617" i="9"/>
  <c r="P798" i="9"/>
  <c r="P246" i="9"/>
  <c r="P1030" i="9"/>
  <c r="P845" i="9"/>
  <c r="P1098" i="9"/>
  <c r="P418" i="9"/>
  <c r="P1089" i="9"/>
  <c r="P1073" i="9"/>
  <c r="P510" i="9"/>
  <c r="P366" i="9"/>
  <c r="P791" i="9"/>
  <c r="P734" i="9"/>
  <c r="P310" i="9"/>
  <c r="P1084" i="9"/>
  <c r="P885" i="9"/>
  <c r="P693" i="9"/>
  <c r="P570" i="9"/>
  <c r="P410" i="9"/>
  <c r="P993" i="9"/>
  <c r="P741" i="9"/>
  <c r="P214" i="9"/>
  <c r="P314" i="9"/>
  <c r="P186" i="9"/>
  <c r="P1069" i="9"/>
  <c r="P331" i="9"/>
  <c r="P650" i="9"/>
  <c r="P440" i="9"/>
  <c r="P615" i="9"/>
  <c r="P375" i="9"/>
  <c r="P613" i="9"/>
  <c r="P309" i="9"/>
  <c r="P181" i="9"/>
  <c r="P457" i="9"/>
  <c r="P297" i="9"/>
  <c r="P291" i="9"/>
  <c r="P360" i="9"/>
  <c r="P232" i="9"/>
  <c r="P591" i="9"/>
  <c r="P611" i="9"/>
  <c r="P322" i="9"/>
  <c r="P1029" i="9"/>
  <c r="P497" i="9"/>
  <c r="P251" i="9"/>
  <c r="P368" i="9"/>
  <c r="P415" i="9"/>
  <c r="P778" i="9"/>
  <c r="P221" i="9"/>
  <c r="P547" i="9"/>
  <c r="P401" i="9"/>
  <c r="P241" i="9"/>
  <c r="P608" i="9"/>
  <c r="P288" i="9"/>
  <c r="P323" i="9"/>
  <c r="P519" i="9"/>
  <c r="P621" i="9"/>
  <c r="P381" i="9"/>
  <c r="P290" i="9"/>
  <c r="P544" i="9"/>
  <c r="P597" i="9"/>
  <c r="P702" i="9"/>
  <c r="P569" i="9"/>
  <c r="P507" i="9"/>
  <c r="P263" i="9"/>
  <c r="P754" i="9"/>
  <c r="P986" i="9"/>
  <c r="P196" i="9"/>
  <c r="P698" i="9"/>
  <c r="P644" i="9"/>
  <c r="P357" i="9"/>
  <c r="P580" i="9"/>
  <c r="P363" i="9"/>
  <c r="P435" i="9"/>
  <c r="P319" i="9"/>
  <c r="P406" i="9"/>
  <c r="P364" i="9"/>
  <c r="P573" i="9"/>
  <c r="P572" i="9"/>
  <c r="P268" i="9"/>
  <c r="P632" i="9"/>
  <c r="P955" i="9"/>
  <c r="P915" i="9"/>
  <c r="P889" i="9"/>
  <c r="P681" i="9"/>
  <c r="P1000" i="9"/>
  <c r="P656" i="9"/>
  <c r="P879" i="9"/>
  <c r="P854" i="9"/>
  <c r="P859" i="9"/>
  <c r="P892" i="9"/>
  <c r="P868" i="9"/>
  <c r="P729" i="9"/>
  <c r="P864" i="9"/>
  <c r="P863" i="9"/>
  <c r="P735" i="9"/>
  <c r="P774" i="9"/>
  <c r="P939" i="9"/>
  <c r="P963" i="9"/>
  <c r="P977" i="9"/>
  <c r="P849" i="9"/>
  <c r="P668" i="9"/>
  <c r="P952" i="9"/>
  <c r="P776" i="9"/>
  <c r="P919" i="9"/>
  <c r="P811" i="9"/>
  <c r="P867" i="9"/>
  <c r="P753" i="9"/>
  <c r="P728" i="9"/>
  <c r="P823" i="9"/>
  <c r="P663" i="9"/>
  <c r="P1043" i="9"/>
  <c r="P1017" i="9"/>
  <c r="P1055" i="9"/>
  <c r="P902" i="9"/>
  <c r="P1031" i="9"/>
  <c r="P542" i="9"/>
  <c r="P390" i="9"/>
  <c r="P601" i="9"/>
  <c r="P670" i="9"/>
  <c r="P230" i="9"/>
  <c r="P973" i="9"/>
  <c r="P829" i="9"/>
  <c r="P1010" i="9"/>
  <c r="P402" i="9"/>
  <c r="P1025" i="9"/>
  <c r="P1009" i="9"/>
  <c r="P494" i="9"/>
  <c r="P981" i="9"/>
  <c r="P1014" i="9"/>
  <c r="P662" i="9"/>
  <c r="P294" i="9"/>
  <c r="P684" i="9"/>
  <c r="P869" i="9"/>
  <c r="P677" i="9"/>
  <c r="P554" i="9"/>
  <c r="P394" i="9"/>
  <c r="P1047" i="9"/>
  <c r="P725" i="9"/>
  <c r="P634" i="9"/>
  <c r="P298" i="9"/>
  <c r="P170" i="9"/>
  <c r="P1053" i="9"/>
  <c r="P586" i="9"/>
  <c r="P530" i="9"/>
  <c r="P424" i="9"/>
  <c r="P599" i="9"/>
  <c r="P267" i="9"/>
  <c r="P469" i="9"/>
  <c r="P293" i="9"/>
  <c r="P926" i="9"/>
  <c r="P441" i="9"/>
  <c r="P281" i="9"/>
  <c r="P584" i="9"/>
  <c r="P344" i="9"/>
  <c r="P216" i="9"/>
  <c r="P575" i="9"/>
  <c r="P419" i="9"/>
  <c r="P258" i="9"/>
  <c r="P994" i="9"/>
  <c r="P481" i="9"/>
  <c r="P593" i="9"/>
  <c r="P842" i="9"/>
  <c r="P399" i="9"/>
  <c r="P333" i="9"/>
  <c r="P205" i="9"/>
  <c r="P498" i="9"/>
  <c r="P385" i="9"/>
  <c r="P225" i="9"/>
  <c r="P592" i="9"/>
  <c r="P272" i="9"/>
  <c r="P227" i="9"/>
  <c r="P503" i="9"/>
  <c r="P605" i="9"/>
  <c r="P334" i="9"/>
  <c r="P226" i="9"/>
  <c r="P528" i="9"/>
  <c r="P581" i="9"/>
  <c r="P630" i="9"/>
  <c r="P553" i="9"/>
  <c r="P539" i="9"/>
  <c r="P247" i="9"/>
  <c r="P303" i="9"/>
  <c r="P508" i="9"/>
  <c r="P648" i="9"/>
  <c r="P287" i="9"/>
  <c r="P276" i="9"/>
  <c r="P762" i="9"/>
  <c r="P564" i="9"/>
  <c r="P308" i="9"/>
  <c r="P223" i="9"/>
  <c r="P255" i="9"/>
  <c r="P476" i="9"/>
  <c r="P347" i="9"/>
  <c r="P509" i="9"/>
  <c r="P556" i="9"/>
  <c r="P252" i="9"/>
  <c r="P541" i="9"/>
  <c r="P923" i="9"/>
  <c r="P883" i="9"/>
  <c r="P873" i="9"/>
  <c r="P1004" i="9"/>
  <c r="P984" i="9"/>
  <c r="P1104" i="9"/>
  <c r="P692" i="9"/>
  <c r="P838" i="9"/>
  <c r="P827" i="9"/>
  <c r="P836" i="9"/>
  <c r="P820" i="9"/>
  <c r="P713" i="9"/>
  <c r="P848" i="9"/>
  <c r="P847" i="9"/>
  <c r="P719" i="9"/>
  <c r="P758" i="9"/>
  <c r="P907" i="9"/>
  <c r="P931" i="9"/>
  <c r="P961" i="9"/>
  <c r="P833" i="9"/>
  <c r="P1088" i="9"/>
  <c r="P888" i="9"/>
  <c r="P760" i="9"/>
  <c r="P903" i="9"/>
  <c r="P779" i="9"/>
  <c r="P835" i="9"/>
  <c r="P737" i="9"/>
  <c r="P664" i="9"/>
  <c r="P807" i="9"/>
  <c r="P924" i="9"/>
  <c r="P1011" i="9"/>
  <c r="P1001" i="9"/>
  <c r="P1039" i="9"/>
  <c r="P972" i="9"/>
  <c r="P775" i="9"/>
  <c r="P518" i="9"/>
  <c r="P374" i="9"/>
  <c r="P1038" i="9"/>
  <c r="P590" i="9"/>
  <c r="P206" i="9"/>
  <c r="P957" i="9"/>
  <c r="P813" i="9"/>
  <c r="P642" i="9"/>
  <c r="P386" i="9"/>
  <c r="P920" i="9"/>
  <c r="P904" i="9"/>
  <c r="P478" i="9"/>
  <c r="P965" i="9"/>
  <c r="P982" i="9"/>
  <c r="P606" i="9"/>
  <c r="P270" i="9"/>
  <c r="P1086" i="9"/>
  <c r="P853" i="9"/>
  <c r="P661" i="9"/>
  <c r="P538" i="9"/>
  <c r="P378" i="9"/>
  <c r="P983" i="9"/>
  <c r="P709" i="9"/>
  <c r="P618" i="9"/>
  <c r="P282" i="9"/>
  <c r="P934" i="9"/>
  <c r="P1037" i="9"/>
  <c r="P330" i="9"/>
  <c r="P274" i="9"/>
  <c r="P408" i="9"/>
  <c r="P471" i="9"/>
  <c r="P187" i="9"/>
  <c r="P453" i="9"/>
  <c r="P277" i="9"/>
  <c r="P1045" i="9"/>
  <c r="P425" i="9"/>
  <c r="P265" i="9"/>
  <c r="P568" i="9"/>
  <c r="P328" i="9"/>
  <c r="P200" i="9"/>
  <c r="P559" i="9"/>
  <c r="P938" i="9"/>
  <c r="P194" i="9"/>
  <c r="P866" i="9"/>
  <c r="P353" i="9"/>
  <c r="P464" i="9"/>
  <c r="P639" i="9"/>
  <c r="P383" i="9"/>
  <c r="P317" i="9"/>
  <c r="P189" i="9"/>
  <c r="P178" i="9"/>
  <c r="P337" i="9"/>
  <c r="P209" i="9"/>
  <c r="P512" i="9"/>
  <c r="P256" i="9"/>
  <c r="P1090" i="9"/>
  <c r="P487" i="9"/>
  <c r="P477" i="9"/>
  <c r="P877" i="9"/>
  <c r="P954" i="9"/>
  <c r="P336" i="9"/>
  <c r="P565" i="9"/>
  <c r="P1061" i="9"/>
  <c r="P537" i="9"/>
  <c r="P874" i="9"/>
  <c r="P231" i="9"/>
  <c r="P239" i="9"/>
  <c r="P492" i="9"/>
  <c r="P451" i="9"/>
  <c r="P858" i="9"/>
  <c r="P555" i="9"/>
  <c r="P259" i="9"/>
  <c r="P548" i="9"/>
  <c r="P180" i="9"/>
  <c r="P468" i="9"/>
  <c r="P191" i="9"/>
  <c r="P460" i="9"/>
  <c r="P372" i="9"/>
  <c r="P349" i="9"/>
  <c r="P540" i="9"/>
  <c r="P236" i="9"/>
  <c r="P598" i="9"/>
  <c r="P1052" i="9"/>
  <c r="P1100" i="9"/>
  <c r="P841" i="9"/>
  <c r="P1080" i="9"/>
  <c r="P800" i="9"/>
  <c r="P959" i="9"/>
  <c r="P1046" i="9"/>
  <c r="P806" i="9"/>
  <c r="P763" i="9"/>
  <c r="P732" i="9"/>
  <c r="P937" i="9"/>
  <c r="P665" i="9"/>
  <c r="P816" i="9"/>
  <c r="P815" i="9"/>
  <c r="P687" i="9"/>
  <c r="P726" i="9"/>
  <c r="P1092" i="9"/>
  <c r="P771" i="9"/>
  <c r="P929" i="9"/>
  <c r="P801" i="9"/>
  <c r="P1056" i="9"/>
  <c r="P856" i="9"/>
  <c r="P696" i="9"/>
  <c r="P852" i="9"/>
  <c r="P715" i="9"/>
  <c r="P739" i="9"/>
  <c r="P705" i="9"/>
  <c r="P967" i="9"/>
  <c r="P743" i="9"/>
  <c r="P1051" i="9"/>
  <c r="P1097" i="9"/>
  <c r="P928" i="9"/>
  <c r="P1007" i="9"/>
  <c r="P1099" i="9"/>
  <c r="P782" i="9"/>
  <c r="P486" i="9"/>
  <c r="P475" i="9"/>
  <c r="P966" i="9"/>
  <c r="P318" i="9"/>
  <c r="P174" i="9"/>
  <c r="P925" i="9"/>
  <c r="P781" i="9"/>
  <c r="P610" i="9"/>
  <c r="P523" i="9"/>
  <c r="P1015" i="9"/>
  <c r="P999" i="9"/>
  <c r="P438" i="9"/>
  <c r="P443" i="9"/>
  <c r="P878" i="9"/>
  <c r="P566" i="9"/>
  <c r="P238" i="9"/>
  <c r="P949" i="9"/>
  <c r="P821" i="9"/>
  <c r="P195" i="9"/>
  <c r="P474" i="9"/>
  <c r="P916" i="9"/>
  <c r="P750" i="9"/>
  <c r="P459" i="9"/>
  <c r="P506" i="9"/>
  <c r="P250" i="9"/>
  <c r="P694" i="9"/>
  <c r="P1005" i="9"/>
  <c r="P614" i="9"/>
  <c r="P1034" i="9"/>
  <c r="P376" i="9"/>
  <c r="P439" i="9"/>
  <c r="P978" i="9"/>
  <c r="P421" i="9"/>
  <c r="P245" i="9"/>
  <c r="P338" i="9"/>
  <c r="P393" i="9"/>
  <c r="P233" i="9"/>
  <c r="P536" i="9"/>
  <c r="P296" i="9"/>
  <c r="P275" i="9"/>
  <c r="P527" i="9"/>
  <c r="P717" i="9"/>
  <c r="P179" i="9"/>
  <c r="P561" i="9"/>
  <c r="P802" i="9"/>
  <c r="P432" i="9"/>
  <c r="P607" i="9"/>
  <c r="P315" i="9"/>
  <c r="P285" i="9"/>
  <c r="P1094" i="9"/>
  <c r="P465" i="9"/>
  <c r="P305" i="9"/>
  <c r="P177" i="9"/>
  <c r="P480" i="9"/>
  <c r="P224" i="9"/>
  <c r="P583" i="9"/>
  <c r="P343" i="9"/>
  <c r="P445" i="9"/>
  <c r="P722" i="9"/>
  <c r="P369" i="9"/>
  <c r="P658" i="9"/>
  <c r="P533" i="9"/>
  <c r="P219" i="9"/>
  <c r="P505" i="9"/>
  <c r="P327" i="9"/>
  <c r="P199" i="9"/>
  <c r="P579" i="9"/>
  <c r="P420" i="9"/>
  <c r="P563" i="9"/>
  <c r="P452" i="9"/>
  <c r="P342" i="9"/>
  <c r="P1026" i="9"/>
  <c r="P516" i="9"/>
  <c r="P635" i="9"/>
  <c r="P531" i="9"/>
  <c r="P914" i="9"/>
  <c r="P428" i="9"/>
  <c r="P810" i="9"/>
  <c r="P636" i="9"/>
  <c r="P348" i="9"/>
  <c r="P204" i="9"/>
  <c r="P244" i="9"/>
  <c r="F169" i="9"/>
  <c r="P169" i="9" s="1"/>
  <c r="P988" i="9"/>
  <c r="P1012" i="9"/>
  <c r="P825" i="9"/>
  <c r="P1064" i="9"/>
  <c r="P720" i="9"/>
  <c r="P943" i="9"/>
  <c r="P1022" i="9"/>
  <c r="P876" i="9"/>
  <c r="P731" i="9"/>
  <c r="P851" i="9"/>
  <c r="P921" i="9"/>
  <c r="P649" i="9"/>
  <c r="P784" i="9"/>
  <c r="P799" i="9"/>
  <c r="P671" i="9"/>
  <c r="P1076" i="9"/>
  <c r="P1020" i="9"/>
  <c r="P675" i="9"/>
  <c r="P913" i="9"/>
  <c r="P785" i="9"/>
  <c r="P1040" i="9"/>
  <c r="P840" i="9"/>
  <c r="P680" i="9"/>
  <c r="P804" i="9"/>
  <c r="P699" i="9"/>
  <c r="P884" i="9"/>
  <c r="P673" i="9"/>
  <c r="P887" i="9"/>
  <c r="P727" i="9"/>
  <c r="P1019" i="9"/>
  <c r="P1081" i="9"/>
  <c r="P912" i="9"/>
  <c r="P991" i="9"/>
  <c r="P1091" i="9"/>
  <c r="P710" i="9"/>
  <c r="P462" i="9"/>
  <c r="P395" i="9"/>
  <c r="P894" i="9"/>
  <c r="P302" i="9"/>
  <c r="P1028" i="9"/>
  <c r="P909" i="9"/>
  <c r="P822" i="9"/>
  <c r="P742" i="9"/>
  <c r="P900" i="9"/>
  <c r="P985" i="9"/>
  <c r="P190" i="9"/>
  <c r="P1079" i="9"/>
  <c r="P950" i="9"/>
  <c r="P837" i="9"/>
  <c r="P1062" i="9"/>
  <c r="P766" i="9"/>
  <c r="P392" i="9"/>
  <c r="P261" i="9"/>
  <c r="P552" i="9"/>
  <c r="P373" i="9"/>
  <c r="P448" i="9"/>
  <c r="P173" i="9"/>
  <c r="P496" i="9"/>
  <c r="P461" i="9"/>
  <c r="P549" i="9"/>
  <c r="P215" i="9"/>
  <c r="P890" i="9"/>
  <c r="P616" i="9"/>
  <c r="P603" i="9"/>
  <c r="P340" i="9"/>
  <c r="P1116" i="9"/>
  <c r="P1127" i="9"/>
  <c r="P691" i="9"/>
  <c r="P795" i="9"/>
  <c r="P683" i="9"/>
  <c r="P747" i="9"/>
  <c r="P1023" i="9"/>
  <c r="P941" i="9"/>
  <c r="P948" i="9"/>
  <c r="P846" i="9"/>
  <c r="P805" i="9"/>
  <c r="P678" i="9"/>
  <c r="P638" i="9"/>
  <c r="P794" i="9"/>
  <c r="P229" i="9"/>
  <c r="P520" i="9"/>
  <c r="P653" i="9"/>
  <c r="P416" i="9"/>
  <c r="P910" i="9"/>
  <c r="P352" i="9"/>
  <c r="P429" i="9"/>
  <c r="P517" i="9"/>
  <c r="P183" i="9"/>
  <c r="P404" i="9"/>
  <c r="P470" i="9"/>
  <c r="P356" i="9"/>
  <c r="P1120" i="9"/>
  <c r="P1105" i="9"/>
  <c r="P1131" i="9"/>
  <c r="P1114" i="9"/>
  <c r="P1110" i="9"/>
  <c r="P787" i="9"/>
  <c r="P788" i="9"/>
  <c r="P899" i="9"/>
  <c r="P803" i="9"/>
  <c r="P956" i="9"/>
  <c r="P797" i="9"/>
  <c r="P1063" i="9"/>
  <c r="P582" i="9"/>
  <c r="P283" i="9"/>
  <c r="P643" i="9"/>
  <c r="P1021" i="9"/>
  <c r="P455" i="9"/>
  <c r="P594" i="9"/>
  <c r="P312" i="9"/>
  <c r="P571" i="9"/>
  <c r="P623" i="9"/>
  <c r="P1074" i="9"/>
  <c r="P240" i="9"/>
  <c r="P749" i="9"/>
  <c r="P997" i="9"/>
  <c r="P175" i="9"/>
  <c r="P930" i="9"/>
  <c r="P388" i="9"/>
  <c r="P619" i="9"/>
  <c r="P1133" i="9"/>
  <c r="P1134" i="9"/>
  <c r="P1126" i="9"/>
  <c r="P1109" i="9"/>
  <c r="P832" i="9"/>
  <c r="P759" i="9"/>
  <c r="P466" i="9"/>
  <c r="P222" i="9"/>
  <c r="P490" i="9"/>
  <c r="P898" i="9"/>
  <c r="P203" i="9"/>
  <c r="P243" i="9"/>
  <c r="P427" i="9"/>
  <c r="P365" i="9"/>
  <c r="P850" i="9"/>
  <c r="P1115" i="9"/>
  <c r="P1129" i="9"/>
  <c r="P1106" i="9"/>
  <c r="P1108" i="9"/>
  <c r="P1119" i="9"/>
  <c r="P857" i="9"/>
  <c r="P772" i="9"/>
  <c r="P945" i="9"/>
  <c r="P721" i="9"/>
  <c r="P1044" i="9"/>
  <c r="P765" i="9"/>
  <c r="P718" i="9"/>
  <c r="P550" i="9"/>
  <c r="P1058" i="9"/>
  <c r="P371" i="9"/>
  <c r="P989" i="9"/>
  <c r="P423" i="9"/>
  <c r="P299" i="9"/>
  <c r="P280" i="9"/>
  <c r="P674" i="9"/>
  <c r="P463" i="9"/>
  <c r="P449" i="9"/>
  <c r="P208" i="9"/>
  <c r="P546" i="9"/>
  <c r="P906" i="9"/>
  <c r="P307" i="9"/>
  <c r="P335" i="9"/>
  <c r="P612" i="9"/>
  <c r="P620" i="9"/>
  <c r="P1125" i="9"/>
  <c r="P1124" i="9"/>
  <c r="P1122" i="9"/>
  <c r="P1130" i="9"/>
  <c r="P1107" i="9"/>
  <c r="P1113" i="9"/>
  <c r="P944" i="9"/>
  <c r="P1072" i="9"/>
  <c r="P882" i="9"/>
  <c r="P422" i="9"/>
  <c r="P458" i="9"/>
  <c r="P733" i="9"/>
  <c r="P377" i="9"/>
  <c r="P545" i="9"/>
  <c r="P289" i="9"/>
  <c r="P567" i="9"/>
  <c r="P489" i="9"/>
  <c r="P946" i="9"/>
  <c r="P316" i="9"/>
  <c r="P1118" i="9"/>
  <c r="P1112" i="9"/>
  <c r="P1123" i="9"/>
  <c r="P1096" i="9"/>
  <c r="P697" i="9"/>
  <c r="P817" i="9"/>
  <c r="P748" i="9"/>
  <c r="P502" i="9"/>
  <c r="P626" i="9"/>
  <c r="P454" i="9"/>
  <c r="P254" i="9"/>
  <c r="P522" i="9"/>
  <c r="P602" i="9"/>
  <c r="P686" i="9"/>
  <c r="P1042" i="9"/>
  <c r="P409" i="9"/>
  <c r="P184" i="9"/>
  <c r="P577" i="9"/>
  <c r="P367" i="9"/>
  <c r="P321" i="9"/>
  <c r="P1018" i="9"/>
  <c r="P534" i="9"/>
  <c r="P521" i="9"/>
  <c r="P332" i="9"/>
  <c r="P171" i="9"/>
  <c r="P483" i="9"/>
  <c r="P524" i="9"/>
  <c r="P1128" i="9"/>
  <c r="P1132" i="9"/>
  <c r="P1111" i="9"/>
  <c r="P1117" i="9"/>
  <c r="P975" i="9"/>
  <c r="P831" i="9"/>
  <c r="P872" i="9"/>
  <c r="P1083" i="9"/>
  <c r="P998" i="9"/>
  <c r="P370" i="9"/>
  <c r="P627" i="9"/>
  <c r="P1054" i="9"/>
  <c r="P1003" i="9"/>
  <c r="P266" i="9"/>
  <c r="P210" i="9"/>
  <c r="P437" i="9"/>
  <c r="P249" i="9"/>
  <c r="P543" i="9"/>
  <c r="P701" i="9"/>
  <c r="P301" i="9"/>
  <c r="P193" i="9"/>
  <c r="P359" i="9"/>
  <c r="P411" i="9"/>
  <c r="P714" i="9"/>
  <c r="P479" i="9"/>
  <c r="P532" i="9"/>
  <c r="P444" i="9"/>
  <c r="P220" i="9"/>
  <c r="P1121" i="9"/>
  <c r="P1078" i="9"/>
  <c r="P703" i="9"/>
  <c r="P712" i="9"/>
  <c r="P908" i="9"/>
  <c r="P358" i="9"/>
  <c r="P355" i="9"/>
  <c r="P641" i="9"/>
  <c r="P933" i="9"/>
  <c r="P995" i="9"/>
  <c r="P234" i="9"/>
  <c r="P706" i="9"/>
  <c r="P405" i="9"/>
  <c r="P217" i="9"/>
  <c r="P511" i="9"/>
  <c r="P562" i="9"/>
  <c r="P269" i="9"/>
  <c r="P666" i="9"/>
  <c r="P467" i="9"/>
  <c r="P515" i="9"/>
  <c r="P311" i="9"/>
  <c r="P557" i="9"/>
  <c r="P500" i="9"/>
  <c r="P412" i="9"/>
  <c r="P188" i="9"/>
  <c r="O1275" i="9"/>
  <c r="G188" i="9"/>
  <c r="Q188" i="9" s="1"/>
  <c r="G261" i="9"/>
  <c r="Q261" i="9" s="1"/>
  <c r="G301" i="9"/>
  <c r="Q301" i="9" s="1"/>
  <c r="G373" i="9"/>
  <c r="Q373" i="9" s="1"/>
  <c r="G445" i="9"/>
  <c r="Q445" i="9" s="1"/>
  <c r="G517" i="9"/>
  <c r="Q517" i="9" s="1"/>
  <c r="G557" i="9"/>
  <c r="Q557" i="9" s="1"/>
  <c r="G629" i="9"/>
  <c r="Q629" i="9" s="1"/>
  <c r="G701" i="9"/>
  <c r="Q701" i="9" s="1"/>
  <c r="G773" i="9"/>
  <c r="Q773" i="9" s="1"/>
  <c r="G813" i="9"/>
  <c r="Q813" i="9" s="1"/>
  <c r="G885" i="9"/>
  <c r="Q885" i="9" s="1"/>
  <c r="G957" i="9"/>
  <c r="Q957" i="9" s="1"/>
  <c r="G1029" i="9"/>
  <c r="Q1029" i="9" s="1"/>
  <c r="G1069" i="9"/>
  <c r="Q1069" i="9" s="1"/>
  <c r="G214" i="9"/>
  <c r="Q214" i="9" s="1"/>
  <c r="G286" i="9"/>
  <c r="Q286" i="9" s="1"/>
  <c r="G358" i="9"/>
  <c r="Q358" i="9" s="1"/>
  <c r="G398" i="9"/>
  <c r="Q398" i="9" s="1"/>
  <c r="G470" i="9"/>
  <c r="Q470" i="9" s="1"/>
  <c r="G542" i="9"/>
  <c r="Q542" i="9" s="1"/>
  <c r="G614" i="9"/>
  <c r="Q614" i="9" s="1"/>
  <c r="G654" i="9"/>
  <c r="Q654" i="9" s="1"/>
  <c r="G726" i="9"/>
  <c r="Q726" i="9" s="1"/>
  <c r="G798" i="9"/>
  <c r="Q798" i="9" s="1"/>
  <c r="G870" i="9"/>
  <c r="Q870" i="9" s="1"/>
  <c r="G910" i="9"/>
  <c r="Q910" i="9" s="1"/>
  <c r="G982" i="9"/>
  <c r="Q982" i="9" s="1"/>
  <c r="G1054" i="9"/>
  <c r="Q1054" i="9" s="1"/>
  <c r="G199" i="9"/>
  <c r="Q199" i="9" s="1"/>
  <c r="G239" i="9"/>
  <c r="Q239" i="9" s="1"/>
  <c r="G311" i="9"/>
  <c r="Q311" i="9" s="1"/>
  <c r="G383" i="9"/>
  <c r="Q383" i="9" s="1"/>
  <c r="G455" i="9"/>
  <c r="Q455" i="9" s="1"/>
  <c r="G495" i="9"/>
  <c r="Q495" i="9" s="1"/>
  <c r="G567" i="9"/>
  <c r="Q567" i="9" s="1"/>
  <c r="G639" i="9"/>
  <c r="Q639" i="9" s="1"/>
  <c r="G197" i="9"/>
  <c r="Q197" i="9" s="1"/>
  <c r="G237" i="9"/>
  <c r="Q237" i="9" s="1"/>
  <c r="G309" i="9"/>
  <c r="Q309" i="9" s="1"/>
  <c r="G381" i="9"/>
  <c r="Q381" i="9" s="1"/>
  <c r="G453" i="9"/>
  <c r="Q453" i="9" s="1"/>
  <c r="G493" i="9"/>
  <c r="Q493" i="9" s="1"/>
  <c r="G565" i="9"/>
  <c r="Q565" i="9" s="1"/>
  <c r="G637" i="9"/>
  <c r="Q637" i="9" s="1"/>
  <c r="G709" i="9"/>
  <c r="Q709" i="9" s="1"/>
  <c r="G749" i="9"/>
  <c r="Q749" i="9" s="1"/>
  <c r="G821" i="9"/>
  <c r="Q821" i="9" s="1"/>
  <c r="G893" i="9"/>
  <c r="Q893" i="9" s="1"/>
  <c r="G965" i="9"/>
  <c r="Q965" i="9" s="1"/>
  <c r="G1005" i="9"/>
  <c r="Q1005" i="9" s="1"/>
  <c r="G1077" i="9"/>
  <c r="Q1077" i="9" s="1"/>
  <c r="G222" i="9"/>
  <c r="Q222" i="9" s="1"/>
  <c r="G294" i="9"/>
  <c r="Q294" i="9" s="1"/>
  <c r="G334" i="9"/>
  <c r="Q334" i="9" s="1"/>
  <c r="G406" i="9"/>
  <c r="Q406" i="9" s="1"/>
  <c r="G478" i="9"/>
  <c r="Q478" i="9" s="1"/>
  <c r="G550" i="9"/>
  <c r="Q550" i="9" s="1"/>
  <c r="G590" i="9"/>
  <c r="Q590" i="9" s="1"/>
  <c r="G662" i="9"/>
  <c r="Q662" i="9" s="1"/>
  <c r="G734" i="9"/>
  <c r="Q734" i="9" s="1"/>
  <c r="G806" i="9"/>
  <c r="Q806" i="9" s="1"/>
  <c r="G846" i="9"/>
  <c r="Q846" i="9" s="1"/>
  <c r="G194" i="9"/>
  <c r="Q194" i="9" s="1"/>
  <c r="G269" i="9"/>
  <c r="Q269" i="9" s="1"/>
  <c r="G317" i="9"/>
  <c r="Q317" i="9" s="1"/>
  <c r="G365" i="9"/>
  <c r="Q365" i="9" s="1"/>
  <c r="G413" i="9"/>
  <c r="Q413" i="9" s="1"/>
  <c r="G509" i="9"/>
  <c r="Q509" i="9" s="1"/>
  <c r="G757" i="9"/>
  <c r="Q757" i="9" s="1"/>
  <c r="G853" i="9"/>
  <c r="Q853" i="9" s="1"/>
  <c r="G901" i="9"/>
  <c r="Q901" i="9" s="1"/>
  <c r="G949" i="9"/>
  <c r="Q949" i="9" s="1"/>
  <c r="G997" i="9"/>
  <c r="Q997" i="9" s="1"/>
  <c r="G1093" i="9"/>
  <c r="Q1093" i="9" s="1"/>
  <c r="G270" i="9"/>
  <c r="Q270" i="9" s="1"/>
  <c r="G366" i="9"/>
  <c r="Q366" i="9" s="1"/>
  <c r="G414" i="9"/>
  <c r="Q414" i="9" s="1"/>
  <c r="G462" i="9"/>
  <c r="Q462" i="9" s="1"/>
  <c r="G510" i="9"/>
  <c r="Q510" i="9" s="1"/>
  <c r="G606" i="9"/>
  <c r="Q606" i="9" s="1"/>
  <c r="G854" i="9"/>
  <c r="Q854" i="9" s="1"/>
  <c r="G894" i="9"/>
  <c r="Q894" i="9" s="1"/>
  <c r="G934" i="9"/>
  <c r="Q934" i="9" s="1"/>
  <c r="G1022" i="9"/>
  <c r="Q1022" i="9" s="1"/>
  <c r="G1062" i="9"/>
  <c r="Q1062" i="9" s="1"/>
  <c r="G303" i="9"/>
  <c r="Q303" i="9" s="1"/>
  <c r="G343" i="9"/>
  <c r="Q343" i="9" s="1"/>
  <c r="G431" i="9"/>
  <c r="Q431" i="9" s="1"/>
  <c r="G471" i="9"/>
  <c r="Q471" i="9" s="1"/>
  <c r="G511" i="9"/>
  <c r="Q511" i="9" s="1"/>
  <c r="G551" i="9"/>
  <c r="Q551" i="9" s="1"/>
  <c r="G679" i="9"/>
  <c r="Q679" i="9" s="1"/>
  <c r="G751" i="9"/>
  <c r="Q751" i="9" s="1"/>
  <c r="G823" i="9"/>
  <c r="Q823" i="9" s="1"/>
  <c r="G895" i="9"/>
  <c r="Q895" i="9" s="1"/>
  <c r="G935" i="9"/>
  <c r="Q935" i="9" s="1"/>
  <c r="G1007" i="9"/>
  <c r="Q1007" i="9" s="1"/>
  <c r="G1079" i="9"/>
  <c r="Q1079" i="9" s="1"/>
  <c r="G216" i="9"/>
  <c r="Q216" i="9" s="1"/>
  <c r="G256" i="9"/>
  <c r="Q256" i="9" s="1"/>
  <c r="G328" i="9"/>
  <c r="Q328" i="9" s="1"/>
  <c r="G400" i="9"/>
  <c r="Q400" i="9" s="1"/>
  <c r="G472" i="9"/>
  <c r="Q472" i="9" s="1"/>
  <c r="G512" i="9"/>
  <c r="Q512" i="9" s="1"/>
  <c r="G584" i="9"/>
  <c r="Q584" i="9" s="1"/>
  <c r="G656" i="9"/>
  <c r="Q656" i="9" s="1"/>
  <c r="G728" i="9"/>
  <c r="Q728" i="9" s="1"/>
  <c r="G768" i="9"/>
  <c r="Q768" i="9" s="1"/>
  <c r="G840" i="9"/>
  <c r="Q840" i="9" s="1"/>
  <c r="G912" i="9"/>
  <c r="Q912" i="9" s="1"/>
  <c r="G984" i="9"/>
  <c r="Q984" i="9" s="1"/>
  <c r="G1024" i="9"/>
  <c r="Q1024" i="9" s="1"/>
  <c r="G1096" i="9"/>
  <c r="Q1096" i="9" s="1"/>
  <c r="G233" i="9"/>
  <c r="Q233" i="9" s="1"/>
  <c r="G305" i="9"/>
  <c r="Q305" i="9" s="1"/>
  <c r="G345" i="9"/>
  <c r="Q345" i="9" s="1"/>
  <c r="G417" i="9"/>
  <c r="Q417" i="9" s="1"/>
  <c r="G489" i="9"/>
  <c r="Q489" i="9" s="1"/>
  <c r="G561" i="9"/>
  <c r="Q561" i="9" s="1"/>
  <c r="G601" i="9"/>
  <c r="Q601" i="9" s="1"/>
  <c r="G673" i="9"/>
  <c r="Q673" i="9" s="1"/>
  <c r="G745" i="9"/>
  <c r="Q745" i="9" s="1"/>
  <c r="G817" i="9"/>
  <c r="Q817" i="9" s="1"/>
  <c r="G857" i="9"/>
  <c r="Q857" i="9" s="1"/>
  <c r="G929" i="9"/>
  <c r="Q929" i="9" s="1"/>
  <c r="G1001" i="9"/>
  <c r="Q1001" i="9" s="1"/>
  <c r="G1073" i="9"/>
  <c r="Q1073" i="9" s="1"/>
  <c r="G183" i="9"/>
  <c r="Q183" i="9" s="1"/>
  <c r="G258" i="9"/>
  <c r="Q258" i="9" s="1"/>
  <c r="G330" i="9"/>
  <c r="Q330" i="9" s="1"/>
  <c r="G402" i="9"/>
  <c r="Q402" i="9" s="1"/>
  <c r="G442" i="9"/>
  <c r="Q442" i="9" s="1"/>
  <c r="G514" i="9"/>
  <c r="Q514" i="9" s="1"/>
  <c r="G586" i="9"/>
  <c r="Q586" i="9" s="1"/>
  <c r="G658" i="9"/>
  <c r="Q658" i="9" s="1"/>
  <c r="G698" i="9"/>
  <c r="Q698" i="9" s="1"/>
  <c r="G770" i="9"/>
  <c r="Q770" i="9" s="1"/>
  <c r="G842" i="9"/>
  <c r="Q842" i="9" s="1"/>
  <c r="G914" i="9"/>
  <c r="Q914" i="9" s="1"/>
  <c r="G954" i="9"/>
  <c r="Q954" i="9" s="1"/>
  <c r="O707" i="9"/>
  <c r="O729" i="9"/>
  <c r="O864" i="9"/>
  <c r="O870" i="9"/>
  <c r="O1043" i="9"/>
  <c r="O1017" i="9"/>
  <c r="O1023" i="9"/>
  <c r="O806" i="9"/>
  <c r="O753" i="9"/>
  <c r="O664" i="9"/>
  <c r="O1059" i="9"/>
  <c r="O1009" i="9"/>
  <c r="O999" i="9"/>
  <c r="O681" i="9"/>
  <c r="O1036" i="9"/>
  <c r="O859" i="9"/>
  <c r="O947" i="9"/>
  <c r="O868" i="9"/>
  <c r="O889" i="9"/>
  <c r="O1004" i="9"/>
  <c r="O984" i="9"/>
  <c r="O688" i="9"/>
  <c r="O911" i="9"/>
  <c r="O783" i="9"/>
  <c r="O942" i="9"/>
  <c r="O1038" i="9"/>
  <c r="O590" i="9"/>
  <c r="O206" i="9"/>
  <c r="O957" i="9"/>
  <c r="O829" i="9"/>
  <c r="O922" i="9"/>
  <c r="O370" i="9"/>
  <c r="O1092" i="9"/>
  <c r="O849" i="9"/>
  <c r="O807" i="9"/>
  <c r="O717" i="9"/>
  <c r="O562" i="9"/>
  <c r="O306" i="9"/>
  <c r="O178" i="9"/>
  <c r="O931" i="9"/>
  <c r="O1068" i="9"/>
  <c r="O839" i="9"/>
  <c r="O1014" i="9"/>
  <c r="O566" i="9"/>
  <c r="O238" i="9"/>
  <c r="O949" i="9"/>
  <c r="O821" i="9"/>
  <c r="O882" i="9"/>
  <c r="O378" i="9"/>
  <c r="G177" i="9"/>
  <c r="Q177" i="9" s="1"/>
  <c r="G176" i="9"/>
  <c r="Q176" i="9" s="1"/>
  <c r="G229" i="9"/>
  <c r="Q229" i="9" s="1"/>
  <c r="G325" i="9"/>
  <c r="Q325" i="9" s="1"/>
  <c r="G429" i="9"/>
  <c r="Q429" i="9" s="1"/>
  <c r="G525" i="9"/>
  <c r="Q525" i="9" s="1"/>
  <c r="G573" i="9"/>
  <c r="Q573" i="9" s="1"/>
  <c r="G621" i="9"/>
  <c r="Q621" i="9" s="1"/>
  <c r="G669" i="9"/>
  <c r="Q669" i="9" s="1"/>
  <c r="G765" i="9"/>
  <c r="Q765" i="9" s="1"/>
  <c r="G1013" i="9"/>
  <c r="Q1013" i="9" s="1"/>
  <c r="G179" i="9"/>
  <c r="Q179" i="9" s="1"/>
  <c r="G230" i="9"/>
  <c r="Q230" i="9" s="1"/>
  <c r="G278" i="9"/>
  <c r="Q278" i="9" s="1"/>
  <c r="G326" i="9"/>
  <c r="Q326" i="9" s="1"/>
  <c r="G422" i="9"/>
  <c r="Q422" i="9" s="1"/>
  <c r="G526" i="9"/>
  <c r="Q526" i="9" s="1"/>
  <c r="G622" i="9"/>
  <c r="Q622" i="9" s="1"/>
  <c r="G670" i="9"/>
  <c r="Q670" i="9" s="1"/>
  <c r="G718" i="9"/>
  <c r="Q718" i="9" s="1"/>
  <c r="G766" i="9"/>
  <c r="Q766" i="9" s="1"/>
  <c r="G862" i="9"/>
  <c r="Q862" i="9" s="1"/>
  <c r="G902" i="9"/>
  <c r="Q902" i="9" s="1"/>
  <c r="G950" i="9"/>
  <c r="Q950" i="9" s="1"/>
  <c r="G990" i="9"/>
  <c r="Q990" i="9" s="1"/>
  <c r="G1030" i="9"/>
  <c r="Q1030" i="9" s="1"/>
  <c r="G271" i="9"/>
  <c r="Q271" i="9" s="1"/>
  <c r="G399" i="9"/>
  <c r="Q399" i="9" s="1"/>
  <c r="G439" i="9"/>
  <c r="Q439" i="9" s="1"/>
  <c r="G479" i="9"/>
  <c r="Q479" i="9" s="1"/>
  <c r="G519" i="9"/>
  <c r="Q519" i="9" s="1"/>
  <c r="G607" i="9"/>
  <c r="Q607" i="9" s="1"/>
  <c r="G647" i="9"/>
  <c r="Q647" i="9" s="1"/>
  <c r="G687" i="9"/>
  <c r="Q687" i="9" s="1"/>
  <c r="G759" i="9"/>
  <c r="Q759" i="9" s="1"/>
  <c r="G831" i="9"/>
  <c r="Q831" i="9" s="1"/>
  <c r="G871" i="9"/>
  <c r="Q871" i="9" s="1"/>
  <c r="G943" i="9"/>
  <c r="Q943" i="9" s="1"/>
  <c r="G1015" i="9"/>
  <c r="Q1015" i="9" s="1"/>
  <c r="G1087" i="9"/>
  <c r="Q1087" i="9" s="1"/>
  <c r="G191" i="9"/>
  <c r="Q191" i="9" s="1"/>
  <c r="G264" i="9"/>
  <c r="Q264" i="9" s="1"/>
  <c r="G336" i="9"/>
  <c r="Q336" i="9" s="1"/>
  <c r="G408" i="9"/>
  <c r="Q408" i="9" s="1"/>
  <c r="G448" i="9"/>
  <c r="Q448" i="9" s="1"/>
  <c r="G520" i="9"/>
  <c r="Q520" i="9" s="1"/>
  <c r="G592" i="9"/>
  <c r="Q592" i="9" s="1"/>
  <c r="G664" i="9"/>
  <c r="Q664" i="9" s="1"/>
  <c r="G704" i="9"/>
  <c r="Q704" i="9" s="1"/>
  <c r="G776" i="9"/>
  <c r="Q776" i="9" s="1"/>
  <c r="G848" i="9"/>
  <c r="Q848" i="9" s="1"/>
  <c r="G178" i="9"/>
  <c r="Q178" i="9" s="1"/>
  <c r="G221" i="9"/>
  <c r="Q221" i="9" s="1"/>
  <c r="G421" i="9"/>
  <c r="Q421" i="9" s="1"/>
  <c r="G485" i="9"/>
  <c r="Q485" i="9" s="1"/>
  <c r="G613" i="9"/>
  <c r="Q613" i="9" s="1"/>
  <c r="G685" i="9"/>
  <c r="Q685" i="9" s="1"/>
  <c r="G741" i="9"/>
  <c r="Q741" i="9" s="1"/>
  <c r="G805" i="9"/>
  <c r="Q805" i="9" s="1"/>
  <c r="G877" i="9"/>
  <c r="Q877" i="9" s="1"/>
  <c r="G941" i="9"/>
  <c r="Q941" i="9" s="1"/>
  <c r="G206" i="9"/>
  <c r="Q206" i="9" s="1"/>
  <c r="G342" i="9"/>
  <c r="Q342" i="9" s="1"/>
  <c r="G534" i="9"/>
  <c r="Q534" i="9" s="1"/>
  <c r="G598" i="9"/>
  <c r="Q598" i="9" s="1"/>
  <c r="G790" i="9"/>
  <c r="Q790" i="9" s="1"/>
  <c r="G918" i="9"/>
  <c r="Q918" i="9" s="1"/>
  <c r="G966" i="9"/>
  <c r="Q966" i="9" s="1"/>
  <c r="G263" i="9"/>
  <c r="Q263" i="9" s="1"/>
  <c r="G375" i="9"/>
  <c r="Q375" i="9" s="1"/>
  <c r="G487" i="9"/>
  <c r="Q487" i="9" s="1"/>
  <c r="G543" i="9"/>
  <c r="Q543" i="9" s="1"/>
  <c r="G599" i="9"/>
  <c r="Q599" i="9" s="1"/>
  <c r="G703" i="9"/>
  <c r="Q703" i="9" s="1"/>
  <c r="G807" i="9"/>
  <c r="Q807" i="9" s="1"/>
  <c r="G903" i="9"/>
  <c r="Q903" i="9" s="1"/>
  <c r="G951" i="9"/>
  <c r="Q951" i="9" s="1"/>
  <c r="G999" i="9"/>
  <c r="Q999" i="9" s="1"/>
  <c r="G1047" i="9"/>
  <c r="Q1047" i="9" s="1"/>
  <c r="G208" i="9"/>
  <c r="Q208" i="9" s="1"/>
  <c r="G456" i="9"/>
  <c r="Q456" i="9" s="1"/>
  <c r="G552" i="9"/>
  <c r="Q552" i="9" s="1"/>
  <c r="G600" i="9"/>
  <c r="Q600" i="9" s="1"/>
  <c r="G648" i="9"/>
  <c r="Q648" i="9" s="1"/>
  <c r="G696" i="9"/>
  <c r="Q696" i="9" s="1"/>
  <c r="G792" i="9"/>
  <c r="Q792" i="9" s="1"/>
  <c r="G888" i="9"/>
  <c r="Q888" i="9" s="1"/>
  <c r="G1056" i="9"/>
  <c r="Q1056" i="9" s="1"/>
  <c r="G249" i="9"/>
  <c r="Q249" i="9" s="1"/>
  <c r="G289" i="9"/>
  <c r="Q289" i="9" s="1"/>
  <c r="G329" i="9"/>
  <c r="Q329" i="9" s="1"/>
  <c r="G369" i="9"/>
  <c r="Q369" i="9" s="1"/>
  <c r="G457" i="9"/>
  <c r="Q457" i="9" s="1"/>
  <c r="G497" i="9"/>
  <c r="Q497" i="9" s="1"/>
  <c r="G665" i="9"/>
  <c r="Q665" i="9" s="1"/>
  <c r="G705" i="9"/>
  <c r="Q705" i="9" s="1"/>
  <c r="G793" i="9"/>
  <c r="Q793" i="9" s="1"/>
  <c r="G833" i="9"/>
  <c r="Q833" i="9" s="1"/>
  <c r="G186" i="9"/>
  <c r="Q186" i="9" s="1"/>
  <c r="G293" i="9"/>
  <c r="Q293" i="9" s="1"/>
  <c r="G357" i="9"/>
  <c r="Q357" i="9" s="1"/>
  <c r="G549" i="9"/>
  <c r="Q549" i="9" s="1"/>
  <c r="G974" i="9"/>
  <c r="Q974" i="9" s="1"/>
  <c r="G1038" i="9"/>
  <c r="Q1038" i="9" s="1"/>
  <c r="G1086" i="9"/>
  <c r="Q1086" i="9" s="1"/>
  <c r="G215" i="9"/>
  <c r="Q215" i="9" s="1"/>
  <c r="G279" i="9"/>
  <c r="Q279" i="9" s="1"/>
  <c r="G327" i="9"/>
  <c r="Q327" i="9" s="1"/>
  <c r="G663" i="9"/>
  <c r="Q663" i="9" s="1"/>
  <c r="G711" i="9"/>
  <c r="Q711" i="9" s="1"/>
  <c r="G855" i="9"/>
  <c r="Q855" i="9" s="1"/>
  <c r="G911" i="9"/>
  <c r="Q911" i="9" s="1"/>
  <c r="G1055" i="9"/>
  <c r="Q1055" i="9" s="1"/>
  <c r="G1103" i="9"/>
  <c r="Q1103" i="9" s="1"/>
  <c r="G312" i="9"/>
  <c r="Q312" i="9" s="1"/>
  <c r="G360" i="9"/>
  <c r="Q360" i="9" s="1"/>
  <c r="G416" i="9"/>
  <c r="Q416" i="9" s="1"/>
  <c r="G504" i="9"/>
  <c r="Q504" i="9" s="1"/>
  <c r="G560" i="9"/>
  <c r="Q560" i="9" s="1"/>
  <c r="G608" i="9"/>
  <c r="Q608" i="9" s="1"/>
  <c r="G752" i="9"/>
  <c r="Q752" i="9" s="1"/>
  <c r="G800" i="9"/>
  <c r="Q800" i="9" s="1"/>
  <c r="G896" i="9"/>
  <c r="Q896" i="9" s="1"/>
  <c r="G936" i="9"/>
  <c r="Q936" i="9" s="1"/>
  <c r="G976" i="9"/>
  <c r="Q976" i="9" s="1"/>
  <c r="G1016" i="9"/>
  <c r="Q1016" i="9" s="1"/>
  <c r="G1064" i="9"/>
  <c r="Q1064" i="9" s="1"/>
  <c r="G1104" i="9"/>
  <c r="Q1104" i="9" s="1"/>
  <c r="G209" i="9"/>
  <c r="Q209" i="9" s="1"/>
  <c r="G377" i="9"/>
  <c r="Q377" i="9" s="1"/>
  <c r="G505" i="9"/>
  <c r="Q505" i="9" s="1"/>
  <c r="G545" i="9"/>
  <c r="Q545" i="9" s="1"/>
  <c r="G585" i="9"/>
  <c r="Q585" i="9" s="1"/>
  <c r="G625" i="9"/>
  <c r="Q625" i="9" s="1"/>
  <c r="G713" i="9"/>
  <c r="Q713" i="9" s="1"/>
  <c r="G753" i="9"/>
  <c r="Q753" i="9" s="1"/>
  <c r="G921" i="9"/>
  <c r="Q921" i="9" s="1"/>
  <c r="G961" i="9"/>
  <c r="Q961" i="9" s="1"/>
  <c r="G1049" i="9"/>
  <c r="Q1049" i="9" s="1"/>
  <c r="G1089" i="9"/>
  <c r="Q1089" i="9" s="1"/>
  <c r="G202" i="9"/>
  <c r="Q202" i="9" s="1"/>
  <c r="G242" i="9"/>
  <c r="Q242" i="9" s="1"/>
  <c r="G370" i="9"/>
  <c r="Q370" i="9" s="1"/>
  <c r="G538" i="9"/>
  <c r="Q538" i="9" s="1"/>
  <c r="G578" i="9"/>
  <c r="Q578" i="9" s="1"/>
  <c r="G618" i="9"/>
  <c r="Q618" i="9" s="1"/>
  <c r="G666" i="9"/>
  <c r="Q666" i="9" s="1"/>
  <c r="G706" i="9"/>
  <c r="Q706" i="9" s="1"/>
  <c r="G746" i="9"/>
  <c r="Q746" i="9" s="1"/>
  <c r="G786" i="9"/>
  <c r="Q786" i="9" s="1"/>
  <c r="G1034" i="9"/>
  <c r="Q1034" i="9" s="1"/>
  <c r="G174" i="9"/>
  <c r="Q174" i="9" s="1"/>
  <c r="G251" i="9"/>
  <c r="Q251" i="9" s="1"/>
  <c r="G291" i="9"/>
  <c r="Q291" i="9" s="1"/>
  <c r="G363" i="9"/>
  <c r="Q363" i="9" s="1"/>
  <c r="G435" i="9"/>
  <c r="Q435" i="9" s="1"/>
  <c r="G507" i="9"/>
  <c r="Q507" i="9" s="1"/>
  <c r="G547" i="9"/>
  <c r="Q547" i="9" s="1"/>
  <c r="G619" i="9"/>
  <c r="Q619" i="9" s="1"/>
  <c r="G691" i="9"/>
  <c r="Q691" i="9" s="1"/>
  <c r="G763" i="9"/>
  <c r="Q763" i="9" s="1"/>
  <c r="G803" i="9"/>
  <c r="Q803" i="9" s="1"/>
  <c r="G875" i="9"/>
  <c r="Q875" i="9" s="1"/>
  <c r="G947" i="9"/>
  <c r="Q947" i="9" s="1"/>
  <c r="G1019" i="9"/>
  <c r="Q1019" i="9" s="1"/>
  <c r="G1059" i="9"/>
  <c r="Q1059" i="9" s="1"/>
  <c r="G204" i="9"/>
  <c r="Q204" i="9" s="1"/>
  <c r="G276" i="9"/>
  <c r="Q276" i="9" s="1"/>
  <c r="G348" i="9"/>
  <c r="Q348" i="9" s="1"/>
  <c r="G388" i="9"/>
  <c r="Q388" i="9" s="1"/>
  <c r="G460" i="9"/>
  <c r="Q460" i="9" s="1"/>
  <c r="G532" i="9"/>
  <c r="Q532" i="9" s="1"/>
  <c r="G604" i="9"/>
  <c r="Q604" i="9" s="1"/>
  <c r="G644" i="9"/>
  <c r="Q644" i="9" s="1"/>
  <c r="G716" i="9"/>
  <c r="Q716" i="9" s="1"/>
  <c r="G973" i="9"/>
  <c r="Q973" i="9" s="1"/>
  <c r="G238" i="9"/>
  <c r="Q238" i="9" s="1"/>
  <c r="G302" i="9"/>
  <c r="Q302" i="9" s="1"/>
  <c r="G430" i="9"/>
  <c r="Q430" i="9" s="1"/>
  <c r="G494" i="9"/>
  <c r="Q494" i="9" s="1"/>
  <c r="G558" i="9"/>
  <c r="Q558" i="9" s="1"/>
  <c r="G630" i="9"/>
  <c r="Q630" i="9" s="1"/>
  <c r="G686" i="9"/>
  <c r="Q686" i="9" s="1"/>
  <c r="G750" i="9"/>
  <c r="Q750" i="9" s="1"/>
  <c r="G822" i="9"/>
  <c r="Q822" i="9" s="1"/>
  <c r="G1046" i="9"/>
  <c r="Q1046" i="9" s="1"/>
  <c r="G1102" i="9"/>
  <c r="Q1102" i="9" s="1"/>
  <c r="G231" i="9"/>
  <c r="Q231" i="9" s="1"/>
  <c r="G287" i="9"/>
  <c r="Q287" i="9" s="1"/>
  <c r="G623" i="9"/>
  <c r="Q623" i="9" s="1"/>
  <c r="G671" i="9"/>
  <c r="Q671" i="9" s="1"/>
  <c r="G727" i="9"/>
  <c r="Q727" i="9" s="1"/>
  <c r="G775" i="9"/>
  <c r="Q775" i="9" s="1"/>
  <c r="G919" i="9"/>
  <c r="Q919" i="9" s="1"/>
  <c r="G967" i="9"/>
  <c r="Q967" i="9" s="1"/>
  <c r="G171" i="9"/>
  <c r="Q171" i="9" s="1"/>
  <c r="G232" i="9"/>
  <c r="Q232" i="9" s="1"/>
  <c r="G376" i="9"/>
  <c r="Q376" i="9" s="1"/>
  <c r="G424" i="9"/>
  <c r="Q424" i="9" s="1"/>
  <c r="G568" i="9"/>
  <c r="Q568" i="9" s="1"/>
  <c r="G616" i="9"/>
  <c r="Q616" i="9" s="1"/>
  <c r="G672" i="9"/>
  <c r="Q672" i="9" s="1"/>
  <c r="G760" i="9"/>
  <c r="Q760" i="9" s="1"/>
  <c r="G816" i="9"/>
  <c r="Q816" i="9" s="1"/>
  <c r="G864" i="9"/>
  <c r="Q864" i="9" s="1"/>
  <c r="G904" i="9"/>
  <c r="Q904" i="9" s="1"/>
  <c r="G944" i="9"/>
  <c r="Q944" i="9" s="1"/>
  <c r="G992" i="9"/>
  <c r="Q992" i="9" s="1"/>
  <c r="G1032" i="9"/>
  <c r="Q1032" i="9" s="1"/>
  <c r="G1072" i="9"/>
  <c r="Q1072" i="9" s="1"/>
  <c r="G172" i="9"/>
  <c r="Q172" i="9" s="1"/>
  <c r="G473" i="9"/>
  <c r="Q473" i="9" s="1"/>
  <c r="G513" i="9"/>
  <c r="Q513" i="9" s="1"/>
  <c r="G553" i="9"/>
  <c r="Q553" i="9" s="1"/>
  <c r="G593" i="9"/>
  <c r="Q593" i="9" s="1"/>
  <c r="G641" i="9"/>
  <c r="Q641" i="9" s="1"/>
  <c r="G681" i="9"/>
  <c r="Q681" i="9" s="1"/>
  <c r="G721" i="9"/>
  <c r="Q721" i="9" s="1"/>
  <c r="G889" i="9"/>
  <c r="Q889" i="9" s="1"/>
  <c r="G1017" i="9"/>
  <c r="Q1017" i="9" s="1"/>
  <c r="G1057" i="9"/>
  <c r="Q1057" i="9" s="1"/>
  <c r="G1097" i="9"/>
  <c r="Q1097" i="9" s="1"/>
  <c r="G210" i="9"/>
  <c r="Q210" i="9" s="1"/>
  <c r="G298" i="9"/>
  <c r="Q298" i="9" s="1"/>
  <c r="G338" i="9"/>
  <c r="Q338" i="9" s="1"/>
  <c r="G506" i="9"/>
  <c r="Q506" i="9" s="1"/>
  <c r="G546" i="9"/>
  <c r="Q546" i="9" s="1"/>
  <c r="G634" i="9"/>
  <c r="Q634" i="9" s="1"/>
  <c r="G674" i="9"/>
  <c r="Q674" i="9" s="1"/>
  <c r="G714" i="9"/>
  <c r="Q714" i="9" s="1"/>
  <c r="G754" i="9"/>
  <c r="Q754" i="9" s="1"/>
  <c r="G882" i="9"/>
  <c r="Q882" i="9" s="1"/>
  <c r="G1042" i="9"/>
  <c r="Q1042" i="9" s="1"/>
  <c r="G184" i="9"/>
  <c r="Q184" i="9" s="1"/>
  <c r="G227" i="9"/>
  <c r="Q227" i="9" s="1"/>
  <c r="G299" i="9"/>
  <c r="Q299" i="9" s="1"/>
  <c r="G371" i="9"/>
  <c r="Q371" i="9" s="1"/>
  <c r="G443" i="9"/>
  <c r="Q443" i="9" s="1"/>
  <c r="G483" i="9"/>
  <c r="Q483" i="9" s="1"/>
  <c r="G555" i="9"/>
  <c r="Q555" i="9" s="1"/>
  <c r="G627" i="9"/>
  <c r="Q627" i="9" s="1"/>
  <c r="G699" i="9"/>
  <c r="Q699" i="9" s="1"/>
  <c r="G739" i="9"/>
  <c r="Q739" i="9" s="1"/>
  <c r="G811" i="9"/>
  <c r="Q811" i="9" s="1"/>
  <c r="G883" i="9"/>
  <c r="Q883" i="9" s="1"/>
  <c r="G955" i="9"/>
  <c r="Q955" i="9" s="1"/>
  <c r="G995" i="9"/>
  <c r="Q995" i="9" s="1"/>
  <c r="G1067" i="9"/>
  <c r="Q1067" i="9" s="1"/>
  <c r="G212" i="9"/>
  <c r="Q212" i="9" s="1"/>
  <c r="G284" i="9"/>
  <c r="Q284" i="9" s="1"/>
  <c r="G324" i="9"/>
  <c r="Q324" i="9" s="1"/>
  <c r="G396" i="9"/>
  <c r="Q396" i="9" s="1"/>
  <c r="G468" i="9"/>
  <c r="Q468" i="9" s="1"/>
  <c r="G540" i="9"/>
  <c r="Q540" i="9" s="1"/>
  <c r="G580" i="9"/>
  <c r="Q580" i="9" s="1"/>
  <c r="G652" i="9"/>
  <c r="Q652" i="9" s="1"/>
  <c r="G724" i="9"/>
  <c r="Q724" i="9" s="1"/>
  <c r="G796" i="9"/>
  <c r="Q796" i="9" s="1"/>
  <c r="G836" i="9"/>
  <c r="Q836" i="9" s="1"/>
  <c r="G908" i="9"/>
  <c r="Q908" i="9" s="1"/>
  <c r="G980" i="9"/>
  <c r="Q980" i="9" s="1"/>
  <c r="G1052" i="9"/>
  <c r="Q1052" i="9" s="1"/>
  <c r="G1092" i="9"/>
  <c r="Q1092" i="9" s="1"/>
  <c r="E169" i="9"/>
  <c r="G253" i="9"/>
  <c r="Q253" i="9" s="1"/>
  <c r="G389" i="9"/>
  <c r="Q389" i="9" s="1"/>
  <c r="G581" i="9"/>
  <c r="Q581" i="9" s="1"/>
  <c r="G645" i="9"/>
  <c r="Q645" i="9" s="1"/>
  <c r="G717" i="9"/>
  <c r="Q717" i="9" s="1"/>
  <c r="G781" i="9"/>
  <c r="Q781" i="9" s="1"/>
  <c r="G837" i="9"/>
  <c r="Q837" i="9" s="1"/>
  <c r="G909" i="9"/>
  <c r="Q909" i="9" s="1"/>
  <c r="G1037" i="9"/>
  <c r="Q1037" i="9" s="1"/>
  <c r="G1101" i="9"/>
  <c r="Q1101" i="9" s="1"/>
  <c r="G374" i="9"/>
  <c r="Q374" i="9" s="1"/>
  <c r="G438" i="9"/>
  <c r="Q438" i="9" s="1"/>
  <c r="G566" i="9"/>
  <c r="Q566" i="9" s="1"/>
  <c r="G694" i="9"/>
  <c r="Q694" i="9" s="1"/>
  <c r="G758" i="9"/>
  <c r="Q758" i="9" s="1"/>
  <c r="G886" i="9"/>
  <c r="Q886" i="9" s="1"/>
  <c r="G942" i="9"/>
  <c r="Q942" i="9" s="1"/>
  <c r="G998" i="9"/>
  <c r="Q998" i="9" s="1"/>
  <c r="G180" i="9"/>
  <c r="Q180" i="9" s="1"/>
  <c r="G351" i="9"/>
  <c r="Q351" i="9" s="1"/>
  <c r="G407" i="9"/>
  <c r="Q407" i="9" s="1"/>
  <c r="G463" i="9"/>
  <c r="Q463" i="9" s="1"/>
  <c r="G575" i="9"/>
  <c r="Q575" i="9" s="1"/>
  <c r="G879" i="9"/>
  <c r="Q879" i="9" s="1"/>
  <c r="G975" i="9"/>
  <c r="Q975" i="9" s="1"/>
  <c r="G1023" i="9"/>
  <c r="Q1023" i="9" s="1"/>
  <c r="G1071" i="9"/>
  <c r="Q1071" i="9" s="1"/>
  <c r="G181" i="9"/>
  <c r="Q181" i="9" s="1"/>
  <c r="G437" i="9"/>
  <c r="Q437" i="9" s="1"/>
  <c r="G693" i="9"/>
  <c r="Q693" i="9" s="1"/>
  <c r="G829" i="9"/>
  <c r="Q829" i="9" s="1"/>
  <c r="G1085" i="9"/>
  <c r="Q1085" i="9" s="1"/>
  <c r="G678" i="9"/>
  <c r="Q678" i="9" s="1"/>
  <c r="G814" i="9"/>
  <c r="Q814" i="9" s="1"/>
  <c r="G926" i="9"/>
  <c r="Q926" i="9" s="1"/>
  <c r="G223" i="9"/>
  <c r="Q223" i="9" s="1"/>
  <c r="G335" i="9"/>
  <c r="Q335" i="9" s="1"/>
  <c r="G447" i="9"/>
  <c r="Q447" i="9" s="1"/>
  <c r="G559" i="9"/>
  <c r="Q559" i="9" s="1"/>
  <c r="G767" i="9"/>
  <c r="Q767" i="9" s="1"/>
  <c r="G863" i="9"/>
  <c r="Q863" i="9" s="1"/>
  <c r="G205" i="9"/>
  <c r="Q205" i="9" s="1"/>
  <c r="G333" i="9"/>
  <c r="Q333" i="9" s="1"/>
  <c r="G461" i="9"/>
  <c r="Q461" i="9" s="1"/>
  <c r="G589" i="9"/>
  <c r="Q589" i="9" s="1"/>
  <c r="G725" i="9"/>
  <c r="Q725" i="9" s="1"/>
  <c r="G845" i="9"/>
  <c r="Q845" i="9" s="1"/>
  <c r="G981" i="9"/>
  <c r="Q981" i="9" s="1"/>
  <c r="G189" i="9"/>
  <c r="Q189" i="9" s="1"/>
  <c r="G310" i="9"/>
  <c r="Q310" i="9" s="1"/>
  <c r="G446" i="9"/>
  <c r="Q446" i="9" s="1"/>
  <c r="G574" i="9"/>
  <c r="Q574" i="9" s="1"/>
  <c r="G702" i="9"/>
  <c r="Q702" i="9" s="1"/>
  <c r="G830" i="9"/>
  <c r="Q830" i="9" s="1"/>
  <c r="G247" i="9"/>
  <c r="Q247" i="9" s="1"/>
  <c r="G359" i="9"/>
  <c r="Q359" i="9" s="1"/>
  <c r="G783" i="9"/>
  <c r="Q783" i="9" s="1"/>
  <c r="G983" i="9"/>
  <c r="Q983" i="9" s="1"/>
  <c r="G304" i="9"/>
  <c r="Q304" i="9" s="1"/>
  <c r="G464" i="9"/>
  <c r="Q464" i="9" s="1"/>
  <c r="G536" i="9"/>
  <c r="Q536" i="9" s="1"/>
  <c r="G624" i="9"/>
  <c r="Q624" i="9" s="1"/>
  <c r="G688" i="9"/>
  <c r="Q688" i="9" s="1"/>
  <c r="G856" i="9"/>
  <c r="Q856" i="9" s="1"/>
  <c r="G920" i="9"/>
  <c r="Q920" i="9" s="1"/>
  <c r="G1048" i="9"/>
  <c r="Q1048" i="9" s="1"/>
  <c r="G257" i="9"/>
  <c r="Q257" i="9" s="1"/>
  <c r="G321" i="9"/>
  <c r="Q321" i="9" s="1"/>
  <c r="G393" i="9"/>
  <c r="Q393" i="9" s="1"/>
  <c r="G449" i="9"/>
  <c r="Q449" i="9" s="1"/>
  <c r="G521" i="9"/>
  <c r="Q521" i="9" s="1"/>
  <c r="G729" i="9"/>
  <c r="Q729" i="9" s="1"/>
  <c r="G785" i="9"/>
  <c r="Q785" i="9" s="1"/>
  <c r="G969" i="9"/>
  <c r="Q969" i="9" s="1"/>
  <c r="G1025" i="9"/>
  <c r="Q1025" i="9" s="1"/>
  <c r="G1081" i="9"/>
  <c r="Q1081" i="9" s="1"/>
  <c r="G266" i="9"/>
  <c r="Q266" i="9" s="1"/>
  <c r="G378" i="9"/>
  <c r="Q378" i="9" s="1"/>
  <c r="G602" i="9"/>
  <c r="Q602" i="9" s="1"/>
  <c r="G650" i="9"/>
  <c r="Q650" i="9" s="1"/>
  <c r="G818" i="9"/>
  <c r="Q818" i="9" s="1"/>
  <c r="G874" i="9"/>
  <c r="Q874" i="9" s="1"/>
  <c r="G986" i="9"/>
  <c r="Q986" i="9" s="1"/>
  <c r="G1090" i="9"/>
  <c r="Q1090" i="9" s="1"/>
  <c r="G259" i="9"/>
  <c r="Q259" i="9" s="1"/>
  <c r="G341" i="9"/>
  <c r="Q341" i="9" s="1"/>
  <c r="G469" i="9"/>
  <c r="Q469" i="9" s="1"/>
  <c r="G597" i="9"/>
  <c r="Q597" i="9" s="1"/>
  <c r="G861" i="9"/>
  <c r="Q861" i="9" s="1"/>
  <c r="G318" i="9"/>
  <c r="Q318" i="9" s="1"/>
  <c r="G582" i="9"/>
  <c r="Q582" i="9" s="1"/>
  <c r="G710" i="9"/>
  <c r="Q710" i="9" s="1"/>
  <c r="G838" i="9"/>
  <c r="Q838" i="9" s="1"/>
  <c r="G958" i="9"/>
  <c r="Q958" i="9" s="1"/>
  <c r="G1070" i="9"/>
  <c r="Q1070" i="9" s="1"/>
  <c r="G367" i="9"/>
  <c r="Q367" i="9" s="1"/>
  <c r="G583" i="9"/>
  <c r="Q583" i="9" s="1"/>
  <c r="G695" i="9"/>
  <c r="Q695" i="9" s="1"/>
  <c r="G791" i="9"/>
  <c r="Q791" i="9" s="1"/>
  <c r="G887" i="9"/>
  <c r="Q887" i="9" s="1"/>
  <c r="G240" i="9"/>
  <c r="Q240" i="9" s="1"/>
  <c r="G320" i="9"/>
  <c r="Q320" i="9" s="1"/>
  <c r="G392" i="9"/>
  <c r="Q392" i="9" s="1"/>
  <c r="G480" i="9"/>
  <c r="Q480" i="9" s="1"/>
  <c r="G544" i="9"/>
  <c r="Q544" i="9" s="1"/>
  <c r="G632" i="9"/>
  <c r="Q632" i="9" s="1"/>
  <c r="G712" i="9"/>
  <c r="Q712" i="9" s="1"/>
  <c r="G784" i="9"/>
  <c r="Q784" i="9" s="1"/>
  <c r="G928" i="9"/>
  <c r="Q928" i="9" s="1"/>
  <c r="G1000" i="9"/>
  <c r="Q1000" i="9" s="1"/>
  <c r="G192" i="9"/>
  <c r="Q192" i="9" s="1"/>
  <c r="G265" i="9"/>
  <c r="Q265" i="9" s="1"/>
  <c r="G465" i="9"/>
  <c r="Q465" i="9" s="1"/>
  <c r="G529" i="9"/>
  <c r="Q529" i="9" s="1"/>
  <c r="G657" i="9"/>
  <c r="Q657" i="9" s="1"/>
  <c r="G801" i="9"/>
  <c r="Q801" i="9" s="1"/>
  <c r="G865" i="9"/>
  <c r="Q865" i="9" s="1"/>
  <c r="G913" i="9"/>
  <c r="Q913" i="9" s="1"/>
  <c r="G977" i="9"/>
  <c r="Q977" i="9" s="1"/>
  <c r="G218" i="9"/>
  <c r="Q218" i="9" s="1"/>
  <c r="G322" i="9"/>
  <c r="Q322" i="9" s="1"/>
  <c r="G386" i="9"/>
  <c r="Q386" i="9" s="1"/>
  <c r="G434" i="9"/>
  <c r="Q434" i="9" s="1"/>
  <c r="G490" i="9"/>
  <c r="Q490" i="9" s="1"/>
  <c r="G554" i="9"/>
  <c r="Q554" i="9" s="1"/>
  <c r="G826" i="9"/>
  <c r="Q826" i="9" s="1"/>
  <c r="G890" i="9"/>
  <c r="Q890" i="9" s="1"/>
  <c r="G938" i="9"/>
  <c r="Q938" i="9" s="1"/>
  <c r="G994" i="9"/>
  <c r="Q994" i="9" s="1"/>
  <c r="G211" i="9"/>
  <c r="Q211" i="9" s="1"/>
  <c r="G267" i="9"/>
  <c r="Q267" i="9" s="1"/>
  <c r="G411" i="9"/>
  <c r="Q411" i="9" s="1"/>
  <c r="G459" i="9"/>
  <c r="Q459" i="9" s="1"/>
  <c r="G603" i="9"/>
  <c r="Q603" i="9" s="1"/>
  <c r="G651" i="9"/>
  <c r="Q651" i="9" s="1"/>
  <c r="G707" i="9"/>
  <c r="Q707" i="9" s="1"/>
  <c r="G795" i="9"/>
  <c r="Q795" i="9" s="1"/>
  <c r="G851" i="9"/>
  <c r="Q851" i="9" s="1"/>
  <c r="G899" i="9"/>
  <c r="Q899" i="9" s="1"/>
  <c r="G213" i="9"/>
  <c r="Q213" i="9" s="1"/>
  <c r="G349" i="9"/>
  <c r="Q349" i="9" s="1"/>
  <c r="G477" i="9"/>
  <c r="Q477" i="9" s="1"/>
  <c r="G605" i="9"/>
  <c r="Q605" i="9" s="1"/>
  <c r="G733" i="9"/>
  <c r="Q733" i="9" s="1"/>
  <c r="G869" i="9"/>
  <c r="Q869" i="9" s="1"/>
  <c r="G989" i="9"/>
  <c r="Q989" i="9" s="1"/>
  <c r="G198" i="9"/>
  <c r="Q198" i="9" s="1"/>
  <c r="G454" i="9"/>
  <c r="Q454" i="9" s="1"/>
  <c r="G1078" i="9"/>
  <c r="Q1078" i="9" s="1"/>
  <c r="G255" i="9"/>
  <c r="Q255" i="9" s="1"/>
  <c r="G591" i="9"/>
  <c r="Q591" i="9" s="1"/>
  <c r="G799" i="9"/>
  <c r="Q799" i="9" s="1"/>
  <c r="G991" i="9"/>
  <c r="Q991" i="9" s="1"/>
  <c r="G1095" i="9"/>
  <c r="Q1095" i="9" s="1"/>
  <c r="G488" i="9"/>
  <c r="Q488" i="9" s="1"/>
  <c r="G245" i="9"/>
  <c r="Q245" i="9" s="1"/>
  <c r="G501" i="9"/>
  <c r="Q501" i="9" s="1"/>
  <c r="G1021" i="9"/>
  <c r="Q1021" i="9" s="1"/>
  <c r="G350" i="9"/>
  <c r="Q350" i="9" s="1"/>
  <c r="G486" i="9"/>
  <c r="Q486" i="9" s="1"/>
  <c r="G742" i="9"/>
  <c r="Q742" i="9" s="1"/>
  <c r="G878" i="9"/>
  <c r="Q878" i="9" s="1"/>
  <c r="G1094" i="9"/>
  <c r="Q1094" i="9" s="1"/>
  <c r="G391" i="9"/>
  <c r="Q391" i="9" s="1"/>
  <c r="G503" i="9"/>
  <c r="Q503" i="9" s="1"/>
  <c r="G615" i="9"/>
  <c r="Q615" i="9" s="1"/>
  <c r="G719" i="9"/>
  <c r="Q719" i="9" s="1"/>
  <c r="G815" i="9"/>
  <c r="Q815" i="9" s="1"/>
  <c r="G248" i="9"/>
  <c r="Q248" i="9" s="1"/>
  <c r="G576" i="9"/>
  <c r="Q576" i="9" s="1"/>
  <c r="G808" i="9"/>
  <c r="Q808" i="9" s="1"/>
  <c r="G880" i="9"/>
  <c r="Q880" i="9" s="1"/>
  <c r="G952" i="9"/>
  <c r="Q952" i="9" s="1"/>
  <c r="G1008" i="9"/>
  <c r="Q1008" i="9" s="1"/>
  <c r="G1080" i="9"/>
  <c r="Q1080" i="9" s="1"/>
  <c r="G217" i="9"/>
  <c r="Q217" i="9" s="1"/>
  <c r="G281" i="9"/>
  <c r="Q281" i="9" s="1"/>
  <c r="G353" i="9"/>
  <c r="Q353" i="9" s="1"/>
  <c r="G409" i="9"/>
  <c r="Q409" i="9" s="1"/>
  <c r="G481" i="9"/>
  <c r="Q481" i="9" s="1"/>
  <c r="G873" i="9"/>
  <c r="Q873" i="9" s="1"/>
  <c r="G937" i="9"/>
  <c r="Q937" i="9" s="1"/>
  <c r="G1041" i="9"/>
  <c r="Q1041" i="9" s="1"/>
  <c r="G282" i="9"/>
  <c r="Q282" i="9" s="1"/>
  <c r="G346" i="9"/>
  <c r="Q346" i="9" s="1"/>
  <c r="G394" i="9"/>
  <c r="Q394" i="9" s="1"/>
  <c r="G450" i="9"/>
  <c r="Q450" i="9" s="1"/>
  <c r="G562" i="9"/>
  <c r="Q562" i="9" s="1"/>
  <c r="G730" i="9"/>
  <c r="Q730" i="9" s="1"/>
  <c r="G898" i="9"/>
  <c r="Q898" i="9" s="1"/>
  <c r="G946" i="9"/>
  <c r="Q946" i="9" s="1"/>
  <c r="G1010" i="9"/>
  <c r="Q1010" i="9" s="1"/>
  <c r="G1058" i="9"/>
  <c r="Q1058" i="9" s="1"/>
  <c r="G275" i="9"/>
  <c r="Q275" i="9" s="1"/>
  <c r="G277" i="9"/>
  <c r="Q277" i="9" s="1"/>
  <c r="G661" i="9"/>
  <c r="Q661" i="9" s="1"/>
  <c r="G925" i="9"/>
  <c r="Q925" i="9" s="1"/>
  <c r="G1053" i="9"/>
  <c r="Q1053" i="9" s="1"/>
  <c r="G254" i="9"/>
  <c r="Q254" i="9" s="1"/>
  <c r="G518" i="9"/>
  <c r="Q518" i="9" s="1"/>
  <c r="G782" i="9"/>
  <c r="Q782" i="9" s="1"/>
  <c r="G415" i="9"/>
  <c r="Q415" i="9" s="1"/>
  <c r="G535" i="9"/>
  <c r="Q535" i="9" s="1"/>
  <c r="G743" i="9"/>
  <c r="Q743" i="9" s="1"/>
  <c r="G200" i="9"/>
  <c r="Q200" i="9" s="1"/>
  <c r="G280" i="9"/>
  <c r="Q280" i="9" s="1"/>
  <c r="G352" i="9"/>
  <c r="Q352" i="9" s="1"/>
  <c r="G432" i="9"/>
  <c r="Q432" i="9" s="1"/>
  <c r="G744" i="9"/>
  <c r="Q744" i="9" s="1"/>
  <c r="G824" i="9"/>
  <c r="Q824" i="9" s="1"/>
  <c r="G297" i="9"/>
  <c r="Q297" i="9" s="1"/>
  <c r="G361" i="9"/>
  <c r="Q361" i="9" s="1"/>
  <c r="G433" i="9"/>
  <c r="Q433" i="9" s="1"/>
  <c r="G569" i="9"/>
  <c r="Q569" i="9" s="1"/>
  <c r="G633" i="9"/>
  <c r="Q633" i="9" s="1"/>
  <c r="G697" i="9"/>
  <c r="Q697" i="9" s="1"/>
  <c r="G769" i="9"/>
  <c r="Q769" i="9" s="1"/>
  <c r="G897" i="9"/>
  <c r="Q897" i="9" s="1"/>
  <c r="G945" i="9"/>
  <c r="Q945" i="9" s="1"/>
  <c r="G354" i="9"/>
  <c r="Q354" i="9" s="1"/>
  <c r="G410" i="9"/>
  <c r="Q410" i="9" s="1"/>
  <c r="G466" i="9"/>
  <c r="Q466" i="9" s="1"/>
  <c r="G522" i="9"/>
  <c r="Q522" i="9" s="1"/>
  <c r="G802" i="9"/>
  <c r="Q802" i="9" s="1"/>
  <c r="G858" i="9"/>
  <c r="Q858" i="9" s="1"/>
  <c r="G906" i="9"/>
  <c r="Q906" i="9" s="1"/>
  <c r="G970" i="9"/>
  <c r="Q970" i="9" s="1"/>
  <c r="G1018" i="9"/>
  <c r="Q1018" i="9" s="1"/>
  <c r="G1066" i="9"/>
  <c r="Q1066" i="9" s="1"/>
  <c r="G195" i="9"/>
  <c r="Q195" i="9" s="1"/>
  <c r="G283" i="9"/>
  <c r="Q283" i="9" s="1"/>
  <c r="G339" i="9"/>
  <c r="Q339" i="9" s="1"/>
  <c r="G387" i="9"/>
  <c r="Q387" i="9" s="1"/>
  <c r="G531" i="9"/>
  <c r="Q531" i="9" s="1"/>
  <c r="G579" i="9"/>
  <c r="Q579" i="9" s="1"/>
  <c r="G723" i="9"/>
  <c r="Q723" i="9" s="1"/>
  <c r="G779" i="9"/>
  <c r="Q779" i="9" s="1"/>
  <c r="G923" i="9"/>
  <c r="Q923" i="9" s="1"/>
  <c r="G971" i="9"/>
  <c r="Q971" i="9" s="1"/>
  <c r="G397" i="9"/>
  <c r="Q397" i="9" s="1"/>
  <c r="G917" i="9"/>
  <c r="Q917" i="9" s="1"/>
  <c r="G502" i="9"/>
  <c r="Q502" i="9" s="1"/>
  <c r="G1006" i="9"/>
  <c r="Q1006" i="9" s="1"/>
  <c r="G527" i="9"/>
  <c r="Q527" i="9" s="1"/>
  <c r="G927" i="9"/>
  <c r="Q927" i="9" s="1"/>
  <c r="G224" i="9"/>
  <c r="Q224" i="9" s="1"/>
  <c r="G440" i="9"/>
  <c r="Q440" i="9" s="1"/>
  <c r="G640" i="9"/>
  <c r="Q640" i="9" s="1"/>
  <c r="G273" i="9"/>
  <c r="Q273" i="9" s="1"/>
  <c r="G401" i="9"/>
  <c r="Q401" i="9" s="1"/>
  <c r="G537" i="9"/>
  <c r="Q537" i="9" s="1"/>
  <c r="G809" i="9"/>
  <c r="Q809" i="9" s="1"/>
  <c r="G1033" i="9"/>
  <c r="Q1033" i="9" s="1"/>
  <c r="G226" i="9"/>
  <c r="Q226" i="9" s="1"/>
  <c r="G778" i="9"/>
  <c r="Q778" i="9" s="1"/>
  <c r="G1002" i="9"/>
  <c r="Q1002" i="9" s="1"/>
  <c r="G1098" i="9"/>
  <c r="Q1098" i="9" s="1"/>
  <c r="G403" i="9"/>
  <c r="Q403" i="9" s="1"/>
  <c r="G467" i="9"/>
  <c r="Q467" i="9" s="1"/>
  <c r="G667" i="9"/>
  <c r="Q667" i="9" s="1"/>
  <c r="G731" i="9"/>
  <c r="Q731" i="9" s="1"/>
  <c r="G859" i="9"/>
  <c r="Q859" i="9" s="1"/>
  <c r="G931" i="9"/>
  <c r="Q931" i="9" s="1"/>
  <c r="G987" i="9"/>
  <c r="Q987" i="9" s="1"/>
  <c r="G1043" i="9"/>
  <c r="Q1043" i="9" s="1"/>
  <c r="G1091" i="9"/>
  <c r="Q1091" i="9" s="1"/>
  <c r="G308" i="9"/>
  <c r="Q308" i="9" s="1"/>
  <c r="G364" i="9"/>
  <c r="Q364" i="9" s="1"/>
  <c r="G508" i="9"/>
  <c r="Q508" i="9" s="1"/>
  <c r="G556" i="9"/>
  <c r="Q556" i="9" s="1"/>
  <c r="G700" i="9"/>
  <c r="Q700" i="9" s="1"/>
  <c r="G748" i="9"/>
  <c r="Q748" i="9" s="1"/>
  <c r="G964" i="9"/>
  <c r="Q964" i="9" s="1"/>
  <c r="G1004" i="9"/>
  <c r="Q1004" i="9" s="1"/>
  <c r="G1044" i="9"/>
  <c r="Q1044" i="9" s="1"/>
  <c r="G1084" i="9"/>
  <c r="Q1084" i="9" s="1"/>
  <c r="O788" i="9"/>
  <c r="O960" i="9"/>
  <c r="O735" i="9"/>
  <c r="O987" i="9"/>
  <c r="O1049" i="9"/>
  <c r="O1039" i="9"/>
  <c r="O790" i="9"/>
  <c r="O721" i="9"/>
  <c r="O1099" i="9"/>
  <c r="O1073" i="9"/>
  <c r="O1047" i="9"/>
  <c r="O732" i="9"/>
  <c r="O655" i="9"/>
  <c r="O827" i="9"/>
  <c r="O883" i="9"/>
  <c r="O969" i="9"/>
  <c r="O825" i="9"/>
  <c r="O1032" i="9"/>
  <c r="O720" i="9"/>
  <c r="O927" i="9"/>
  <c r="O767" i="9"/>
  <c r="O902" i="9"/>
  <c r="O934" i="9"/>
  <c r="O286" i="9"/>
  <c r="O1070" i="9"/>
  <c r="O861" i="9"/>
  <c r="O1010" i="9"/>
  <c r="O571" i="9"/>
  <c r="O963" i="9"/>
  <c r="O1008" i="9"/>
  <c r="O614" i="9"/>
  <c r="O650" i="9"/>
  <c r="O354" i="9"/>
  <c r="O194" i="9"/>
  <c r="O803" i="9"/>
  <c r="O992" i="9"/>
  <c r="O683" i="9"/>
  <c r="O750" i="9"/>
  <c r="O294" i="9"/>
  <c r="O1086" i="9"/>
  <c r="O837" i="9"/>
  <c r="O802" i="9"/>
  <c r="O355" i="9"/>
  <c r="O771" i="9"/>
  <c r="O840" i="9"/>
  <c r="O678" i="9"/>
  <c r="O371" i="9"/>
  <c r="O362" i="9"/>
  <c r="O218" i="9"/>
  <c r="G405" i="9"/>
  <c r="Q405" i="9" s="1"/>
  <c r="G933" i="9"/>
  <c r="Q933" i="9" s="1"/>
  <c r="G1014" i="9"/>
  <c r="Q1014" i="9" s="1"/>
  <c r="G272" i="9"/>
  <c r="Q272" i="9" s="1"/>
  <c r="G960" i="9"/>
  <c r="Q960" i="9" s="1"/>
  <c r="G1088" i="9"/>
  <c r="Q1088" i="9" s="1"/>
  <c r="G425" i="9"/>
  <c r="Q425" i="9" s="1"/>
  <c r="G689" i="9"/>
  <c r="Q689" i="9" s="1"/>
  <c r="G825" i="9"/>
  <c r="Q825" i="9" s="1"/>
  <c r="G234" i="9"/>
  <c r="Q234" i="9" s="1"/>
  <c r="G458" i="9"/>
  <c r="Q458" i="9" s="1"/>
  <c r="G570" i="9"/>
  <c r="Q570" i="9" s="1"/>
  <c r="G682" i="9"/>
  <c r="Q682" i="9" s="1"/>
  <c r="G794" i="9"/>
  <c r="Q794" i="9" s="1"/>
  <c r="G347" i="9"/>
  <c r="Q347" i="9" s="1"/>
  <c r="G419" i="9"/>
  <c r="Q419" i="9" s="1"/>
  <c r="G475" i="9"/>
  <c r="Q475" i="9" s="1"/>
  <c r="G539" i="9"/>
  <c r="Q539" i="9" s="1"/>
  <c r="G611" i="9"/>
  <c r="Q611" i="9" s="1"/>
  <c r="G675" i="9"/>
  <c r="Q675" i="9" s="1"/>
  <c r="G867" i="9"/>
  <c r="Q867" i="9" s="1"/>
  <c r="G1003" i="9"/>
  <c r="Q1003" i="9" s="1"/>
  <c r="G1099" i="9"/>
  <c r="Q1099" i="9" s="1"/>
  <c r="G220" i="9"/>
  <c r="Q220" i="9" s="1"/>
  <c r="G268" i="9"/>
  <c r="Q268" i="9" s="1"/>
  <c r="G316" i="9"/>
  <c r="Q316" i="9" s="1"/>
  <c r="G412" i="9"/>
  <c r="Q412" i="9" s="1"/>
  <c r="G516" i="9"/>
  <c r="Q516" i="9" s="1"/>
  <c r="G612" i="9"/>
  <c r="Q612" i="9" s="1"/>
  <c r="G660" i="9"/>
  <c r="Q660" i="9" s="1"/>
  <c r="G708" i="9"/>
  <c r="Q708" i="9" s="1"/>
  <c r="G756" i="9"/>
  <c r="Q756" i="9" s="1"/>
  <c r="G804" i="9"/>
  <c r="Q804" i="9" s="1"/>
  <c r="G844" i="9"/>
  <c r="Q844" i="9" s="1"/>
  <c r="G884" i="9"/>
  <c r="Q884" i="9" s="1"/>
  <c r="G924" i="9"/>
  <c r="Q924" i="9" s="1"/>
  <c r="O755" i="9"/>
  <c r="O928" i="9"/>
  <c r="O719" i="9"/>
  <c r="O940" i="9"/>
  <c r="O1033" i="9"/>
  <c r="O1007" i="9"/>
  <c r="O747" i="9"/>
  <c r="O705" i="9"/>
  <c r="O1067" i="9"/>
  <c r="O1057" i="9"/>
  <c r="O1031" i="9"/>
  <c r="O956" i="9"/>
  <c r="O828" i="9"/>
  <c r="O795" i="9"/>
  <c r="O851" i="9"/>
  <c r="O953" i="9"/>
  <c r="O809" i="9"/>
  <c r="O1016" i="9"/>
  <c r="O704" i="9"/>
  <c r="O895" i="9"/>
  <c r="O692" i="9"/>
  <c r="O675" i="9"/>
  <c r="O766" i="9"/>
  <c r="O262" i="9"/>
  <c r="O1030" i="9"/>
  <c r="O845" i="9"/>
  <c r="O834" i="9"/>
  <c r="O826" i="9"/>
  <c r="O835" i="9"/>
  <c r="O872" i="9"/>
  <c r="O334" i="9"/>
  <c r="O594" i="9"/>
  <c r="O322" i="9"/>
  <c r="G533" i="9"/>
  <c r="Q533" i="9" s="1"/>
  <c r="G1045" i="9"/>
  <c r="Q1045" i="9" s="1"/>
  <c r="G638" i="9"/>
  <c r="Q638" i="9" s="1"/>
  <c r="G190" i="9"/>
  <c r="Q190" i="9" s="1"/>
  <c r="G631" i="9"/>
  <c r="Q631" i="9" s="1"/>
  <c r="G959" i="9"/>
  <c r="Q959" i="9" s="1"/>
  <c r="G288" i="9"/>
  <c r="Q288" i="9" s="1"/>
  <c r="G496" i="9"/>
  <c r="Q496" i="9" s="1"/>
  <c r="G680" i="9"/>
  <c r="Q680" i="9" s="1"/>
  <c r="G832" i="9"/>
  <c r="Q832" i="9" s="1"/>
  <c r="G968" i="9"/>
  <c r="Q968" i="9" s="1"/>
  <c r="G313" i="9"/>
  <c r="Q313" i="9" s="1"/>
  <c r="G441" i="9"/>
  <c r="Q441" i="9" s="1"/>
  <c r="G841" i="9"/>
  <c r="Q841" i="9" s="1"/>
  <c r="G953" i="9"/>
  <c r="Q953" i="9" s="1"/>
  <c r="G1065" i="9"/>
  <c r="Q1065" i="9" s="1"/>
  <c r="G250" i="9"/>
  <c r="Q250" i="9" s="1"/>
  <c r="G474" i="9"/>
  <c r="Q474" i="9" s="1"/>
  <c r="G690" i="9"/>
  <c r="Q690" i="9" s="1"/>
  <c r="G810" i="9"/>
  <c r="Q810" i="9" s="1"/>
  <c r="G922" i="9"/>
  <c r="Q922" i="9" s="1"/>
  <c r="G1026" i="9"/>
  <c r="Q1026" i="9" s="1"/>
  <c r="G355" i="9"/>
  <c r="Q355" i="9" s="1"/>
  <c r="G491" i="9"/>
  <c r="Q491" i="9" s="1"/>
  <c r="G683" i="9"/>
  <c r="Q683" i="9" s="1"/>
  <c r="G747" i="9"/>
  <c r="Q747" i="9" s="1"/>
  <c r="G939" i="9"/>
  <c r="Q939" i="9" s="1"/>
  <c r="G1051" i="9"/>
  <c r="Q1051" i="9" s="1"/>
  <c r="G175" i="9"/>
  <c r="Q175" i="9" s="1"/>
  <c r="G228" i="9"/>
  <c r="Q228" i="9" s="1"/>
  <c r="G372" i="9"/>
  <c r="Q372" i="9" s="1"/>
  <c r="G420" i="9"/>
  <c r="Q420" i="9" s="1"/>
  <c r="G564" i="9"/>
  <c r="Q564" i="9" s="1"/>
  <c r="G620" i="9"/>
  <c r="Q620" i="9" s="1"/>
  <c r="G764" i="9"/>
  <c r="Q764" i="9" s="1"/>
  <c r="G932" i="9"/>
  <c r="Q932" i="9" s="1"/>
  <c r="G972" i="9"/>
  <c r="Q972" i="9" s="1"/>
  <c r="G1012" i="9"/>
  <c r="Q1012" i="9" s="1"/>
  <c r="G1060" i="9"/>
  <c r="Q1060" i="9" s="1"/>
  <c r="G1100" i="9"/>
  <c r="Q1100" i="9" s="1"/>
  <c r="O723" i="9"/>
  <c r="O912" i="9"/>
  <c r="O703" i="9"/>
  <c r="O1075" i="9"/>
  <c r="O1001" i="9"/>
  <c r="O991" i="9"/>
  <c r="O715" i="9"/>
  <c r="O976" i="9"/>
  <c r="O1035" i="9"/>
  <c r="O1041" i="9"/>
  <c r="O1015" i="9"/>
  <c r="O665" i="9"/>
  <c r="O780" i="9"/>
  <c r="O1052" i="9"/>
  <c r="O819" i="9"/>
  <c r="O937" i="9"/>
  <c r="O793" i="9"/>
  <c r="O1000" i="9"/>
  <c r="O672" i="9"/>
  <c r="O879" i="9"/>
  <c r="O1078" i="9"/>
  <c r="O657" i="9"/>
  <c r="O742" i="9"/>
  <c r="O246" i="9"/>
  <c r="O973" i="9"/>
  <c r="O813" i="9"/>
  <c r="O466" i="9"/>
  <c r="O674" i="9"/>
  <c r="O884" i="9"/>
  <c r="O808" i="9"/>
  <c r="O749" i="9"/>
  <c r="O578" i="9"/>
  <c r="O290" i="9"/>
  <c r="O996" i="9"/>
  <c r="O844" i="9"/>
  <c r="O792" i="9"/>
  <c r="O748" i="9"/>
  <c r="O606" i="9"/>
  <c r="O254" i="9"/>
  <c r="O933" i="9"/>
  <c r="O789" i="9"/>
  <c r="O458" i="9"/>
  <c r="O786" i="9"/>
  <c r="O796" i="9"/>
  <c r="O712" i="9"/>
  <c r="O926" i="9"/>
  <c r="O634" i="9"/>
  <c r="O314" i="9"/>
  <c r="O659" i="9"/>
  <c r="O694" i="9"/>
  <c r="O1045" i="9"/>
  <c r="O554" i="9"/>
  <c r="O929" i="9"/>
  <c r="O760" i="9"/>
  <c r="O462" i="9"/>
  <c r="O653" i="9"/>
  <c r="O338" i="9"/>
  <c r="O265" i="9"/>
  <c r="O568" i="9"/>
  <c r="O328" i="9"/>
  <c r="O200" i="9"/>
  <c r="O567" i="9"/>
  <c r="O419" i="9"/>
  <c r="O179" i="9"/>
  <c r="O648" i="9"/>
  <c r="O639" i="9"/>
  <c r="O549" i="9"/>
  <c r="O421" i="9"/>
  <c r="G541" i="9"/>
  <c r="Q541" i="9" s="1"/>
  <c r="G1061" i="9"/>
  <c r="Q1061" i="9" s="1"/>
  <c r="G646" i="9"/>
  <c r="Q646" i="9" s="1"/>
  <c r="G207" i="9"/>
  <c r="Q207" i="9" s="1"/>
  <c r="G655" i="9"/>
  <c r="Q655" i="9" s="1"/>
  <c r="G1031" i="9"/>
  <c r="Q1031" i="9" s="1"/>
  <c r="G296" i="9"/>
  <c r="Q296" i="9" s="1"/>
  <c r="G528" i="9"/>
  <c r="Q528" i="9" s="1"/>
  <c r="G182" i="9"/>
  <c r="Q182" i="9" s="1"/>
  <c r="G577" i="9"/>
  <c r="Q577" i="9" s="1"/>
  <c r="G849" i="9"/>
  <c r="Q849" i="9" s="1"/>
  <c r="G362" i="9"/>
  <c r="Q362" i="9" s="1"/>
  <c r="G482" i="9"/>
  <c r="Q482" i="9" s="1"/>
  <c r="G594" i="9"/>
  <c r="Q594" i="9" s="1"/>
  <c r="G930" i="9"/>
  <c r="Q930" i="9" s="1"/>
  <c r="G203" i="9"/>
  <c r="Q203" i="9" s="1"/>
  <c r="G427" i="9"/>
  <c r="Q427" i="9" s="1"/>
  <c r="G563" i="9"/>
  <c r="Q563" i="9" s="1"/>
  <c r="G755" i="9"/>
  <c r="Q755" i="9" s="1"/>
  <c r="G819" i="9"/>
  <c r="Q819" i="9" s="1"/>
  <c r="G1011" i="9"/>
  <c r="Q1011" i="9" s="1"/>
  <c r="G332" i="9"/>
  <c r="Q332" i="9" s="1"/>
  <c r="G428" i="9"/>
  <c r="Q428" i="9" s="1"/>
  <c r="G476" i="9"/>
  <c r="Q476" i="9" s="1"/>
  <c r="G524" i="9"/>
  <c r="Q524" i="9" s="1"/>
  <c r="G572" i="9"/>
  <c r="Q572" i="9" s="1"/>
  <c r="G668" i="9"/>
  <c r="Q668" i="9" s="1"/>
  <c r="G772" i="9"/>
  <c r="Q772" i="9" s="1"/>
  <c r="G812" i="9"/>
  <c r="Q812" i="9" s="1"/>
  <c r="G852" i="9"/>
  <c r="Q852" i="9" s="1"/>
  <c r="G892" i="9"/>
  <c r="Q892" i="9" s="1"/>
  <c r="G1020" i="9"/>
  <c r="Q1020" i="9" s="1"/>
  <c r="O772" i="9"/>
  <c r="O896" i="9"/>
  <c r="O886" i="9"/>
  <c r="O1011" i="9"/>
  <c r="O985" i="9"/>
  <c r="O974" i="9"/>
  <c r="O699" i="9"/>
  <c r="O936" i="9"/>
  <c r="O1003" i="9"/>
  <c r="G185" i="9"/>
  <c r="Q185" i="9" s="1"/>
  <c r="G653" i="9"/>
  <c r="Q653" i="9" s="1"/>
  <c r="G246" i="9"/>
  <c r="Q246" i="9" s="1"/>
  <c r="G774" i="9"/>
  <c r="Q774" i="9" s="1"/>
  <c r="G295" i="9"/>
  <c r="Q295" i="9" s="1"/>
  <c r="G735" i="9"/>
  <c r="Q735" i="9" s="1"/>
  <c r="G1039" i="9"/>
  <c r="Q1039" i="9" s="1"/>
  <c r="G344" i="9"/>
  <c r="Q344" i="9" s="1"/>
  <c r="G720" i="9"/>
  <c r="Q720" i="9" s="1"/>
  <c r="G872" i="9"/>
  <c r="Q872" i="9" s="1"/>
  <c r="G201" i="9"/>
  <c r="Q201" i="9" s="1"/>
  <c r="G337" i="9"/>
  <c r="Q337" i="9" s="1"/>
  <c r="G609" i="9"/>
  <c r="Q609" i="9" s="1"/>
  <c r="G737" i="9"/>
  <c r="Q737" i="9" s="1"/>
  <c r="G985" i="9"/>
  <c r="Q985" i="9" s="1"/>
  <c r="G274" i="9"/>
  <c r="Q274" i="9" s="1"/>
  <c r="G498" i="9"/>
  <c r="Q498" i="9" s="1"/>
  <c r="G610" i="9"/>
  <c r="Q610" i="9" s="1"/>
  <c r="G722" i="9"/>
  <c r="Q722" i="9" s="1"/>
  <c r="G834" i="9"/>
  <c r="Q834" i="9" s="1"/>
  <c r="G1050" i="9"/>
  <c r="Q1050" i="9" s="1"/>
  <c r="G219" i="9"/>
  <c r="Q219" i="9" s="1"/>
  <c r="G307" i="9"/>
  <c r="Q307" i="9" s="1"/>
  <c r="G499" i="9"/>
  <c r="Q499" i="9" s="1"/>
  <c r="G635" i="9"/>
  <c r="Q635" i="9" s="1"/>
  <c r="G827" i="9"/>
  <c r="Q827" i="9" s="1"/>
  <c r="G891" i="9"/>
  <c r="Q891" i="9" s="1"/>
  <c r="G963" i="9"/>
  <c r="Q963" i="9" s="1"/>
  <c r="G187" i="9"/>
  <c r="Q187" i="9" s="1"/>
  <c r="G236" i="9"/>
  <c r="Q236" i="9" s="1"/>
  <c r="G292" i="9"/>
  <c r="Q292" i="9" s="1"/>
  <c r="G380" i="9"/>
  <c r="Q380" i="9" s="1"/>
  <c r="G436" i="9"/>
  <c r="Q436" i="9" s="1"/>
  <c r="G484" i="9"/>
  <c r="Q484" i="9" s="1"/>
  <c r="G628" i="9"/>
  <c r="Q628" i="9" s="1"/>
  <c r="G676" i="9"/>
  <c r="Q676" i="9" s="1"/>
  <c r="G900" i="9"/>
  <c r="Q900" i="9" s="1"/>
  <c r="G940" i="9"/>
  <c r="Q940" i="9" s="1"/>
  <c r="G1028" i="9"/>
  <c r="Q1028" i="9" s="1"/>
  <c r="G1068" i="9"/>
  <c r="Q1068" i="9" s="1"/>
  <c r="O876" i="9"/>
  <c r="O761" i="9"/>
  <c r="O880" i="9"/>
  <c r="O924" i="9"/>
  <c r="O908" i="9"/>
  <c r="O1103" i="9"/>
  <c r="O958" i="9"/>
  <c r="O916" i="9"/>
  <c r="O920" i="9"/>
  <c r="O1091" i="9"/>
  <c r="O993" i="9"/>
  <c r="O972" i="9"/>
  <c r="O752" i="9"/>
  <c r="O660" i="9"/>
  <c r="O836" i="9"/>
  <c r="O1100" i="9"/>
  <c r="O905" i="9"/>
  <c r="O1096" i="9"/>
  <c r="O848" i="9"/>
  <c r="O1104" i="9"/>
  <c r="O847" i="9"/>
  <c r="O1022" i="9"/>
  <c r="O855" i="9"/>
  <c r="G789" i="9"/>
  <c r="Q789" i="9" s="1"/>
  <c r="G382" i="9"/>
  <c r="Q382" i="9" s="1"/>
  <c r="G839" i="9"/>
  <c r="Q839" i="9" s="1"/>
  <c r="G384" i="9"/>
  <c r="Q384" i="9" s="1"/>
  <c r="G1040" i="9"/>
  <c r="Q1040" i="9" s="1"/>
  <c r="G1009" i="9"/>
  <c r="Q1009" i="9" s="1"/>
  <c r="G193" i="9"/>
  <c r="Q193" i="9" s="1"/>
  <c r="G306" i="9"/>
  <c r="Q306" i="9" s="1"/>
  <c r="G418" i="9"/>
  <c r="Q418" i="9" s="1"/>
  <c r="G642" i="9"/>
  <c r="Q642" i="9" s="1"/>
  <c r="G1074" i="9"/>
  <c r="Q1074" i="9" s="1"/>
  <c r="G243" i="9"/>
  <c r="Q243" i="9" s="1"/>
  <c r="G323" i="9"/>
  <c r="Q323" i="9" s="1"/>
  <c r="G262" i="9"/>
  <c r="Q262" i="9" s="1"/>
  <c r="G1063" i="9"/>
  <c r="Q1063" i="9" s="1"/>
  <c r="G993" i="9"/>
  <c r="Q993" i="9" s="1"/>
  <c r="G962" i="9"/>
  <c r="Q962" i="9" s="1"/>
  <c r="G379" i="9"/>
  <c r="Q379" i="9" s="1"/>
  <c r="G715" i="9"/>
  <c r="Q715" i="9" s="1"/>
  <c r="G252" i="9"/>
  <c r="Q252" i="9" s="1"/>
  <c r="G500" i="9"/>
  <c r="Q500" i="9" s="1"/>
  <c r="G636" i="9"/>
  <c r="Q636" i="9" s="1"/>
  <c r="G780" i="9"/>
  <c r="Q780" i="9" s="1"/>
  <c r="G876" i="9"/>
  <c r="Q876" i="9" s="1"/>
  <c r="G996" i="9"/>
  <c r="Q996" i="9" s="1"/>
  <c r="O763" i="9"/>
  <c r="O751" i="9"/>
  <c r="O1071" i="9"/>
  <c r="O904" i="9"/>
  <c r="O1079" i="9"/>
  <c r="O687" i="9"/>
  <c r="O979" i="9"/>
  <c r="O857" i="9"/>
  <c r="O816" i="9"/>
  <c r="O815" i="9"/>
  <c r="O998" i="9"/>
  <c r="O190" i="9"/>
  <c r="O877" i="9"/>
  <c r="O418" i="9"/>
  <c r="O676" i="9"/>
  <c r="O782" i="9"/>
  <c r="O530" i="9"/>
  <c r="O210" i="9"/>
  <c r="O961" i="9"/>
  <c r="O887" i="9"/>
  <c r="O774" i="9"/>
  <c r="O222" i="9"/>
  <c r="O885" i="9"/>
  <c r="O962" i="9"/>
  <c r="O907" i="9"/>
  <c r="O817" i="9"/>
  <c r="O910" i="9"/>
  <c r="O618" i="9"/>
  <c r="O266" i="9"/>
  <c r="O878" i="9"/>
  <c r="O1077" i="9"/>
  <c r="O570" i="9"/>
  <c r="O865" i="9"/>
  <c r="O968" i="9"/>
  <c r="O414" i="9"/>
  <c r="O862" i="9"/>
  <c r="O313" i="9"/>
  <c r="O291" i="9"/>
  <c r="O344" i="9"/>
  <c r="O184" i="9"/>
  <c r="O535" i="9"/>
  <c r="O758" i="9"/>
  <c r="O553" i="9"/>
  <c r="O363" i="9"/>
  <c r="O581" i="9"/>
  <c r="O437" i="9"/>
  <c r="O994" i="9"/>
  <c r="O409" i="9"/>
  <c r="O366" i="9"/>
  <c r="O574" i="9"/>
  <c r="O321" i="9"/>
  <c r="O193" i="9"/>
  <c r="O496" i="9"/>
  <c r="O240" i="9"/>
  <c r="O1018" i="9"/>
  <c r="O563" i="9"/>
  <c r="O477" i="9"/>
  <c r="O718" i="9"/>
  <c r="O577" i="9"/>
  <c r="O427" i="9"/>
  <c r="O930" i="9"/>
  <c r="O894" i="9"/>
  <c r="O219" i="9"/>
  <c r="O385" i="9"/>
  <c r="O279" i="9"/>
  <c r="O645" i="9"/>
  <c r="O475" i="9"/>
  <c r="O408" i="9"/>
  <c r="O423" i="9"/>
  <c r="O898" i="9"/>
  <c r="O285" i="9"/>
  <c r="O598" i="9"/>
  <c r="O621" i="9"/>
  <c r="O436" i="9"/>
  <c r="O415" i="9"/>
  <c r="O228" i="9"/>
  <c r="O463" i="9"/>
  <c r="O435" i="9"/>
  <c r="O277" i="9"/>
  <c r="O531" i="9"/>
  <c r="O396" i="9"/>
  <c r="O271" i="9"/>
  <c r="O333" i="9"/>
  <c r="O540" i="9"/>
  <c r="O236" i="9"/>
  <c r="O259" i="9"/>
  <c r="O181" i="9"/>
  <c r="O628" i="9"/>
  <c r="G390" i="9"/>
  <c r="Q390" i="9" s="1"/>
  <c r="G530" i="9"/>
  <c r="Q530" i="9" s="1"/>
  <c r="G978" i="9"/>
  <c r="Q978" i="9" s="1"/>
  <c r="G571" i="9"/>
  <c r="Q571" i="9" s="1"/>
  <c r="G907" i="9"/>
  <c r="Q907" i="9" s="1"/>
  <c r="G1075" i="9"/>
  <c r="Q1075" i="9" s="1"/>
  <c r="G260" i="9"/>
  <c r="Q260" i="9" s="1"/>
  <c r="O731" i="9"/>
  <c r="O1083" i="9"/>
  <c r="O1055" i="9"/>
  <c r="O967" i="9"/>
  <c r="O1063" i="9"/>
  <c r="O671" i="9"/>
  <c r="O915" i="9"/>
  <c r="O841" i="9"/>
  <c r="O800" i="9"/>
  <c r="O799" i="9"/>
  <c r="O966" i="9"/>
  <c r="O174" i="9"/>
  <c r="O797" i="9"/>
  <c r="O402" i="9"/>
  <c r="O977" i="9"/>
  <c r="O686" i="9"/>
  <c r="O514" i="9"/>
  <c r="O627" i="9"/>
  <c r="O897" i="9"/>
  <c r="O759" i="9"/>
  <c r="O662" i="9"/>
  <c r="O198" i="9"/>
  <c r="O869" i="9"/>
  <c r="O474" i="9"/>
  <c r="O779" i="9"/>
  <c r="O668" i="9"/>
  <c r="O622" i="9"/>
  <c r="O602" i="9"/>
  <c r="O250" i="9"/>
  <c r="O846" i="9"/>
  <c r="O1061" i="9"/>
  <c r="O538" i="9"/>
  <c r="O801" i="9"/>
  <c r="O919" i="9"/>
  <c r="O390" i="9"/>
  <c r="O542" i="9"/>
  <c r="O297" i="9"/>
  <c r="O584" i="9"/>
  <c r="O312" i="9"/>
  <c r="O275" i="9"/>
  <c r="O519" i="9"/>
  <c r="O454" i="9"/>
  <c r="O505" i="9"/>
  <c r="O874" i="9"/>
  <c r="O565" i="9"/>
  <c r="O405" i="9"/>
  <c r="O641" i="9"/>
  <c r="O393" i="9"/>
  <c r="O643" i="9"/>
  <c r="O502" i="9"/>
  <c r="O305" i="9"/>
  <c r="O177" i="9"/>
  <c r="O480" i="9"/>
  <c r="O224" i="9"/>
  <c r="O575" i="9"/>
  <c r="O467" i="9"/>
  <c r="O461" i="9"/>
  <c r="O646" i="9"/>
  <c r="O561" i="9"/>
  <c r="O576" i="9"/>
  <c r="O647" i="9"/>
  <c r="O702" i="9"/>
  <c r="O609" i="9"/>
  <c r="O353" i="9"/>
  <c r="O263" i="9"/>
  <c r="O629" i="9"/>
  <c r="O1034" i="9"/>
  <c r="O392" i="9"/>
  <c r="O407" i="9"/>
  <c r="O597" i="9"/>
  <c r="O221" i="9"/>
  <c r="O532" i="9"/>
  <c r="O349" i="9"/>
  <c r="O420" i="9"/>
  <c r="O301" i="9"/>
  <c r="O207" i="9"/>
  <c r="O399" i="9"/>
  <c r="O890" i="9"/>
  <c r="O507" i="9"/>
  <c r="O347" i="9"/>
  <c r="O380" i="9"/>
  <c r="O1026" i="9"/>
  <c r="O269" i="9"/>
  <c r="O524" i="9"/>
  <c r="O220" i="9"/>
  <c r="O539" i="9"/>
  <c r="O307" i="9"/>
  <c r="O500" i="9"/>
  <c r="G368" i="9"/>
  <c r="Q368" i="9" s="1"/>
  <c r="G617" i="9"/>
  <c r="Q617" i="9" s="1"/>
  <c r="G173" i="9"/>
  <c r="Q173" i="9" s="1"/>
  <c r="G626" i="9"/>
  <c r="Q626" i="9" s="1"/>
  <c r="G395" i="9"/>
  <c r="Q395" i="9" s="1"/>
  <c r="G587" i="9"/>
  <c r="Q587" i="9" s="1"/>
  <c r="G771" i="9"/>
  <c r="Q771" i="9" s="1"/>
  <c r="G915" i="9"/>
  <c r="Q915" i="9" s="1"/>
  <c r="G404" i="9"/>
  <c r="Q404" i="9" s="1"/>
  <c r="G548" i="9"/>
  <c r="Q548" i="9" s="1"/>
  <c r="G684" i="9"/>
  <c r="Q684" i="9" s="1"/>
  <c r="G788" i="9"/>
  <c r="Q788" i="9" s="1"/>
  <c r="O892" i="9"/>
  <c r="O1051" i="9"/>
  <c r="O854" i="9"/>
  <c r="O948" i="9"/>
  <c r="O983" i="9"/>
  <c r="O724" i="9"/>
  <c r="O787" i="9"/>
  <c r="O777" i="9"/>
  <c r="O656" i="9"/>
  <c r="O1046" i="9"/>
  <c r="O726" i="9"/>
  <c r="O1028" i="9"/>
  <c r="O781" i="9"/>
  <c r="O386" i="9"/>
  <c r="O913" i="9"/>
  <c r="O733" i="9"/>
  <c r="O498" i="9"/>
  <c r="O804" i="9"/>
  <c r="O833" i="9"/>
  <c r="O756" i="9"/>
  <c r="O582" i="9"/>
  <c r="O182" i="9"/>
  <c r="O853" i="9"/>
  <c r="O442" i="9"/>
  <c r="O964" i="9"/>
  <c r="O1040" i="9"/>
  <c r="O757" i="9"/>
  <c r="O586" i="9"/>
  <c r="O234" i="9"/>
  <c r="O814" i="9"/>
  <c r="O1029" i="9"/>
  <c r="O330" i="9"/>
  <c r="O1088" i="9"/>
  <c r="O775" i="9"/>
  <c r="O374" i="9"/>
  <c r="O1053" i="9"/>
  <c r="O281" i="9"/>
  <c r="O552" i="9"/>
  <c r="O296" i="9"/>
  <c r="O203" i="9"/>
  <c r="O503" i="9"/>
  <c r="O382" i="9"/>
  <c r="O489" i="9"/>
  <c r="O754" i="9"/>
  <c r="O533" i="9"/>
  <c r="O389" i="9"/>
  <c r="O569" i="9"/>
  <c r="O377" i="9"/>
  <c r="O642" i="9"/>
  <c r="O1085" i="9"/>
  <c r="O289" i="9"/>
  <c r="O666" i="9"/>
  <c r="O352" i="9"/>
  <c r="O208" i="9"/>
  <c r="O559" i="9"/>
  <c r="O379" i="9"/>
  <c r="O445" i="9"/>
  <c r="O422" i="9"/>
  <c r="O545" i="9"/>
  <c r="O560" i="9"/>
  <c r="O631" i="9"/>
  <c r="O630" i="9"/>
  <c r="O593" i="9"/>
  <c r="O555" i="9"/>
  <c r="O247" i="9"/>
  <c r="O613" i="9"/>
  <c r="O706" i="9"/>
  <c r="O376" i="9"/>
  <c r="O391" i="9"/>
  <c r="O464" i="9"/>
  <c r="O387" i="9"/>
  <c r="O308" i="9"/>
  <c r="O325" i="9"/>
  <c r="O404" i="9"/>
  <c r="O237" i="9"/>
  <c r="O276" i="9"/>
  <c r="O1082" i="9"/>
  <c r="O810" i="9"/>
  <c r="O319" i="9"/>
  <c r="O406" i="9"/>
  <c r="O364" i="9"/>
  <c r="O416" i="9"/>
  <c r="O205" i="9"/>
  <c r="O348" i="9"/>
  <c r="O204" i="9"/>
  <c r="O303" i="9"/>
  <c r="O211" i="9"/>
  <c r="O356" i="9"/>
  <c r="G170" i="9"/>
  <c r="Q170" i="9" s="1"/>
  <c r="G319" i="9"/>
  <c r="Q319" i="9" s="1"/>
  <c r="G225" i="9"/>
  <c r="Q225" i="9" s="1"/>
  <c r="G761" i="9"/>
  <c r="Q761" i="9" s="1"/>
  <c r="G290" i="9"/>
  <c r="Q290" i="9" s="1"/>
  <c r="G738" i="9"/>
  <c r="Q738" i="9" s="1"/>
  <c r="G235" i="9"/>
  <c r="Q235" i="9" s="1"/>
  <c r="G643" i="9"/>
  <c r="Q643" i="9" s="1"/>
  <c r="G787" i="9"/>
  <c r="Q787" i="9" s="1"/>
  <c r="G196" i="9"/>
  <c r="Q196" i="9" s="1"/>
  <c r="G444" i="9"/>
  <c r="Q444" i="9" s="1"/>
  <c r="G588" i="9"/>
  <c r="Q588" i="9" s="1"/>
  <c r="G948" i="9"/>
  <c r="Q948" i="9" s="1"/>
  <c r="O713" i="9"/>
  <c r="O1097" i="9"/>
  <c r="O822" i="9"/>
  <c r="O995" i="9"/>
  <c r="O667" i="9"/>
  <c r="O923" i="9"/>
  <c r="O820" i="9"/>
  <c r="O1064" i="9"/>
  <c r="O959" i="9"/>
  <c r="O990" i="9"/>
  <c r="O358" i="9"/>
  <c r="O941" i="9"/>
  <c r="O235" i="9"/>
  <c r="O852" i="9"/>
  <c r="O1072" i="9"/>
  <c r="O595" i="9"/>
  <c r="O274" i="9"/>
  <c r="O811" i="9"/>
  <c r="O1056" i="9"/>
  <c r="O791" i="9"/>
  <c r="O350" i="9"/>
  <c r="O684" i="9"/>
  <c r="O773" i="9"/>
  <c r="O410" i="9"/>
  <c r="O899" i="9"/>
  <c r="O935" i="9"/>
  <c r="O725" i="9"/>
  <c r="O490" i="9"/>
  <c r="O740" i="9"/>
  <c r="O526" i="9"/>
  <c r="O997" i="9"/>
  <c r="O700" i="9"/>
  <c r="O952" i="9"/>
  <c r="O710" i="9"/>
  <c r="O669" i="9"/>
  <c r="O299" i="9"/>
  <c r="O233" i="9"/>
  <c r="O520" i="9"/>
  <c r="O264" i="9"/>
  <c r="O970" i="9"/>
  <c r="O359" i="9"/>
  <c r="O443" i="9"/>
  <c r="O632" i="9"/>
  <c r="O607" i="9"/>
  <c r="O501" i="9"/>
  <c r="O518" i="9"/>
  <c r="O521" i="9"/>
  <c r="O345" i="9"/>
  <c r="O746" i="9"/>
  <c r="O186" i="9"/>
  <c r="O257" i="9"/>
  <c r="O624" i="9"/>
  <c r="O304" i="9"/>
  <c r="O176" i="9"/>
  <c r="O511" i="9"/>
  <c r="O573" i="9"/>
  <c r="O413" i="9"/>
  <c r="O626" i="9"/>
  <c r="O513" i="9"/>
  <c r="O528" i="9"/>
  <c r="O599" i="9"/>
  <c r="O486" i="9"/>
  <c r="O449" i="9"/>
  <c r="O714" i="9"/>
  <c r="O215" i="9"/>
  <c r="O398" i="9"/>
  <c r="O472" i="9"/>
  <c r="O794" i="9"/>
  <c r="O267" i="9"/>
  <c r="O431" i="9"/>
  <c r="O850" i="9"/>
  <c r="O946" i="9"/>
  <c r="O197" i="9"/>
  <c r="O372" i="9"/>
  <c r="O612" i="9"/>
  <c r="O605" i="9"/>
  <c r="O341" i="9"/>
  <c r="O730" i="9"/>
  <c r="O191" i="9"/>
  <c r="O460" i="9"/>
  <c r="O579" i="9"/>
  <c r="O383" i="9"/>
  <c r="O620" i="9"/>
  <c r="O300" i="9"/>
  <c r="O172" i="9"/>
  <c r="O175" i="9"/>
  <c r="O986" i="9"/>
  <c r="O342" i="9"/>
  <c r="G285" i="9"/>
  <c r="Q285" i="9" s="1"/>
  <c r="G423" i="9"/>
  <c r="Q423" i="9" s="1"/>
  <c r="G241" i="9"/>
  <c r="Q241" i="9" s="1"/>
  <c r="G777" i="9"/>
  <c r="Q777" i="9" s="1"/>
  <c r="G314" i="9"/>
  <c r="Q314" i="9" s="1"/>
  <c r="G762" i="9"/>
  <c r="Q762" i="9" s="1"/>
  <c r="G835" i="9"/>
  <c r="Q835" i="9" s="1"/>
  <c r="G979" i="9"/>
  <c r="Q979" i="9" s="1"/>
  <c r="G340" i="9"/>
  <c r="Q340" i="9" s="1"/>
  <c r="G452" i="9"/>
  <c r="Q452" i="9" s="1"/>
  <c r="G732" i="9"/>
  <c r="Q732" i="9" s="1"/>
  <c r="G828" i="9"/>
  <c r="Q828" i="9" s="1"/>
  <c r="O697" i="9"/>
  <c r="O1081" i="9"/>
  <c r="O739" i="9"/>
  <c r="O1089" i="9"/>
  <c r="O651" i="9"/>
  <c r="O891" i="9"/>
  <c r="O716" i="9"/>
  <c r="O1048" i="9"/>
  <c r="O943" i="9"/>
  <c r="O918" i="9"/>
  <c r="O318" i="9"/>
  <c r="O925" i="9"/>
  <c r="O1098" i="9"/>
  <c r="O971" i="9"/>
  <c r="O680" i="9"/>
  <c r="O403" i="9"/>
  <c r="O258" i="9"/>
  <c r="O1020" i="9"/>
  <c r="O856" i="9"/>
  <c r="O711" i="9"/>
  <c r="O326" i="9"/>
  <c r="O1054" i="9"/>
  <c r="O283" i="9"/>
  <c r="O394" i="9"/>
  <c r="O980" i="9"/>
  <c r="O871" i="9"/>
  <c r="O709" i="9"/>
  <c r="O346" i="9"/>
  <c r="O673" i="9"/>
  <c r="O510" i="9"/>
  <c r="O981" i="9"/>
  <c r="O875" i="9"/>
  <c r="O888" i="9"/>
  <c r="O654" i="9"/>
  <c r="O762" i="9"/>
  <c r="O278" i="9"/>
  <c r="O217" i="9"/>
  <c r="O504" i="9"/>
  <c r="O248" i="9"/>
  <c r="O658" i="9"/>
  <c r="O343" i="9"/>
  <c r="O906" i="9"/>
  <c r="O616" i="9"/>
  <c r="O515" i="9"/>
  <c r="O485" i="9"/>
  <c r="O1101" i="9"/>
  <c r="O457" i="9"/>
  <c r="O663" i="9"/>
  <c r="O617" i="9"/>
  <c r="O395" i="9"/>
  <c r="O241" i="9"/>
  <c r="O608" i="9"/>
  <c r="O288" i="9"/>
  <c r="O323" i="9"/>
  <c r="O495" i="9"/>
  <c r="O557" i="9"/>
  <c r="O397" i="9"/>
  <c r="O954" i="9"/>
  <c r="O497" i="9"/>
  <c r="O336" i="9"/>
  <c r="O738" i="9"/>
  <c r="O1069" i="9"/>
  <c r="O433" i="9"/>
  <c r="O327" i="9"/>
  <c r="O199" i="9"/>
  <c r="G847" i="9"/>
  <c r="Q847" i="9" s="1"/>
  <c r="G881" i="9"/>
  <c r="Q881" i="9" s="1"/>
  <c r="G1082" i="9"/>
  <c r="Q1082" i="9" s="1"/>
  <c r="G868" i="9"/>
  <c r="Q868" i="9" s="1"/>
  <c r="O784" i="9"/>
  <c r="O1027" i="9"/>
  <c r="O652" i="9"/>
  <c r="O863" i="9"/>
  <c r="O1102" i="9"/>
  <c r="O860" i="9"/>
  <c r="O242" i="9"/>
  <c r="O689" i="9"/>
  <c r="O901" i="9"/>
  <c r="O945" i="9"/>
  <c r="O506" i="9"/>
  <c r="O1093" i="9"/>
  <c r="O824" i="9"/>
  <c r="O989" i="9"/>
  <c r="O360" i="9"/>
  <c r="O818" i="9"/>
  <c r="O623" i="9"/>
  <c r="O331" i="9"/>
  <c r="O1094" i="9"/>
  <c r="O640" i="9"/>
  <c r="O1090" i="9"/>
  <c r="O381" i="9"/>
  <c r="O544" i="9"/>
  <c r="O499" i="9"/>
  <c r="O183" i="9"/>
  <c r="O440" i="9"/>
  <c r="O1042" i="9"/>
  <c r="O682" i="9"/>
  <c r="O468" i="9"/>
  <c r="O516" i="9"/>
  <c r="O253" i="9"/>
  <c r="O229" i="9"/>
  <c r="O324" i="9"/>
  <c r="O572" i="9"/>
  <c r="O484" i="9"/>
  <c r="O492" i="9"/>
  <c r="G905" i="9"/>
  <c r="Q905" i="9" s="1"/>
  <c r="G315" i="9"/>
  <c r="Q315" i="9" s="1"/>
  <c r="G244" i="9"/>
  <c r="Q244" i="9" s="1"/>
  <c r="G596" i="9"/>
  <c r="Q596" i="9" s="1"/>
  <c r="G916" i="9"/>
  <c r="Q916" i="9" s="1"/>
  <c r="O768" i="9"/>
  <c r="O1025" i="9"/>
  <c r="O1012" i="9"/>
  <c r="O831" i="9"/>
  <c r="O909" i="9"/>
  <c r="O785" i="9"/>
  <c r="O226" i="9"/>
  <c r="O982" i="9"/>
  <c r="O805" i="9"/>
  <c r="O881" i="9"/>
  <c r="O298" i="9"/>
  <c r="O1013" i="9"/>
  <c r="O696" i="9"/>
  <c r="O625" i="9"/>
  <c r="O280" i="9"/>
  <c r="O373" i="9"/>
  <c r="O339" i="9"/>
  <c r="O537" i="9"/>
  <c r="O798" i="9"/>
  <c r="O592" i="9"/>
  <c r="O527" i="9"/>
  <c r="O365" i="9"/>
  <c r="O587" i="9"/>
  <c r="O465" i="9"/>
  <c r="O611" i="9"/>
  <c r="O424" i="9"/>
  <c r="O978" i="9"/>
  <c r="O588" i="9"/>
  <c r="O452" i="9"/>
  <c r="O340" i="9"/>
  <c r="O189" i="9"/>
  <c r="O619" i="9"/>
  <c r="O212" i="9"/>
  <c r="O556" i="9"/>
  <c r="O260" i="9"/>
  <c r="O332" i="9"/>
  <c r="G736" i="9"/>
  <c r="Q736" i="9" s="1"/>
  <c r="G331" i="9"/>
  <c r="Q331" i="9" s="1"/>
  <c r="G843" i="9"/>
  <c r="Q843" i="9" s="1"/>
  <c r="G300" i="9"/>
  <c r="Q300" i="9" s="1"/>
  <c r="G956" i="9"/>
  <c r="Q956" i="9" s="1"/>
  <c r="O1019" i="9"/>
  <c r="O1095" i="9"/>
  <c r="O921" i="9"/>
  <c r="O1006" i="9"/>
  <c r="O893" i="9"/>
  <c r="O903" i="9"/>
  <c r="O939" i="9"/>
  <c r="O950" i="9"/>
  <c r="O195" i="9"/>
  <c r="O776" i="9"/>
  <c r="O282" i="9"/>
  <c r="O965" i="9"/>
  <c r="O1044" i="9"/>
  <c r="O329" i="9"/>
  <c r="O232" i="9"/>
  <c r="O661" i="9"/>
  <c r="O470" i="9"/>
  <c r="O441" i="9"/>
  <c r="O1021" i="9"/>
  <c r="O512" i="9"/>
  <c r="O479" i="9"/>
  <c r="O693" i="9"/>
  <c r="O411" i="9"/>
  <c r="O417" i="9"/>
  <c r="O478" i="9"/>
  <c r="O635" i="9"/>
  <c r="O400" i="9"/>
  <c r="O196" i="9"/>
  <c r="O388" i="9"/>
  <c r="O591" i="9"/>
  <c r="O448" i="9"/>
  <c r="O476" i="9"/>
  <c r="O447" i="9"/>
  <c r="O316" i="9"/>
  <c r="O239" i="9"/>
  <c r="O244" i="9"/>
  <c r="G451" i="9"/>
  <c r="Q451" i="9" s="1"/>
  <c r="G692" i="9"/>
  <c r="Q692" i="9" s="1"/>
  <c r="G988" i="9"/>
  <c r="Q988" i="9" s="1"/>
  <c r="O1065" i="9"/>
  <c r="O691" i="9"/>
  <c r="O873" i="9"/>
  <c r="O744" i="9"/>
  <c r="O765" i="9"/>
  <c r="O727" i="9"/>
  <c r="O812" i="9"/>
  <c r="O550" i="9"/>
  <c r="O1058" i="9"/>
  <c r="O695" i="9"/>
  <c r="O202" i="9"/>
  <c r="O547" i="9"/>
  <c r="O446" i="9"/>
  <c r="O249" i="9"/>
  <c r="O216" i="9"/>
  <c r="O601" i="9"/>
  <c r="O517" i="9"/>
  <c r="O425" i="9"/>
  <c r="O1074" i="9"/>
  <c r="O320" i="9"/>
  <c r="O351" i="9"/>
  <c r="O534" i="9"/>
  <c r="O615" i="9"/>
  <c r="O401" i="9"/>
  <c r="O677" i="9"/>
  <c r="O471" i="9"/>
  <c r="O367" i="9"/>
  <c r="O698" i="9"/>
  <c r="O842" i="9"/>
  <c r="O213" i="9"/>
  <c r="O564" i="9"/>
  <c r="O444" i="9"/>
  <c r="O1002" i="9"/>
  <c r="O284" i="9"/>
  <c r="O637" i="9"/>
  <c r="O335" i="9"/>
  <c r="G677" i="9"/>
  <c r="Q677" i="9" s="1"/>
  <c r="G426" i="9"/>
  <c r="Q426" i="9" s="1"/>
  <c r="G515" i="9"/>
  <c r="Q515" i="9" s="1"/>
  <c r="G356" i="9"/>
  <c r="Q356" i="9" s="1"/>
  <c r="G740" i="9"/>
  <c r="Q740" i="9" s="1"/>
  <c r="G1036" i="9"/>
  <c r="Q1036" i="9" s="1"/>
  <c r="O1087" i="9"/>
  <c r="O649" i="9"/>
  <c r="O1080" i="9"/>
  <c r="O679" i="9"/>
  <c r="O450" i="9"/>
  <c r="O701" i="9"/>
  <c r="O1060" i="9"/>
  <c r="O310" i="9"/>
  <c r="O426" i="9"/>
  <c r="O1062" i="9"/>
  <c r="O823" i="9"/>
  <c r="O900" i="9"/>
  <c r="O430" i="9"/>
  <c r="O201" i="9"/>
  <c r="O1050" i="9"/>
  <c r="O585" i="9"/>
  <c r="O469" i="9"/>
  <c r="O361" i="9"/>
  <c r="O337" i="9"/>
  <c r="O272" i="9"/>
  <c r="O858" i="9"/>
  <c r="O633" i="9"/>
  <c r="O509" i="9"/>
  <c r="O491" i="9"/>
  <c r="O610" i="9"/>
  <c r="O455" i="9"/>
  <c r="O315" i="9"/>
  <c r="O287" i="9"/>
  <c r="O384" i="9"/>
  <c r="O432" i="9"/>
  <c r="O292" i="9"/>
  <c r="O428" i="9"/>
  <c r="O589" i="9"/>
  <c r="O268" i="9"/>
  <c r="O309" i="9"/>
  <c r="O171" i="9"/>
  <c r="G385" i="9"/>
  <c r="Q385" i="9" s="1"/>
  <c r="G850" i="9"/>
  <c r="Q850" i="9" s="1"/>
  <c r="G595" i="9"/>
  <c r="Q595" i="9" s="1"/>
  <c r="G1035" i="9"/>
  <c r="Q1035" i="9" s="1"/>
  <c r="G820" i="9"/>
  <c r="Q820" i="9" s="1"/>
  <c r="O932" i="9"/>
  <c r="O955" i="9"/>
  <c r="O832" i="9"/>
  <c r="O302" i="9"/>
  <c r="O1076" i="9"/>
  <c r="O546" i="9"/>
  <c r="O728" i="9"/>
  <c r="O1084" i="9"/>
  <c r="O866" i="9"/>
  <c r="O459" i="9"/>
  <c r="O638" i="9"/>
  <c r="O867" i="9"/>
  <c r="O690" i="9"/>
  <c r="O536" i="9"/>
  <c r="O551" i="9"/>
  <c r="O600" i="9"/>
  <c r="O830" i="9"/>
  <c r="O438" i="9"/>
  <c r="O225" i="9"/>
  <c r="O192" i="9"/>
  <c r="O525" i="9"/>
  <c r="O481" i="9"/>
  <c r="O558" i="9"/>
  <c r="O295" i="9"/>
  <c r="O603" i="9"/>
  <c r="O375" i="9"/>
  <c r="O914" i="9"/>
  <c r="O261" i="9"/>
  <c r="O173" i="9"/>
  <c r="O778" i="9"/>
  <c r="O255" i="9"/>
  <c r="O243" i="9"/>
  <c r="O636" i="9"/>
  <c r="O188" i="9"/>
  <c r="O1066" i="9"/>
  <c r="G649" i="9"/>
  <c r="Q649" i="9" s="1"/>
  <c r="G866" i="9"/>
  <c r="Q866" i="9" s="1"/>
  <c r="G659" i="9"/>
  <c r="Q659" i="9" s="1"/>
  <c r="G1083" i="9"/>
  <c r="Q1083" i="9" s="1"/>
  <c r="G492" i="9"/>
  <c r="Q492" i="9" s="1"/>
  <c r="G860" i="9"/>
  <c r="Q860" i="9" s="1"/>
  <c r="O745" i="9"/>
  <c r="O737" i="9"/>
  <c r="O988" i="9"/>
  <c r="O975" i="9"/>
  <c r="O230" i="9"/>
  <c r="O843" i="9"/>
  <c r="O482" i="9"/>
  <c r="O951" i="9"/>
  <c r="O917" i="9"/>
  <c r="O764" i="9"/>
  <c r="O214" i="9"/>
  <c r="O494" i="9"/>
  <c r="O1024" i="9"/>
  <c r="O522" i="9"/>
  <c r="O488" i="9"/>
  <c r="O487" i="9"/>
  <c r="O451" i="9"/>
  <c r="O1037" i="9"/>
  <c r="O251" i="9"/>
  <c r="O209" i="9"/>
  <c r="O227" i="9"/>
  <c r="O429" i="9"/>
  <c r="O369" i="9"/>
  <c r="O1005" i="9"/>
  <c r="O231" i="9"/>
  <c r="O456" i="9"/>
  <c r="O187" i="9"/>
  <c r="O770" i="9"/>
  <c r="O483" i="9"/>
  <c r="O580" i="9"/>
  <c r="O317" i="9"/>
  <c r="O293" i="9"/>
  <c r="O548" i="9"/>
  <c r="O604" i="9"/>
  <c r="O644" i="9"/>
  <c r="O508" i="9"/>
  <c r="G1027" i="9"/>
  <c r="Q1027" i="9" s="1"/>
  <c r="O434" i="9"/>
  <c r="O685" i="9"/>
  <c r="O541" i="9"/>
  <c r="O543" i="9"/>
  <c r="G1109" i="9"/>
  <c r="Q1109" i="9" s="1"/>
  <c r="O1110" i="9"/>
  <c r="O1125" i="9"/>
  <c r="O1118" i="9"/>
  <c r="O1130" i="9"/>
  <c r="O722" i="9"/>
  <c r="O185" i="9"/>
  <c r="O529" i="9"/>
  <c r="O368" i="9"/>
  <c r="G1120" i="9"/>
  <c r="Q1120" i="9" s="1"/>
  <c r="G1105" i="9"/>
  <c r="Q1105" i="9" s="1"/>
  <c r="G1127" i="9"/>
  <c r="Q1127" i="9" s="1"/>
  <c r="G1110" i="9"/>
  <c r="Q1110" i="9" s="1"/>
  <c r="G1115" i="9"/>
  <c r="Q1115" i="9" s="1"/>
  <c r="G1114" i="9"/>
  <c r="Q1114" i="9" s="1"/>
  <c r="O1112" i="9"/>
  <c r="O1134" i="9"/>
  <c r="O769" i="9"/>
  <c r="O583" i="9"/>
  <c r="O493" i="9"/>
  <c r="O180" i="9"/>
  <c r="G1133" i="9"/>
  <c r="Q1133" i="9" s="1"/>
  <c r="O1133" i="9"/>
  <c r="O1108" i="9"/>
  <c r="O734" i="9"/>
  <c r="O252" i="9"/>
  <c r="G1111" i="9"/>
  <c r="Q1111" i="9" s="1"/>
  <c r="G1108" i="9"/>
  <c r="Q1108" i="9" s="1"/>
  <c r="G1117" i="9"/>
  <c r="Q1117" i="9" s="1"/>
  <c r="O1119" i="9"/>
  <c r="O1122" i="9"/>
  <c r="G1076" i="9"/>
  <c r="Q1076" i="9" s="1"/>
  <c r="O270" i="9"/>
  <c r="O473" i="9"/>
  <c r="O311" i="9"/>
  <c r="O412" i="9"/>
  <c r="G1112" i="9"/>
  <c r="Q1112" i="9" s="1"/>
  <c r="G1129" i="9"/>
  <c r="Q1129" i="9" s="1"/>
  <c r="G1119" i="9"/>
  <c r="Q1119" i="9" s="1"/>
  <c r="G1134" i="9"/>
  <c r="Q1134" i="9" s="1"/>
  <c r="G1116" i="9"/>
  <c r="Q1116" i="9" s="1"/>
  <c r="G1132" i="9"/>
  <c r="Q1132" i="9" s="1"/>
  <c r="G1107" i="9"/>
  <c r="Q1107" i="9" s="1"/>
  <c r="G1106" i="9"/>
  <c r="Q1106" i="9" s="1"/>
  <c r="O1129" i="9"/>
  <c r="O1117" i="9"/>
  <c r="O736" i="9"/>
  <c r="O741" i="9"/>
  <c r="O439" i="9"/>
  <c r="O1121" i="9"/>
  <c r="O1126" i="9"/>
  <c r="G797" i="9"/>
  <c r="Q797" i="9" s="1"/>
  <c r="O838" i="9"/>
  <c r="O523" i="9"/>
  <c r="O453" i="9"/>
  <c r="O170" i="9"/>
  <c r="O357" i="9"/>
  <c r="G1125" i="9"/>
  <c r="Q1125" i="9" s="1"/>
  <c r="O1123" i="9"/>
  <c r="O1113" i="9"/>
  <c r="O1116" i="9"/>
  <c r="O1115" i="9"/>
  <c r="O1120" i="9"/>
  <c r="O1127" i="9"/>
  <c r="O1106" i="9"/>
  <c r="O1105" i="9"/>
  <c r="G1121" i="9"/>
  <c r="Q1121" i="9" s="1"/>
  <c r="G1126" i="9"/>
  <c r="Q1126" i="9" s="1"/>
  <c r="G1131" i="9"/>
  <c r="Q1131" i="9" s="1"/>
  <c r="G1130" i="9"/>
  <c r="Q1130" i="9" s="1"/>
  <c r="O1111" i="9"/>
  <c r="O1132" i="9"/>
  <c r="O1107" i="9"/>
  <c r="O1124" i="9"/>
  <c r="O1114" i="9"/>
  <c r="O944" i="9"/>
  <c r="O743" i="9"/>
  <c r="O273" i="9"/>
  <c r="O938" i="9"/>
  <c r="O245" i="9"/>
  <c r="G523" i="9"/>
  <c r="Q523" i="9" s="1"/>
  <c r="O670" i="9"/>
  <c r="O708" i="9"/>
  <c r="O256" i="9"/>
  <c r="O223" i="9"/>
  <c r="O596" i="9"/>
  <c r="G1124" i="9"/>
  <c r="Q1124" i="9" s="1"/>
  <c r="G1128" i="9"/>
  <c r="Q1128" i="9" s="1"/>
  <c r="G1113" i="9"/>
  <c r="Q1113" i="9" s="1"/>
  <c r="G1118" i="9"/>
  <c r="Q1118" i="9" s="1"/>
  <c r="G1123" i="9"/>
  <c r="Q1123" i="9" s="1"/>
  <c r="G1122" i="9"/>
  <c r="Q1122" i="9" s="1"/>
  <c r="O1109" i="9"/>
  <c r="O1131" i="9"/>
  <c r="O1128" i="9"/>
  <c r="AG11" i="9" l="1" a="1"/>
  <c r="AG11" i="9" s="1"/>
  <c r="AJ11" i="9" a="1"/>
  <c r="AJ11" i="9" s="1"/>
  <c r="AE11" i="9" a="1"/>
  <c r="AE11" i="9" s="1"/>
  <c r="AA11" i="9"/>
  <c r="AN11" i="9" s="1" a="1"/>
  <c r="AN11" i="9" s="1"/>
  <c r="T169" i="9" a="1"/>
  <c r="T169" i="9" s="1"/>
  <c r="S169" i="9" a="1"/>
  <c r="S169" i="9" s="1"/>
  <c r="P1215" i="9"/>
  <c r="P1237" i="9"/>
  <c r="P1216" i="9"/>
  <c r="P1279" i="9"/>
  <c r="S1194" i="9" a="1"/>
  <c r="S1194" i="9" s="1"/>
  <c r="P1272" i="9"/>
  <c r="P1213" i="9"/>
  <c r="P1260" i="9"/>
  <c r="P1236" i="9"/>
  <c r="P1256" i="9"/>
  <c r="P1252" i="9"/>
  <c r="P1263" i="9"/>
  <c r="P1203" i="9"/>
  <c r="P1257" i="9"/>
  <c r="P1200" i="9"/>
  <c r="P1270" i="9"/>
  <c r="P1206" i="9"/>
  <c r="T1194" i="9" a="1"/>
  <c r="T1194" i="9" s="1"/>
  <c r="P1265" i="9"/>
  <c r="P1221" i="9"/>
  <c r="P1273" i="9"/>
  <c r="P1222" i="9"/>
  <c r="P1214" i="9"/>
  <c r="P1277" i="9"/>
  <c r="P1274" i="9"/>
  <c r="P1269" i="9"/>
  <c r="P1258" i="9"/>
  <c r="P1268" i="9"/>
  <c r="P1234" i="9"/>
  <c r="P1231" i="9"/>
  <c r="P1225" i="9"/>
  <c r="P1235" i="9"/>
  <c r="P1246" i="9"/>
  <c r="P1210" i="9"/>
  <c r="P1207" i="9"/>
  <c r="P1198" i="9"/>
  <c r="P1233" i="9"/>
  <c r="P1239" i="9"/>
  <c r="P1251" i="9"/>
  <c r="P1230" i="9"/>
  <c r="P1271" i="9"/>
  <c r="P1278" i="9"/>
  <c r="P1218" i="9"/>
  <c r="P1259" i="9"/>
  <c r="P1253" i="9"/>
  <c r="P1250" i="9"/>
  <c r="P1242" i="9"/>
  <c r="P1195" i="9"/>
  <c r="P1254" i="9"/>
  <c r="P1241" i="9"/>
  <c r="P1255" i="9"/>
  <c r="P1212" i="9"/>
  <c r="P1247" i="9"/>
  <c r="P1275" i="9"/>
  <c r="P1209" i="9"/>
  <c r="P1223" i="9"/>
  <c r="P1229" i="9"/>
  <c r="P1232" i="9"/>
  <c r="P1262" i="9"/>
  <c r="P1244" i="9"/>
  <c r="P1202" i="9"/>
  <c r="P1227" i="9"/>
  <c r="P1238" i="9"/>
  <c r="P1248" i="9"/>
  <c r="P1276" i="9"/>
  <c r="P1267" i="9"/>
  <c r="P1196" i="9"/>
  <c r="P1204" i="9"/>
  <c r="P1264" i="9"/>
  <c r="P1266" i="9"/>
  <c r="P1226" i="9"/>
  <c r="P1217" i="9"/>
  <c r="P1249" i="9"/>
  <c r="P1201" i="9"/>
  <c r="P1220" i="9"/>
  <c r="P1194" i="9"/>
  <c r="P1224" i="9"/>
  <c r="P1243" i="9"/>
  <c r="P1205" i="9"/>
  <c r="P1219" i="9"/>
  <c r="P1211" i="9"/>
  <c r="P1199" i="9"/>
  <c r="P1240" i="9"/>
  <c r="P1228" i="9"/>
  <c r="P1208" i="9"/>
  <c r="P1261" i="9"/>
  <c r="P1197" i="9"/>
  <c r="O1201" i="9"/>
  <c r="O1259" i="9"/>
  <c r="O1233" i="9"/>
  <c r="O1263" i="9"/>
  <c r="O1252" i="9"/>
  <c r="O1243" i="9"/>
  <c r="O1270" i="9"/>
  <c r="O1208" i="9"/>
  <c r="O1222" i="9"/>
  <c r="O1240" i="9"/>
  <c r="O1199" i="9"/>
  <c r="O1253" i="9"/>
  <c r="O1277" i="9"/>
  <c r="O1209" i="9"/>
  <c r="O1205" i="9"/>
  <c r="O1246" i="9"/>
  <c r="O1221" i="9"/>
  <c r="O1278" i="9"/>
  <c r="O1273" i="9"/>
  <c r="O1206" i="9"/>
  <c r="O1230" i="9"/>
  <c r="O1225" i="9"/>
  <c r="O1202" i="9"/>
  <c r="O1214" i="9"/>
  <c r="O1244" i="9"/>
  <c r="O1227" i="9"/>
  <c r="O1229" i="9"/>
  <c r="O1272" i="9"/>
  <c r="O1215" i="9"/>
  <c r="O1213" i="9"/>
  <c r="Z169" i="9" a="1"/>
  <c r="Z169" i="9" s="1"/>
  <c r="Y169" i="9" a="1"/>
  <c r="Y169" i="9" s="1"/>
  <c r="O1256" i="9"/>
  <c r="O1236" i="9"/>
  <c r="O1234" i="9"/>
  <c r="O1241" i="9"/>
  <c r="O1267" i="9"/>
  <c r="O1235" i="9"/>
  <c r="O1239" i="9"/>
  <c r="O1276" i="9"/>
  <c r="O1257" i="9"/>
  <c r="O1238" i="9"/>
  <c r="O1279" i="9"/>
  <c r="O169" i="9"/>
  <c r="G169" i="9"/>
  <c r="Q169" i="9" s="1"/>
  <c r="O1249" i="9"/>
  <c r="O1228" i="9"/>
  <c r="O1247" i="9"/>
  <c r="O1216" i="9"/>
  <c r="O1207" i="9"/>
  <c r="O1245" i="9"/>
  <c r="O1217" i="9"/>
  <c r="O1203" i="9"/>
  <c r="O1195" i="9"/>
  <c r="O1224" i="9"/>
  <c r="O1231" i="9"/>
  <c r="O1194" i="9"/>
  <c r="G1194" i="9"/>
  <c r="Q1194" i="9" s="1"/>
  <c r="O1262" i="9"/>
  <c r="O1210" i="9"/>
  <c r="O1271" i="9"/>
  <c r="O1197" i="9"/>
  <c r="O1269" i="9"/>
  <c r="O1212" i="9"/>
  <c r="O1251" i="9"/>
  <c r="O1254" i="9"/>
  <c r="O1220" i="9"/>
  <c r="O1260" i="9"/>
  <c r="O1265" i="9"/>
  <c r="O1223" i="9"/>
  <c r="O1200" i="9"/>
  <c r="O1261" i="9"/>
  <c r="O1242" i="9"/>
  <c r="O1237" i="9"/>
  <c r="O1218" i="9"/>
  <c r="O1232" i="9"/>
  <c r="O1219" i="9"/>
  <c r="O1264" i="9"/>
  <c r="O1268" i="9"/>
  <c r="O1248" i="9"/>
  <c r="O1226" i="9"/>
  <c r="O1204" i="9"/>
  <c r="O1258" i="9"/>
  <c r="O1196" i="9"/>
  <c r="O1198" i="9"/>
  <c r="O1211" i="9"/>
  <c r="O1250" i="9"/>
  <c r="O1255" i="9"/>
  <c r="O1274" i="9"/>
  <c r="O1266" i="9"/>
  <c r="AM11" i="9" l="1" a="1"/>
  <c r="AM11" i="9" s="1"/>
  <c r="Z1194" i="9" a="1"/>
  <c r="Z1194" i="9" s="1"/>
  <c r="Y1194" i="9" a="1"/>
  <c r="Y1194" i="9" s="1"/>
  <c r="V169" i="9" a="1"/>
  <c r="V169" i="9" s="1"/>
  <c r="W169" i="9" a="1"/>
  <c r="W169" i="9" s="1"/>
  <c r="AB169" i="9" a="1"/>
  <c r="AB169" i="9" s="1"/>
  <c r="AC169" i="9" a="1"/>
  <c r="AC169" i="9" s="1"/>
  <c r="AC1194" i="9" a="1"/>
  <c r="AC1194" i="9" s="1"/>
  <c r="AB1194" i="9" a="1"/>
  <c r="AB1194" i="9" s="1"/>
  <c r="V1194" i="9" a="1"/>
  <c r="V1194" i="9" s="1"/>
  <c r="W1194" i="9" a="1"/>
  <c r="W1194"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tc={3928F214-0E46-4BEF-A64C-E997E7FF6714}</author>
    <author>tc={0182C47B-8DA6-4811-920F-C76696C33387}</author>
    <author>Bhaur, Baldeep</author>
    <author>tc={0D0D11B0-E02A-4CB8-B545-860CFC3DC8B9}</author>
    <author>tc={7E477737-1CBA-4F29-8B93-3741C8546EB9}</author>
    <author>tc={3AEF3CFF-5E16-4121-ADAF-FD8B0117CB55}</author>
    <author>tc={5B7F8B53-18CE-42F3-926A-E93324BC986B}</author>
    <author>tc={AA05DC41-4521-4C9D-975F-9DF69AFC85C4}</author>
    <author>tc={EF32EF9F-21D5-4CD1-90FD-810014718601}</author>
    <author>tc={3B1AB80D-BC7D-4A1D-B162-BD80BAA9F656}</author>
    <author>tc={F8CE8B06-CFD5-4A3D-A136-187B938B5BB0}</author>
    <author>tc={753BDD9B-F5B4-4808-ABE0-54B626D7257D}</author>
    <author>tc={9502F691-9099-4969-9C9C-CF09E3E83DDA}</author>
    <author>tc={9326BA05-7467-48B6-9F5A-470A121EB68D}</author>
    <author>tc={777CC61E-197A-46C4-A187-7FBB8C12D9EA}</author>
    <author>tc={BD6BD47A-5724-4C54-8058-CA21234D4FA5}</author>
    <author>tc={F5C4DF8B-FFAD-49B5-BA2F-3AE637F64E3F}</author>
    <author>tc={9297F5F5-F340-4A38-9B40-2B986B437837}</author>
    <author>tc={A4A5F6A9-69E5-4477-8517-4F7382929D96}</author>
    <author>tc={03F0A485-2AE9-4C5E-A385-DAE063E1BA22}</author>
    <author>tc={141ED26A-485A-44B3-9CD7-A56529D28DD7}</author>
    <author>tc={3D30A95F-E1EC-4EF3-BDAE-B5388DA92B53}</author>
    <author>tc={8F4004F4-C146-46C1-9DE0-9C22C8EE267E}</author>
    <author>tc={57FFBAB1-BCEE-4805-AD24-AA238BE2C74E}</author>
    <author>u503087</author>
    <author>tc={10C5739A-C80A-4501-ADA2-26860236DD3B}</author>
    <author>tc={73F9F8A7-E0AE-4CA9-B88D-A8B6B1B7EE67}</author>
    <author>tc={2F579B9F-A4AA-4744-B28A-F337006963B8}</author>
    <author>tc={2AA38B28-2F78-4643-9122-1844113E5534}</author>
    <author>tc={F2DE2870-D8F5-4457-9B3B-F6E52371F9E6}</author>
    <author>tc={1B4DEF73-BA57-4775-BB1C-1EDDB1C835E8}</author>
    <author>tc={1B4D5966-1985-402F-8A12-0DC3F777BF16}</author>
    <author>tc={8432B38A-0056-4F99-BAE6-0ADE763883BA}</author>
    <author>tc={3F8126C1-1C74-4E0E-B09C-1E11A0563E91}</author>
    <author>tc={AF2ADF31-E96E-4C61-8AB7-B9C2BF1A2831}</author>
    <author>tc={F3FA4120-EA9A-4EE0-89C8-AA58E0AAF588}</author>
    <author>tc={68DA8A47-4F9B-45B5-BB2D-5723C360F608}</author>
  </authors>
  <commentList>
    <comment ref="Q8" authorId="0" shapeId="0" xr:uid="{3928F214-0E46-4BEF-A64C-E997E7FF6714}">
      <text>
        <t xml:space="preserve">[Threaded comment]
Your version of Excel allows you to read this threaded comment; however, any edits to it will get removed if the file is opened in a newer version of Excel. Learn more: https://go.microsoft.com/fwlink/?linkid=870924
Comment:
    Possible that this could be stop-start therefore IYM contribution may not apply. </t>
      </text>
    </comment>
    <comment ref="L9" authorId="1" shapeId="0" xr:uid="{0182C47B-8DA6-4811-920F-C76696C33387}">
      <text>
        <t>[Threaded comment]
Your version of Excel allows you to read this threaded comment; however, any edits to it will get removed if the file is opened in a newer version of Excel. Learn more: https://go.microsoft.com/fwlink/?linkid=870924
Comment:
    Not required. Already contracted.</t>
      </text>
    </comment>
    <comment ref="P10" authorId="2" shapeId="0" xr:uid="{3A19C772-D048-4FB7-BF67-CC283DB841B0}">
      <text>
        <r>
          <rPr>
            <sz val="11"/>
            <color theme="1"/>
            <rFont val="Calibri"/>
            <family val="2"/>
            <scheme val="minor"/>
          </rPr>
          <t>Bhaur, Baldeep:
As per IC pack approval CRP</t>
        </r>
      </text>
    </comment>
    <comment ref="Q10" authorId="2" shapeId="0" xr:uid="{3797215C-B0BC-4194-B26D-B397AA3B280D}">
      <text>
        <r>
          <rPr>
            <sz val="11"/>
            <color theme="1"/>
            <rFont val="Calibri"/>
            <family val="2"/>
            <scheme val="minor"/>
          </rPr>
          <t>Bhaur, Baldeep:
Embedded in Budget profit value</t>
        </r>
      </text>
    </comment>
    <comment ref="Q11" authorId="3" shapeId="0" xr:uid="{0D0D11B0-E02A-4CB8-B545-860CFC3DC8B9}">
      <text>
        <t>[Threaded comment]
Your version of Excel allows you to read this threaded comment; however, any edits to it will get removed if the file is opened in a newer version of Excel. Learn more: https://go.microsoft.com/fwlink/?linkid=870924
Comment:
    File received by Ryan Marshall 3rd March. £10m at risk in 2026 driven by timing of contract signature and ability to prospectively take profit in future shop visits vs expected end of 2025</t>
      </text>
    </comment>
    <comment ref="Q12" authorId="2" shapeId="0" xr:uid="{A7AE6164-2875-4B10-8871-43CA78AC232C}">
      <text>
        <r>
          <rPr>
            <sz val="11"/>
            <color theme="1"/>
            <rFont val="Calibri"/>
            <family val="2"/>
            <scheme val="minor"/>
          </rPr>
          <t>Bhaur, Baldeep:
 Onerous value quoted only whilst figures are being worked
Level 2 strategy pack in line with Sebastian review highlights phase 1 range to be £70-90m and we should acknowledge this once approved at strategy 
16th March 2026 update - Agreed to use midpoint of range for now and then recognise that Post 2026 is core benefit. This spreadsheet does not differentiate between core and non core</t>
        </r>
      </text>
    </comment>
    <comment ref="P13" authorId="4" shapeId="0" xr:uid="{7E477737-1CBA-4F29-8B93-3741C8546EB9}">
      <text>
        <t>[Threaded comment]
Your version of Excel allows you to read this threaded comment; however, any edits to it will get removed if the file is opened in a newer version of Excel. Learn more: https://go.microsoft.com/fwlink/?linkid=870924
Comment:
    ROM benefit - to be validated by Service Business</t>
      </text>
    </comment>
    <comment ref="Q14" authorId="5" shapeId="0" xr:uid="{3AEF3CFF-5E16-4121-ADAF-FD8B0117CB55}">
      <text>
        <t>[Threaded comment]
Your version of Excel allows you to read this threaded comment; however, any edits to it will get removed if the file is opened in a newer version of Excel. Learn more: https://go.microsoft.com/fwlink/?linkid=870924
Comment:
    Contract will be Stop/Started. Profit in year TBC.</t>
      </text>
    </comment>
    <comment ref="Q15" authorId="2" shapeId="0" xr:uid="{EF236F44-32BF-45B4-BE9E-B07D1F71D120}">
      <text>
        <r>
          <rPr>
            <sz val="11"/>
            <color theme="1"/>
            <rFont val="Calibri"/>
            <family val="2"/>
            <scheme val="minor"/>
          </rPr>
          <t>Bhaur, Baldeep:
Values from the IC approved pack. £18m of this is driven by recovery of the SelectCare breach provision treatment</t>
        </r>
      </text>
    </comment>
    <comment ref="Q16" authorId="6" shapeId="0" xr:uid="{5B7F8B53-18CE-42F3-926A-E93324BC986B}">
      <text>
        <t>[Threaded comment]
Your version of Excel allows you to read this threaded comment; however, any edits to it will get removed if the file is opened in a newer version of Excel. Learn more: https://go.microsoft.com/fwlink/?linkid=870924
Comment:
    Stop/Start. VS to confirm</t>
      </text>
    </comment>
    <comment ref="P17" authorId="7" shapeId="0" xr:uid="{AA05DC41-4521-4C9D-975F-9DF69AFC85C4}">
      <text>
        <t>[Threaded comment]
Your version of Excel allows you to read this threaded comment; however, any edits to it will get removed if the file is opened in a newer version of Excel. Learn more: https://go.microsoft.com/fwlink/?linkid=870924
Comment:
    September IC</t>
      </text>
    </comment>
    <comment ref="Q17" authorId="8" shapeId="0" xr:uid="{EF32EF9F-21D5-4CD1-90FD-810014718601}">
      <text>
        <t>[Threaded comment]
Your version of Excel allows you to read this threaded comment; however, any edits to it will get removed if the file is opened in a newer version of Excel. Learn more: https://go.microsoft.com/fwlink/?linkid=870924
Comment:
    Onerous release - as per 2026 Budget
Reply:
    Onerous provision at YE 25 was £59m
Reply:
    Onerous provision at AP2 2026 was £57m</t>
      </text>
    </comment>
    <comment ref="R17" authorId="9" shapeId="0" xr:uid="{3B1AB80D-BC7D-4A1D-B162-BD80BAA9F656}">
      <text>
        <t>[Threaded comment]
Your version of Excel allows you to read this threaded comment; however, any edits to it will get removed if the file is opened in a newer version of Excel. Learn more: https://go.microsoft.com/fwlink/?linkid=870924
Comment:
    Contract will be Stop/Started. Profit in year TBC.</t>
      </text>
    </comment>
    <comment ref="P21" authorId="10" shapeId="0" xr:uid="{F8CE8B06-CFD5-4A3D-A136-187B938B5BB0}">
      <text>
        <t xml:space="preserve">[Threaded comment]
Your version of Excel allows you to read this threaded comment; however, any edits to it will get removed if the file is opened in a newer version of Excel. Learn more: https://go.microsoft.com/fwlink/?linkid=870924
Comment:
    ROM benefit - to be validated by Service Business </t>
      </text>
    </comment>
    <comment ref="P24" authorId="11" shapeId="0" xr:uid="{753BDD9B-F5B4-4808-ABE0-54B626D7257D}">
      <text>
        <t>[Threaded comment]
Your version of Excel allows you to read this threaded comment; however, any edits to it will get removed if the file is opened in a newer version of Excel. Learn more: https://go.microsoft.com/fwlink/?linkid=870924
Comment:
    TBC by Value Stream at W1 2026</t>
      </text>
    </comment>
    <comment ref="P26" authorId="12" shapeId="0" xr:uid="{9502F691-9099-4969-9C9C-CF09E3E83DDA}">
      <text>
        <t xml:space="preserve">[Threaded comment]
Your version of Excel allows you to read this threaded comment; however, any edits to it will get removed if the file is opened in a newer version of Excel. Learn more: https://go.microsoft.com/fwlink/?linkid=870924
Comment:
    $15 x 5000 EFHs x 15 yrs x 18 a/c x 2 engines = $40m / 1.4 long term FX = £29m of incremental revenue.
Reduce Revenue by 20% for RRSPs = £(6)m
Costs will be slightly higher, so assumed 1/3 ~£(9)m incremental cost, so net £14m term improvement
</t>
      </text>
    </comment>
    <comment ref="P29" authorId="13" shapeId="0" xr:uid="{9326BA05-7467-48B6-9F5A-470A121EB68D}">
      <text>
        <t>[Threaded comment]
Your version of Excel allows you to read this threaded comment; however, any edits to it will get removed if the file is opened in a newer version of Excel. Learn more: https://go.microsoft.com/fwlink/?linkid=870924
Comment:
    Placeholder as a must do strategically. Nothing yet evalauted</t>
      </text>
    </comment>
    <comment ref="P30" authorId="14" shapeId="0" xr:uid="{777CC61E-197A-46C4-A187-7FBB8C12D9EA}">
      <text>
        <t>[Threaded comment]
Your version of Excel allows you to read this threaded comment; however, any edits to it will get removed if the file is opened in a newer version of Excel. Learn more: https://go.microsoft.com/fwlink/?linkid=870924
Comment:
    $12.9m saving on NDSES through early SPE sale
Reply:
    New a/c will also be added in at the same time for the new deal (value TBC) but likely to cause a stop/start</t>
      </text>
    </comment>
    <comment ref="Q30" authorId="15" shapeId="0" xr:uid="{BD6BD47A-5724-4C54-8058-CA21234D4FA5}">
      <text>
        <t>[Threaded comment]
Your version of Excel allows you to read this threaded comment; however, any edits to it will get removed if the file is opened in a newer version of Excel. Learn more: https://go.microsoft.com/fwlink/?linkid=870924
Comment:
    Contract will be Stop/Started. VS to confirm.</t>
      </text>
    </comment>
    <comment ref="P31" authorId="16" shapeId="0" xr:uid="{F5C4DF8B-FFAD-49B5-BA2F-3AE637F64E3F}">
      <text>
        <t>[Threaded comment]
Your version of Excel allows you to read this threaded comment; however, any edits to it will get removed if the file is opened in a newer version of Excel. Learn more: https://go.microsoft.com/fwlink/?linkid=870924
Comment:
    Incremental SPE NDSES saving = £6m term benefit</t>
      </text>
    </comment>
    <comment ref="Q31" authorId="17" shapeId="0" xr:uid="{9297F5F5-F340-4A38-9B40-2B986B437837}">
      <text>
        <t>[Threaded comment]
Your version of Excel allows you to read this threaded comment; however, any edits to it will get removed if the file is opened in a newer version of Excel. Learn more: https://go.microsoft.com/fwlink/?linkid=870924
Comment:
    Contract will be Stop/Started. VS to confirm.</t>
      </text>
    </comment>
    <comment ref="P32" authorId="18" shapeId="0" xr:uid="{A4A5F6A9-69E5-4477-8517-4F7382929D96}">
      <text>
        <t>[Threaded comment]
Your version of Excel allows you to read this threaded comment; however, any edits to it will get removed if the file is opened in a newer version of Excel. Learn more: https://go.microsoft.com/fwlink/?linkid=870924
Comment:
    CRP only impact</t>
      </text>
    </comment>
    <comment ref="Q32" authorId="19" shapeId="0" xr:uid="{03F0A485-2AE9-4C5E-A385-DAE063E1BA22}">
      <text>
        <t>[Threaded comment]
Your version of Excel allows you to read this threaded comment; however, any edits to it will get removed if the file is opened in a newer version of Excel. Learn more: https://go.microsoft.com/fwlink/?linkid=870924
Comment:
    Profit by year includes CRP, T&amp;M and OE impacts</t>
      </text>
    </comment>
    <comment ref="P40" authorId="20" shapeId="0" xr:uid="{141ED26A-485A-44B3-9CD7-A56529D28DD7}">
      <text>
        <t>[Threaded comment]
Your version of Excel allows you to read this threaded comment; however, any edits to it will get removed if the file is opened in a newer version of Excel. Learn more: https://go.microsoft.com/fwlink/?linkid=870924
Comment:
    ROM benefit - not validated</t>
      </text>
    </comment>
    <comment ref="P43" authorId="21" shapeId="0" xr:uid="{3D30A95F-E1EC-4EF3-BDAE-B5388DA92B53}">
      <text>
        <t>[Threaded comment]
Your version of Excel allows you to read this threaded comment; however, any edits to it will get removed if the file is opened in a newer version of Excel. Learn more: https://go.microsoft.com/fwlink/?linkid=870924
Comment:
    As per L3 approval:
£m
NDSES cost saving	10.0
Incremental SVs                    (5.0)
EoCL @ 50% life                    (3.0)
CRP improvement                 2.0
Reply:
    Plus sale of a used asset at 70% discount generating £3.4m profit</t>
      </text>
    </comment>
    <comment ref="Q43" authorId="22" shapeId="0" xr:uid="{8F4004F4-C146-46C1-9DE0-9C22C8EE267E}">
      <text>
        <t>[Threaded comment]
Your version of Excel allows you to read this threaded comment; however, any edits to it will get removed if the file is opened in a newer version of Excel. Learn more: https://go.microsoft.com/fwlink/?linkid=870924
Comment:
    Onerous so improvement in year</t>
      </text>
    </comment>
    <comment ref="P44" authorId="23" shapeId="0" xr:uid="{57FFBAB1-BCEE-4805-AD24-AA238BE2C74E}">
      <text>
        <t>[Threaded comment]
Your version of Excel allows you to read this threaded comment; however, any edits to it will get removed if the file is opened in a newer version of Excel. Learn more: https://go.microsoft.com/fwlink/?linkid=870924
Comment:
    Per L1</t>
      </text>
    </comment>
    <comment ref="K49" authorId="24" shapeId="0" xr:uid="{2F052722-EE0F-4A05-ADEC-8DDD9C2D92F0}">
      <text>
        <r>
          <rPr>
            <b/>
            <sz val="9"/>
            <color indexed="81"/>
            <rFont val="Tahoma"/>
            <family val="2"/>
          </rPr>
          <t>u503087:</t>
        </r>
        <r>
          <rPr>
            <sz val="9"/>
            <color indexed="81"/>
            <rFont val="Tahoma"/>
            <family val="2"/>
          </rPr>
          <t xml:space="preserve">
Phase 1 and Phase 2 split</t>
        </r>
      </text>
    </comment>
    <comment ref="Q49" authorId="2" shapeId="0" xr:uid="{0D57150B-A77D-4D14-9A90-C39C4A40F053}">
      <text>
        <r>
          <rPr>
            <sz val="11"/>
            <color theme="1"/>
            <rFont val="Calibri"/>
            <family val="2"/>
            <scheme val="minor"/>
          </rPr>
          <t xml:space="preserve">Bhaur, Baldeep:
Assumes full value of onerous released
Tom E Update 11th Aug: 2024 YE was £35m, £24m at interim 2025
K Lim Update 19th Feb 2026: 2025 YE was £20.2m, projected 2026 YE is £13.5m. </t>
        </r>
      </text>
    </comment>
    <comment ref="Q52" authorId="25" shapeId="0" xr:uid="{10C5739A-C80A-4501-ADA2-26860236DD3B}">
      <text>
        <t>[Threaded comment]
Your version of Excel allows you to read this threaded comment; however, any edits to it will get removed if the file is opened in a newer version of Excel. Learn more: https://go.microsoft.com/fwlink/?linkid=870924
Comment:
    Contract will be Stop/Started. VS to confirm.</t>
      </text>
    </comment>
    <comment ref="Q53" authorId="26" shapeId="0" xr:uid="{73F9F8A7-E0AE-4CA9-B88D-A8B6B1B7EE67}">
      <text>
        <t>[Threaded comment]
Your version of Excel allows you to read this threaded comment; however, any edits to it will get removed if the file is opened in a newer version of Excel. Learn more: https://go.microsoft.com/fwlink/?linkid=870924
Comment:
    Contract will be Stop/Started. VS to confirm.</t>
      </text>
    </comment>
    <comment ref="Q54" authorId="27" shapeId="0" xr:uid="{2F579B9F-A4AA-4744-B28A-F337006963B8}">
      <text>
        <t>[Threaded comment]
Your version of Excel allows you to read this threaded comment; however, any edits to it will get removed if the file is opened in a newer version of Excel. Learn more: https://go.microsoft.com/fwlink/?linkid=870924
Comment:
    Contract will be Stop/Started. VS to confirm.</t>
      </text>
    </comment>
    <comment ref="Q56" authorId="28" shapeId="0" xr:uid="{2AA38B28-2F78-4643-9122-1844113E5534}">
      <text>
        <t>[Threaded comment]
Your version of Excel allows you to read this threaded comment; however, any edits to it will get removed if the file is opened in a newer version of Excel. Learn more: https://go.microsoft.com/fwlink/?linkid=870924
Comment:
    Contract will be Stop/Started. VS to confirm.</t>
      </text>
    </comment>
    <comment ref="Q57" authorId="29" shapeId="0" xr:uid="{F2DE2870-D8F5-4457-9B3B-F6E52371F9E6}">
      <text>
        <t>[Threaded comment]
Your version of Excel allows you to read this threaded comment; however, any edits to it will get removed if the file is opened in a newer version of Excel. Learn more: https://go.microsoft.com/fwlink/?linkid=870924
Comment:
    Contract will be Stop/Started. VS to confirm.</t>
      </text>
    </comment>
    <comment ref="P59" authorId="30" shapeId="0" xr:uid="{1B4DEF73-BA57-4775-BB1C-1EDDB1C835E8}">
      <text>
        <t>[Threaded comment]
Your version of Excel allows you to read this threaded comment; however, any edits to it will get removed if the file is opened in a newer version of Excel. Learn more: https://go.microsoft.com/fwlink/?linkid=870924
Comment:
    Initial input to be &gt; £10m and trigger need for a pack</t>
      </text>
    </comment>
    <comment ref="Q59" authorId="2" shapeId="0" xr:uid="{4CB6A2A7-BB1E-42E2-9DB1-E00A0864E1E6}">
      <text>
        <r>
          <rPr>
            <sz val="11"/>
            <color theme="1"/>
            <rFont val="Calibri"/>
            <family val="2"/>
            <scheme val="minor"/>
          </rPr>
          <t>Bhaur, Baldeep:
Estimate to trigger greater £10m</t>
        </r>
      </text>
    </comment>
    <comment ref="R61" authorId="31" shapeId="0" xr:uid="{1B4D5966-1985-402F-8A12-0DC3F777BF16}">
      <text>
        <t>[Threaded comment]
Your version of Excel allows you to read this threaded comment; however, any edits to it will get removed if the file is opened in a newer version of Excel. Learn more: https://go.microsoft.com/fwlink/?linkid=870924
Comment:
    in 5YP is 34m GBP. 30m is a conservative forecast.</t>
      </text>
    </comment>
    <comment ref="Q63" authorId="32" shapeId="0" xr:uid="{8432B38A-0056-4F99-BAE6-0ADE763883BA}">
      <text>
        <t>[Threaded comment]
Your version of Excel allows you to read this threaded comment; however, any edits to it will get removed if the file is opened in a newer version of Excel. Learn more: https://go.microsoft.com/fwlink/?linkid=870924
Comment:
    Cited in the Approval pack linked to extension
Reply:
    Feb 2026 - This has been revisited and conclusion was that the judgement applied at Level 2 generating £11m is no longer applicable because previously expected to be retrospective due to primarily being a min term extension. However, there are additional elements to the contract amendment which causes this to be a stop start (escalation, NDSES remedy etc)
Reply:
    Sam Saxton will be reviewing this calculation and we agreed 2m as an initial placeholder
Reply:
     16th March - Sam Saxton checked the stop/start impact and the in-year core profit benefit is coming through at £8.5m for LionAir </t>
      </text>
    </comment>
    <comment ref="P67" authorId="33" shapeId="0" xr:uid="{3F8126C1-1C74-4E0E-B09C-1E11A0563E91}">
      <text>
        <t>[Threaded comment]
Your version of Excel allows you to read this threaded comment; however, any edits to it will get removed if the file is opened in a newer version of Excel. Learn more: https://go.microsoft.com/fwlink/?linkid=870924
Comment:
    Expected onerous release (Tim F)
Reply:
    Upgraded expected onerous release from Andy D to £50m</t>
      </text>
    </comment>
    <comment ref="P73" authorId="34" shapeId="0" xr:uid="{AF2ADF31-E96E-4C61-8AB7-B9C2BF1A2831}">
      <text>
        <t>[Threaded comment]
Your version of Excel allows you to read this threaded comment; however, any edits to it will get removed if the file is opened in a newer version of Excel. Learn more: https://go.microsoft.com/fwlink/?linkid=870924
Comment:
    $16.5m+$12.7m CRP improvement</t>
      </text>
    </comment>
    <comment ref="Q73" authorId="35" shapeId="0" xr:uid="{F3FA4120-EA9A-4EE0-89C8-AA58E0AAF588}">
      <text>
        <t>[Threaded comment]
Your version of Excel allows you to read this threaded comment; however, any edits to it will get removed if the file is opened in a newer version of Excel. Learn more: https://go.microsoft.com/fwlink/?linkid=870924
Comment:
    CRP improvement only. Didn't count OE profit</t>
      </text>
    </comment>
    <comment ref="Q87" authorId="36" shapeId="0" xr:uid="{68DA8A47-4F9B-45B5-BB2D-5723C360F608}">
      <text>
        <t>[Threaded comment]
Your version of Excel allows you to read this threaded comment; however, any edits to it will get removed if the file is opened in a newer version of Excel. Learn more: https://go.microsoft.com/fwlink/?linkid=870924
Comment:
    C%C needs calculating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Bhaur, Baldeep</author>
  </authors>
  <commentList>
    <comment ref="V30" authorId="0" shapeId="0" xr:uid="{5B5FF0D4-A6BB-4488-9AB2-DEDCF564FB07}">
      <text>
        <r>
          <rPr>
            <b/>
            <sz val="9"/>
            <color indexed="81"/>
            <rFont val="Tahoma"/>
            <family val="2"/>
          </rPr>
          <t>Bhaur, Baldeep:</t>
        </r>
        <r>
          <rPr>
            <sz val="9"/>
            <color indexed="81"/>
            <rFont val="Tahoma"/>
            <family val="2"/>
          </rPr>
          <t xml:space="preserve">
Level 2 strategy initially set for 26th March delayed to w/c 30th March due to Lufthansa priority and current period of expiry cover reduced from £75m range to £26m </t>
        </r>
      </text>
    </comment>
    <comment ref="D109" authorId="0" shapeId="0" xr:uid="{0FDC7AB7-9691-4269-8205-1EAF5322D585}">
      <text>
        <r>
          <rPr>
            <b/>
            <sz val="9"/>
            <color indexed="81"/>
            <rFont val="Tahoma"/>
            <family val="2"/>
          </rPr>
          <t>Bhaur, Baldeep:</t>
        </r>
        <r>
          <rPr>
            <sz val="9"/>
            <color indexed="81"/>
            <rFont val="Tahoma"/>
            <family val="2"/>
          </rPr>
          <t xml:space="preserve">
will be traded as core margin but don't want that value lost - Raised with Andy devey to manage this</t>
        </r>
      </text>
    </comment>
    <comment ref="H109" authorId="0" shapeId="0" xr:uid="{0E0F573D-0CD3-49BF-BA0C-BEB868FD3F97}">
      <text>
        <r>
          <rPr>
            <b/>
            <sz val="9"/>
            <color indexed="81"/>
            <rFont val="Tahoma"/>
            <family val="2"/>
          </rPr>
          <t>Bhaur, Baldeep:</t>
        </r>
        <r>
          <rPr>
            <sz val="9"/>
            <color indexed="81"/>
            <rFont val="Tahoma"/>
            <family val="2"/>
          </rPr>
          <t xml:space="preserve">
Completed and confirmed by Sam Saxton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<sst xmlns="http://schemas.openxmlformats.org/spreadsheetml/2006/main" count="2318" uniqueCount="567">
  <si>
    <t>COMMERCIAL OPTIMISATION OPPORTUNITY REPORT</t>
  </si>
  <si>
    <t>Link to Guidance Document</t>
  </si>
  <si>
    <t>Guidance</t>
  </si>
  <si>
    <t>Restructure Type - Definitions</t>
  </si>
  <si>
    <t xml:space="preserve">
1. All plans defined as 'Full Contract Restructures' and over £10m CRP term benefit require a project plan.
2. All initiatives defined as 'Simple/Limited Restructures', 'Increase Spare Engine Holding' or under £10m CRP term benefit do not require a project plan and will be monitored using the hopper. 
3. All initiatives should be grouped by engine programme (Trent 1000, Trent 900, Trent XWB 84 etc). Each engine programme will require its own project plan. </t>
  </si>
  <si>
    <t xml:space="preserve">
1. 'Full Contract Restructure' - When a restructure means changing the contract term, plus any other changes such as price (rate/escalation), or credit restructure. Requires Service Business to re-model the CRP
2. 'Simple/Limited Restructure' - For one or two small changes which do not impact the CRP Term, such as Credit back restructure (standalone), TotalCare Escalation or rate increases/trade, Credit or Guarantee restructure. Requires Customer Finance team to model using a simple spreadsheet.
3. 'Increase Spare Engine Holidng' - When selling incremental Spare Engines to calculates NDSES cost savings. Requires Fleet Business Managers to model using the Poisson tool.</t>
  </si>
  <si>
    <t>Link to Project Document</t>
  </si>
  <si>
    <t>Global Commercial Optimisation Hopper</t>
  </si>
  <si>
    <t>Region</t>
  </si>
  <si>
    <t xml:space="preserve">Customer </t>
  </si>
  <si>
    <t>Engine Value Stream</t>
  </si>
  <si>
    <t>Top Level EVS</t>
  </si>
  <si>
    <t>VP/Account Manager Owner</t>
  </si>
  <si>
    <t>Restructure Type</t>
  </si>
  <si>
    <t>Opportunity Maturity</t>
  </si>
  <si>
    <t>Onerous/Non Onerous</t>
  </si>
  <si>
    <t>Initative</t>
  </si>
  <si>
    <t>Project Plan Requirements</t>
  </si>
  <si>
    <t>Status</t>
  </si>
  <si>
    <t>Expected year of signature</t>
  </si>
  <si>
    <t>Signature AP</t>
  </si>
  <si>
    <t>CRP Term Benefit £m</t>
  </si>
  <si>
    <t>Profit 2026 £m</t>
  </si>
  <si>
    <t>Profit 2027 £m</t>
  </si>
  <si>
    <t>Profit 2028 £m</t>
  </si>
  <si>
    <t>Profit 2029 £m</t>
  </si>
  <si>
    <t>Profit 2030 £m</t>
  </si>
  <si>
    <t>Americas</t>
  </si>
  <si>
    <t>FedEx Corporation</t>
  </si>
  <si>
    <t>RB211-535</t>
  </si>
  <si>
    <t>Meagan Austgen</t>
  </si>
  <si>
    <t>Full Contract Restructure</t>
  </si>
  <si>
    <t>Mature</t>
  </si>
  <si>
    <t>Not Onerous</t>
  </si>
  <si>
    <t>FedEx - agreement/amendment to unadministrable TotalCare clauses and incentivisation of SV inductions - RB211-535</t>
  </si>
  <si>
    <t>Negotations Started</t>
  </si>
  <si>
    <t>AP6</t>
  </si>
  <si>
    <t xml:space="preserve">American Airlines </t>
  </si>
  <si>
    <t>Trent 800</t>
  </si>
  <si>
    <t>David Gonzalez-Gomez</t>
  </si>
  <si>
    <t>American Airlines requested input on longer extension to 2035</t>
  </si>
  <si>
    <t>Financial Modelling Complete</t>
  </si>
  <si>
    <t>AP12</t>
  </si>
  <si>
    <t>APAC</t>
  </si>
  <si>
    <t xml:space="preserve">Thai Airways International Ltd </t>
  </si>
  <si>
    <t>Trent XWB-84</t>
  </si>
  <si>
    <t>Nick Chadwick / Ben Gan</t>
  </si>
  <si>
    <t xml:space="preserve">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
Apr 2026 - Senior engagement at AIX, awaiting feedback before next steps, possible adjustment pending ICT confirmation. </t>
  </si>
  <si>
    <t>tbc</t>
  </si>
  <si>
    <t>Confirm with Harry</t>
  </si>
  <si>
    <t>MEA</t>
  </si>
  <si>
    <t>Emirates</t>
  </si>
  <si>
    <t>Matt Whatley / Darren O'neill</t>
  </si>
  <si>
    <t>Finiq 2 - 3 year-extension + LRU Management + 23 a/c.
Term benefit includes a % of DI7</t>
  </si>
  <si>
    <t>Contracting Concluded</t>
  </si>
  <si>
    <t/>
  </si>
  <si>
    <t>Singapore Airlines</t>
  </si>
  <si>
    <t>Paul Hallam</t>
  </si>
  <si>
    <t>Onerous Contract</t>
  </si>
  <si>
    <t>Project Aegis contractual negotiations continue - final key points  (Charging Period, R-R Mitigation, Build Life Guarantee) being worked ahead of final closing meeting between JK and HP Lau 
Note expected approval to close in March 2026 is £5m and so these figures have not been amended</t>
  </si>
  <si>
    <t>Contracting Started</t>
  </si>
  <si>
    <t>AP3</t>
  </si>
  <si>
    <t xml:space="preserve">Vietnam Airlines </t>
  </si>
  <si>
    <t>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t>
  </si>
  <si>
    <t>Trent 1000</t>
  </si>
  <si>
    <t>Immature</t>
  </si>
  <si>
    <t>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t>
  </si>
  <si>
    <t>ICT formed</t>
  </si>
  <si>
    <t>Confirm with Bobby</t>
  </si>
  <si>
    <t>Trent 900</t>
  </si>
  <si>
    <t>Pantheon - Trent 900 Full MRO for improved CRP</t>
  </si>
  <si>
    <t>Financial Modelling Started</t>
  </si>
  <si>
    <t>AP9</t>
  </si>
  <si>
    <t>Europe</t>
  </si>
  <si>
    <t xml:space="preserve">British Airways </t>
  </si>
  <si>
    <t>Trent XWB-97</t>
  </si>
  <si>
    <t>Matt O'Connor</t>
  </si>
  <si>
    <t>Life Min Term extension to 24 years for owned a/c and 12 years for leased a/c, plus removal of EoCL for a $/efh discount on both Engine &amp; LLPs.</t>
  </si>
  <si>
    <t xml:space="preserve">Srilankan Airlines </t>
  </si>
  <si>
    <t>Trent 700</t>
  </si>
  <si>
    <t>Kendrick Lim</t>
  </si>
  <si>
    <t>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t>
  </si>
  <si>
    <t xml:space="preserve">World2Fly </t>
  </si>
  <si>
    <t>Neeraj Sunger</t>
  </si>
  <si>
    <t>Increase Spare Engine Holding</t>
  </si>
  <si>
    <t>Min term extension (life) - 1 a/c exit from 2026. 5yr term but 12yr lease term. Contract extension in 2025
Plus sell used SPE to reduce NDSES costs in CRP (Minimal but supports the OE sale)</t>
  </si>
  <si>
    <t>Life Min Term extension to 25 years for owned a/c and 12 years for leased a/c, plus removal of EoCL for a $/efh discount on both Engine &amp; LLPs.</t>
  </si>
  <si>
    <t xml:space="preserve">Hawaiian Airlines </t>
  </si>
  <si>
    <t>Harrison Green</t>
  </si>
  <si>
    <t>EFH discount in return for addition 20x SV commitment. Negotiations ongoing.</t>
  </si>
  <si>
    <t>AP11</t>
  </si>
  <si>
    <t>Qatar</t>
  </si>
  <si>
    <t>Matt Whatley / Issy Walton</t>
  </si>
  <si>
    <t>Exit for convenience removal -84</t>
  </si>
  <si>
    <t>AP5</t>
  </si>
  <si>
    <t>Etihad</t>
  </si>
  <si>
    <t>Gordon Deas</t>
  </si>
  <si>
    <t>Simple/Limited Restructure</t>
  </si>
  <si>
    <t>TCA Reconciliation (CRP Improvement)</t>
  </si>
  <si>
    <t>Trent XWB Full MRO for improved CRP</t>
  </si>
  <si>
    <t>Initial idea</t>
  </si>
  <si>
    <t>Exit for convenience removal -97</t>
  </si>
  <si>
    <t>Ethiopian Airlines</t>
  </si>
  <si>
    <t>Restructure exisiting contract -Credit Back Removal
As part of A350-900 campaign</t>
  </si>
  <si>
    <t xml:space="preserve">Iberia </t>
  </si>
  <si>
    <t>Min term extension (life) - 2x leased a/c meet minimum term in 2026. Contract extension to 2030 inline with revised lease terms. Contracted in 2025, linked to matrix extension resolution.</t>
  </si>
  <si>
    <t xml:space="preserve">Air Canada </t>
  </si>
  <si>
    <t xml:space="preserve">Flex contract extension. Current contract expiring end of 2027. </t>
  </si>
  <si>
    <t>Lufthansa</t>
  </si>
  <si>
    <t>Keith Coull</t>
  </si>
  <si>
    <t>Pull forward of spare engines, working capital improvements (payment terms), reverse lease of engines, EP upsell</t>
  </si>
  <si>
    <t>Negotations Concluded</t>
  </si>
  <si>
    <t xml:space="preserve">Royal Brunei Airlines </t>
  </si>
  <si>
    <t>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t>
  </si>
  <si>
    <t>Saudia</t>
  </si>
  <si>
    <t>Georges Abou-Nasr</t>
  </si>
  <si>
    <t>Extend Classic</t>
  </si>
  <si>
    <t xml:space="preserve">LOT Polish Airlines </t>
  </si>
  <si>
    <t>Sean Burke</t>
  </si>
  <si>
    <t>1 new SPE in Q1 linked to 2 Dr Peters transition a/c.
Life Min Term extension on purchased existing fleet as part of the 9 a/c campaign.</t>
  </si>
  <si>
    <t xml:space="preserve">Condor Flugdienst Gmbh </t>
  </si>
  <si>
    <t>Trent 7000</t>
  </si>
  <si>
    <t>Aaron Taylor</t>
  </si>
  <si>
    <t>NDSES improvement through SPE sales associated to new deal + FCRG and NED Remedy Improvement</t>
  </si>
  <si>
    <t xml:space="preserve">TAP Air Portugal </t>
  </si>
  <si>
    <t>Richard Docherty</t>
  </si>
  <si>
    <t>Two aircraft delays to Original Delivery Schedule. Plan to progress 2026 Used SPE, credit pull-forward for CRP improvement and Optional AOG+1 NDSES Service.</t>
  </si>
  <si>
    <t>Gulf</t>
  </si>
  <si>
    <t>Georgia Chapman</t>
  </si>
  <si>
    <t>Commerical Offer - 3 Year Extension/ SPE Sales (NDSES Improvement)</t>
  </si>
  <si>
    <t>Rwanda</t>
  </si>
  <si>
    <t>TCA Life Min Term Extension</t>
  </si>
  <si>
    <t>Restructure exisiting contract - Min Term Extension
As part of A350-900 campaign</t>
  </si>
  <si>
    <t>Egypt</t>
  </si>
  <si>
    <t>EP Upsell (2028+ deliveries)</t>
  </si>
  <si>
    <t>Greater China</t>
  </si>
  <si>
    <t>China Southern</t>
  </si>
  <si>
    <t>Daniel Hector</t>
  </si>
  <si>
    <t>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t>
  </si>
  <si>
    <t>Keylime</t>
  </si>
  <si>
    <t>AE3007</t>
  </si>
  <si>
    <t>Cory Noel</t>
  </si>
  <si>
    <t>Keylime Air _ AE3007 _ Add 2 in possession aircraft to TotalCare &amp; extend all to 2030</t>
  </si>
  <si>
    <t xml:space="preserve">All Nippon Airways </t>
  </si>
  <si>
    <t>Nick Chadwick / Chong Sien Lim</t>
  </si>
  <si>
    <t>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t>
  </si>
  <si>
    <t>Sterling</t>
  </si>
  <si>
    <t>AE2100</t>
  </si>
  <si>
    <t>Sterling _ AE2100 _ restructure &amp; add spare engines</t>
  </si>
  <si>
    <t>Austral</t>
  </si>
  <si>
    <t>TCA Extension (Life)/Exit credit trade</t>
  </si>
  <si>
    <t>TCA Life Min Term Extension (life)
As part of 787-9 campaign</t>
  </si>
  <si>
    <t>Tanzania</t>
  </si>
  <si>
    <t>Sale of incremental spare engine. NDSES CRP</t>
  </si>
  <si>
    <t>AP4</t>
  </si>
  <si>
    <t xml:space="preserve">Virgin Atlantic </t>
  </si>
  <si>
    <t>Sale of incremental Trent 1000 used SPE to meet inventory targets with RRPF S&amp;LB. Review of NDSES cost savings and CRP improvements.</t>
  </si>
  <si>
    <t>Descoping of nacelle services (thrust reverser)</t>
  </si>
  <si>
    <t>Keylime Air _ AE3007 _ Add 2 aircraft to TotalCare, purchase of AC under eval</t>
  </si>
  <si>
    <t>Satena</t>
  </si>
  <si>
    <t>Satena _ AE3007 _ Contract extension for 2 AC</t>
  </si>
  <si>
    <t>Restructure exisiting contract -Increase escalation
As part of A350-900 sales campaign</t>
  </si>
  <si>
    <t>United</t>
  </si>
  <si>
    <t>UNITED TotalCare restructure to SelectCare and term extension - 535E$</t>
  </si>
  <si>
    <t xml:space="preserve">Air New Zealand </t>
  </si>
  <si>
    <t xml:space="preserve">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t>
  </si>
  <si>
    <t>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t>
  </si>
  <si>
    <t>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t>
  </si>
  <si>
    <t xml:space="preserve">Finnair </t>
  </si>
  <si>
    <t>Matt Haddon</t>
  </si>
  <si>
    <t xml:space="preserve">Min Term Extension for both Life &amp; Term mix of structures  - discussions to commence following their fleet expansion analysis in Q2. </t>
  </si>
  <si>
    <t>Descoping of unprofitable services in conjunction with new a/c opportunity. Test with new a/c (decision expected Q2 2026) before descoping existing fleet.</t>
  </si>
  <si>
    <t xml:space="preserve">Air France </t>
  </si>
  <si>
    <t xml:space="preserve">Min term extension (life) - 3 a/c exit from 2029. Maybe add in 2026 RFP </t>
  </si>
  <si>
    <t xml:space="preserve">Thai Airasia X </t>
  </si>
  <si>
    <t>Nick Chadwick</t>
  </si>
  <si>
    <t>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t>
  </si>
  <si>
    <t>Rebecca to confirm</t>
  </si>
  <si>
    <t>Min term extension (life) - 4 a/c exit from 2028</t>
  </si>
  <si>
    <t xml:space="preserve">Air Caraibes </t>
  </si>
  <si>
    <t>Min term extension (life) - 3 a/c exit from 2029</t>
  </si>
  <si>
    <t xml:space="preserve">China Airlines </t>
  </si>
  <si>
    <r>
      <rPr>
        <b/>
        <sz val="12"/>
        <color rgb="FF000000"/>
        <rFont val="Calibri"/>
        <family val="2"/>
      </rPr>
      <t xml:space="preserve">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t>
    </r>
    <r>
      <rPr>
        <sz val="12"/>
        <color rgb="FF000000"/>
        <rFont val="Calibri"/>
        <family val="2"/>
      </rPr>
      <t xml:space="preserve">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t>
    </r>
  </si>
  <si>
    <t xml:space="preserve">Asiana Airlines </t>
  </si>
  <si>
    <t xml:space="preserve">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t>
  </si>
  <si>
    <t>TBD</t>
  </si>
  <si>
    <t xml:space="preserve">Cathay Pacific Airways </t>
  </si>
  <si>
    <t xml:space="preserve">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t>
  </si>
  <si>
    <t>Air China</t>
  </si>
  <si>
    <t>Xiaowei Liu</t>
  </si>
  <si>
    <t>Financials Approved</t>
  </si>
  <si>
    <t xml:space="preserve">Cebu Pacific </t>
  </si>
  <si>
    <t>Low margin contract and asked by value stream to brainstorm ideas to improve CRP</t>
  </si>
  <si>
    <t xml:space="preserve">Lion Air </t>
  </si>
  <si>
    <t xml:space="preserve">2 Aircraft Cancellation settlement agreed in 2025Q4, expected to be contracted by 2026Q2. 
Min U uplift, 2y extension and escalation increased. Resultant is Utilisation uplifted to 2175, 2y extension  for 6 ac and escalation set to 5.15%. </t>
  </si>
  <si>
    <t>Confirm with Laura</t>
  </si>
  <si>
    <t xml:space="preserve">Garuda </t>
  </si>
  <si>
    <t>Note: Notice of Breach Served on Garuda: Contract restructure, including possible PAYG-&gt;PASV flip, in the event of continuing payment disputes and as avenue to avoid termination of profitable CRPs - opportunity to sell new/used additional SPE's</t>
  </si>
  <si>
    <t xml:space="preserve">Delta Air Lines </t>
  </si>
  <si>
    <t>To be assessed in 2026 - Incremental SPE sale to further reduce NDSES costs</t>
  </si>
  <si>
    <t>Restructure/buy-out of environmental partnership guarentee</t>
  </si>
  <si>
    <t xml:space="preserve">Latam </t>
  </si>
  <si>
    <t>Focus on fleet health at present, ICT generating ideas to improve onerous position (potential sale of used spare engine and term extension).</t>
  </si>
  <si>
    <t xml:space="preserve">Air Transat </t>
  </si>
  <si>
    <t>Christian Bencid</t>
  </si>
  <si>
    <t>Consolidation of TotalCare structures</t>
  </si>
  <si>
    <t xml:space="preserve">Mas Air </t>
  </si>
  <si>
    <t>Adding aircraft to the TotalCare - either FSA currently or newly acquired AC</t>
  </si>
  <si>
    <t>Western Air</t>
  </si>
  <si>
    <t>Western Air Limited _ AE3007 _ Extension / Amendment for 2 AC</t>
  </si>
  <si>
    <t xml:space="preserve">Western Air Limited _ AE3007 _ Extension for full fleet of 9 </t>
  </si>
  <si>
    <t>IBC Airways</t>
  </si>
  <si>
    <t>IBC Airways _ AE3007 _ Extension for 1 AC</t>
  </si>
  <si>
    <t>Opportunity to increase SPE level on Trent XWB x 2 SPE's at 40%</t>
  </si>
  <si>
    <t>Opporunity to add a 1. XWB-84 Used SPE (Q1 2027) 2. Firm Up six (6) aircraft from existing Options. 3. PAS for A350F based on the volume change (4 to 3 FIRM) of A350F.</t>
  </si>
  <si>
    <t>Opportunity to sell combined PAS to both KLM and Martinair for XWB-84 and XWB-97 due to A350F volume change</t>
  </si>
  <si>
    <t>Change escalation period to Jul instead of Jun to simplify recon</t>
  </si>
  <si>
    <t xml:space="preserve">Sunclass Airlines </t>
  </si>
  <si>
    <t>Sale of a first used Spare Engine which would reduce NDSES cost in the CRP</t>
  </si>
  <si>
    <t>ITA</t>
  </si>
  <si>
    <t>2 incremental a/c under LoI - opportunity to sell incremental used Spare Engine early to help CRP NDSES cost/fleet health</t>
  </si>
  <si>
    <t xml:space="preserve">Turkish Airlines </t>
  </si>
  <si>
    <t>Extend minimum term of remaining fleet</t>
  </si>
  <si>
    <t>DHL</t>
  </si>
  <si>
    <t>LRU upsell</t>
  </si>
  <si>
    <t>Below the pylon - potential descope</t>
  </si>
  <si>
    <t>Below the pylon - potential descope (Trent 900)</t>
  </si>
  <si>
    <t>Onerous -Transistion AC if possilbe, Extend contract or EOCL buy out</t>
  </si>
  <si>
    <t>Alejandra Barrionuevo</t>
  </si>
  <si>
    <t>Life Min Term extension for owned a/c, plus removal of EoCL for a $/efh discount</t>
  </si>
  <si>
    <t>SPE#4 Pull-forward</t>
  </si>
  <si>
    <t>ITA integration into GEM (+ additional aircraft)</t>
  </si>
  <si>
    <t>British Airways</t>
  </si>
  <si>
    <t>Sachin Fernandes</t>
  </si>
  <si>
    <t>Restructure nacelle factor calculations to simplify covered services rate calculations and resulting recons</t>
  </si>
  <si>
    <t>Virgin Atlantic Airways</t>
  </si>
  <si>
    <t>Sell of an incremental used Spare engine to mitigate Contractual risk associated with Additional Dedicated Lease Engine clause</t>
  </si>
  <si>
    <t>Delta Air Lines</t>
  </si>
  <si>
    <t>additional SPE sales to increase SPE holding</t>
  </si>
  <si>
    <t>extending to next SV after 20 years, rather then 15 years (in aligment with other engine types)</t>
  </si>
  <si>
    <t>Philippine Airlines</t>
  </si>
  <si>
    <t>Contract amendment if new AC campaign</t>
  </si>
  <si>
    <t xml:space="preserve">Contract amendment if new AC campaign </t>
  </si>
  <si>
    <t>Batch 2 restrucuture could be in scope - after T1000 onerous negotiaion</t>
  </si>
  <si>
    <t>Vietnam Airlines</t>
  </si>
  <si>
    <t>Part 2: Min Term Extension</t>
  </si>
  <si>
    <t>Strategy Approved</t>
  </si>
  <si>
    <t>Japan Airlines</t>
  </si>
  <si>
    <t>Nicholas Chadwick</t>
  </si>
  <si>
    <t xml:space="preserve">SPE #1 - benefit to CRP </t>
  </si>
  <si>
    <t>SPE #2 - would be in trade for SL2 and net neutral benefit</t>
  </si>
  <si>
    <t>7 yr extension of existing contract  (included as option in contract) - Looks like double count vs above row 59</t>
  </si>
  <si>
    <t>Harry to confirm</t>
  </si>
  <si>
    <t>Air India</t>
  </si>
  <si>
    <t>Flexibility rights - value trade being considered as part of 2025 Campaign for 30+70</t>
  </si>
  <si>
    <t>£500m credit back held on CRP and is not "real" due to credit back clause. a min term extension or end at next SV would resolve this.</t>
  </si>
  <si>
    <t>SAS Group</t>
  </si>
  <si>
    <t xml:space="preserve">Matt Haddon </t>
  </si>
  <si>
    <t xml:space="preserve">Potential Low probability opportunity to upsell LRU service as there has been some discussion with SAS on this. Lufthansa Technic incumbent LRU service supplier </t>
  </si>
  <si>
    <t>China Airlines</t>
  </si>
  <si>
    <t xml:space="preserve">4 March 2026: Transition of 3 AerCap leased aircraft from Sichuan to China Airlines with aircraft being purchased from AerCap.  Contract amendments signed at end Jan-26 to move from Sichuan Life TCA to existing China Airlines Life TCA with profit upside due to better margins on China Airlines CRP.   </t>
  </si>
  <si>
    <t>Dan Hector</t>
  </si>
  <si>
    <t>4 March 2026: Following transition of 3 ex-Sichuan aircraft to China Airlines Life TCA (separate line item), given these aircraft have been purchased by China Airlines, there is a request/opprotunity to convert from Life TCA to Term TCA with potential to improve margin (albeit the existing deal is already good and so the improvement might be a challenge).</t>
  </si>
  <si>
    <t>4 March 2026: Campaign started for TCA for China Southern's Block 2 fleet.  This presents an opportunity to pull forward spare engine delivery and potenitially sell additional spare engines to support the wider fleet.  Also potential to combine Block 2 into existing TCA.</t>
  </si>
  <si>
    <t>China Eastern</t>
  </si>
  <si>
    <t>Min Term Extention to  address CRP issue around some A/C engs reaching 2R during 2026 and potentially only have 3 months notice to exit TCA</t>
  </si>
  <si>
    <t>Iberia</t>
  </si>
  <si>
    <t>Life Min Term extension to 25 years for 7 owned a/c and 12 years for leased a/c, plus removal of EoCL for a $/efh discount on both Engine &amp; LLPs.</t>
  </si>
  <si>
    <t>LLP upsell for the 2x leased (used) a/c and further Min Term extension (+6yrs to 2036)</t>
  </si>
  <si>
    <t>Turkish Airlines</t>
  </si>
  <si>
    <t>Inclusion of minU alleviation clause in all 3 Trent 700 contracts plus standardised NDSES remedies</t>
  </si>
  <si>
    <t>Air Mauritius</t>
  </si>
  <si>
    <t>Potential cancellation of 3 X Additional A350-900s. Fleet review ongoing with Seabury.</t>
  </si>
  <si>
    <t>New campaign deal uplifting pack margin to enable release of £59m onerous provision in AP6. Contracts signed</t>
  </si>
  <si>
    <t>Ugandan Airlines</t>
  </si>
  <si>
    <t>SPE Sale + Foregoing risk of AoG remedies in 2026.</t>
  </si>
  <si>
    <t>COUNT</t>
  </si>
  <si>
    <t>PROJECTS</t>
  </si>
  <si>
    <t>PROGRAM</t>
  </si>
  <si>
    <t>PROBABILITY</t>
  </si>
  <si>
    <t>COMPLEXITY</t>
  </si>
  <si>
    <t>STATUS</t>
  </si>
  <si>
    <t>YEARS</t>
  </si>
  <si>
    <t>PROJECT</t>
  </si>
  <si>
    <t>COUNT OF ASKS</t>
  </si>
  <si>
    <t>OF WHICH SPE RELATED</t>
  </si>
  <si>
    <t>NO.OF SPE</t>
  </si>
  <si>
    <t>Trent 500</t>
  </si>
  <si>
    <t>RB211-524</t>
  </si>
  <si>
    <t>COUNT OF HIGH PROB</t>
  </si>
  <si>
    <t>COUNT OF MED PROB</t>
  </si>
  <si>
    <t>COUNT OF LOW PROB</t>
  </si>
  <si>
    <t>COUNT OF HIGH COMP</t>
  </si>
  <si>
    <t>COUNT OF MED COMP</t>
  </si>
  <si>
    <t>COUNT OF LOW COMP</t>
  </si>
  <si>
    <t>COUNT OF COMPLETED</t>
  </si>
  <si>
    <t>COUNT OF CONTRACTING</t>
  </si>
  <si>
    <t>COUNT OF NEGOTIATIONS</t>
  </si>
  <si>
    <t>COUNT OF ICT</t>
  </si>
  <si>
    <t>COUNT OF HOPPER</t>
  </si>
  <si>
    <t>SUM OF 26/27</t>
  </si>
  <si>
    <t>SUM OF TERM BENEFIT</t>
  </si>
  <si>
    <t>SORTED CUSTOMER</t>
  </si>
  <si>
    <t>SORTED TERM IMPACT A</t>
  </si>
  <si>
    <t>SORTED 2026</t>
  </si>
  <si>
    <t>SORTED 2027</t>
  </si>
  <si>
    <t>SORTED 2026/2027</t>
  </si>
  <si>
    <t>MATRIX</t>
  </si>
  <si>
    <t>OPP</t>
  </si>
  <si>
    <t>TERM IMPACT</t>
  </si>
  <si>
    <t>26/27</t>
  </si>
  <si>
    <t>P</t>
  </si>
  <si>
    <t>PF</t>
  </si>
  <si>
    <t>PF x W</t>
  </si>
  <si>
    <t>C</t>
  </si>
  <si>
    <t>CF</t>
  </si>
  <si>
    <t>CF x W</t>
  </si>
  <si>
    <t>TERM IMPACT A</t>
  </si>
  <si>
    <t>2026A</t>
  </si>
  <si>
    <t>2027A</t>
  </si>
  <si>
    <t>26/27 a</t>
  </si>
  <si>
    <t>SORTED OPP</t>
  </si>
  <si>
    <t>NORMALIZED MATRIX</t>
  </si>
  <si>
    <t>CALCULATOR</t>
  </si>
  <si>
    <t>SUM</t>
  </si>
  <si>
    <t>REGION</t>
  </si>
  <si>
    <t>High</t>
  </si>
  <si>
    <t>Low</t>
  </si>
  <si>
    <t>Hopper</t>
  </si>
  <si>
    <t>-</t>
  </si>
  <si>
    <t>Starting</t>
  </si>
  <si>
    <t>Always REFRESH the PIVOT</t>
  </si>
  <si>
    <t>Sum of CRP Term Benefit £m</t>
  </si>
  <si>
    <t>Sum of Profit 2026 £m</t>
  </si>
  <si>
    <t>Sum of Profit 2027 £m</t>
  </si>
  <si>
    <t>Sum of Profit 2028 £m</t>
  </si>
  <si>
    <t>Sum of Profit 2029 £m</t>
  </si>
  <si>
    <t>(blank)</t>
  </si>
  <si>
    <t>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t>
  </si>
  <si>
    <t xml:space="preserve">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t>
  </si>
  <si>
    <t>Grand Total</t>
  </si>
  <si>
    <t>Programme</t>
  </si>
  <si>
    <t>Customer</t>
  </si>
  <si>
    <t>Maturity</t>
  </si>
  <si>
    <t>Expected Year of Signature</t>
  </si>
  <si>
    <t>Initiative Type</t>
  </si>
  <si>
    <t>CRP Type</t>
  </si>
  <si>
    <t>TFAME</t>
  </si>
  <si>
    <t>Aer Lingus</t>
  </si>
  <si>
    <t>AP1</t>
  </si>
  <si>
    <t>Y</t>
  </si>
  <si>
    <t>AerCap</t>
  </si>
  <si>
    <t>AP2</t>
  </si>
  <si>
    <t>N</t>
  </si>
  <si>
    <t>Aeroflot Russian Airlines</t>
  </si>
  <si>
    <t>Aerolineas</t>
  </si>
  <si>
    <t>Air Algerie</t>
  </si>
  <si>
    <t>Air Austral</t>
  </si>
  <si>
    <t>Air Belgium</t>
  </si>
  <si>
    <t>2030+</t>
  </si>
  <si>
    <t>AP7</t>
  </si>
  <si>
    <t>Air Canada</t>
  </si>
  <si>
    <t>AP8</t>
  </si>
  <si>
    <t>Air Caraibes Atlantique</t>
  </si>
  <si>
    <t>AP10</t>
  </si>
  <si>
    <t>Trent XWB</t>
  </si>
  <si>
    <t>Air Europa Lineas Aereas S.A.U.</t>
  </si>
  <si>
    <t>Air France</t>
  </si>
  <si>
    <t>Air Greenland</t>
  </si>
  <si>
    <t>Air Lease Corporation</t>
  </si>
  <si>
    <t>Air Namibia</t>
  </si>
  <si>
    <t>Air New Zealand Limited</t>
  </si>
  <si>
    <t>Air Premia Inc.</t>
  </si>
  <si>
    <t>Air Senegal</t>
  </si>
  <si>
    <t>Air Serbia</t>
  </si>
  <si>
    <t>Air Tanzania</t>
  </si>
  <si>
    <t>Air Transat</t>
  </si>
  <si>
    <t>AirAsia X</t>
  </si>
  <si>
    <t>Aircalin</t>
  </si>
  <si>
    <t>AIRCASTLE LTD</t>
  </si>
  <si>
    <t>Airlink</t>
  </si>
  <si>
    <t>All Nippon Airways</t>
  </si>
  <si>
    <t>ALS</t>
  </si>
  <si>
    <t>Amazon Air</t>
  </si>
  <si>
    <t>American Airlines Group</t>
  </si>
  <si>
    <t>APAL</t>
  </si>
  <si>
    <t>Asiana Airlines</t>
  </si>
  <si>
    <t>Avianca Holdings S.A. (Colombia)</t>
  </si>
  <si>
    <t>Avolon</t>
  </si>
  <si>
    <t>Azul Linhas Aereas Brasileiras</t>
  </si>
  <si>
    <t>Barolo</t>
  </si>
  <si>
    <t>Beijing Capital Airlines</t>
  </si>
  <si>
    <t>BOC Aviation</t>
  </si>
  <si>
    <t>Boliviana</t>
  </si>
  <si>
    <t>Brussels Airlines</t>
  </si>
  <si>
    <t>Carlyle</t>
  </si>
  <si>
    <t>Cathay Pacific</t>
  </si>
  <si>
    <t>CDB Aviation</t>
  </si>
  <si>
    <t>Cebu Pacific Air</t>
  </si>
  <si>
    <t>Citilink</t>
  </si>
  <si>
    <t>CMA CGM</t>
  </si>
  <si>
    <t>CMIG</t>
  </si>
  <si>
    <t>Condor</t>
  </si>
  <si>
    <t>Corsair</t>
  </si>
  <si>
    <t>DAE</t>
  </si>
  <si>
    <t xml:space="preserve">Deucalion </t>
  </si>
  <si>
    <t>DHL Network Operations</t>
  </si>
  <si>
    <t>EgyptAir</t>
  </si>
  <si>
    <t>El Al Israel Airlines Ltd</t>
  </si>
  <si>
    <t>Emirates Airline</t>
  </si>
  <si>
    <t>Etihad Airways</t>
  </si>
  <si>
    <t>Evelop Airlines</t>
  </si>
  <si>
    <t>Fiji Airways</t>
  </si>
  <si>
    <t>Finnair</t>
  </si>
  <si>
    <t>Fitzwalter</t>
  </si>
  <si>
    <t>Fly Gangwon</t>
  </si>
  <si>
    <t>Flypop</t>
  </si>
  <si>
    <t>Garuda Indonesia</t>
  </si>
  <si>
    <t>Gulf Air</t>
  </si>
  <si>
    <t>Hainan Airlines</t>
  </si>
  <si>
    <t>Hawaiian Airlines</t>
  </si>
  <si>
    <t>Hi Fly</t>
  </si>
  <si>
    <t>HM THE SULTAN’S FLIGHT BRUNEI</t>
  </si>
  <si>
    <t>Hong Kong Cargo</t>
  </si>
  <si>
    <t>Icelandair Group</t>
  </si>
  <si>
    <t>IndiGo</t>
  </si>
  <si>
    <t>JET MIDWEST INC</t>
  </si>
  <si>
    <t xml:space="preserve">KLM Group </t>
  </si>
  <si>
    <t>Korean Airlines</t>
  </si>
  <si>
    <t>Kuwait Airways</t>
  </si>
  <si>
    <t>LATAM Airlines Group S.A.</t>
  </si>
  <si>
    <t>Lessors Other</t>
  </si>
  <si>
    <t>Level</t>
  </si>
  <si>
    <t>Lion Air</t>
  </si>
  <si>
    <t>Loganair</t>
  </si>
  <si>
    <t>LOT Polish Airlines</t>
  </si>
  <si>
    <t>Lucky Air</t>
  </si>
  <si>
    <t>MACQUARIE AIRCRAFT LEASING</t>
  </si>
  <si>
    <t>Malaysia Airlines</t>
  </si>
  <si>
    <t>MasAir</t>
  </si>
  <si>
    <t>Middle East Airlines</t>
  </si>
  <si>
    <t>MNG Airlines</t>
  </si>
  <si>
    <t>Mozambique</t>
  </si>
  <si>
    <t>Neos SpA</t>
  </si>
  <si>
    <t>NokScoot</t>
  </si>
  <si>
    <t>Norse</t>
  </si>
  <si>
    <t>Oman Air</t>
  </si>
  <si>
    <t>Orbest SA</t>
  </si>
  <si>
    <t>Orix</t>
  </si>
  <si>
    <t>Other Americas</t>
  </si>
  <si>
    <t>Other APAC</t>
  </si>
  <si>
    <t>Other Europe</t>
  </si>
  <si>
    <t>Other Greater China</t>
  </si>
  <si>
    <t>Other Lessors</t>
  </si>
  <si>
    <t>Other ME&amp;A</t>
  </si>
  <si>
    <t>Other MEA</t>
  </si>
  <si>
    <t>Qantas Airways</t>
  </si>
  <si>
    <t>Qatar Airways</t>
  </si>
  <si>
    <t>Rossiya - Russian Airlines</t>
  </si>
  <si>
    <t>Royal Brunei Airlines</t>
  </si>
  <si>
    <t>Rwandair</t>
  </si>
  <si>
    <t>SAAB</t>
  </si>
  <si>
    <t>Saudi Royal Aviation</t>
  </si>
  <si>
    <t>Scoot</t>
  </si>
  <si>
    <t>Shenzhen Airlines</t>
  </si>
  <si>
    <t>Sichuan Airlines</t>
  </si>
  <si>
    <t>Silk Way</t>
  </si>
  <si>
    <t>Smartlynx</t>
  </si>
  <si>
    <t>SMBC</t>
  </si>
  <si>
    <t>Solenta</t>
  </si>
  <si>
    <t>South African Airways</t>
  </si>
  <si>
    <t>Sri Lankan Airlines Ltd</t>
  </si>
  <si>
    <t>SriLankan Airlines</t>
  </si>
  <si>
    <t>Starlux Airlines</t>
  </si>
  <si>
    <t>Sunclass</t>
  </si>
  <si>
    <t>Swiss International Air Lines Ltd</t>
  </si>
  <si>
    <t>TAP Air Portugal</t>
  </si>
  <si>
    <t>Thai Air Asia X</t>
  </si>
  <si>
    <t>Thai Airways International</t>
  </si>
  <si>
    <t>Thai Lion Mentari Co. Ltd</t>
  </si>
  <si>
    <t>Tianjin</t>
  </si>
  <si>
    <t>Tibet Airlines</t>
  </si>
  <si>
    <t>Tokyo Century</t>
  </si>
  <si>
    <t>TunisAir</t>
  </si>
  <si>
    <t>T'Way</t>
  </si>
  <si>
    <t>United Airlines</t>
  </si>
  <si>
    <t>United Parcel Service  Inc.</t>
  </si>
  <si>
    <t>US-Bangla Airlines</t>
  </si>
  <si>
    <t>VallJet</t>
  </si>
  <si>
    <t>Vietjet</t>
  </si>
  <si>
    <t>Wamos Air</t>
  </si>
  <si>
    <t>Wizz Air</t>
  </si>
  <si>
    <t>World2Fly</t>
  </si>
  <si>
    <t>Customer Team driven commerical</t>
  </si>
  <si>
    <t>Budget 2026 - Periodic</t>
  </si>
  <si>
    <t>Bud 26 YTD</t>
  </si>
  <si>
    <t>H1</t>
  </si>
  <si>
    <t>H2</t>
  </si>
  <si>
    <t>FY</t>
  </si>
  <si>
    <t>QTR Rolling 6 months assumption</t>
  </si>
  <si>
    <t>SIA Aegis</t>
  </si>
  <si>
    <t>Margin roadmap (Virgin)</t>
  </si>
  <si>
    <t>Asiana parking risk overlay release</t>
  </si>
  <si>
    <t>MAS payment provision release</t>
  </si>
  <si>
    <t>Actually banked in 2025, but EVS couldn't update Budget</t>
  </si>
  <si>
    <t>Air Europa -8 Onerous Release</t>
  </si>
  <si>
    <t>Air Europa no longer onerous</t>
  </si>
  <si>
    <t>BA onerous contract improvement</t>
  </si>
  <si>
    <t>Chiong ha</t>
  </si>
  <si>
    <t>Total</t>
  </si>
  <si>
    <t>3+9 Contractual Improvements (Non-core)</t>
  </si>
  <si>
    <t>3+9 Periodic</t>
  </si>
  <si>
    <t>3+9 H1/H2</t>
  </si>
  <si>
    <t>£m</t>
  </si>
  <si>
    <t>Rolling 6 months assumption</t>
  </si>
  <si>
    <t>Complete</t>
  </si>
  <si>
    <t>Virgin</t>
  </si>
  <si>
    <t>Margin roadmap (12 months CRP trade, EoCL)</t>
  </si>
  <si>
    <t>Extended contract review pack for c.12 months, EoCL changes and on wing care reductions</t>
  </si>
  <si>
    <t>Singapore</t>
  </si>
  <si>
    <t>Aegis</t>
  </si>
  <si>
    <t>To Contract</t>
  </si>
  <si>
    <t>Onerous contract improvement</t>
  </si>
  <si>
    <t>LATAM</t>
  </si>
  <si>
    <t>Recent campaign win (to be contracted)</t>
  </si>
  <si>
    <t>Air New Zealand (Fern)</t>
  </si>
  <si>
    <t>Delta</t>
  </si>
  <si>
    <t>A330 contract win (already contracted)</t>
  </si>
  <si>
    <t>Debt repayment</t>
  </si>
  <si>
    <t>Thai Lion Mentari</t>
  </si>
  <si>
    <t>Turkish</t>
  </si>
  <si>
    <t>Invoice above term</t>
  </si>
  <si>
    <t>Azul</t>
  </si>
  <si>
    <t>Actualisation</t>
  </si>
  <si>
    <t>Asiana</t>
  </si>
  <si>
    <t>3+9 B/(W) Budget Periodic</t>
  </si>
  <si>
    <t>3+9 B/(W) Budget Cumulative</t>
  </si>
  <si>
    <t>Other Core Profit Improvements</t>
  </si>
  <si>
    <t>Aegis - Budget assumed traded from AP1</t>
  </si>
  <si>
    <t>Aegis - 3+9 adjustment to trade from AP5 onwards</t>
  </si>
  <si>
    <t>Aegis - 3+9 assumption</t>
  </si>
  <si>
    <t>Min Term Ext &amp; E4C removal</t>
  </si>
  <si>
    <t>TBC</t>
  </si>
  <si>
    <t>Budget</t>
  </si>
  <si>
    <t>Vietnam</t>
  </si>
  <si>
    <t>Min Term Ext - Budget assumed AP4</t>
  </si>
  <si>
    <t>3+9</t>
  </si>
  <si>
    <t>Min Term Ext - 3+9 asumes from AP12</t>
  </si>
  <si>
    <t>Min Term Ext - Starts AP12</t>
  </si>
  <si>
    <t>+14 Option &amp; New A/C</t>
  </si>
  <si>
    <t>+2 A/C, + 5 AC</t>
  </si>
  <si>
    <t>+15 A/C &amp; 3yr ext</t>
  </si>
  <si>
    <t>Ethiopian</t>
  </si>
  <si>
    <t>+11 A/C</t>
  </si>
  <si>
    <t>+6x Purchase rights</t>
  </si>
  <si>
    <t>JAL</t>
  </si>
  <si>
    <t>+20 A/C</t>
  </si>
  <si>
    <t>6 additional A350-1000s</t>
  </si>
  <si>
    <t>potential op for extending leased AC</t>
  </si>
  <si>
    <t>BAW EoCL</t>
  </si>
  <si>
    <t>Campaign win</t>
  </si>
  <si>
    <t>Campaign win - already contracted</t>
  </si>
  <si>
    <t>Other Core Improvements</t>
  </si>
  <si>
    <t>BAW 6 additional A350-1000s</t>
  </si>
  <si>
    <t xml:space="preserve">BAW 6 Additional A350-1000s Recovery option (Overlay) </t>
  </si>
  <si>
    <t>Not included in TFS 3+9 Submission:</t>
  </si>
  <si>
    <t>Lion (2 a/c canx solution - 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</si>
</sst>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_-&quot;£&quot;* #,##0.00_-;\-&quot;£&quot;* #,##0.00_-;_-&quot;£&quot;* &quot;-&quot;??_-;_-@_-"/>
    <numFmt numFmtId="165" formatCode="_(&quot;£&quot;* #,##0.00_);_(&quot;£&quot;* \(#,##0.00\);_(&quot;£&quot;* &quot;-&quot;??_);_(@_)"/>
    <numFmt numFmtId="166" formatCode="\$#,#00&quot;m&quot;"/>
    <numFmt numFmtId="167" formatCode="#,##0;[Red]\(#,##0\)"/>
    <numFmt numFmtId="168" formatCode="#,##0;\(#,##0\);&quot;  -  &quot;"/>
    <numFmt numFmtId="169" formatCode="_-* \+#,##0_-;* \-#,##0_-;_-* &quot;-&quot;_-;_-@_-"/>
  </numFmts>
  <fonts count="41">
    <font>
      <sz val="11"/>
      <color theme="1"/>
      <name val="Calibri"/>
      <family val="2"/>
      <scheme val="minor"/>
    </font>
    <font>
      <b/>
      <sz val="11"/>
      <color theme="1"/>
      <name val="Calibri"/>
      <family val="2"/>
      <scheme val="minor"/>
    </font>
    <font>
      <sz val="11"/>
      <color theme="1"/>
      <name val="Calibri"/>
      <family val="2"/>
      <scheme val="minor"/>
    </font>
    <font>
      <sz val="10"/>
      <color theme="1"/>
      <name val="Calibri"/>
      <family val="2"/>
      <scheme val="minor"/>
    </font>
    <font>
      <b/>
      <sz val="24"/>
      <color theme="0"/>
      <name val="Agency FB"/>
      <family val="2"/>
    </font>
    <font>
      <b/>
      <sz val="10"/>
      <color theme="1" tint="0.499984740745262"/>
      <name val="Calibri"/>
      <family val="2"/>
      <scheme val="minor"/>
    </font>
    <font>
      <sz val="10"/>
      <color rgb="FF0000FF"/>
      <name val="Calibri"/>
      <family val="2"/>
      <scheme val="minor"/>
    </font>
    <font>
      <sz val="8"/>
      <color theme="1"/>
      <name val="Calibri"/>
      <family val="2"/>
      <scheme val="minor"/>
    </font>
    <font>
      <sz val="9"/>
      <color indexed="81"/>
      <name val="Tahoma"/>
      <family val="2"/>
    </font>
    <font>
      <b/>
      <sz val="9"/>
      <color indexed="81"/>
      <name val="Tahoma"/>
      <family val="2"/>
    </font>
    <font>
      <u/>
      <sz val="11"/>
      <color theme="10"/>
      <name val="Calibri"/>
      <family val="2"/>
      <scheme val="minor"/>
    </font>
    <font>
      <b/>
      <sz val="30"/>
      <color theme="0"/>
      <name val="RR Pioneer"/>
      <family val="2"/>
    </font>
    <font>
      <b/>
      <sz val="36"/>
      <color theme="0"/>
      <name val="RR Pioneer"/>
      <family val="2"/>
    </font>
    <font>
      <sz val="10"/>
      <color rgb="FFFF0000"/>
      <name val="Calibri"/>
      <family val="2"/>
      <scheme val="minor"/>
    </font>
    <font>
      <sz val="10"/>
      <name val="Calibri"/>
      <family val="2"/>
      <scheme val="minor"/>
    </font>
    <font>
      <b/>
      <u/>
      <sz val="24"/>
      <name val="Calibri"/>
      <family val="2"/>
      <scheme val="minor"/>
    </font>
    <font>
      <b/>
      <sz val="22"/>
      <name val="RR Pioneer"/>
      <family val="2"/>
    </font>
    <font>
      <sz val="11"/>
      <color theme="0"/>
      <name val="Calibri"/>
      <family val="2"/>
      <scheme val="minor"/>
    </font>
    <font>
      <b/>
      <sz val="11"/>
      <color rgb="FFFF0000"/>
      <name val="Calibri"/>
      <family val="2"/>
      <scheme val="minor"/>
    </font>
    <font>
      <b/>
      <sz val="12"/>
      <color theme="0"/>
      <name val="Calibri"/>
      <family val="2"/>
      <scheme val="minor"/>
    </font>
    <font>
      <sz val="12"/>
      <name val="Calibri"/>
      <family val="2"/>
      <scheme val="minor"/>
    </font>
    <font>
      <sz val="12"/>
      <color theme="0"/>
      <name val="Calibri"/>
      <family val="2"/>
      <scheme val="minor"/>
    </font>
    <font>
      <b/>
      <u/>
      <sz val="36"/>
      <color theme="0"/>
      <name val="Agency FB"/>
      <family val="2"/>
    </font>
    <font>
      <sz val="11"/>
      <color rgb="FF000000"/>
      <name val="Aptos Narrow"/>
      <family val="2"/>
    </font>
    <font>
      <b/>
      <sz val="12"/>
      <color rgb="FF000000"/>
      <name val="Calibri"/>
      <family val="2"/>
    </font>
    <font>
      <sz val="12"/>
      <color rgb="FF000000"/>
      <name val="Calibri"/>
      <family val="2"/>
    </font>
    <font>
      <sz val="12"/>
      <color rgb="FF000000"/>
      <name val="Calibri"/>
      <family val="2"/>
      <scheme val="minor"/>
    </font>
    <font>
      <b/>
      <sz val="11"/>
      <color theme="0"/>
      <name val="Calibri"/>
      <family val="2"/>
      <scheme val="minor"/>
    </font>
    <font>
      <b/>
      <sz val="11"/>
      <color rgb="FF10069F"/>
      <name val="RR Pioneer"/>
      <family val="2"/>
    </font>
    <font>
      <sz val="10"/>
      <name val="Arial"/>
      <family val="2"/>
    </font>
    <font>
      <b/>
      <sz val="12"/>
      <color rgb="FF10069F"/>
      <name val="RR Pioneer"/>
      <family val="2"/>
    </font>
    <font>
      <sz val="12"/>
      <color rgb="FF10069F"/>
      <name val="RR Pioneer"/>
      <family val="2"/>
    </font>
    <font>
      <sz val="12"/>
      <color theme="1"/>
      <name val="RR Pioneer"/>
      <family val="2"/>
    </font>
    <font>
      <b/>
      <sz val="12"/>
      <color theme="1"/>
      <name val="RR Pioneer"/>
      <family val="2"/>
    </font>
    <font>
      <sz val="9"/>
      <color theme="1"/>
      <name val="Arial"/>
      <family val="2"/>
    </font>
    <font>
      <i/>
      <sz val="10"/>
      <color theme="1"/>
      <name val="RR Pioneer"/>
      <family val="2"/>
    </font>
    <font>
      <b/>
      <sz val="12"/>
      <color rgb="FF00B050"/>
      <name val="RR Pioneer"/>
      <family val="2"/>
    </font>
    <font>
      <sz val="9"/>
      <color theme="1"/>
      <name val="Calibri"/>
      <family val="2"/>
      <scheme val="minor"/>
    </font>
    <font>
      <sz val="8"/>
      <name val="Calibri"/>
      <family val="2"/>
      <scheme val="minor"/>
    </font>
    <font>
      <sz val="11"/>
      <color rgb="FF10069F"/>
      <name val="RR Pioneer"/>
      <family val="2"/>
    </font>
    <font>
      <sz val="12"/>
      <color rgb="FF00B050"/>
      <name val="RR Pioneer"/>
      <family val="2"/>
    </font>
  </fonts>
  <fills count="19">
    <fill>
      <patternFill patternType="none"/>
    </fill>
    <fill>
      <patternFill patternType="gray125"/>
    </fill>
    <fill>
      <patternFill patternType="solid">
        <fgColor rgb="FF00B0F0"/>
        <bgColor indexed="64"/>
      </patternFill>
    </fill>
    <fill>
      <patternFill patternType="solid">
        <fgColor theme="2" tint="-0.249977111117893"/>
        <bgColor indexed="64"/>
      </patternFill>
    </fill>
    <fill>
      <patternFill patternType="solid">
        <fgColor theme="2"/>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1"/>
        <bgColor indexed="64"/>
      </patternFill>
    </fill>
    <fill>
      <patternFill patternType="solid">
        <fgColor theme="0"/>
        <bgColor indexed="64"/>
      </patternFill>
    </fill>
    <fill>
      <patternFill patternType="solid">
        <fgColor rgb="FF06109F"/>
        <bgColor indexed="64"/>
      </patternFill>
    </fill>
    <fill>
      <patternFill patternType="solid">
        <fgColor theme="1" tint="0.499984740745262"/>
        <bgColor indexed="64"/>
      </patternFill>
    </fill>
    <fill>
      <patternFill patternType="solid">
        <fgColor rgb="FF92D050"/>
        <bgColor indexed="64"/>
      </patternFill>
    </fill>
    <fill>
      <patternFill patternType="solid">
        <fgColor rgb="FFFFFFCC"/>
        <bgColor indexed="64"/>
      </patternFill>
    </fill>
    <fill>
      <patternFill patternType="solid">
        <fgColor rgb="FFFF0000"/>
        <bgColor indexed="64"/>
      </patternFill>
    </fill>
    <fill>
      <patternFill patternType="solid">
        <fgColor theme="6" tint="0.59999389629810485"/>
        <bgColor indexed="64"/>
      </patternFill>
    </fill>
    <fill>
      <patternFill patternType="solid">
        <fgColor rgb="FFFFC00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medium">
        <color indexed="64"/>
      </bottom>
      <diagonal/>
    </border>
    <border>
      <left style="thin">
        <color theme="2" tint="-0.24994659260841701"/>
      </left>
      <right style="thin">
        <color theme="2" tint="-0.24994659260841701"/>
      </right>
      <top/>
      <bottom style="thin">
        <color theme="2" tint="-0.24994659260841701"/>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10069F"/>
      </top>
      <bottom/>
      <diagonal/>
    </border>
    <border>
      <left/>
      <right style="thin">
        <color indexed="64"/>
      </right>
      <top/>
      <bottom/>
      <diagonal/>
    </border>
    <border>
      <left/>
      <right/>
      <top/>
      <bottom style="medium">
        <color rgb="FF10069F"/>
      </bottom>
      <diagonal/>
    </border>
    <border>
      <left/>
      <right style="thin">
        <color indexed="64"/>
      </right>
      <top/>
      <bottom style="medium">
        <color rgb="FF10069F"/>
      </bottom>
      <diagonal/>
    </border>
    <border>
      <left style="thin">
        <color theme="4" tint="0.79998168889431442"/>
      </left>
      <right style="thin">
        <color theme="4" tint="0.79998168889431442"/>
      </right>
      <top style="thin">
        <color theme="4" tint="0.79998168889431442"/>
      </top>
      <bottom style="thin">
        <color theme="4" tint="0.79998168889431442"/>
      </bottom>
      <diagonal/>
    </border>
    <border>
      <left style="thin">
        <color theme="4" tint="0.79998168889431442"/>
      </left>
      <right/>
      <top style="thin">
        <color theme="4" tint="0.79998168889431442"/>
      </top>
      <bottom style="thin">
        <color theme="4" tint="0.79998168889431442"/>
      </bottom>
      <diagonal/>
    </border>
    <border>
      <left/>
      <right/>
      <top style="thin">
        <color theme="4" tint="0.79998168889431442"/>
      </top>
      <bottom style="thin">
        <color theme="4" tint="0.79998168889431442"/>
      </bottom>
      <diagonal/>
    </border>
    <border>
      <left style="thin">
        <color theme="4" tint="0.79998168889431442"/>
      </left>
      <right style="thin">
        <color indexed="64"/>
      </right>
      <top style="thin">
        <color theme="4" tint="0.79998168889431442"/>
      </top>
      <bottom style="thin">
        <color theme="4" tint="0.79998168889431442"/>
      </bottom>
      <diagonal/>
    </border>
    <border>
      <left style="thin">
        <color theme="4" tint="0.79998168889431442"/>
      </left>
      <right style="thin">
        <color theme="4" tint="0.79998168889431442"/>
      </right>
      <top style="thin">
        <color theme="4" tint="0.79998168889431442"/>
      </top>
      <bottom style="medium">
        <color theme="1"/>
      </bottom>
      <diagonal/>
    </border>
    <border>
      <left style="thin">
        <color theme="4" tint="0.79998168889431442"/>
      </left>
      <right/>
      <top style="thin">
        <color theme="4" tint="0.79998168889431442"/>
      </top>
      <bottom style="medium">
        <color theme="1"/>
      </bottom>
      <diagonal/>
    </border>
    <border>
      <left style="thin">
        <color theme="4" tint="0.79998168889431442"/>
      </left>
      <right style="thin">
        <color indexed="64"/>
      </right>
      <top style="thin">
        <color theme="4" tint="0.79998168889431442"/>
      </top>
      <bottom style="medium">
        <color theme="1"/>
      </bottom>
      <diagonal/>
    </border>
    <border>
      <left/>
      <right/>
      <top style="thin">
        <color theme="4" tint="0.79998168889431442"/>
      </top>
      <bottom style="medium">
        <color theme="1"/>
      </bottom>
      <diagonal/>
    </border>
    <border>
      <left style="thin">
        <color theme="4" tint="0.79998168889431442"/>
      </left>
      <right style="thin">
        <color theme="1"/>
      </right>
      <top style="thin">
        <color theme="4" tint="0.79998168889431442"/>
      </top>
      <bottom style="thin">
        <color theme="4" tint="0.79998168889431442"/>
      </bottom>
      <diagonal/>
    </border>
    <border>
      <left/>
      <right/>
      <top style="thin">
        <color theme="0" tint="-0.34998626667073579"/>
      </top>
      <bottom style="thin">
        <color theme="0" tint="-0.34998626667073579"/>
      </bottom>
      <diagonal/>
    </border>
    <border>
      <left style="thin">
        <color theme="4" tint="0.79998168889431442"/>
      </left>
      <right style="thin">
        <color theme="4" tint="0.79998168889431442"/>
      </right>
      <top/>
      <bottom style="thin">
        <color theme="4" tint="0.79998168889431442"/>
      </bottom>
      <diagonal/>
    </border>
    <border>
      <left style="thin">
        <color theme="4" tint="0.79998168889431442"/>
      </left>
      <right/>
      <top/>
      <bottom style="thin">
        <color theme="4" tint="0.79998168889431442"/>
      </bottom>
      <diagonal/>
    </border>
    <border>
      <left/>
      <right/>
      <top/>
      <bottom style="thin">
        <color theme="4" tint="0.79998168889431442"/>
      </bottom>
      <diagonal/>
    </border>
    <border>
      <left/>
      <right/>
      <top/>
      <bottom style="medium">
        <color rgb="FF06109F"/>
      </bottom>
      <diagonal/>
    </border>
    <border>
      <left style="thin">
        <color theme="4" tint="0.79998168889431442"/>
      </left>
      <right/>
      <top style="thin">
        <color theme="4" tint="0.79998168889431442"/>
      </top>
      <bottom style="thin">
        <color rgb="FF06109F"/>
      </bottom>
      <diagonal/>
    </border>
    <border>
      <left style="thin">
        <color theme="4" tint="0.79998168889431442"/>
      </left>
      <right style="thin">
        <color theme="4" tint="0.79998168889431442"/>
      </right>
      <top style="thin">
        <color theme="4" tint="0.79998168889431442"/>
      </top>
      <bottom style="thin">
        <color rgb="FF06109F"/>
      </bottom>
      <diagonal/>
    </border>
    <border>
      <left/>
      <right/>
      <top style="thin">
        <color theme="4" tint="0.79998168889431442"/>
      </top>
      <bottom style="thin">
        <color rgb="FF06109F"/>
      </bottom>
      <diagonal/>
    </border>
    <border>
      <left style="thin">
        <color theme="4" tint="0.79998168889431442"/>
      </left>
      <right/>
      <top/>
      <bottom style="thin">
        <color rgb="FF06109F"/>
      </bottom>
      <diagonal/>
    </border>
    <border>
      <left style="thin">
        <color theme="4" tint="0.79998168889431442"/>
      </left>
      <right style="thin">
        <color theme="4" tint="0.79998168889431442"/>
      </right>
      <top/>
      <bottom style="thin">
        <color rgb="FF06109F"/>
      </bottom>
      <diagonal/>
    </border>
    <border>
      <left/>
      <right/>
      <top/>
      <bottom style="thin">
        <color rgb="FF06109F"/>
      </bottom>
      <diagonal/>
    </border>
    <border>
      <left/>
      <right/>
      <top style="thin">
        <color rgb="FF06109F"/>
      </top>
      <bottom style="thin">
        <color rgb="FF06109F"/>
      </bottom>
      <diagonal/>
    </border>
    <border>
      <left style="thin">
        <color theme="4" tint="0.79998168889431442"/>
      </left>
      <right/>
      <top style="thin">
        <color rgb="FF06109F"/>
      </top>
      <bottom style="thin">
        <color rgb="FF06109F"/>
      </bottom>
      <diagonal/>
    </border>
    <border>
      <left/>
      <right style="thin">
        <color rgb="FF06109F"/>
      </right>
      <top/>
      <bottom style="thin">
        <color rgb="FF06109F"/>
      </bottom>
      <diagonal/>
    </border>
    <border>
      <left/>
      <right style="thin">
        <color rgb="FF06109F"/>
      </right>
      <top/>
      <bottom/>
      <diagonal/>
    </border>
    <border>
      <left/>
      <right style="thin">
        <color rgb="FF06109F"/>
      </right>
      <top/>
      <bottom style="medium">
        <color rgb="FF10069F"/>
      </bottom>
      <diagonal/>
    </border>
    <border>
      <left style="thin">
        <color theme="4" tint="0.79998168889431442"/>
      </left>
      <right style="thin">
        <color rgb="FF06109F"/>
      </right>
      <top style="thin">
        <color theme="4" tint="0.79998168889431442"/>
      </top>
      <bottom style="thin">
        <color theme="4" tint="0.79998168889431442"/>
      </bottom>
      <diagonal/>
    </border>
    <border>
      <left style="thin">
        <color theme="4" tint="0.79998168889431442"/>
      </left>
      <right style="thin">
        <color rgb="FF06109F"/>
      </right>
      <top style="thin">
        <color theme="4" tint="0.79998168889431442"/>
      </top>
      <bottom style="thin">
        <color rgb="FF06109F"/>
      </bottom>
      <diagonal/>
    </border>
    <border>
      <left style="thin">
        <color theme="4" tint="0.79998168889431442"/>
      </left>
      <right style="thin">
        <color rgb="FF06109F"/>
      </right>
      <top/>
      <bottom style="thin">
        <color theme="4" tint="0.79998168889431442"/>
      </bottom>
      <diagonal/>
    </border>
    <border>
      <left/>
      <right style="thin">
        <color rgb="FF06109F"/>
      </right>
      <top style="thin">
        <color rgb="FF06109F"/>
      </top>
      <bottom style="thin">
        <color rgb="FF06109F"/>
      </bottom>
      <diagonal/>
    </border>
    <border>
      <left style="thin">
        <color theme="4" tint="0.79998168889431442"/>
      </left>
      <right/>
      <top style="medium">
        <color rgb="FF06109F"/>
      </top>
      <bottom style="medium">
        <color rgb="FF06109F"/>
      </bottom>
      <diagonal/>
    </border>
    <border>
      <left style="thin">
        <color theme="4" tint="0.79998168889431442"/>
      </left>
      <right style="thin">
        <color theme="4" tint="0.79998168889431442"/>
      </right>
      <top style="medium">
        <color rgb="FF06109F"/>
      </top>
      <bottom style="medium">
        <color rgb="FF06109F"/>
      </bottom>
      <diagonal/>
    </border>
    <border>
      <left style="thin">
        <color theme="4" tint="0.79998168889431442"/>
      </left>
      <right style="thin">
        <color rgb="FF06109F"/>
      </right>
      <top style="medium">
        <color rgb="FF06109F"/>
      </top>
      <bottom style="medium">
        <color rgb="FF06109F"/>
      </bottom>
      <diagonal/>
    </border>
    <border>
      <left/>
      <right/>
      <top style="medium">
        <color rgb="FF06109F"/>
      </top>
      <bottom style="medium">
        <color rgb="FF06109F"/>
      </bottom>
      <diagonal/>
    </border>
    <border>
      <left/>
      <right/>
      <top style="medium">
        <color rgb="FF10069F"/>
      </top>
      <bottom style="thin">
        <color rgb="FF06109F"/>
      </bottom>
      <diagonal/>
    </border>
    <border>
      <left/>
      <right/>
      <top style="medium">
        <color rgb="FF10069F"/>
      </top>
      <bottom style="thin">
        <color rgb="FF10069F"/>
      </bottom>
      <diagonal/>
    </border>
  </borders>
  <cellStyleXfs count="8">
    <xf numFmtId="0" fontId="0" fillId="0" borderId="0"/>
    <xf numFmtId="9" fontId="2" fillId="0" borderId="0" applyFont="0" applyFill="0" applyBorder="0" applyAlignment="0" applyProtection="0"/>
    <xf numFmtId="165" fontId="2" fillId="0" borderId="0" applyFont="0" applyFill="0" applyBorder="0" applyAlignment="0" applyProtection="0"/>
    <xf numFmtId="43" fontId="2" fillId="0" borderId="0" applyFont="0" applyFill="0" applyBorder="0" applyAlignment="0" applyProtection="0"/>
    <xf numFmtId="0" fontId="10" fillId="0" borderId="0" applyNumberFormat="0" applyFill="0" applyBorder="0" applyAlignment="0" applyProtection="0"/>
    <xf numFmtId="0" fontId="29" fillId="0" borderId="0"/>
    <xf numFmtId="0" fontId="34" fillId="0" borderId="0">
      <alignment vertical="center"/>
    </xf>
    <xf numFmtId="169" fontId="35" fillId="0" borderId="34" applyFont="0" applyFill="0" applyBorder="0" applyAlignment="0" applyProtection="0"/>
  </cellStyleXfs>
  <cellXfs count="222">
    <xf numFmtId="0" fontId="0" fillId="0" borderId="0" xfId="0"/>
    <xf numFmtId="0" fontId="0" fillId="0" borderId="1" xfId="0" applyBorder="1"/>
    <xf numFmtId="0" fontId="1" fillId="0" borderId="0" xfId="0" applyFont="1"/>
    <xf numFmtId="0" fontId="0" fillId="0" borderId="0" xfId="0" applyAlignment="1">
      <alignment horizontal="center"/>
    </xf>
    <xf numFmtId="0" fontId="3" fillId="3" borderId="0" xfId="0" applyFont="1" applyFill="1" applyAlignment="1">
      <alignment vertical="center"/>
    </xf>
    <xf numFmtId="0" fontId="3" fillId="3" borderId="0" xfId="0" applyFont="1" applyFill="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3" fillId="0" borderId="0" xfId="0" applyFont="1"/>
    <xf numFmtId="0" fontId="5" fillId="4" borderId="1" xfId="0" applyFont="1" applyFill="1" applyBorder="1" applyAlignment="1">
      <alignment horizontal="center" vertical="center"/>
    </xf>
    <xf numFmtId="0" fontId="5" fillId="0" borderId="0" xfId="0" applyFont="1" applyAlignment="1">
      <alignment horizontal="center" vertical="center"/>
    </xf>
    <xf numFmtId="0" fontId="3" fillId="0" borderId="1" xfId="0" applyFont="1" applyBorder="1"/>
    <xf numFmtId="0" fontId="3" fillId="0" borderId="1" xfId="0" applyFont="1" applyBorder="1" applyAlignment="1">
      <alignment horizontal="center" vertical="center"/>
    </xf>
    <xf numFmtId="2" fontId="0" fillId="0" borderId="1" xfId="0" applyNumberFormat="1" applyBorder="1"/>
    <xf numFmtId="0" fontId="0" fillId="3" borderId="0" xfId="0" applyFill="1"/>
    <xf numFmtId="166" fontId="3" fillId="5" borderId="9" xfId="0" applyNumberFormat="1" applyFont="1" applyFill="1" applyBorder="1" applyAlignment="1">
      <alignment horizontal="center" vertical="center"/>
    </xf>
    <xf numFmtId="166" fontId="3" fillId="5" borderId="7" xfId="0" applyNumberFormat="1" applyFont="1" applyFill="1" applyBorder="1" applyAlignment="1">
      <alignment horizontal="center" vertical="center"/>
    </xf>
    <xf numFmtId="166" fontId="3" fillId="5" borderId="10" xfId="0" applyNumberFormat="1" applyFont="1" applyFill="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5" fillId="4" borderId="3" xfId="0" applyFont="1" applyFill="1" applyBorder="1" applyAlignment="1">
      <alignment horizontal="center" vertical="center"/>
    </xf>
    <xf numFmtId="2" fontId="0" fillId="0" borderId="1" xfId="0" applyNumberFormat="1" applyBorder="1" applyAlignment="1">
      <alignment horizontal="center"/>
    </xf>
    <xf numFmtId="0" fontId="0" fillId="0" borderId="1" xfId="0" applyBorder="1" applyAlignment="1">
      <alignment horizontal="center"/>
    </xf>
    <xf numFmtId="0" fontId="0" fillId="0" borderId="0" xfId="0" applyAlignment="1">
      <alignment wrapText="1"/>
    </xf>
    <xf numFmtId="0" fontId="0" fillId="0" borderId="0" xfId="0" applyAlignment="1">
      <alignment horizontal="center" vertical="center" wrapText="1"/>
    </xf>
    <xf numFmtId="0" fontId="0" fillId="6" borderId="0" xfId="0" applyFill="1" applyAlignment="1">
      <alignment wrapText="1"/>
    </xf>
    <xf numFmtId="0" fontId="6" fillId="0" borderId="8" xfId="0" applyFont="1" applyBorder="1" applyAlignment="1">
      <alignment horizontal="center" vertical="center" wrapText="1"/>
    </xf>
    <xf numFmtId="0" fontId="11" fillId="0" borderId="0" xfId="0" applyFont="1" applyAlignment="1">
      <alignment horizontal="center" vertical="center"/>
    </xf>
    <xf numFmtId="0" fontId="11" fillId="0" borderId="0" xfId="0" applyFont="1" applyAlignment="1">
      <alignment horizontal="center" vertical="center" wrapText="1"/>
    </xf>
    <xf numFmtId="0" fontId="17" fillId="9" borderId="0" xfId="0" applyFont="1" applyFill="1"/>
    <xf numFmtId="0" fontId="18" fillId="0" borderId="0" xfId="0" applyFont="1"/>
    <xf numFmtId="0" fontId="17" fillId="9" borderId="0" xfId="0" applyFont="1" applyFill="1" applyAlignment="1">
      <alignment horizontal="left" wrapText="1"/>
    </xf>
    <xf numFmtId="0" fontId="0" fillId="0" borderId="0" xfId="0" applyAlignment="1">
      <alignment horizontal="center" wrapText="1"/>
    </xf>
    <xf numFmtId="167" fontId="0" fillId="0" borderId="0" xfId="0" applyNumberFormat="1" applyAlignment="1">
      <alignment horizontal="center"/>
    </xf>
    <xf numFmtId="167" fontId="17" fillId="9" borderId="0" xfId="0" applyNumberFormat="1" applyFont="1" applyFill="1" applyAlignment="1">
      <alignment horizontal="center"/>
    </xf>
    <xf numFmtId="0" fontId="21" fillId="9" borderId="0" xfId="0" applyFont="1" applyFill="1"/>
    <xf numFmtId="0" fontId="21" fillId="9" borderId="0" xfId="0" applyFont="1" applyFill="1" applyAlignment="1">
      <alignment wrapText="1"/>
    </xf>
    <xf numFmtId="0" fontId="21" fillId="9" borderId="0" xfId="0" applyFont="1" applyFill="1" applyAlignment="1">
      <alignment horizontal="center" wrapText="1"/>
    </xf>
    <xf numFmtId="0" fontId="3" fillId="3" borderId="0" xfId="0" applyFont="1" applyFill="1" applyAlignment="1" applyProtection="1">
      <alignment vertical="center"/>
      <protection locked="0"/>
    </xf>
    <xf numFmtId="0" fontId="14" fillId="3" borderId="0" xfId="0" applyFont="1" applyFill="1" applyAlignment="1" applyProtection="1">
      <alignment vertical="center"/>
      <protection locked="0"/>
    </xf>
    <xf numFmtId="0" fontId="3" fillId="3" borderId="0" xfId="0" applyFont="1" applyFill="1" applyAlignment="1" applyProtection="1">
      <alignment vertical="center" wrapText="1"/>
      <protection locked="0"/>
    </xf>
    <xf numFmtId="0" fontId="3" fillId="3" borderId="0" xfId="0" applyFont="1" applyFill="1" applyAlignment="1" applyProtection="1">
      <alignment horizontal="center" vertical="center" wrapText="1"/>
      <protection locked="0"/>
    </xf>
    <xf numFmtId="0" fontId="3" fillId="3" borderId="0" xfId="0" applyFont="1" applyFill="1" applyAlignment="1" applyProtection="1">
      <alignment horizontal="center" vertical="center"/>
      <protection locked="0"/>
    </xf>
    <xf numFmtId="40" fontId="3" fillId="3" borderId="0" xfId="0" applyNumberFormat="1" applyFont="1" applyFill="1" applyAlignment="1" applyProtection="1">
      <alignment horizontal="center" vertical="center"/>
      <protection locked="0"/>
    </xf>
    <xf numFmtId="0" fontId="3" fillId="0" borderId="0" xfId="0" applyFont="1" applyAlignment="1" applyProtection="1">
      <alignment vertical="center"/>
      <protection locked="0"/>
    </xf>
    <xf numFmtId="0" fontId="14" fillId="0" borderId="0" xfId="0" applyFont="1" applyAlignment="1" applyProtection="1">
      <alignment vertical="center"/>
      <protection locked="0"/>
    </xf>
    <xf numFmtId="0" fontId="3" fillId="0" borderId="0" xfId="0" applyFont="1" applyAlignment="1" applyProtection="1">
      <alignment vertical="center" wrapText="1"/>
      <protection locked="0"/>
    </xf>
    <xf numFmtId="0" fontId="3" fillId="0" borderId="0" xfId="0" applyFont="1" applyAlignment="1" applyProtection="1">
      <alignment horizontal="center" vertical="center" wrapText="1"/>
      <protection locked="0"/>
    </xf>
    <xf numFmtId="0" fontId="3" fillId="0" borderId="0" xfId="0" applyFont="1" applyAlignment="1" applyProtection="1">
      <alignment horizontal="center" vertical="center"/>
      <protection locked="0"/>
    </xf>
    <xf numFmtId="40" fontId="3" fillId="0" borderId="0" xfId="0" applyNumberFormat="1" applyFont="1" applyAlignment="1" applyProtection="1">
      <alignment horizontal="center" vertical="center"/>
      <protection locked="0"/>
    </xf>
    <xf numFmtId="0" fontId="14" fillId="0" borderId="0" xfId="0" applyFont="1" applyAlignment="1" applyProtection="1">
      <alignment vertical="center" wrapText="1"/>
      <protection locked="0"/>
    </xf>
    <xf numFmtId="0" fontId="13" fillId="0" borderId="0" xfId="0" applyFont="1" applyAlignment="1" applyProtection="1">
      <alignment horizontal="center" vertical="center" wrapText="1"/>
      <protection locked="0"/>
    </xf>
    <xf numFmtId="0" fontId="13" fillId="0" borderId="0" xfId="0" applyFont="1" applyAlignment="1" applyProtection="1">
      <alignment vertical="center" wrapText="1"/>
      <protection locked="0"/>
    </xf>
    <xf numFmtId="0" fontId="19" fillId="9" borderId="1" xfId="0" applyFont="1" applyFill="1" applyBorder="1" applyAlignment="1" applyProtection="1">
      <alignment horizontal="center" vertical="center" wrapText="1"/>
      <protection locked="0"/>
    </xf>
    <xf numFmtId="164" fontId="19" fillId="9" borderId="1" xfId="0" applyNumberFormat="1" applyFont="1" applyFill="1" applyBorder="1" applyAlignment="1" applyProtection="1">
      <alignment horizontal="center" vertical="center" wrapText="1"/>
      <protection locked="0"/>
    </xf>
    <xf numFmtId="40" fontId="19" fillId="9" borderId="1" xfId="0" applyNumberFormat="1" applyFont="1" applyFill="1" applyBorder="1" applyAlignment="1" applyProtection="1">
      <alignment horizontal="center" vertical="center" wrapText="1"/>
      <protection locked="0"/>
    </xf>
    <xf numFmtId="0" fontId="7" fillId="3" borderId="0" xfId="0" applyFont="1" applyFill="1" applyAlignment="1" applyProtection="1">
      <alignment horizontal="center" vertical="center" wrapText="1"/>
      <protection locked="0"/>
    </xf>
    <xf numFmtId="0" fontId="20" fillId="8" borderId="1" xfId="0"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0" fontId="20" fillId="8" borderId="1" xfId="0" applyFont="1" applyFill="1" applyBorder="1" applyAlignment="1" applyProtection="1">
      <alignment horizontal="left" vertical="center" wrapText="1"/>
      <protection locked="0"/>
    </xf>
    <xf numFmtId="0" fontId="20" fillId="8" borderId="1" xfId="1" applyNumberFormat="1" applyFont="1" applyFill="1" applyBorder="1" applyAlignment="1" applyProtection="1">
      <alignment horizontal="center" vertical="center" wrapText="1"/>
      <protection locked="0"/>
    </xf>
    <xf numFmtId="40" fontId="20" fillId="8" borderId="1" xfId="1" applyNumberFormat="1" applyFont="1" applyFill="1" applyBorder="1" applyAlignment="1" applyProtection="1">
      <alignment horizontal="center" vertical="center" wrapText="1"/>
      <protection locked="0"/>
    </xf>
    <xf numFmtId="40" fontId="20" fillId="8" borderId="1" xfId="0" applyNumberFormat="1" applyFont="1" applyFill="1" applyBorder="1" applyAlignment="1" applyProtection="1">
      <alignment horizontal="center" vertical="center" wrapText="1"/>
      <protection locked="0"/>
    </xf>
    <xf numFmtId="40" fontId="20" fillId="8" borderId="1" xfId="0" applyNumberFormat="1" applyFont="1" applyFill="1" applyBorder="1" applyAlignment="1" applyProtection="1">
      <alignment horizontal="center" vertical="center"/>
      <protection locked="0"/>
    </xf>
    <xf numFmtId="0" fontId="20" fillId="3" borderId="0" xfId="0" applyFont="1" applyFill="1" applyAlignment="1" applyProtection="1">
      <alignment vertical="center"/>
      <protection locked="0"/>
    </xf>
    <xf numFmtId="0" fontId="20" fillId="3" borderId="0" xfId="0" applyFont="1" applyFill="1" applyAlignment="1" applyProtection="1">
      <alignment vertical="center" wrapText="1"/>
      <protection locked="0"/>
    </xf>
    <xf numFmtId="0" fontId="20" fillId="3" borderId="0" xfId="0" applyFont="1" applyFill="1" applyAlignment="1" applyProtection="1">
      <alignment horizontal="left" vertical="center" wrapText="1"/>
      <protection locked="0"/>
    </xf>
    <xf numFmtId="0" fontId="20" fillId="3" borderId="0" xfId="0" applyFont="1" applyFill="1" applyAlignment="1" applyProtection="1">
      <alignment horizontal="center" vertical="center"/>
      <protection locked="0"/>
    </xf>
    <xf numFmtId="40" fontId="20" fillId="3" borderId="0" xfId="0" applyNumberFormat="1" applyFont="1" applyFill="1" applyAlignment="1" applyProtection="1">
      <alignment horizontal="center" vertical="center"/>
      <protection locked="0"/>
    </xf>
    <xf numFmtId="164" fontId="19" fillId="9" borderId="1" xfId="0" applyNumberFormat="1" applyFont="1" applyFill="1" applyBorder="1" applyAlignment="1">
      <alignment horizontal="center" vertical="center" wrapText="1"/>
    </xf>
    <xf numFmtId="164" fontId="20" fillId="0" borderId="1" xfId="1" applyNumberFormat="1" applyFont="1" applyBorder="1" applyAlignment="1" applyProtection="1">
      <alignment horizontal="center" vertical="center" wrapText="1"/>
    </xf>
    <xf numFmtId="0" fontId="19" fillId="9" borderId="1" xfId="0" applyFont="1" applyFill="1" applyBorder="1" applyAlignment="1">
      <alignment horizontal="center" vertical="center" wrapText="1"/>
    </xf>
    <xf numFmtId="0" fontId="20" fillId="8" borderId="1" xfId="0" applyFont="1" applyFill="1" applyBorder="1" applyAlignment="1">
      <alignment horizontal="center" vertical="center" wrapText="1"/>
    </xf>
    <xf numFmtId="0" fontId="20" fillId="3" borderId="0" xfId="0" applyFont="1" applyFill="1" applyAlignment="1" applyProtection="1">
      <alignment horizontal="center" vertical="center" wrapText="1"/>
      <protection locked="0"/>
    </xf>
    <xf numFmtId="40" fontId="23" fillId="0" borderId="0" xfId="1" applyNumberFormat="1" applyFont="1" applyAlignment="1" applyProtection="1">
      <alignment horizontal="center" vertical="center"/>
      <protection locked="0"/>
    </xf>
    <xf numFmtId="40" fontId="23" fillId="0" borderId="0" xfId="0" applyNumberFormat="1" applyFont="1" applyAlignment="1" applyProtection="1">
      <alignment horizontal="center" vertical="center"/>
      <protection locked="0"/>
    </xf>
    <xf numFmtId="0" fontId="0" fillId="0" borderId="0" xfId="0" applyAlignment="1">
      <alignment horizontal="left"/>
    </xf>
    <xf numFmtId="40" fontId="20" fillId="0" borderId="1" xfId="1" applyNumberFormat="1" applyFont="1" applyFill="1" applyBorder="1" applyAlignment="1" applyProtection="1">
      <alignment horizontal="center" vertical="center" wrapText="1"/>
      <protection locked="0"/>
    </xf>
    <xf numFmtId="0" fontId="25" fillId="8" borderId="1" xfId="0" applyFont="1" applyFill="1" applyBorder="1" applyAlignment="1" applyProtection="1">
      <alignment horizontal="left" vertical="center" wrapText="1"/>
      <protection locked="0"/>
    </xf>
    <xf numFmtId="0" fontId="26" fillId="8" borderId="1" xfId="0" applyFont="1" applyFill="1" applyBorder="1" applyAlignment="1" applyProtection="1">
      <alignment horizontal="left" vertical="center" wrapText="1"/>
      <protection locked="0"/>
    </xf>
    <xf numFmtId="0" fontId="20" fillId="8" borderId="0" xfId="1" applyNumberFormat="1" applyFont="1" applyFill="1" applyBorder="1" applyAlignment="1" applyProtection="1">
      <alignment horizontal="center" vertical="center" wrapText="1"/>
      <protection locked="0"/>
    </xf>
    <xf numFmtId="0" fontId="20" fillId="11" borderId="1" xfId="0" applyFont="1" applyFill="1" applyBorder="1" applyAlignment="1" applyProtection="1">
      <alignment horizontal="center" vertical="center"/>
      <protection locked="0"/>
    </xf>
    <xf numFmtId="0" fontId="20" fillId="11" borderId="1" xfId="0" applyFont="1" applyFill="1" applyBorder="1" applyAlignment="1" applyProtection="1">
      <alignment horizontal="center" vertical="center" wrapText="1"/>
      <protection locked="0"/>
    </xf>
    <xf numFmtId="0" fontId="20" fillId="11" borderId="1" xfId="0" applyFont="1" applyFill="1" applyBorder="1" applyAlignment="1">
      <alignment horizontal="center" vertical="center" wrapText="1"/>
    </xf>
    <xf numFmtId="0" fontId="20" fillId="11" borderId="1" xfId="0" applyFont="1" applyFill="1" applyBorder="1" applyAlignment="1" applyProtection="1">
      <alignment horizontal="left" vertical="center" wrapText="1"/>
      <protection locked="0"/>
    </xf>
    <xf numFmtId="164" fontId="20" fillId="11" borderId="1" xfId="1" applyNumberFormat="1" applyFont="1" applyFill="1" applyBorder="1" applyAlignment="1" applyProtection="1">
      <alignment horizontal="center" vertical="center" wrapText="1"/>
    </xf>
    <xf numFmtId="0" fontId="20" fillId="11" borderId="1" xfId="1" applyNumberFormat="1" applyFont="1" applyFill="1" applyBorder="1" applyAlignment="1" applyProtection="1">
      <alignment horizontal="center" vertical="center" wrapText="1"/>
      <protection locked="0"/>
    </xf>
    <xf numFmtId="40" fontId="20" fillId="11" borderId="1" xfId="1" applyNumberFormat="1" applyFont="1" applyFill="1" applyBorder="1" applyAlignment="1" applyProtection="1">
      <alignment horizontal="center" vertical="center" wrapText="1"/>
      <protection locked="0"/>
    </xf>
    <xf numFmtId="0" fontId="27" fillId="2" borderId="0" xfId="0" applyFont="1" applyFill="1"/>
    <xf numFmtId="0" fontId="28" fillId="0" borderId="0" xfId="0" applyFont="1" applyAlignment="1">
      <alignment horizontal="center"/>
    </xf>
    <xf numFmtId="0" fontId="28" fillId="0" borderId="22" xfId="0" applyFont="1" applyBorder="1" applyAlignment="1">
      <alignment horizontal="center"/>
    </xf>
    <xf numFmtId="0" fontId="28" fillId="0" borderId="23" xfId="0" applyFont="1" applyBorder="1" applyAlignment="1">
      <alignment horizontal="center"/>
    </xf>
    <xf numFmtId="0" fontId="28" fillId="0" borderId="24" xfId="0" applyFont="1" applyBorder="1" applyAlignment="1">
      <alignment horizontal="center"/>
    </xf>
    <xf numFmtId="0" fontId="30" fillId="0" borderId="25" xfId="5" applyFont="1" applyBorder="1"/>
    <xf numFmtId="0" fontId="31" fillId="12" borderId="25" xfId="5" applyFont="1" applyFill="1" applyBorder="1"/>
    <xf numFmtId="168" fontId="32" fillId="12" borderId="26" xfId="5" applyNumberFormat="1" applyFont="1" applyFill="1" applyBorder="1" applyAlignment="1">
      <alignment horizontal="center"/>
    </xf>
    <xf numFmtId="168" fontId="32" fillId="13" borderId="26" xfId="5" applyNumberFormat="1" applyFont="1" applyFill="1" applyBorder="1" applyAlignment="1">
      <alignment horizontal="center"/>
    </xf>
    <xf numFmtId="168" fontId="32" fillId="5" borderId="27" xfId="5" applyNumberFormat="1" applyFont="1" applyFill="1" applyBorder="1" applyAlignment="1">
      <alignment horizontal="center"/>
    </xf>
    <xf numFmtId="168" fontId="33" fillId="5" borderId="27" xfId="5" applyNumberFormat="1" applyFont="1" applyFill="1" applyBorder="1" applyAlignment="1">
      <alignment horizontal="center"/>
    </xf>
    <xf numFmtId="168" fontId="32" fillId="2" borderId="26" xfId="5" applyNumberFormat="1" applyFont="1" applyFill="1" applyBorder="1" applyAlignment="1">
      <alignment horizontal="center"/>
    </xf>
    <xf numFmtId="168" fontId="32" fillId="12" borderId="28" xfId="5" applyNumberFormat="1" applyFont="1" applyFill="1" applyBorder="1" applyAlignment="1">
      <alignment horizontal="center"/>
    </xf>
    <xf numFmtId="168" fontId="32" fillId="5" borderId="26" xfId="5" applyNumberFormat="1" applyFont="1" applyFill="1" applyBorder="1" applyAlignment="1">
      <alignment horizontal="center"/>
    </xf>
    <xf numFmtId="168" fontId="33" fillId="5" borderId="26" xfId="5" applyNumberFormat="1" applyFont="1" applyFill="1" applyBorder="1" applyAlignment="1">
      <alignment horizontal="center"/>
    </xf>
    <xf numFmtId="0" fontId="30" fillId="0" borderId="29" xfId="5" applyFont="1" applyBorder="1"/>
    <xf numFmtId="0" fontId="31" fillId="12" borderId="29" xfId="5" applyFont="1" applyFill="1" applyBorder="1"/>
    <xf numFmtId="168" fontId="32" fillId="12" borderId="30" xfId="5" applyNumberFormat="1" applyFont="1" applyFill="1" applyBorder="1" applyAlignment="1">
      <alignment horizontal="center"/>
    </xf>
    <xf numFmtId="168" fontId="32" fillId="2" borderId="30" xfId="5" applyNumberFormat="1" applyFont="1" applyFill="1" applyBorder="1" applyAlignment="1">
      <alignment horizontal="center"/>
    </xf>
    <xf numFmtId="168" fontId="32" fillId="12" borderId="31" xfId="5" applyNumberFormat="1" applyFont="1" applyFill="1" applyBorder="1" applyAlignment="1">
      <alignment horizontal="center"/>
    </xf>
    <xf numFmtId="168" fontId="32" fillId="5" borderId="32" xfId="5" applyNumberFormat="1" applyFont="1" applyFill="1" applyBorder="1" applyAlignment="1">
      <alignment horizontal="center"/>
    </xf>
    <xf numFmtId="168" fontId="32" fillId="5" borderId="30" xfId="5" applyNumberFormat="1" applyFont="1" applyFill="1" applyBorder="1" applyAlignment="1">
      <alignment horizontal="center"/>
    </xf>
    <xf numFmtId="168" fontId="33" fillId="5" borderId="30" xfId="5" applyNumberFormat="1" applyFont="1" applyFill="1" applyBorder="1" applyAlignment="1">
      <alignment horizontal="center"/>
    </xf>
    <xf numFmtId="0" fontId="30" fillId="12" borderId="29" xfId="5" applyFont="1" applyFill="1" applyBorder="1"/>
    <xf numFmtId="168" fontId="33" fillId="12" borderId="30" xfId="5" applyNumberFormat="1" applyFont="1" applyFill="1" applyBorder="1" applyAlignment="1">
      <alignment horizontal="center"/>
    </xf>
    <xf numFmtId="168" fontId="33" fillId="2" borderId="30" xfId="5" applyNumberFormat="1" applyFont="1" applyFill="1" applyBorder="1" applyAlignment="1">
      <alignment horizontal="center"/>
    </xf>
    <xf numFmtId="168" fontId="33" fillId="12" borderId="31" xfId="5" applyNumberFormat="1" applyFont="1" applyFill="1" applyBorder="1" applyAlignment="1">
      <alignment horizontal="center"/>
    </xf>
    <xf numFmtId="168" fontId="33" fillId="5" borderId="32" xfId="5" applyNumberFormat="1" applyFont="1" applyFill="1" applyBorder="1" applyAlignment="1">
      <alignment horizontal="center"/>
    </xf>
    <xf numFmtId="168" fontId="32" fillId="12" borderId="33" xfId="5" applyNumberFormat="1" applyFont="1" applyFill="1" applyBorder="1" applyAlignment="1">
      <alignment horizontal="center"/>
    </xf>
    <xf numFmtId="168" fontId="32" fillId="14" borderId="26" xfId="5" applyNumberFormat="1" applyFont="1" applyFill="1" applyBorder="1" applyAlignment="1">
      <alignment horizontal="center"/>
    </xf>
    <xf numFmtId="0" fontId="0" fillId="0" borderId="0" xfId="0" applyAlignment="1">
      <alignment horizontal="left" wrapText="1"/>
    </xf>
    <xf numFmtId="0" fontId="37" fillId="0" borderId="0" xfId="0" applyFont="1" applyAlignment="1">
      <alignment horizontal="left" wrapText="1"/>
    </xf>
    <xf numFmtId="0" fontId="37" fillId="0" borderId="0" xfId="0" applyFont="1" applyAlignment="1">
      <alignment wrapText="1"/>
    </xf>
    <xf numFmtId="168" fontId="32" fillId="16" borderId="26" xfId="5" applyNumberFormat="1" applyFont="1" applyFill="1" applyBorder="1" applyAlignment="1">
      <alignment horizontal="center"/>
    </xf>
    <xf numFmtId="168" fontId="32" fillId="6" borderId="26" xfId="5" applyNumberFormat="1" applyFont="1" applyFill="1" applyBorder="1" applyAlignment="1">
      <alignment horizontal="center"/>
    </xf>
    <xf numFmtId="168" fontId="33" fillId="12" borderId="26" xfId="5" applyNumberFormat="1" applyFont="1" applyFill="1" applyBorder="1" applyAlignment="1">
      <alignment horizontal="center"/>
    </xf>
    <xf numFmtId="0" fontId="0" fillId="0" borderId="38" xfId="0" applyBorder="1"/>
    <xf numFmtId="0" fontId="30" fillId="0" borderId="0" xfId="5" applyFont="1"/>
    <xf numFmtId="0" fontId="39" fillId="0" borderId="23" xfId="0" applyFont="1" applyBorder="1" applyAlignment="1">
      <alignment horizontal="left"/>
    </xf>
    <xf numFmtId="0" fontId="31" fillId="12" borderId="26" xfId="5" applyFont="1" applyFill="1" applyBorder="1"/>
    <xf numFmtId="0" fontId="31" fillId="0" borderId="25" xfId="5" applyFont="1" applyBorder="1"/>
    <xf numFmtId="0" fontId="30" fillId="6" borderId="25" xfId="5" applyFont="1" applyFill="1" applyBorder="1"/>
    <xf numFmtId="0" fontId="31" fillId="6" borderId="25" xfId="5" applyFont="1" applyFill="1" applyBorder="1"/>
    <xf numFmtId="0" fontId="32" fillId="6" borderId="25" xfId="5" applyFont="1" applyFill="1" applyBorder="1"/>
    <xf numFmtId="168" fontId="32" fillId="6" borderId="28" xfId="5" applyNumberFormat="1" applyFont="1" applyFill="1" applyBorder="1" applyAlignment="1">
      <alignment horizontal="center"/>
    </xf>
    <xf numFmtId="0" fontId="30" fillId="2" borderId="25" xfId="5" applyFont="1" applyFill="1" applyBorder="1"/>
    <xf numFmtId="0" fontId="31" fillId="2" borderId="25" xfId="5" applyFont="1" applyFill="1" applyBorder="1"/>
    <xf numFmtId="168" fontId="32" fillId="2" borderId="28" xfId="5" applyNumberFormat="1" applyFont="1" applyFill="1" applyBorder="1" applyAlignment="1">
      <alignment horizontal="center"/>
    </xf>
    <xf numFmtId="0" fontId="31" fillId="6" borderId="26" xfId="5" applyFont="1" applyFill="1" applyBorder="1"/>
    <xf numFmtId="0" fontId="31" fillId="2" borderId="26" xfId="5" applyFont="1" applyFill="1" applyBorder="1"/>
    <xf numFmtId="0" fontId="32" fillId="6" borderId="26" xfId="5" applyFont="1" applyFill="1" applyBorder="1"/>
    <xf numFmtId="0" fontId="31" fillId="12" borderId="30" xfId="5" applyFont="1" applyFill="1" applyBorder="1"/>
    <xf numFmtId="0" fontId="30" fillId="12" borderId="30" xfId="5" applyFont="1" applyFill="1" applyBorder="1"/>
    <xf numFmtId="0" fontId="30" fillId="8" borderId="25" xfId="5" applyFont="1" applyFill="1" applyBorder="1"/>
    <xf numFmtId="0" fontId="31" fillId="8" borderId="25" xfId="5" applyFont="1" applyFill="1" applyBorder="1"/>
    <xf numFmtId="168" fontId="33" fillId="8" borderId="26" xfId="5" applyNumberFormat="1" applyFont="1" applyFill="1" applyBorder="1" applyAlignment="1">
      <alignment horizontal="center"/>
    </xf>
    <xf numFmtId="168" fontId="32" fillId="8" borderId="26" xfId="5" applyNumberFormat="1" applyFont="1" applyFill="1" applyBorder="1" applyAlignment="1">
      <alignment horizontal="center"/>
    </xf>
    <xf numFmtId="168" fontId="33" fillId="8" borderId="27" xfId="5" applyNumberFormat="1" applyFont="1" applyFill="1" applyBorder="1" applyAlignment="1">
      <alignment horizontal="center"/>
    </xf>
    <xf numFmtId="0" fontId="31" fillId="8" borderId="40" xfId="5" applyFont="1" applyFill="1" applyBorder="1"/>
    <xf numFmtId="168" fontId="32" fillId="8" borderId="39" xfId="5" applyNumberFormat="1" applyFont="1" applyFill="1" applyBorder="1" applyAlignment="1">
      <alignment horizontal="center"/>
    </xf>
    <xf numFmtId="0" fontId="30" fillId="8" borderId="43" xfId="5" applyFont="1" applyFill="1" applyBorder="1"/>
    <xf numFmtId="0" fontId="30" fillId="8" borderId="42" xfId="5" applyFont="1" applyFill="1" applyBorder="1"/>
    <xf numFmtId="0" fontId="30" fillId="8" borderId="46" xfId="5" applyFont="1" applyFill="1" applyBorder="1"/>
    <xf numFmtId="169" fontId="40" fillId="8" borderId="45" xfId="7" applyFont="1" applyFill="1" applyBorder="1" applyAlignment="1">
      <alignment horizontal="center" vertical="center"/>
    </xf>
    <xf numFmtId="0" fontId="28" fillId="0" borderId="48" xfId="0" applyFont="1" applyBorder="1" applyAlignment="1">
      <alignment horizontal="center"/>
    </xf>
    <xf numFmtId="0" fontId="28" fillId="0" borderId="49" xfId="0" applyFont="1" applyBorder="1" applyAlignment="1">
      <alignment horizontal="center"/>
    </xf>
    <xf numFmtId="168" fontId="32" fillId="8" borderId="50" xfId="5" applyNumberFormat="1" applyFont="1" applyFill="1" applyBorder="1" applyAlignment="1">
      <alignment horizontal="center"/>
    </xf>
    <xf numFmtId="168" fontId="32" fillId="8" borderId="51" xfId="5" applyNumberFormat="1" applyFont="1" applyFill="1" applyBorder="1" applyAlignment="1">
      <alignment horizontal="center"/>
    </xf>
    <xf numFmtId="169" fontId="40" fillId="8" borderId="53" xfId="7" applyFont="1" applyFill="1" applyBorder="1" applyAlignment="1">
      <alignment horizontal="center" vertical="center"/>
    </xf>
    <xf numFmtId="0" fontId="28" fillId="17" borderId="0" xfId="0" applyFont="1" applyFill="1" applyAlignment="1">
      <alignment horizontal="center"/>
    </xf>
    <xf numFmtId="0" fontId="28" fillId="17" borderId="23" xfId="0" applyFont="1" applyFill="1" applyBorder="1" applyAlignment="1">
      <alignment horizontal="center"/>
    </xf>
    <xf numFmtId="168" fontId="33" fillId="17" borderId="27" xfId="5" applyNumberFormat="1" applyFont="1" applyFill="1" applyBorder="1" applyAlignment="1">
      <alignment horizontal="center"/>
    </xf>
    <xf numFmtId="168" fontId="33" fillId="17" borderId="37" xfId="5" applyNumberFormat="1" applyFont="1" applyFill="1" applyBorder="1" applyAlignment="1">
      <alignment horizontal="center"/>
    </xf>
    <xf numFmtId="169" fontId="36" fillId="17" borderId="45" xfId="7" applyFont="1" applyFill="1" applyBorder="1" applyAlignment="1">
      <alignment horizontal="center" vertical="center"/>
    </xf>
    <xf numFmtId="169" fontId="36" fillId="8" borderId="45" xfId="7" applyFont="1" applyFill="1" applyBorder="1" applyAlignment="1">
      <alignment horizontal="center" vertical="center"/>
    </xf>
    <xf numFmtId="0" fontId="31" fillId="8" borderId="35" xfId="5" applyFont="1" applyFill="1" applyBorder="1"/>
    <xf numFmtId="168" fontId="32" fillId="8" borderId="36" xfId="5" applyNumberFormat="1" applyFont="1" applyFill="1" applyBorder="1" applyAlignment="1">
      <alignment horizontal="center"/>
    </xf>
    <xf numFmtId="168" fontId="32" fillId="8" borderId="52" xfId="5" applyNumberFormat="1" applyFont="1" applyFill="1" applyBorder="1" applyAlignment="1">
      <alignment horizontal="center"/>
    </xf>
    <xf numFmtId="168" fontId="33" fillId="8" borderId="50" xfId="5" applyNumberFormat="1" applyFont="1" applyFill="1" applyBorder="1" applyAlignment="1">
      <alignment horizontal="center"/>
    </xf>
    <xf numFmtId="168" fontId="32" fillId="8" borderId="27" xfId="5" applyNumberFormat="1" applyFont="1" applyFill="1" applyBorder="1" applyAlignment="1">
      <alignment horizontal="center"/>
    </xf>
    <xf numFmtId="168" fontId="32" fillId="17" borderId="27" xfId="5" applyNumberFormat="1" applyFont="1" applyFill="1" applyBorder="1" applyAlignment="1">
      <alignment horizontal="center"/>
    </xf>
    <xf numFmtId="168" fontId="32" fillId="8" borderId="41" xfId="5" applyNumberFormat="1" applyFont="1" applyFill="1" applyBorder="1" applyAlignment="1">
      <alignment horizontal="center"/>
    </xf>
    <xf numFmtId="168" fontId="32" fillId="17" borderId="41" xfId="5" applyNumberFormat="1" applyFont="1" applyFill="1" applyBorder="1" applyAlignment="1">
      <alignment horizontal="center"/>
    </xf>
    <xf numFmtId="0" fontId="0" fillId="0" borderId="44" xfId="0" applyBorder="1"/>
    <xf numFmtId="0" fontId="0" fillId="0" borderId="47" xfId="0" applyBorder="1"/>
    <xf numFmtId="0" fontId="0" fillId="0" borderId="44" xfId="0" applyBorder="1" applyAlignment="1">
      <alignment horizontal="center"/>
    </xf>
    <xf numFmtId="0" fontId="0" fillId="17" borderId="44" xfId="0" applyFill="1" applyBorder="1" applyAlignment="1">
      <alignment horizontal="center"/>
    </xf>
    <xf numFmtId="0" fontId="30" fillId="18" borderId="55" xfId="5" applyFont="1" applyFill="1" applyBorder="1"/>
    <xf numFmtId="0" fontId="30" fillId="18" borderId="54" xfId="5" applyFont="1" applyFill="1" applyBorder="1"/>
    <xf numFmtId="168" fontId="33" fillId="18" borderId="54" xfId="5" applyNumberFormat="1" applyFont="1" applyFill="1" applyBorder="1" applyAlignment="1">
      <alignment horizontal="center"/>
    </xf>
    <xf numFmtId="168" fontId="33" fillId="18" borderId="56" xfId="5" applyNumberFormat="1" applyFont="1" applyFill="1" applyBorder="1" applyAlignment="1">
      <alignment horizontal="center"/>
    </xf>
    <xf numFmtId="168" fontId="33" fillId="18" borderId="57" xfId="5" applyNumberFormat="1" applyFont="1" applyFill="1" applyBorder="1" applyAlignment="1">
      <alignment horizontal="center"/>
    </xf>
    <xf numFmtId="168" fontId="32" fillId="8" borderId="37" xfId="5" applyNumberFormat="1" applyFont="1" applyFill="1" applyBorder="1" applyAlignment="1">
      <alignment horizontal="center"/>
    </xf>
    <xf numFmtId="0" fontId="31" fillId="8" borderId="25" xfId="5" quotePrefix="1" applyFont="1" applyFill="1" applyBorder="1"/>
    <xf numFmtId="0" fontId="31" fillId="15" borderId="26" xfId="5" applyFont="1" applyFill="1" applyBorder="1"/>
    <xf numFmtId="0" fontId="31" fillId="8" borderId="0" xfId="5" applyFont="1" applyFill="1"/>
    <xf numFmtId="168" fontId="32" fillId="8" borderId="0" xfId="5" applyNumberFormat="1" applyFont="1" applyFill="1" applyAlignment="1">
      <alignment horizontal="center"/>
    </xf>
    <xf numFmtId="0" fontId="15" fillId="8" borderId="0" xfId="0" applyFont="1" applyFill="1" applyAlignment="1" applyProtection="1">
      <alignment horizontal="center" vertical="center"/>
      <protection locked="0"/>
    </xf>
    <xf numFmtId="0" fontId="11" fillId="7" borderId="0" xfId="4" applyFont="1" applyFill="1" applyAlignment="1">
      <alignment horizontal="center" vertical="center" wrapText="1"/>
    </xf>
    <xf numFmtId="0" fontId="11" fillId="8" borderId="0" xfId="0" applyFont="1" applyFill="1" applyAlignment="1">
      <alignment horizontal="center" vertical="center" wrapText="1"/>
    </xf>
    <xf numFmtId="0" fontId="12" fillId="9" borderId="0" xfId="0" applyFont="1" applyFill="1" applyAlignment="1">
      <alignment horizontal="center" vertical="center"/>
    </xf>
    <xf numFmtId="0" fontId="22" fillId="10" borderId="13" xfId="0" applyFont="1" applyFill="1" applyBorder="1" applyAlignment="1">
      <alignment horizontal="center" vertical="center"/>
    </xf>
    <xf numFmtId="0" fontId="22" fillId="10" borderId="14" xfId="0" applyFont="1" applyFill="1" applyBorder="1" applyAlignment="1">
      <alignment horizontal="center" vertical="center"/>
    </xf>
    <xf numFmtId="0" fontId="22" fillId="10" borderId="16" xfId="0" applyFont="1" applyFill="1" applyBorder="1" applyAlignment="1">
      <alignment horizontal="center" vertical="center"/>
    </xf>
    <xf numFmtId="0" fontId="22" fillId="10" borderId="0" xfId="0" applyFont="1" applyFill="1" applyAlignment="1">
      <alignment horizontal="center" vertical="center"/>
    </xf>
    <xf numFmtId="0" fontId="16" fillId="0" borderId="13" xfId="0" applyFont="1" applyBorder="1" applyAlignment="1">
      <alignment horizontal="center" vertical="top" wrapText="1"/>
    </xf>
    <xf numFmtId="0" fontId="16" fillId="0" borderId="14" xfId="0" applyFont="1" applyBorder="1" applyAlignment="1">
      <alignment horizontal="center" vertical="top" wrapText="1"/>
    </xf>
    <xf numFmtId="0" fontId="16" fillId="0" borderId="15" xfId="0" applyFont="1" applyBorder="1" applyAlignment="1">
      <alignment horizontal="center" vertical="top" wrapText="1"/>
    </xf>
    <xf numFmtId="0" fontId="16" fillId="0" borderId="16" xfId="0" applyFont="1" applyBorder="1" applyAlignment="1">
      <alignment horizontal="center" vertical="top" wrapText="1"/>
    </xf>
    <xf numFmtId="0" fontId="16" fillId="0" borderId="0" xfId="0" applyFont="1" applyAlignment="1">
      <alignment horizontal="center" vertical="top" wrapText="1"/>
    </xf>
    <xf numFmtId="0" fontId="16" fillId="0" borderId="17" xfId="0" applyFont="1" applyBorder="1" applyAlignment="1">
      <alignment horizontal="center" vertical="top" wrapText="1"/>
    </xf>
    <xf numFmtId="0" fontId="16" fillId="0" borderId="18" xfId="0" applyFont="1" applyBorder="1" applyAlignment="1">
      <alignment horizontal="center" vertical="top" wrapText="1"/>
    </xf>
    <xf numFmtId="0" fontId="16" fillId="0" borderId="19" xfId="0" applyFont="1" applyBorder="1" applyAlignment="1">
      <alignment horizontal="center" vertical="top" wrapText="1"/>
    </xf>
    <xf numFmtId="0" fontId="16" fillId="0" borderId="20" xfId="0" applyFont="1" applyBorder="1" applyAlignment="1">
      <alignment horizontal="center" vertical="top" wrapText="1"/>
    </xf>
    <xf numFmtId="0" fontId="22" fillId="10" borderId="15" xfId="0" applyFont="1" applyFill="1" applyBorder="1" applyAlignment="1">
      <alignment horizontal="center" vertical="center"/>
    </xf>
    <xf numFmtId="0" fontId="22" fillId="10" borderId="17" xfId="0" applyFont="1" applyFill="1" applyBorder="1" applyAlignment="1">
      <alignment horizontal="center" vertical="center"/>
    </xf>
    <xf numFmtId="0" fontId="5" fillId="4" borderId="11"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10" xfId="0" applyFont="1" applyFill="1" applyBorder="1" applyAlignment="1">
      <alignment horizontal="center" vertical="center"/>
    </xf>
    <xf numFmtId="0" fontId="5" fillId="4" borderId="12" xfId="0" applyFont="1" applyFill="1" applyBorder="1" applyAlignment="1">
      <alignment horizontal="center" vertical="center"/>
    </xf>
    <xf numFmtId="0" fontId="4" fillId="2" borderId="0" xfId="0" applyFont="1" applyFill="1" applyAlignment="1">
      <alignment horizontal="center" vertical="center"/>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4" xfId="0" applyFont="1" applyFill="1" applyBorder="1" applyAlignment="1">
      <alignment horizontal="center" vertical="center"/>
    </xf>
    <xf numFmtId="0" fontId="28" fillId="0" borderId="21" xfId="0" applyFont="1" applyBorder="1" applyAlignment="1">
      <alignment horizontal="center"/>
    </xf>
    <xf numFmtId="0" fontId="0" fillId="0" borderId="21" xfId="0" applyBorder="1" applyAlignment="1">
      <alignment horizontal="center"/>
    </xf>
    <xf numFmtId="0" fontId="28" fillId="0" borderId="44" xfId="0" applyFont="1" applyBorder="1" applyAlignment="1">
      <alignment horizontal="center"/>
    </xf>
    <xf numFmtId="0" fontId="0" fillId="0" borderId="58" xfId="0" applyBorder="1" applyAlignment="1">
      <alignment horizontal="center"/>
    </xf>
    <xf numFmtId="0" fontId="28" fillId="0" borderId="59" xfId="0" applyFont="1" applyBorder="1" applyAlignment="1">
      <alignment horizontal="center"/>
    </xf>
    <xf numFmtId="0" fontId="0" fillId="0" borderId="59" xfId="0" applyBorder="1" applyAlignment="1">
      <alignment horizontal="center"/>
    </xf>
  </cellXfs>
  <cellStyles count="8">
    <cellStyle name="Comma 2" xfId="3" xr:uid="{5333ABB2-44AF-460C-A3A7-DACC61CB3111}"/>
    <cellStyle name="Currency 2" xfId="2" xr:uid="{58078CE9-C808-483F-BD5A-5F6A9244DB19}"/>
    <cellStyle name="Hyperlink" xfId="4" builtinId="8"/>
    <cellStyle name="Normal" xfId="0" builtinId="0"/>
    <cellStyle name="Normal 2 2 2 2 2" xfId="5" xr:uid="{9B1C4858-18AC-4F81-BA75-A8413906BE4A}"/>
    <cellStyle name="Normal 23" xfId="6" xr:uid="{BD6675BD-010E-45A4-8A61-AA31A09DC21A}"/>
    <cellStyle name="Percent" xfId="1" builtinId="5"/>
    <cellStyle name="Var [0]" xfId="7" xr:uid="{353DC05A-5507-4A37-A3EA-4B37D2AB338C}"/>
  </cellStyles>
  <dxfs count="373">
    <dxf>
      <font>
        <color rgb="FFFF0000"/>
      </font>
    </dxf>
    <dxf>
      <fill>
        <patternFill>
          <bgColor rgb="FF92D050"/>
        </patternFill>
      </fill>
    </dxf>
    <dxf>
      <fill>
        <patternFill>
          <bgColor rgb="FFFFC000"/>
        </patternFill>
      </fill>
    </dxf>
    <dxf>
      <numFmt numFmtId="167" formatCode="#,##0;[Red]\(#,##0\)"/>
    </dxf>
    <dxf>
      <alignment wrapText="1"/>
    </dxf>
    <dxf>
      <alignment wrapText="1"/>
    </dxf>
    <dxf>
      <alignment wrapText="1"/>
    </dxf>
    <dxf>
      <fill>
        <patternFill patternType="solid">
          <bgColor rgb="FF06109F"/>
        </patternFill>
      </fill>
    </dxf>
    <dxf>
      <fill>
        <patternFill patternType="solid">
          <bgColor rgb="FF06109F"/>
        </patternFill>
      </fill>
    </dxf>
    <dxf>
      <fill>
        <patternFill patternType="solid">
          <bgColor rgb="FF06109F"/>
        </patternFill>
      </fill>
    </dxf>
    <dxf>
      <fill>
        <patternFill patternType="solid">
          <bgColor rgb="FF06109F"/>
        </patternFill>
      </fill>
    </dxf>
    <dxf>
      <font>
        <color theme="0"/>
      </font>
    </dxf>
    <dxf>
      <font>
        <color theme="0"/>
      </font>
    </dxf>
    <dxf>
      <font>
        <color theme="0"/>
      </font>
    </dxf>
    <dxf>
      <font>
        <color theme="0"/>
      </font>
    </dxf>
    <dxf>
      <fill>
        <patternFill patternType="solid">
          <bgColor rgb="FF06109F"/>
        </patternFill>
      </fill>
    </dxf>
    <dxf>
      <fill>
        <patternFill patternType="solid">
          <bgColor rgb="FF06109F"/>
        </patternFill>
      </fill>
    </dxf>
    <dxf>
      <font>
        <color theme="0"/>
      </font>
    </dxf>
    <dxf>
      <font>
        <color theme="0"/>
      </font>
    </dxf>
    <dxf>
      <fill>
        <patternFill>
          <bgColor rgb="FF06109F"/>
        </patternFill>
      </fill>
    </dxf>
    <dxf>
      <fill>
        <patternFill>
          <bgColor rgb="FF06109F"/>
        </patternFill>
      </fill>
    </dxf>
    <dxf>
      <font>
        <color theme="0"/>
      </font>
    </dxf>
    <dxf>
      <alignment wrapText="1"/>
    </dxf>
    <dxf>
      <alignment horizontal="left"/>
    </dxf>
    <dxf>
      <alignment horizontal="center"/>
    </dxf>
    <dxf>
      <alignment horizontal="center"/>
    </dxf>
    <dxf>
      <alignment horizontal="center"/>
    </dxf>
    <dxf>
      <fill>
        <patternFill>
          <bgColor rgb="FF06109F"/>
        </patternFill>
      </fill>
    </dxf>
    <dxf>
      <fill>
        <patternFill>
          <bgColor rgb="FF06109F"/>
        </patternFill>
      </fill>
    </dxf>
    <dxf>
      <fill>
        <patternFill>
          <bgColor rgb="FF06109F"/>
        </patternFill>
      </fill>
    </dxf>
    <dxf>
      <font>
        <color theme="0"/>
      </font>
    </dxf>
    <dxf>
      <font>
        <color theme="0"/>
      </font>
    </dxf>
    <dxf>
      <font>
        <color theme="0"/>
      </font>
    </dxf>
    <dxf>
      <font>
        <sz val="12"/>
      </font>
    </dxf>
    <dxf>
      <font>
        <sz val="12"/>
      </font>
    </dxf>
    <dxf>
      <alignment wrapText="1"/>
    </dxf>
    <dxf>
      <alignment wrapText="1"/>
    </dxf>
    <dxf>
      <alignment wrapText="1"/>
    </dxf>
    <dxf>
      <font>
        <sz val="12"/>
      </font>
    </dxf>
    <dxf>
      <font>
        <sz val="12"/>
      </font>
    </dxf>
    <dxf>
      <font>
        <sz val="12"/>
      </font>
    </dxf>
    <dxf>
      <font>
        <sz val="12"/>
      </font>
    </dxf>
    <dxf>
      <font>
        <sz val="12"/>
      </font>
    </dxf>
    <dxf>
      <font>
        <sz val="12"/>
      </font>
    </dxf>
    <dxf>
      <fill>
        <patternFill patternType="solid">
          <bgColor rgb="FF06109F"/>
        </patternFill>
      </fill>
    </dxf>
    <dxf>
      <font>
        <color theme="0"/>
      </font>
    </dxf>
    <dxf>
      <font>
        <sz val="12"/>
        <color theme="0"/>
      </font>
      <fill>
        <patternFill patternType="solid">
          <fgColor indexed="64"/>
          <bgColor rgb="FF06109F"/>
        </patternFill>
      </fill>
      <alignment horizontal="center" wrapText="1"/>
    </dxf>
    <dxf>
      <numFmt numFmtId="167" formatCode="#,##0;[Red]\(#,##0\)"/>
    </dxf>
    <dxf>
      <alignment wrapText="1"/>
    </dxf>
    <dxf>
      <alignment wrapText="1"/>
    </dxf>
    <dxf>
      <alignment wrapText="1"/>
    </dxf>
    <dxf>
      <fill>
        <patternFill patternType="solid">
          <bgColor rgb="FF06109F"/>
        </patternFill>
      </fill>
    </dxf>
    <dxf>
      <fill>
        <patternFill patternType="solid">
          <bgColor rgb="FF06109F"/>
        </patternFill>
      </fill>
    </dxf>
    <dxf>
      <fill>
        <patternFill patternType="solid">
          <bgColor rgb="FF06109F"/>
        </patternFill>
      </fill>
    </dxf>
    <dxf>
      <fill>
        <patternFill patternType="solid">
          <bgColor rgb="FF06109F"/>
        </patternFill>
      </fill>
    </dxf>
    <dxf>
      <font>
        <color theme="0"/>
      </font>
    </dxf>
    <dxf>
      <font>
        <color theme="0"/>
      </font>
    </dxf>
    <dxf>
      <font>
        <color theme="0"/>
      </font>
    </dxf>
    <dxf>
      <font>
        <color theme="0"/>
      </font>
    </dxf>
    <dxf>
      <fill>
        <patternFill patternType="solid">
          <bgColor rgb="FF06109F"/>
        </patternFill>
      </fill>
    </dxf>
    <dxf>
      <fill>
        <patternFill patternType="solid">
          <bgColor rgb="FF06109F"/>
        </patternFill>
      </fill>
    </dxf>
    <dxf>
      <font>
        <color theme="0"/>
      </font>
    </dxf>
    <dxf>
      <font>
        <color theme="0"/>
      </font>
    </dxf>
    <dxf>
      <fill>
        <patternFill>
          <bgColor rgb="FF06109F"/>
        </patternFill>
      </fill>
    </dxf>
    <dxf>
      <fill>
        <patternFill>
          <bgColor rgb="FF06109F"/>
        </patternFill>
      </fill>
    </dxf>
    <dxf>
      <font>
        <color theme="0"/>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fill>
        <patternFill>
          <bgColor rgb="FF06109F"/>
        </patternFill>
      </fill>
    </dxf>
    <dxf>
      <fill>
        <patternFill>
          <bgColor rgb="FF06109F"/>
        </patternFill>
      </fill>
    </dxf>
    <dxf>
      <fill>
        <patternFill>
          <bgColor rgb="FF06109F"/>
        </patternFill>
      </fill>
    </dxf>
    <dxf>
      <font>
        <color theme="0"/>
      </font>
    </dxf>
    <dxf>
      <font>
        <color theme="0"/>
      </font>
    </dxf>
    <dxf>
      <font>
        <color theme="0"/>
      </font>
    </dxf>
    <dxf>
      <font>
        <sz val="12"/>
      </font>
    </dxf>
    <dxf>
      <font>
        <sz val="12"/>
      </font>
    </dxf>
    <dxf>
      <alignment wrapText="1"/>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wrapText="1"/>
    </dxf>
    <dxf>
      <fill>
        <patternFill patternType="solid">
          <bgColor rgb="FF06109F"/>
        </patternFill>
      </fill>
    </dxf>
    <dxf>
      <font>
        <color theme="0"/>
      </font>
    </dxf>
    <dxf>
      <font>
        <sz val="12"/>
        <color theme="0"/>
      </font>
      <fill>
        <patternFill patternType="solid">
          <fgColor indexed="64"/>
          <bgColor rgb="FF06109F"/>
        </patternFill>
      </fill>
      <alignment horizontal="center" wrapText="1"/>
    </dxf>
  </dxfs>
  <tableStyles count="1" defaultTableStyle="TableStyleMedium2" defaultPivotStyle="PivotStyleLight16">
    <tableStyle name="Invisible" pivot="0" table="0" count="0" xr9:uid="{5C69C102-F6C5-4993-B541-2E4EBC0B3BA7}"/>
  </tableStyles>
  <colors>
    <mruColors>
      <color rgb="FF06109F"/>
      <color rgb="FFFFFFCC"/>
      <color rgb="FFFDDDF9"/>
      <color rgb="FFFF9966"/>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microsoft.com/office/2007/relationships/slicerCache" Target="slicerCaches/slicerCache9.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12.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5" Type="http://schemas.openxmlformats.org/officeDocument/2006/relationships/sharedStrings" Target="sharedStrings.xml"/><Relationship Id="rId33" Type="http://schemas.openxmlformats.org/officeDocument/2006/relationships/customXml" Target="../customXml/item5.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theme" Target="theme/theme1.xml"/><Relationship Id="rId28" Type="http://schemas.openxmlformats.org/officeDocument/2006/relationships/calcChain" Target="calcChain.xml"/><Relationship Id="rId10" Type="http://schemas.microsoft.com/office/2007/relationships/slicerCache" Target="slicerCaches/slicerCache1.xml"/><Relationship Id="rId19" Type="http://schemas.microsoft.com/office/2007/relationships/slicerCache" Target="slicerCaches/slicerCache10.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microsoft.com/office/2007/relationships/slicerCache" Target="slicerCaches/slicerCache13.xml"/><Relationship Id="rId27" Type="http://schemas.microsoft.com/office/2017/10/relationships/person" Target="persons/person.xml"/><Relationship Id="rId30" Type="http://schemas.openxmlformats.org/officeDocument/2006/relationships/customXml" Target="../customXml/item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cap="all" spc="150" baseline="0">
                <a:solidFill>
                  <a:schemeClr val="tx2"/>
                </a:solidFill>
                <a:latin typeface="+mn-lt"/>
                <a:ea typeface="+mn-ea"/>
                <a:cs typeface="+mn-cs"/>
              </a:defRPr>
            </a:pPr>
            <a:r>
              <a:rPr lang="en-US">
                <a:solidFill>
                  <a:schemeClr val="tx2"/>
                </a:solidFill>
              </a:rPr>
              <a:t>SORTED</a:t>
            </a:r>
            <a:r>
              <a:rPr lang="en-US" baseline="0">
                <a:solidFill>
                  <a:schemeClr val="tx2"/>
                </a:solidFill>
              </a:rPr>
              <a:t> 2026</a:t>
            </a:r>
          </a:p>
        </c:rich>
      </c:tx>
      <c:layout>
        <c:manualLayout>
          <c:xMode val="edge"/>
          <c:yMode val="edge"/>
          <c:x val="0.30483498786311863"/>
          <c:y val="3.6718438701497227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COUNT!$W$1193</c:f>
              <c:strCache>
                <c:ptCount val="1"/>
                <c:pt idx="0">
                  <c:v>SORTED 2026</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COUNT!$V$1194:$V$1279</c:f>
              <c:strCache>
                <c:ptCount val="86"/>
                <c:pt idx="0">
                  <c:v>FedEx Corporation FedEx - agreement/amendment to unadministrable TotalCare clauses and incentivisation of SV inductions - RB211-535</c:v>
                </c:pt>
                <c:pt idx="1">
                  <c:v>American Airlines  American Airlines requested input on longer extension to 2035</c:v>
                </c:pt>
                <c:pt idx="2">
                  <c:v>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
Apr 2026 - Senior engagement at AIX, awaiting feedback before next steps, possible adjustment pending ICT confirmation. </c:v>
                </c:pt>
                <c:pt idx="3">
                  <c:v>Emirates Finiq 2 - 3 year-extension + LRU Management + 23 a/c.
Term benefit includes a % of DI7</c:v>
                </c:pt>
                <c:pt idx="4">
                  <c: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c:v>
                </c:pt>
                <c:pt idx="5">
                  <c: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c:v>
                </c:pt>
                <c:pt idx="6">
                  <c: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c:v>
                </c:pt>
                <c:pt idx="7">
                  <c:v>Emirates Pantheon - Trent 900 Full MRO for improved CRP</c:v>
                </c:pt>
                <c:pt idx="8">
                  <c:v>British Airways  Life Min Term extension to 24 years for owned a/c and 12 years for leased a/c, plus removal of EoCL for a $/efh discount on both Engine &amp; LLPs.</c:v>
                </c:pt>
                <c:pt idx="9">
                  <c: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c:v>
                </c:pt>
                <c:pt idx="10">
                  <c:v>World2Fly  Min term extension (life) - 1 a/c exit from 2026. 5yr term but 12yr lease term. Contract extension in 2025
Plus sell used SPE to reduce NDSES costs in CRP (Minimal but supports the OE sale)</c:v>
                </c:pt>
                <c:pt idx="11">
                  <c:v>British Airways  Life Min Term extension to 25 years for owned a/c and 12 years for leased a/c, plus removal of EoCL for a $/efh discount on both Engine &amp; LLPs.</c:v>
                </c:pt>
                <c:pt idx="12">
                  <c:v>Hawaiian Airlines  EFH discount in return for addition 20x SV commitment. Negotiations ongoing.</c:v>
                </c:pt>
                <c:pt idx="13">
                  <c:v>Qatar Exit for convenience removal -84</c:v>
                </c:pt>
                <c:pt idx="14">
                  <c:v>Etihad TCA Reconciliation (CRP Improvement)</c:v>
                </c:pt>
                <c:pt idx="15">
                  <c:v>Emirates Trent XWB Full MRO for improved CRP</c:v>
                </c:pt>
                <c:pt idx="16">
                  <c:v>Qatar Exit for convenience removal -97</c:v>
                </c:pt>
                <c:pt idx="17">
                  <c:v>Ethiopian Airlines Restructure exisiting contract -Credit Back Removal
As part of A350-900 campaign</c:v>
                </c:pt>
                <c:pt idx="18">
                  <c:v>Iberia  Min term extension (life) - 2x leased a/c meet minimum term in 2026. Contract extension to 2030 inline with revised lease terms. Contracted in 2025, linked to matrix extension resolution.</c:v>
                </c:pt>
                <c:pt idx="19">
                  <c:v>Air Canada  Flex contract extension. Current contract expiring end of 2027. </c:v>
                </c:pt>
                <c:pt idx="20">
                  <c:v>Lufthansa Pull forward of spare engines, working capital improvements (payment terms), reverse lease of engines, EP upsell</c:v>
                </c:pt>
                <c:pt idx="21">
                  <c: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c:v>
                </c:pt>
                <c:pt idx="22">
                  <c:v>Saudia Extend Classic</c:v>
                </c:pt>
                <c:pt idx="23">
                  <c:v>LOT Polish Airlines  1 new SPE in Q1 linked to 2 Dr Peters transition a/c.
Life Min Term extension on purchased existing fleet as part of the 9 a/c campaign.</c:v>
                </c:pt>
                <c:pt idx="24">
                  <c:v>Condor Flugdienst Gmbh  NDSES improvement through SPE sales associated to new deal + FCRG and NED Remedy Improvement</c:v>
                </c:pt>
                <c:pt idx="25">
                  <c:v>TAP Air Portugal  Two aircraft delays to Original Delivery Schedule. Plan to progress 2026 Used SPE, credit pull-forward for CRP improvement and Optional AOG+1 NDSES Service.</c:v>
                </c:pt>
                <c:pt idx="26">
                  <c:v>Gulf Commerical Offer - 3 Year Extension/ SPE Sales (NDSES Improvement)</c:v>
                </c:pt>
                <c:pt idx="27">
                  <c:v>Rwanda TCA Life Min Term Extension</c:v>
                </c:pt>
                <c:pt idx="28">
                  <c:v>Ethiopian Airlines Restructure exisiting contract - Min Term Extension
As part of A350-900 campaign</c:v>
                </c:pt>
                <c:pt idx="29">
                  <c:v>Egypt EP Upsell (2028+ deliveries)</c:v>
                </c:pt>
                <c:pt idx="30">
                  <c: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c:v>
                </c:pt>
                <c:pt idx="31">
                  <c:v>Keylime Keylime Air _ AE3007 _ Add 2 in possession aircraft to TotalCare &amp; extend all to 2030</c:v>
                </c:pt>
                <c:pt idx="32">
                  <c: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c:v>
                </c:pt>
                <c:pt idx="33">
                  <c:v>Sterling Sterling _ AE2100 _ restructure &amp; add spare engines</c:v>
                </c:pt>
                <c:pt idx="34">
                  <c:v>Austral TCA Extension (Life)/Exit credit trade</c:v>
                </c:pt>
                <c:pt idx="35">
                  <c:v>Ethiopian Airlines TCA Life Min Term Extension (life)
As part of 787-9 campaign</c:v>
                </c:pt>
                <c:pt idx="36">
                  <c:v>Tanzania Sale of incremental spare engine. NDSES CRP</c:v>
                </c:pt>
                <c:pt idx="37">
                  <c:v>Virgin Atlantic  Sale of incremental Trent 1000 used SPE to meet inventory targets with RRPF S&amp;LB. Review of NDSES cost savings and CRP improvements.</c:v>
                </c:pt>
                <c:pt idx="38">
                  <c:v>British Airways  Descoping of nacelle services (thrust reverser)</c:v>
                </c:pt>
                <c:pt idx="39">
                  <c:v>Keylime Keylime Air _ AE3007 _ Add 2 aircraft to TotalCare, purchase of AC under eval</c:v>
                </c:pt>
                <c:pt idx="40">
                  <c:v>Satena Satena _ AE3007 _ Contract extension for 2 AC</c:v>
                </c:pt>
                <c:pt idx="41">
                  <c:v>Ethiopian Airlines Restructure exisiting contract -Increase escalation
As part of A350-900 sales campaign</c:v>
                </c:pt>
                <c:pt idx="42">
                  <c:v>United UNITED TotalCare restructure to SelectCare and term extension - 535E$</c:v>
                </c:pt>
                <c:pt idx="43">
                  <c:v>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c:v>
                </c:pt>
                <c:pt idx="44">
                  <c: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c:v>
                </c:pt>
                <c:pt idx="45">
                  <c: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c:v>
                </c:pt>
                <c:pt idx="46">
                  <c:v>Finnair  Min Term Extension for both Life &amp; Term mix of structures  - discussions to commence following their fleet expansion analysis in Q2. </c:v>
                </c:pt>
                <c:pt idx="47">
                  <c:v>Virgin Atlantic  Descoping of unprofitable services in conjunction with new a/c opportunity. Test with new a/c (decision expected Q2 2026) before descoping existing fleet.</c:v>
                </c:pt>
                <c:pt idx="48">
                  <c:v>Air France  Min term extension (life) - 3 a/c exit from 2029. Maybe add in 2026 RFP </c:v>
                </c:pt>
                <c:pt idx="49">
                  <c: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c:v>
                </c:pt>
                <c:pt idx="50">
                  <c:v>Lufthansa Min term extension (life) - 4 a/c exit from 2028</c:v>
                </c:pt>
                <c:pt idx="51">
                  <c:v>Air Caraibes  Min term extension (life) - 3 a/c exit from 2029</c:v>
                </c:pt>
                <c:pt idx="52">
                  <c:v>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c:v>
                </c:pt>
                <c:pt idx="53">
                  <c:v>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c:v>
                </c:pt>
                <c:pt idx="54">
                  <c:v>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c:v>
                </c:pt>
                <c:pt idx="55">
                  <c:v>Air China </c:v>
                </c:pt>
                <c:pt idx="56">
                  <c:v>Cebu Pacific  Low margin contract and asked by value stream to brainstorm ideas to improve CRP</c:v>
                </c:pt>
                <c:pt idx="57">
                  <c:v>Lion Air  2 Aircraft Cancellation settlement agreed in 2025Q4, expected to be contracted by 2026Q2. 
Min U uplift, 2y extension and escalation increased. Resultant is Utilisation uplifted to 2175, 2y extension  for 6 ac and escalation set to 5.15%. </c:v>
                </c:pt>
                <c:pt idx="58">
                  <c:v>Garuda  Note: Notice of Breach Served on Garuda: Contract restructure, including possible PAYG-&gt;PASV flip, in the event of continuing payment disputes and as avenue to avoid termination of profitable CRPs - opportunity to sell new/used additional SPE's</c:v>
                </c:pt>
                <c:pt idx="59">
                  <c:v>Delta Air Lines  To be assessed in 2026 - Incremental SPE sale to further reduce NDSES costs</c:v>
                </c:pt>
                <c:pt idx="60">
                  <c:v>Virgin Atlantic  Restructure/buy-out of environmental partnership guarentee</c:v>
                </c:pt>
                <c:pt idx="61">
                  <c:v>Latam  Focus on fleet health at present, ICT generating ideas to improve onerous position (potential sale of used spare engine and term extension).</c:v>
                </c:pt>
                <c:pt idx="62">
                  <c:v>Air Transat  Consolidation of TotalCare structures</c:v>
                </c:pt>
                <c:pt idx="63">
                  <c:v>Mas Air  Adding aircraft to the TotalCare - either FSA currently or newly acquired AC</c:v>
                </c:pt>
                <c:pt idx="64">
                  <c:v>Western Air Western Air Limited _ AE3007 _ Extension / Amendment for 2 AC</c:v>
                </c:pt>
                <c:pt idx="65">
                  <c:v>Western Air Western Air Limited _ AE3007 _ Extension for full fleet of 9 </c:v>
                </c:pt>
                <c:pt idx="66">
                  <c:v>IBC Airways IBC Airways _ AE3007 _ Extension for 1 AC</c:v>
                </c:pt>
                <c:pt idx="67">
                  <c:v>Air China Opportunity to increase SPE level on Trent XWB x 2 SPE's at 40%</c:v>
                </c:pt>
                <c:pt idx="68">
                  <c:v>Air France  Opporunity to add a 1. XWB-84 Used SPE (Q1 2027) 2. Firm Up six (6) aircraft from existing Options. 3. PAS for A350F based on the volume change (4 to 3 FIRM) of A350F.</c:v>
                </c:pt>
                <c:pt idx="69">
                  <c:v>Air France  Opportunity to sell combined PAS to both KLM and Martinair for XWB-84 and XWB-97 due to A350F volume change</c:v>
                </c:pt>
                <c:pt idx="70">
                  <c:v>British Airways  Change escalation period to Jul instead of Jun to simplify recon</c:v>
                </c:pt>
                <c:pt idx="71">
                  <c:v>British Airways  Change escalation period to Jul instead of Jun to simplify recon</c:v>
                </c:pt>
                <c:pt idx="72">
                  <c:v>Sunclass Airlines  Sale of a first used Spare Engine which would reduce NDSES cost in the CRP</c:v>
                </c:pt>
                <c:pt idx="73">
                  <c:v>ITA 2 incremental a/c under LoI - opportunity to sell incremental used Spare Engine early to help CRP NDSES cost/fleet health</c:v>
                </c:pt>
                <c:pt idx="74">
                  <c:v>Turkish Airlines  Extend minimum term of remaining fleet</c:v>
                </c:pt>
                <c:pt idx="75">
                  <c:v>DHL LRU upsell</c:v>
                </c:pt>
                <c:pt idx="76">
                  <c:v>British Airways  Below the pylon - potential descope</c:v>
                </c:pt>
                <c:pt idx="77">
                  <c:v>British Airways  Below the pylon - potential descope</c:v>
                </c:pt>
                <c:pt idx="78">
                  <c:v>British Airways  Below the pylon - potential descope (Trent 900)</c:v>
                </c:pt>
                <c:pt idx="79">
                  <c:v>Virgin Atlantic  Onerous -Transistion AC if possilbe, Extend contract or EOCL buy out</c:v>
                </c:pt>
                <c:pt idx="80">
                  <c:v>Air Caraibes  Life Min Term extension for owned a/c, plus removal of EoCL for a $/efh discount</c:v>
                </c:pt>
                <c:pt idx="81">
                  <c:v>ITA SPE#4 Pull-forward</c:v>
                </c:pt>
                <c:pt idx="82">
                  <c:v>ITA ITA integration into GEM (+ additional aircraft)</c:v>
                </c:pt>
                <c:pt idx="83">
                  <c:v>British Airways Restructure nacelle factor calculations to simplify covered services rate calculations and resulting recons</c:v>
                </c:pt>
                <c:pt idx="84">
                  <c:v>Virgin Atlantic Airways Sell of an incremental used Spare engine to mitigate Contractual risk associated with Additional Dedicated Lease Engine clause</c:v>
                </c:pt>
                <c:pt idx="85">
                  <c:v>Delta Air Lines additional SPE sales to increase SPE holding</c:v>
                </c:pt>
              </c:strCache>
            </c:strRef>
          </c:cat>
          <c:val>
            <c:numRef>
              <c:f>COUNT!$W$1194:$W$1279</c:f>
              <c:numCache>
                <c:formatCode>General</c:formatCode>
                <c:ptCount val="8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0-692A-4FA5-9C73-D340D3EB1199}"/>
            </c:ext>
          </c:extLst>
        </c:ser>
        <c:dLbls>
          <c:showLegendKey val="0"/>
          <c:showVal val="0"/>
          <c:showCatName val="0"/>
          <c:showSerName val="0"/>
          <c:showPercent val="0"/>
          <c:showBubbleSize val="0"/>
        </c:dLbls>
        <c:gapWidth val="150"/>
        <c:axId val="919581136"/>
        <c:axId val="919583216"/>
      </c:barChart>
      <c:catAx>
        <c:axId val="91958113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9583216"/>
        <c:crosses val="autoZero"/>
        <c:auto val="1"/>
        <c:lblAlgn val="ctr"/>
        <c:lblOffset val="100"/>
        <c:noMultiLvlLbl val="0"/>
      </c:catAx>
      <c:valAx>
        <c:axId val="919583216"/>
        <c:scaling>
          <c:orientation val="minMax"/>
        </c:scaling>
        <c:delete val="0"/>
        <c:axPos val="l"/>
        <c:majorGridlines>
          <c:spPr>
            <a:ln>
              <a:solidFill>
                <a:schemeClr val="tx1">
                  <a:lumMod val="15000"/>
                  <a:lumOff val="85000"/>
                </a:schemeClr>
              </a:solidFill>
            </a:ln>
            <a:effectLst/>
          </c:spPr>
        </c:majorGridlines>
        <c:minorGridlines>
          <c:spPr>
            <a:ln>
              <a:solidFill>
                <a:schemeClr val="tx1">
                  <a:lumMod val="5000"/>
                  <a:lumOff val="95000"/>
                </a:schemeClr>
              </a:solidFill>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958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cap="all" spc="150" baseline="0">
                <a:solidFill>
                  <a:schemeClr val="tx2"/>
                </a:solidFill>
                <a:latin typeface="+mn-lt"/>
                <a:ea typeface="+mn-ea"/>
                <a:cs typeface="+mn-cs"/>
              </a:defRPr>
            </a:pPr>
            <a:r>
              <a:rPr lang="en-US">
                <a:solidFill>
                  <a:schemeClr val="tx2"/>
                </a:solidFill>
              </a:rPr>
              <a:t>SORTED</a:t>
            </a:r>
            <a:r>
              <a:rPr lang="en-US" baseline="0">
                <a:solidFill>
                  <a:schemeClr val="tx2"/>
                </a:solidFill>
              </a:rPr>
              <a:t> 2027</a:t>
            </a:r>
          </a:p>
        </c:rich>
      </c:tx>
      <c:layout>
        <c:manualLayout>
          <c:xMode val="edge"/>
          <c:yMode val="edge"/>
          <c:x val="0.30483498786311863"/>
          <c:y val="3.6718438701497227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COUNT!$Z$1193</c:f>
              <c:strCache>
                <c:ptCount val="1"/>
                <c:pt idx="0">
                  <c:v>SORTED 2027</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COUNT!$Y$1194:$Y$1279</c:f>
              <c:strCache>
                <c:ptCount val="86"/>
                <c:pt idx="0">
                  <c:v>FedEx Corporation FedEx - agreement/amendment to unadministrable TotalCare clauses and incentivisation of SV inductions - RB211-535</c:v>
                </c:pt>
                <c:pt idx="1">
                  <c:v>American Airlines  American Airlines requested input on longer extension to 2035</c:v>
                </c:pt>
                <c:pt idx="2">
                  <c:v>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
Apr 2026 - Senior engagement at AIX, awaiting feedback before next steps, possible adjustment pending ICT confirmation. </c:v>
                </c:pt>
                <c:pt idx="3">
                  <c:v>Emirates Finiq 2 - 3 year-extension + LRU Management + 23 a/c.
Term benefit includes a % of DI7</c:v>
                </c:pt>
                <c:pt idx="4">
                  <c: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c:v>
                </c:pt>
                <c:pt idx="5">
                  <c: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c:v>
                </c:pt>
                <c:pt idx="6">
                  <c: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c:v>
                </c:pt>
                <c:pt idx="7">
                  <c:v>Emirates Pantheon - Trent 900 Full MRO for improved CRP</c:v>
                </c:pt>
                <c:pt idx="8">
                  <c:v>British Airways  Life Min Term extension to 24 years for owned a/c and 12 years for leased a/c, plus removal of EoCL for a $/efh discount on both Engine &amp; LLPs.</c:v>
                </c:pt>
                <c:pt idx="9">
                  <c: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c:v>
                </c:pt>
                <c:pt idx="10">
                  <c:v>World2Fly  Min term extension (life) - 1 a/c exit from 2026. 5yr term but 12yr lease term. Contract extension in 2025
Plus sell used SPE to reduce NDSES costs in CRP (Minimal but supports the OE sale)</c:v>
                </c:pt>
                <c:pt idx="11">
                  <c:v>British Airways  Life Min Term extension to 25 years for owned a/c and 12 years for leased a/c, plus removal of EoCL for a $/efh discount on both Engine &amp; LLPs.</c:v>
                </c:pt>
                <c:pt idx="12">
                  <c:v>Hawaiian Airlines  EFH discount in return for addition 20x SV commitment. Negotiations ongoing.</c:v>
                </c:pt>
                <c:pt idx="13">
                  <c:v>Qatar Exit for convenience removal -84</c:v>
                </c:pt>
                <c:pt idx="14">
                  <c:v>Etihad TCA Reconciliation (CRP Improvement)</c:v>
                </c:pt>
                <c:pt idx="15">
                  <c:v>Emirates Trent XWB Full MRO for improved CRP</c:v>
                </c:pt>
                <c:pt idx="16">
                  <c:v>Qatar Exit for convenience removal -97</c:v>
                </c:pt>
                <c:pt idx="17">
                  <c:v>Ethiopian Airlines Restructure exisiting contract -Credit Back Removal
As part of A350-900 campaign</c:v>
                </c:pt>
                <c:pt idx="18">
                  <c:v>Iberia  Min term extension (life) - 2x leased a/c meet minimum term in 2026. Contract extension to 2030 inline with revised lease terms. Contracted in 2025, linked to matrix extension resolution.</c:v>
                </c:pt>
                <c:pt idx="19">
                  <c:v>Air Canada  Flex contract extension. Current contract expiring end of 2027. </c:v>
                </c:pt>
                <c:pt idx="20">
                  <c:v>Lufthansa Pull forward of spare engines, working capital improvements (payment terms), reverse lease of engines, EP upsell</c:v>
                </c:pt>
                <c:pt idx="21">
                  <c: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c:v>
                </c:pt>
                <c:pt idx="22">
                  <c:v>Saudia Extend Classic</c:v>
                </c:pt>
                <c:pt idx="23">
                  <c:v>LOT Polish Airlines  1 new SPE in Q1 linked to 2 Dr Peters transition a/c.
Life Min Term extension on purchased existing fleet as part of the 9 a/c campaign.</c:v>
                </c:pt>
                <c:pt idx="24">
                  <c:v>Condor Flugdienst Gmbh  NDSES improvement through SPE sales associated to new deal + FCRG and NED Remedy Improvement</c:v>
                </c:pt>
                <c:pt idx="25">
                  <c:v>TAP Air Portugal  Two aircraft delays to Original Delivery Schedule. Plan to progress 2026 Used SPE, credit pull-forward for CRP improvement and Optional AOG+1 NDSES Service.</c:v>
                </c:pt>
                <c:pt idx="26">
                  <c:v>Gulf Commerical Offer - 3 Year Extension/ SPE Sales (NDSES Improvement)</c:v>
                </c:pt>
                <c:pt idx="27">
                  <c:v>Rwanda TCA Life Min Term Extension</c:v>
                </c:pt>
                <c:pt idx="28">
                  <c:v>Ethiopian Airlines Restructure exisiting contract - Min Term Extension
As part of A350-900 campaign</c:v>
                </c:pt>
                <c:pt idx="29">
                  <c:v>Egypt EP Upsell (2028+ deliveries)</c:v>
                </c:pt>
                <c:pt idx="30">
                  <c: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c:v>
                </c:pt>
                <c:pt idx="31">
                  <c:v>Keylime Keylime Air _ AE3007 _ Add 2 in possession aircraft to TotalCare &amp; extend all to 2030</c:v>
                </c:pt>
                <c:pt idx="32">
                  <c: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c:v>
                </c:pt>
                <c:pt idx="33">
                  <c:v>Sterling Sterling _ AE2100 _ restructure &amp; add spare engines</c:v>
                </c:pt>
                <c:pt idx="34">
                  <c:v>Austral TCA Extension (Life)/Exit credit trade</c:v>
                </c:pt>
                <c:pt idx="35">
                  <c:v>Ethiopian Airlines TCA Life Min Term Extension (life)
As part of 787-9 campaign</c:v>
                </c:pt>
                <c:pt idx="36">
                  <c:v>Tanzania Sale of incremental spare engine. NDSES CRP</c:v>
                </c:pt>
                <c:pt idx="37">
                  <c:v>Virgin Atlantic  Sale of incremental Trent 1000 used SPE to meet inventory targets with RRPF S&amp;LB. Review of NDSES cost savings and CRP improvements.</c:v>
                </c:pt>
                <c:pt idx="38">
                  <c:v>British Airways  Descoping of nacelle services (thrust reverser)</c:v>
                </c:pt>
                <c:pt idx="39">
                  <c:v>Keylime Keylime Air _ AE3007 _ Add 2 aircraft to TotalCare, purchase of AC under eval</c:v>
                </c:pt>
                <c:pt idx="40">
                  <c:v>Satena Satena _ AE3007 _ Contract extension for 2 AC</c:v>
                </c:pt>
                <c:pt idx="41">
                  <c:v>Ethiopian Airlines Restructure exisiting contract -Increase escalation
As part of A350-900 sales campaign</c:v>
                </c:pt>
                <c:pt idx="42">
                  <c:v>United UNITED TotalCare restructure to SelectCare and term extension - 535E$</c:v>
                </c:pt>
                <c:pt idx="43">
                  <c:v>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c:v>
                </c:pt>
                <c:pt idx="44">
                  <c: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c:v>
                </c:pt>
                <c:pt idx="45">
                  <c: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c:v>
                </c:pt>
                <c:pt idx="46">
                  <c:v>Finnair  Min Term Extension for both Life &amp; Term mix of structures  - discussions to commence following their fleet expansion analysis in Q2. </c:v>
                </c:pt>
                <c:pt idx="47">
                  <c:v>Virgin Atlantic  Descoping of unprofitable services in conjunction with new a/c opportunity. Test with new a/c (decision expected Q2 2026) before descoping existing fleet.</c:v>
                </c:pt>
                <c:pt idx="48">
                  <c:v>Air France  Min term extension (life) - 3 a/c exit from 2029. Maybe add in 2026 RFP </c:v>
                </c:pt>
                <c:pt idx="49">
                  <c: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c:v>
                </c:pt>
                <c:pt idx="50">
                  <c:v>Lufthansa Min term extension (life) - 4 a/c exit from 2028</c:v>
                </c:pt>
                <c:pt idx="51">
                  <c:v>Air Caraibes  Min term extension (life) - 3 a/c exit from 2029</c:v>
                </c:pt>
                <c:pt idx="52">
                  <c:v>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c:v>
                </c:pt>
                <c:pt idx="53">
                  <c:v>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c:v>
                </c:pt>
                <c:pt idx="54">
                  <c:v>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c:v>
                </c:pt>
                <c:pt idx="55">
                  <c:v>Air China </c:v>
                </c:pt>
                <c:pt idx="56">
                  <c:v>Cebu Pacific  Low margin contract and asked by value stream to brainstorm ideas to improve CRP</c:v>
                </c:pt>
                <c:pt idx="57">
                  <c:v>Lion Air  2 Aircraft Cancellation settlement agreed in 2025Q4, expected to be contracted by 2026Q2. 
Min U uplift, 2y extension and escalation increased. Resultant is Utilisation uplifted to 2175, 2y extension  for 6 ac and escalation set to 5.15%. </c:v>
                </c:pt>
                <c:pt idx="58">
                  <c:v>Garuda  Note: Notice of Breach Served on Garuda: Contract restructure, including possible PAYG-&gt;PASV flip, in the event of continuing payment disputes and as avenue to avoid termination of profitable CRPs - opportunity to sell new/used additional SPE's</c:v>
                </c:pt>
                <c:pt idx="59">
                  <c:v>Delta Air Lines  To be assessed in 2026 - Incremental SPE sale to further reduce NDSES costs</c:v>
                </c:pt>
                <c:pt idx="60">
                  <c:v>Virgin Atlantic  Restructure/buy-out of environmental partnership guarentee</c:v>
                </c:pt>
                <c:pt idx="61">
                  <c:v>Latam  Focus on fleet health at present, ICT generating ideas to improve onerous position (potential sale of used spare engine and term extension).</c:v>
                </c:pt>
                <c:pt idx="62">
                  <c:v>Air Transat  Consolidation of TotalCare structures</c:v>
                </c:pt>
                <c:pt idx="63">
                  <c:v>Mas Air  Adding aircraft to the TotalCare - either FSA currently or newly acquired AC</c:v>
                </c:pt>
                <c:pt idx="64">
                  <c:v>Western Air Western Air Limited _ AE3007 _ Extension / Amendment for 2 AC</c:v>
                </c:pt>
                <c:pt idx="65">
                  <c:v>Western Air Western Air Limited _ AE3007 _ Extension for full fleet of 9 </c:v>
                </c:pt>
                <c:pt idx="66">
                  <c:v>IBC Airways IBC Airways _ AE3007 _ Extension for 1 AC</c:v>
                </c:pt>
                <c:pt idx="67">
                  <c:v>Air China Opportunity to increase SPE level on Trent XWB x 2 SPE's at 40%</c:v>
                </c:pt>
                <c:pt idx="68">
                  <c:v>Air France  Opporunity to add a 1. XWB-84 Used SPE (Q1 2027) 2. Firm Up six (6) aircraft from existing Options. 3. PAS for A350F based on the volume change (4 to 3 FIRM) of A350F.</c:v>
                </c:pt>
                <c:pt idx="69">
                  <c:v>Air France  Opportunity to sell combined PAS to both KLM and Martinair for XWB-84 and XWB-97 due to A350F volume change</c:v>
                </c:pt>
                <c:pt idx="70">
                  <c:v>British Airways  Change escalation period to Jul instead of Jun to simplify recon</c:v>
                </c:pt>
                <c:pt idx="71">
                  <c:v>British Airways  Change escalation period to Jul instead of Jun to simplify recon</c:v>
                </c:pt>
                <c:pt idx="72">
                  <c:v>Sunclass Airlines  Sale of a first used Spare Engine which would reduce NDSES cost in the CRP</c:v>
                </c:pt>
                <c:pt idx="73">
                  <c:v>ITA 2 incremental a/c under LoI - opportunity to sell incremental used Spare Engine early to help CRP NDSES cost/fleet health</c:v>
                </c:pt>
                <c:pt idx="74">
                  <c:v>Turkish Airlines  Extend minimum term of remaining fleet</c:v>
                </c:pt>
                <c:pt idx="75">
                  <c:v>DHL LRU upsell</c:v>
                </c:pt>
                <c:pt idx="76">
                  <c:v>British Airways  Below the pylon - potential descope</c:v>
                </c:pt>
                <c:pt idx="77">
                  <c:v>British Airways  Below the pylon - potential descope</c:v>
                </c:pt>
                <c:pt idx="78">
                  <c:v>British Airways  Below the pylon - potential descope (Trent 900)</c:v>
                </c:pt>
                <c:pt idx="79">
                  <c:v>Virgin Atlantic  Onerous -Transistion AC if possilbe, Extend contract or EOCL buy out</c:v>
                </c:pt>
                <c:pt idx="80">
                  <c:v>Air Caraibes  Life Min Term extension for owned a/c, plus removal of EoCL for a $/efh discount</c:v>
                </c:pt>
                <c:pt idx="81">
                  <c:v>ITA SPE#4 Pull-forward</c:v>
                </c:pt>
                <c:pt idx="82">
                  <c:v>ITA ITA integration into GEM (+ additional aircraft)</c:v>
                </c:pt>
                <c:pt idx="83">
                  <c:v>British Airways Restructure nacelle factor calculations to simplify covered services rate calculations and resulting recons</c:v>
                </c:pt>
                <c:pt idx="84">
                  <c:v>Virgin Atlantic Airways Sell of an incremental used Spare engine to mitigate Contractual risk associated with Additional Dedicated Lease Engine clause</c:v>
                </c:pt>
                <c:pt idx="85">
                  <c:v>Delta Air Lines additional SPE sales to increase SPE holding</c:v>
                </c:pt>
              </c:strCache>
            </c:strRef>
          </c:cat>
          <c:val>
            <c:numRef>
              <c:f>COUNT!$Z$1194:$Z$1279</c:f>
              <c:numCache>
                <c:formatCode>General</c:formatCode>
                <c:ptCount val="8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1-08B8-449A-B324-0E9742E01584}"/>
            </c:ext>
          </c:extLst>
        </c:ser>
        <c:dLbls>
          <c:showLegendKey val="0"/>
          <c:showVal val="0"/>
          <c:showCatName val="0"/>
          <c:showSerName val="0"/>
          <c:showPercent val="0"/>
          <c:showBubbleSize val="0"/>
        </c:dLbls>
        <c:gapWidth val="150"/>
        <c:axId val="919581136"/>
        <c:axId val="919583216"/>
      </c:barChart>
      <c:catAx>
        <c:axId val="91958113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9583216"/>
        <c:crosses val="autoZero"/>
        <c:auto val="1"/>
        <c:lblAlgn val="ctr"/>
        <c:lblOffset val="100"/>
        <c:noMultiLvlLbl val="0"/>
      </c:catAx>
      <c:valAx>
        <c:axId val="919583216"/>
        <c:scaling>
          <c:orientation val="minMax"/>
        </c:scaling>
        <c:delete val="0"/>
        <c:axPos val="l"/>
        <c:majorGridlines>
          <c:spPr>
            <a:ln>
              <a:solidFill>
                <a:schemeClr val="tx1">
                  <a:lumMod val="15000"/>
                  <a:lumOff val="85000"/>
                </a:schemeClr>
              </a:solidFill>
            </a:ln>
            <a:effectLst/>
          </c:spPr>
        </c:majorGridlines>
        <c:minorGridlines>
          <c:spPr>
            <a:ln>
              <a:solidFill>
                <a:schemeClr val="tx1">
                  <a:lumMod val="5000"/>
                  <a:lumOff val="95000"/>
                </a:schemeClr>
              </a:solidFill>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958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cap="all" spc="150" baseline="0">
                <a:solidFill>
                  <a:schemeClr val="tx2"/>
                </a:solidFill>
                <a:latin typeface="+mn-lt"/>
                <a:ea typeface="+mn-ea"/>
                <a:cs typeface="+mn-cs"/>
              </a:defRPr>
            </a:pPr>
            <a:r>
              <a:rPr lang="en-US">
                <a:solidFill>
                  <a:schemeClr val="tx2"/>
                </a:solidFill>
              </a:rPr>
              <a:t>SORTED</a:t>
            </a:r>
            <a:r>
              <a:rPr lang="en-US" baseline="0">
                <a:solidFill>
                  <a:schemeClr val="tx2"/>
                </a:solidFill>
              </a:rPr>
              <a:t> tERM IMPACT</a:t>
            </a:r>
          </a:p>
        </c:rich>
      </c:tx>
      <c:layout>
        <c:manualLayout>
          <c:xMode val="edge"/>
          <c:yMode val="edge"/>
          <c:x val="0.30483498786311863"/>
          <c:y val="3.6718438701497227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COUNT!$T$1193</c:f>
              <c:strCache>
                <c:ptCount val="1"/>
                <c:pt idx="0">
                  <c:v>SORTED TERM IMPACT A</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COUNT!$S$1194:$S$1279</c:f>
              <c:strCache>
                <c:ptCount val="86"/>
                <c:pt idx="0">
                  <c:v>FedEx Corporation FedEx - agreement/amendment to unadministrable TotalCare clauses and incentivisation of SV inductions - RB211-535</c:v>
                </c:pt>
                <c:pt idx="1">
                  <c:v>American Airlines  American Airlines requested input on longer extension to 2035</c:v>
                </c:pt>
                <c:pt idx="2">
                  <c:v>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
Apr 2026 - Senior engagement at AIX, awaiting feedback before next steps, possible adjustment pending ICT confirmation. </c:v>
                </c:pt>
                <c:pt idx="3">
                  <c:v>Emirates Finiq 2 - 3 year-extension + LRU Management + 23 a/c.
Term benefit includes a % of DI7</c:v>
                </c:pt>
                <c:pt idx="4">
                  <c: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c:v>
                </c:pt>
                <c:pt idx="5">
                  <c: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c:v>
                </c:pt>
                <c:pt idx="6">
                  <c: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c:v>
                </c:pt>
                <c:pt idx="7">
                  <c:v>Emirates Pantheon - Trent 900 Full MRO for improved CRP</c:v>
                </c:pt>
                <c:pt idx="8">
                  <c:v>British Airways  Life Min Term extension to 24 years for owned a/c and 12 years for leased a/c, plus removal of EoCL for a $/efh discount on both Engine &amp; LLPs.</c:v>
                </c:pt>
                <c:pt idx="9">
                  <c: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c:v>
                </c:pt>
                <c:pt idx="10">
                  <c:v>World2Fly  Min term extension (life) - 1 a/c exit from 2026. 5yr term but 12yr lease term. Contract extension in 2025
Plus sell used SPE to reduce NDSES costs in CRP (Minimal but supports the OE sale)</c:v>
                </c:pt>
                <c:pt idx="11">
                  <c:v>British Airways  Life Min Term extension to 25 years for owned a/c and 12 years for leased a/c, plus removal of EoCL for a $/efh discount on both Engine &amp; LLPs.</c:v>
                </c:pt>
                <c:pt idx="12">
                  <c:v>Hawaiian Airlines  EFH discount in return for addition 20x SV commitment. Negotiations ongoing.</c:v>
                </c:pt>
                <c:pt idx="13">
                  <c:v>Qatar Exit for convenience removal -84</c:v>
                </c:pt>
                <c:pt idx="14">
                  <c:v>Etihad TCA Reconciliation (CRP Improvement)</c:v>
                </c:pt>
                <c:pt idx="15">
                  <c:v>Emirates Trent XWB Full MRO for improved CRP</c:v>
                </c:pt>
                <c:pt idx="16">
                  <c:v>Qatar Exit for convenience removal -97</c:v>
                </c:pt>
                <c:pt idx="17">
                  <c:v>Ethiopian Airlines Restructure exisiting contract -Credit Back Removal
As part of A350-900 campaign</c:v>
                </c:pt>
                <c:pt idx="18">
                  <c:v>Iberia  Min term extension (life) - 2x leased a/c meet minimum term in 2026. Contract extension to 2030 inline with revised lease terms. Contracted in 2025, linked to matrix extension resolution.</c:v>
                </c:pt>
                <c:pt idx="19">
                  <c:v>Air Canada  Flex contract extension. Current contract expiring end of 2027. </c:v>
                </c:pt>
                <c:pt idx="20">
                  <c:v>Lufthansa Pull forward of spare engines, working capital improvements (payment terms), reverse lease of engines, EP upsell</c:v>
                </c:pt>
                <c:pt idx="21">
                  <c: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c:v>
                </c:pt>
                <c:pt idx="22">
                  <c:v>Saudia Extend Classic</c:v>
                </c:pt>
                <c:pt idx="23">
                  <c:v>LOT Polish Airlines  1 new SPE in Q1 linked to 2 Dr Peters transition a/c.
Life Min Term extension on purchased existing fleet as part of the 9 a/c campaign.</c:v>
                </c:pt>
                <c:pt idx="24">
                  <c:v>Condor Flugdienst Gmbh  NDSES improvement through SPE sales associated to new deal + FCRG and NED Remedy Improvement</c:v>
                </c:pt>
                <c:pt idx="25">
                  <c:v>TAP Air Portugal  Two aircraft delays to Original Delivery Schedule. Plan to progress 2026 Used SPE, credit pull-forward for CRP improvement and Optional AOG+1 NDSES Service.</c:v>
                </c:pt>
                <c:pt idx="26">
                  <c:v>Gulf Commerical Offer - 3 Year Extension/ SPE Sales (NDSES Improvement)</c:v>
                </c:pt>
                <c:pt idx="27">
                  <c:v>Rwanda TCA Life Min Term Extension</c:v>
                </c:pt>
                <c:pt idx="28">
                  <c:v>Ethiopian Airlines Restructure exisiting contract - Min Term Extension
As part of A350-900 campaign</c:v>
                </c:pt>
                <c:pt idx="29">
                  <c:v>Egypt EP Upsell (2028+ deliveries)</c:v>
                </c:pt>
                <c:pt idx="30">
                  <c: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c:v>
                </c:pt>
                <c:pt idx="31">
                  <c:v>Keylime Keylime Air _ AE3007 _ Add 2 in possession aircraft to TotalCare &amp; extend all to 2030</c:v>
                </c:pt>
                <c:pt idx="32">
                  <c: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c:v>
                </c:pt>
                <c:pt idx="33">
                  <c:v>Sterling Sterling _ AE2100 _ restructure &amp; add spare engines</c:v>
                </c:pt>
                <c:pt idx="34">
                  <c:v>Austral TCA Extension (Life)/Exit credit trade</c:v>
                </c:pt>
                <c:pt idx="35">
                  <c:v>Ethiopian Airlines TCA Life Min Term Extension (life)
As part of 787-9 campaign</c:v>
                </c:pt>
                <c:pt idx="36">
                  <c:v>Tanzania Sale of incremental spare engine. NDSES CRP</c:v>
                </c:pt>
                <c:pt idx="37">
                  <c:v>Virgin Atlantic  Sale of incremental Trent 1000 used SPE to meet inventory targets with RRPF S&amp;LB. Review of NDSES cost savings and CRP improvements.</c:v>
                </c:pt>
                <c:pt idx="38">
                  <c:v>British Airways  Descoping of nacelle services (thrust reverser)</c:v>
                </c:pt>
                <c:pt idx="39">
                  <c:v>Keylime Keylime Air _ AE3007 _ Add 2 aircraft to TotalCare, purchase of AC under eval</c:v>
                </c:pt>
                <c:pt idx="40">
                  <c:v>Satena Satena _ AE3007 _ Contract extension for 2 AC</c:v>
                </c:pt>
                <c:pt idx="41">
                  <c:v>Ethiopian Airlines Restructure exisiting contract -Increase escalation
As part of A350-900 sales campaign</c:v>
                </c:pt>
                <c:pt idx="42">
                  <c:v>United UNITED TotalCare restructure to SelectCare and term extension - 535E$</c:v>
                </c:pt>
                <c:pt idx="43">
                  <c:v>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c:v>
                </c:pt>
                <c:pt idx="44">
                  <c: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c:v>
                </c:pt>
                <c:pt idx="45">
                  <c: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c:v>
                </c:pt>
                <c:pt idx="46">
                  <c:v>Finnair  Min Term Extension for both Life &amp; Term mix of structures  - discussions to commence following their fleet expansion analysis in Q2. </c:v>
                </c:pt>
                <c:pt idx="47">
                  <c:v>Virgin Atlantic  Descoping of unprofitable services in conjunction with new a/c opportunity. Test with new a/c (decision expected Q2 2026) before descoping existing fleet.</c:v>
                </c:pt>
                <c:pt idx="48">
                  <c:v>Air France  Min term extension (life) - 3 a/c exit from 2029. Maybe add in 2026 RFP </c:v>
                </c:pt>
                <c:pt idx="49">
                  <c: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c:v>
                </c:pt>
                <c:pt idx="50">
                  <c:v>Lufthansa Min term extension (life) - 4 a/c exit from 2028</c:v>
                </c:pt>
                <c:pt idx="51">
                  <c:v>Air Caraibes  Min term extension (life) - 3 a/c exit from 2029</c:v>
                </c:pt>
                <c:pt idx="52">
                  <c:v>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c:v>
                </c:pt>
                <c:pt idx="53">
                  <c:v>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c:v>
                </c:pt>
                <c:pt idx="54">
                  <c:v>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c:v>
                </c:pt>
                <c:pt idx="55">
                  <c:v>Air China </c:v>
                </c:pt>
                <c:pt idx="56">
                  <c:v>Cebu Pacific  Low margin contract and asked by value stream to brainstorm ideas to improve CRP</c:v>
                </c:pt>
                <c:pt idx="57">
                  <c:v>Lion Air  2 Aircraft Cancellation settlement agreed in 2025Q4, expected to be contracted by 2026Q2. 
Min U uplift, 2y extension and escalation increased. Resultant is Utilisation uplifted to 2175, 2y extension  for 6 ac and escalation set to 5.15%. </c:v>
                </c:pt>
                <c:pt idx="58">
                  <c:v>Garuda  Note: Notice of Breach Served on Garuda: Contract restructure, including possible PAYG-&gt;PASV flip, in the event of continuing payment disputes and as avenue to avoid termination of profitable CRPs - opportunity to sell new/used additional SPE's</c:v>
                </c:pt>
                <c:pt idx="59">
                  <c:v>Delta Air Lines  To be assessed in 2026 - Incremental SPE sale to further reduce NDSES costs</c:v>
                </c:pt>
                <c:pt idx="60">
                  <c:v>Virgin Atlantic  Restructure/buy-out of environmental partnership guarentee</c:v>
                </c:pt>
                <c:pt idx="61">
                  <c:v>Latam  Focus on fleet health at present, ICT generating ideas to improve onerous position (potential sale of used spare engine and term extension).</c:v>
                </c:pt>
                <c:pt idx="62">
                  <c:v>Air Transat  Consolidation of TotalCare structures</c:v>
                </c:pt>
                <c:pt idx="63">
                  <c:v>Mas Air  Adding aircraft to the TotalCare - either FSA currently or newly acquired AC</c:v>
                </c:pt>
                <c:pt idx="64">
                  <c:v>Western Air Western Air Limited _ AE3007 _ Extension / Amendment for 2 AC</c:v>
                </c:pt>
                <c:pt idx="65">
                  <c:v>Western Air Western Air Limited _ AE3007 _ Extension for full fleet of 9 </c:v>
                </c:pt>
                <c:pt idx="66">
                  <c:v>IBC Airways IBC Airways _ AE3007 _ Extension for 1 AC</c:v>
                </c:pt>
                <c:pt idx="67">
                  <c:v>Air China Opportunity to increase SPE level on Trent XWB x 2 SPE's at 40%</c:v>
                </c:pt>
                <c:pt idx="68">
                  <c:v>Air France  Opporunity to add a 1. XWB-84 Used SPE (Q1 2027) 2. Firm Up six (6) aircraft from existing Options. 3. PAS for A350F based on the volume change (4 to 3 FIRM) of A350F.</c:v>
                </c:pt>
                <c:pt idx="69">
                  <c:v>Air France  Opportunity to sell combined PAS to both KLM and Martinair for XWB-84 and XWB-97 due to A350F volume change</c:v>
                </c:pt>
                <c:pt idx="70">
                  <c:v>British Airways  Change escalation period to Jul instead of Jun to simplify recon</c:v>
                </c:pt>
                <c:pt idx="71">
                  <c:v>British Airways  Change escalation period to Jul instead of Jun to simplify recon</c:v>
                </c:pt>
                <c:pt idx="72">
                  <c:v>Sunclass Airlines  Sale of a first used Spare Engine which would reduce NDSES cost in the CRP</c:v>
                </c:pt>
                <c:pt idx="73">
                  <c:v>ITA 2 incremental a/c under LoI - opportunity to sell incremental used Spare Engine early to help CRP NDSES cost/fleet health</c:v>
                </c:pt>
                <c:pt idx="74">
                  <c:v>Turkish Airlines  Extend minimum term of remaining fleet</c:v>
                </c:pt>
                <c:pt idx="75">
                  <c:v>DHL LRU upsell</c:v>
                </c:pt>
                <c:pt idx="76">
                  <c:v>British Airways  Below the pylon - potential descope</c:v>
                </c:pt>
                <c:pt idx="77">
                  <c:v>British Airways  Below the pylon - potential descope</c:v>
                </c:pt>
                <c:pt idx="78">
                  <c:v>British Airways  Below the pylon - potential descope (Trent 900)</c:v>
                </c:pt>
                <c:pt idx="79">
                  <c:v>Virgin Atlantic  Onerous -Transistion AC if possilbe, Extend contract or EOCL buy out</c:v>
                </c:pt>
                <c:pt idx="80">
                  <c:v>Air Caraibes  Life Min Term extension for owned a/c, plus removal of EoCL for a $/efh discount</c:v>
                </c:pt>
                <c:pt idx="81">
                  <c:v>ITA SPE#4 Pull-forward</c:v>
                </c:pt>
                <c:pt idx="82">
                  <c:v>ITA ITA integration into GEM (+ additional aircraft)</c:v>
                </c:pt>
                <c:pt idx="83">
                  <c:v>British Airways Restructure nacelle factor calculations to simplify covered services rate calculations and resulting recons</c:v>
                </c:pt>
                <c:pt idx="84">
                  <c:v>Virgin Atlantic Airways Sell of an incremental used Spare engine to mitigate Contractual risk associated with Additional Dedicated Lease Engine clause</c:v>
                </c:pt>
                <c:pt idx="85">
                  <c:v>Delta Air Lines additional SPE sales to increase SPE holding</c:v>
                </c:pt>
              </c:strCache>
            </c:strRef>
          </c:cat>
          <c:val>
            <c:numRef>
              <c:f>COUNT!$T$1194:$T$1279</c:f>
              <c:numCache>
                <c:formatCode>General</c:formatCode>
                <c:ptCount val="8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0-B358-42FE-9D23-49EE4D14063D}"/>
            </c:ext>
          </c:extLst>
        </c:ser>
        <c:dLbls>
          <c:showLegendKey val="0"/>
          <c:showVal val="0"/>
          <c:showCatName val="0"/>
          <c:showSerName val="0"/>
          <c:showPercent val="0"/>
          <c:showBubbleSize val="0"/>
        </c:dLbls>
        <c:gapWidth val="150"/>
        <c:axId val="919581136"/>
        <c:axId val="919583216"/>
      </c:barChart>
      <c:catAx>
        <c:axId val="91958113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9583216"/>
        <c:crosses val="autoZero"/>
        <c:auto val="1"/>
        <c:lblAlgn val="ctr"/>
        <c:lblOffset val="100"/>
        <c:noMultiLvlLbl val="0"/>
      </c:catAx>
      <c:valAx>
        <c:axId val="919583216"/>
        <c:scaling>
          <c:orientation val="minMax"/>
        </c:scaling>
        <c:delete val="0"/>
        <c:axPos val="l"/>
        <c:majorGridlines>
          <c:spPr>
            <a:ln>
              <a:solidFill>
                <a:schemeClr val="tx1">
                  <a:lumMod val="15000"/>
                  <a:lumOff val="85000"/>
                </a:schemeClr>
              </a:solidFill>
            </a:ln>
            <a:effectLst/>
          </c:spPr>
        </c:majorGridlines>
        <c:minorGridlines>
          <c:spPr>
            <a:ln>
              <a:solidFill>
                <a:schemeClr val="tx1">
                  <a:lumMod val="5000"/>
                  <a:lumOff val="95000"/>
                </a:schemeClr>
              </a:solidFill>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958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cap="all" spc="150" baseline="0">
                <a:solidFill>
                  <a:schemeClr val="tx2"/>
                </a:solidFill>
                <a:latin typeface="+mn-lt"/>
                <a:ea typeface="+mn-ea"/>
                <a:cs typeface="+mn-cs"/>
              </a:defRPr>
            </a:pPr>
            <a:r>
              <a:rPr lang="en-US">
                <a:solidFill>
                  <a:schemeClr val="tx2"/>
                </a:solidFill>
              </a:rPr>
              <a:t>SORTED</a:t>
            </a:r>
            <a:r>
              <a:rPr lang="en-US" baseline="0">
                <a:solidFill>
                  <a:schemeClr val="tx2"/>
                </a:solidFill>
              </a:rPr>
              <a:t> 26/27</a:t>
            </a:r>
          </a:p>
        </c:rich>
      </c:tx>
      <c:layout>
        <c:manualLayout>
          <c:xMode val="edge"/>
          <c:yMode val="edge"/>
          <c:x val="0.30483498786311863"/>
          <c:y val="3.6718438701497227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COUNT!$AC$1191</c:f>
              <c:strCache>
                <c:ptCount val="1"/>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COUNT!$AB$1194:$AB$1279</c:f>
              <c:strCache>
                <c:ptCount val="86"/>
                <c:pt idx="0">
                  <c:v>FedEx Corporation FedEx - agreement/amendment to unadministrable TotalCare clauses and incentivisation of SV inductions - RB211-535</c:v>
                </c:pt>
                <c:pt idx="1">
                  <c:v>American Airlines  American Airlines requested input on longer extension to 2035</c:v>
                </c:pt>
                <c:pt idx="2">
                  <c:v>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
Apr 2026 - Senior engagement at AIX, awaiting feedback before next steps, possible adjustment pending ICT confirmation. </c:v>
                </c:pt>
                <c:pt idx="3">
                  <c:v>Emirates Finiq 2 - 3 year-extension + LRU Management + 23 a/c.
Term benefit includes a % of DI7</c:v>
                </c:pt>
                <c:pt idx="4">
                  <c: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c:v>
                </c:pt>
                <c:pt idx="5">
                  <c: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c:v>
                </c:pt>
                <c:pt idx="6">
                  <c: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c:v>
                </c:pt>
                <c:pt idx="7">
                  <c:v>Emirates Pantheon - Trent 900 Full MRO for improved CRP</c:v>
                </c:pt>
                <c:pt idx="8">
                  <c:v>British Airways  Life Min Term extension to 24 years for owned a/c and 12 years for leased a/c, plus removal of EoCL for a $/efh discount on both Engine &amp; LLPs.</c:v>
                </c:pt>
                <c:pt idx="9">
                  <c: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c:v>
                </c:pt>
                <c:pt idx="10">
                  <c:v>World2Fly  Min term extension (life) - 1 a/c exit from 2026. 5yr term but 12yr lease term. Contract extension in 2025
Plus sell used SPE to reduce NDSES costs in CRP (Minimal but supports the OE sale)</c:v>
                </c:pt>
                <c:pt idx="11">
                  <c:v>British Airways  Life Min Term extension to 25 years for owned a/c and 12 years for leased a/c, plus removal of EoCL for a $/efh discount on both Engine &amp; LLPs.</c:v>
                </c:pt>
                <c:pt idx="12">
                  <c:v>Hawaiian Airlines  EFH discount in return for addition 20x SV commitment. Negotiations ongoing.</c:v>
                </c:pt>
                <c:pt idx="13">
                  <c:v>Qatar Exit for convenience removal -84</c:v>
                </c:pt>
                <c:pt idx="14">
                  <c:v>Etihad TCA Reconciliation (CRP Improvement)</c:v>
                </c:pt>
                <c:pt idx="15">
                  <c:v>Emirates Trent XWB Full MRO for improved CRP</c:v>
                </c:pt>
                <c:pt idx="16">
                  <c:v>Qatar Exit for convenience removal -97</c:v>
                </c:pt>
                <c:pt idx="17">
                  <c:v>Ethiopian Airlines Restructure exisiting contract -Credit Back Removal
As part of A350-900 campaign</c:v>
                </c:pt>
                <c:pt idx="18">
                  <c:v>Iberia  Min term extension (life) - 2x leased a/c meet minimum term in 2026. Contract extension to 2030 inline with revised lease terms. Contracted in 2025, linked to matrix extension resolution.</c:v>
                </c:pt>
                <c:pt idx="19">
                  <c:v>Air Canada  Flex contract extension. Current contract expiring end of 2027. </c:v>
                </c:pt>
                <c:pt idx="20">
                  <c:v>Lufthansa Pull forward of spare engines, working capital improvements (payment terms), reverse lease of engines, EP upsell</c:v>
                </c:pt>
                <c:pt idx="21">
                  <c: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c:v>
                </c:pt>
                <c:pt idx="22">
                  <c:v>Saudia Extend Classic</c:v>
                </c:pt>
                <c:pt idx="23">
                  <c:v>LOT Polish Airlines  1 new SPE in Q1 linked to 2 Dr Peters transition a/c.
Life Min Term extension on purchased existing fleet as part of the 9 a/c campaign.</c:v>
                </c:pt>
                <c:pt idx="24">
                  <c:v>Condor Flugdienst Gmbh  NDSES improvement through SPE sales associated to new deal + FCRG and NED Remedy Improvement</c:v>
                </c:pt>
                <c:pt idx="25">
                  <c:v>TAP Air Portugal  Two aircraft delays to Original Delivery Schedule. Plan to progress 2026 Used SPE, credit pull-forward for CRP improvement and Optional AOG+1 NDSES Service.</c:v>
                </c:pt>
                <c:pt idx="26">
                  <c:v>Gulf Commerical Offer - 3 Year Extension/ SPE Sales (NDSES Improvement)</c:v>
                </c:pt>
                <c:pt idx="27">
                  <c:v>Rwanda TCA Life Min Term Extension</c:v>
                </c:pt>
                <c:pt idx="28">
                  <c:v>Ethiopian Airlines Restructure exisiting contract - Min Term Extension
As part of A350-900 campaign</c:v>
                </c:pt>
                <c:pt idx="29">
                  <c:v>Egypt EP Upsell (2028+ deliveries)</c:v>
                </c:pt>
                <c:pt idx="30">
                  <c: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c:v>
                </c:pt>
                <c:pt idx="31">
                  <c:v>Keylime Keylime Air _ AE3007 _ Add 2 in possession aircraft to TotalCare &amp; extend all to 2030</c:v>
                </c:pt>
                <c:pt idx="32">
                  <c: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c:v>
                </c:pt>
                <c:pt idx="33">
                  <c:v>Sterling Sterling _ AE2100 _ restructure &amp; add spare engines</c:v>
                </c:pt>
                <c:pt idx="34">
                  <c:v>Austral TCA Extension (Life)/Exit credit trade</c:v>
                </c:pt>
                <c:pt idx="35">
                  <c:v>Ethiopian Airlines TCA Life Min Term Extension (life)
As part of 787-9 campaign</c:v>
                </c:pt>
                <c:pt idx="36">
                  <c:v>Tanzania Sale of incremental spare engine. NDSES CRP</c:v>
                </c:pt>
                <c:pt idx="37">
                  <c:v>Virgin Atlantic  Sale of incremental Trent 1000 used SPE to meet inventory targets with RRPF S&amp;LB. Review of NDSES cost savings and CRP improvements.</c:v>
                </c:pt>
                <c:pt idx="38">
                  <c:v>British Airways  Descoping of nacelle services (thrust reverser)</c:v>
                </c:pt>
                <c:pt idx="39">
                  <c:v>Keylime Keylime Air _ AE3007 _ Add 2 aircraft to TotalCare, purchase of AC under eval</c:v>
                </c:pt>
                <c:pt idx="40">
                  <c:v>Satena Satena _ AE3007 _ Contract extension for 2 AC</c:v>
                </c:pt>
                <c:pt idx="41">
                  <c:v>Ethiopian Airlines Restructure exisiting contract -Increase escalation
As part of A350-900 sales campaign</c:v>
                </c:pt>
                <c:pt idx="42">
                  <c:v>United UNITED TotalCare restructure to SelectCare and term extension - 535E$</c:v>
                </c:pt>
                <c:pt idx="43">
                  <c:v>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c:v>
                </c:pt>
                <c:pt idx="44">
                  <c: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c:v>
                </c:pt>
                <c:pt idx="45">
                  <c: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c:v>
                </c:pt>
                <c:pt idx="46">
                  <c:v>Finnair  Min Term Extension for both Life &amp; Term mix of structures  - discussions to commence following their fleet expansion analysis in Q2. </c:v>
                </c:pt>
                <c:pt idx="47">
                  <c:v>Virgin Atlantic  Descoping of unprofitable services in conjunction with new a/c opportunity. Test with new a/c (decision expected Q2 2026) before descoping existing fleet.</c:v>
                </c:pt>
                <c:pt idx="48">
                  <c:v>Air France  Min term extension (life) - 3 a/c exit from 2029. Maybe add in 2026 RFP </c:v>
                </c:pt>
                <c:pt idx="49">
                  <c: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c:v>
                </c:pt>
                <c:pt idx="50">
                  <c:v>Lufthansa Min term extension (life) - 4 a/c exit from 2028</c:v>
                </c:pt>
                <c:pt idx="51">
                  <c:v>Air Caraibes  Min term extension (life) - 3 a/c exit from 2029</c:v>
                </c:pt>
                <c:pt idx="52">
                  <c:v>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c:v>
                </c:pt>
                <c:pt idx="53">
                  <c:v>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c:v>
                </c:pt>
                <c:pt idx="54">
                  <c:v>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c:v>
                </c:pt>
                <c:pt idx="55">
                  <c:v>Air China </c:v>
                </c:pt>
                <c:pt idx="56">
                  <c:v>Cebu Pacific  Low margin contract and asked by value stream to brainstorm ideas to improve CRP</c:v>
                </c:pt>
                <c:pt idx="57">
                  <c:v>Lion Air  2 Aircraft Cancellation settlement agreed in 2025Q4, expected to be contracted by 2026Q2. 
Min U uplift, 2y extension and escalation increased. Resultant is Utilisation uplifted to 2175, 2y extension  for 6 ac and escalation set to 5.15%. </c:v>
                </c:pt>
                <c:pt idx="58">
                  <c:v>Garuda  Note: Notice of Breach Served on Garuda: Contract restructure, including possible PAYG-&gt;PASV flip, in the event of continuing payment disputes and as avenue to avoid termination of profitable CRPs - opportunity to sell new/used additional SPE's</c:v>
                </c:pt>
                <c:pt idx="59">
                  <c:v>Delta Air Lines  To be assessed in 2026 - Incremental SPE sale to further reduce NDSES costs</c:v>
                </c:pt>
                <c:pt idx="60">
                  <c:v>Virgin Atlantic  Restructure/buy-out of environmental partnership guarentee</c:v>
                </c:pt>
                <c:pt idx="61">
                  <c:v>Latam  Focus on fleet health at present, ICT generating ideas to improve onerous position (potential sale of used spare engine and term extension).</c:v>
                </c:pt>
                <c:pt idx="62">
                  <c:v>Air Transat  Consolidation of TotalCare structures</c:v>
                </c:pt>
                <c:pt idx="63">
                  <c:v>Mas Air  Adding aircraft to the TotalCare - either FSA currently or newly acquired AC</c:v>
                </c:pt>
                <c:pt idx="64">
                  <c:v>Western Air Western Air Limited _ AE3007 _ Extension / Amendment for 2 AC</c:v>
                </c:pt>
                <c:pt idx="65">
                  <c:v>Western Air Western Air Limited _ AE3007 _ Extension for full fleet of 9 </c:v>
                </c:pt>
                <c:pt idx="66">
                  <c:v>IBC Airways IBC Airways _ AE3007 _ Extension for 1 AC</c:v>
                </c:pt>
                <c:pt idx="67">
                  <c:v>Air China Opportunity to increase SPE level on Trent XWB x 2 SPE's at 40%</c:v>
                </c:pt>
                <c:pt idx="68">
                  <c:v>Air France  Opporunity to add a 1. XWB-84 Used SPE (Q1 2027) 2. Firm Up six (6) aircraft from existing Options. 3. PAS for A350F based on the volume change (4 to 3 FIRM) of A350F.</c:v>
                </c:pt>
                <c:pt idx="69">
                  <c:v>Air France  Opportunity to sell combined PAS to both KLM and Martinair for XWB-84 and XWB-97 due to A350F volume change</c:v>
                </c:pt>
                <c:pt idx="70">
                  <c:v>British Airways  Change escalation period to Jul instead of Jun to simplify recon</c:v>
                </c:pt>
                <c:pt idx="71">
                  <c:v>British Airways  Change escalation period to Jul instead of Jun to simplify recon</c:v>
                </c:pt>
                <c:pt idx="72">
                  <c:v>Sunclass Airlines  Sale of a first used Spare Engine which would reduce NDSES cost in the CRP</c:v>
                </c:pt>
                <c:pt idx="73">
                  <c:v>ITA 2 incremental a/c under LoI - opportunity to sell incremental used Spare Engine early to help CRP NDSES cost/fleet health</c:v>
                </c:pt>
                <c:pt idx="74">
                  <c:v>Turkish Airlines  Extend minimum term of remaining fleet</c:v>
                </c:pt>
                <c:pt idx="75">
                  <c:v>DHL LRU upsell</c:v>
                </c:pt>
                <c:pt idx="76">
                  <c:v>British Airways  Below the pylon - potential descope</c:v>
                </c:pt>
                <c:pt idx="77">
                  <c:v>British Airways  Below the pylon - potential descope</c:v>
                </c:pt>
                <c:pt idx="78">
                  <c:v>British Airways  Below the pylon - potential descope (Trent 900)</c:v>
                </c:pt>
                <c:pt idx="79">
                  <c:v>Virgin Atlantic  Onerous -Transistion AC if possilbe, Extend contract or EOCL buy out</c:v>
                </c:pt>
                <c:pt idx="80">
                  <c:v>Air Caraibes  Life Min Term extension for owned a/c, plus removal of EoCL for a $/efh discount</c:v>
                </c:pt>
                <c:pt idx="81">
                  <c:v>ITA SPE#4 Pull-forward</c:v>
                </c:pt>
                <c:pt idx="82">
                  <c:v>ITA ITA integration into GEM (+ additional aircraft)</c:v>
                </c:pt>
                <c:pt idx="83">
                  <c:v>British Airways Restructure nacelle factor calculations to simplify covered services rate calculations and resulting recons</c:v>
                </c:pt>
                <c:pt idx="84">
                  <c:v>Virgin Atlantic Airways Sell of an incremental used Spare engine to mitigate Contractual risk associated with Additional Dedicated Lease Engine clause</c:v>
                </c:pt>
                <c:pt idx="85">
                  <c:v>Delta Air Lines additional SPE sales to increase SPE holding</c:v>
                </c:pt>
              </c:strCache>
            </c:strRef>
          </c:cat>
          <c:val>
            <c:numRef>
              <c:f>COUNT!$AC$1194:$AC$1279</c:f>
              <c:numCache>
                <c:formatCode>General</c:formatCode>
                <c:ptCount val="8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0-12EA-4DA2-B90E-A5FC47D80B45}"/>
            </c:ext>
          </c:extLst>
        </c:ser>
        <c:dLbls>
          <c:showLegendKey val="0"/>
          <c:showVal val="0"/>
          <c:showCatName val="0"/>
          <c:showSerName val="0"/>
          <c:showPercent val="0"/>
          <c:showBubbleSize val="0"/>
        </c:dLbls>
        <c:gapWidth val="150"/>
        <c:axId val="919581136"/>
        <c:axId val="919583216"/>
      </c:barChart>
      <c:catAx>
        <c:axId val="91958113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9583216"/>
        <c:crosses val="autoZero"/>
        <c:auto val="1"/>
        <c:lblAlgn val="ctr"/>
        <c:lblOffset val="100"/>
        <c:noMultiLvlLbl val="0"/>
      </c:catAx>
      <c:valAx>
        <c:axId val="919583216"/>
        <c:scaling>
          <c:orientation val="minMax"/>
        </c:scaling>
        <c:delete val="0"/>
        <c:axPos val="l"/>
        <c:majorGridlines>
          <c:spPr>
            <a:ln>
              <a:solidFill>
                <a:schemeClr val="tx1">
                  <a:lumMod val="15000"/>
                  <a:lumOff val="85000"/>
                </a:schemeClr>
              </a:solidFill>
            </a:ln>
            <a:effectLst/>
          </c:spPr>
        </c:majorGridlines>
        <c:minorGridlines>
          <c:spPr>
            <a:ln>
              <a:solidFill>
                <a:schemeClr val="tx1">
                  <a:lumMod val="5000"/>
                  <a:lumOff val="95000"/>
                </a:schemeClr>
              </a:solidFill>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958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41</xdr:col>
      <xdr:colOff>292737</xdr:colOff>
      <xdr:row>10</xdr:row>
      <xdr:rowOff>97847</xdr:rowOff>
    </xdr:from>
    <xdr:to>
      <xdr:col>66</xdr:col>
      <xdr:colOff>399641</xdr:colOff>
      <xdr:row>47</xdr:row>
      <xdr:rowOff>6535</xdr:rowOff>
    </xdr:to>
    <xdr:graphicFrame macro="">
      <xdr:nvGraphicFramePr>
        <xdr:cNvPr id="6" name="Chart 5">
          <a:extLst>
            <a:ext uri="{FF2B5EF4-FFF2-40B4-BE49-F238E27FC236}">
              <a16:creationId xmlns:a16="http://schemas.microsoft.com/office/drawing/2014/main" id="{ED076A0E-E6ED-EE82-A1FB-31C110542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69</xdr:col>
      <xdr:colOff>130569</xdr:colOff>
      <xdr:row>10</xdr:row>
      <xdr:rowOff>84667</xdr:rowOff>
    </xdr:from>
    <xdr:to>
      <xdr:col>93</xdr:col>
      <xdr:colOff>376470</xdr:colOff>
      <xdr:row>45</xdr:row>
      <xdr:rowOff>24224</xdr:rowOff>
    </xdr:to>
    <xdr:graphicFrame macro="">
      <xdr:nvGraphicFramePr>
        <xdr:cNvPr id="7" name="Chart 1">
          <a:extLst>
            <a:ext uri="{FF2B5EF4-FFF2-40B4-BE49-F238E27FC236}">
              <a16:creationId xmlns:a16="http://schemas.microsoft.com/office/drawing/2014/main" id="{A5A9DEDA-BD61-4A4D-4828-53A0ADA28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41</xdr:col>
      <xdr:colOff>476183</xdr:colOff>
      <xdr:row>45</xdr:row>
      <xdr:rowOff>139170</xdr:rowOff>
    </xdr:from>
    <xdr:to>
      <xdr:col>66</xdr:col>
      <xdr:colOff>583086</xdr:colOff>
      <xdr:row>80</xdr:row>
      <xdr:rowOff>172389</xdr:rowOff>
    </xdr:to>
    <xdr:graphicFrame macro="">
      <xdr:nvGraphicFramePr>
        <xdr:cNvPr id="8" name="Chart 7">
          <a:extLst>
            <a:ext uri="{FF2B5EF4-FFF2-40B4-BE49-F238E27FC236}">
              <a16:creationId xmlns:a16="http://schemas.microsoft.com/office/drawing/2014/main" id="{CFE396FE-066F-03A9-4EE9-8BD8ABB3F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69</xdr:col>
      <xdr:colOff>317649</xdr:colOff>
      <xdr:row>44</xdr:row>
      <xdr:rowOff>78772</xdr:rowOff>
    </xdr:from>
    <xdr:to>
      <xdr:col>93</xdr:col>
      <xdr:colOff>523334</xdr:colOff>
      <xdr:row>80</xdr:row>
      <xdr:rowOff>79182</xdr:rowOff>
    </xdr:to>
    <xdr:graphicFrame macro="">
      <xdr:nvGraphicFramePr>
        <xdr:cNvPr id="9" name="Chart 1">
          <a:extLst>
            <a:ext uri="{FF2B5EF4-FFF2-40B4-BE49-F238E27FC236}">
              <a16:creationId xmlns:a16="http://schemas.microsoft.com/office/drawing/2014/main" id="{D6A1CC8D-6D52-3218-3CB0-ECF9EFFCA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137159</xdr:colOff>
      <xdr:row>1</xdr:row>
      <xdr:rowOff>97155</xdr:rowOff>
    </xdr:from>
    <xdr:to>
      <xdr:col>1</xdr:col>
      <xdr:colOff>473075</xdr:colOff>
      <xdr:row>12</xdr:row>
      <xdr:rowOff>91440</xdr:rowOff>
    </xdr:to>
    <mc:AlternateContent xmlns:mc="http://schemas.openxmlformats.org/markup-compatibility/2006" xmlns:a14="http://schemas.microsoft.com/office/drawing/2010/main">
      <mc:Choice Requires="a14">
        <xdr:graphicFrame macro="">
          <xdr:nvGraphicFramePr>
            <xdr:cNvPr id="57" name="Region">
              <a:extLst>
                <a:ext uri="{FF2B5EF4-FFF2-40B4-BE49-F238E27FC236}">
                  <a16:creationId xmlns:a16="http://schemas.microsoft.com/office/drawing/2014/main" id="{2F0BC021-2CBA-2CCB-E795-BBE87362DF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2874" y="285750"/>
              <a:ext cx="1571626" cy="19907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3846194</xdr:colOff>
      <xdr:row>1</xdr:row>
      <xdr:rowOff>97791</xdr:rowOff>
    </xdr:from>
    <xdr:to>
      <xdr:col>5</xdr:col>
      <xdr:colOff>6151245</xdr:colOff>
      <xdr:row>12</xdr:row>
      <xdr:rowOff>135891</xdr:rowOff>
    </xdr:to>
    <mc:AlternateContent xmlns:mc="http://schemas.openxmlformats.org/markup-compatibility/2006" xmlns:a14="http://schemas.microsoft.com/office/drawing/2010/main">
      <mc:Choice Requires="a14">
        <xdr:graphicFrame macro="">
          <xdr:nvGraphicFramePr>
            <xdr:cNvPr id="60" name="Engine Value Stream">
              <a:extLst>
                <a:ext uri="{FF2B5EF4-FFF2-40B4-BE49-F238E27FC236}">
                  <a16:creationId xmlns:a16="http://schemas.microsoft.com/office/drawing/2014/main" id="{8329BD32-B8CE-3DC5-0D06-81D51B0F0700}"/>
                </a:ext>
              </a:extLst>
            </xdr:cNvPr>
            <xdr:cNvGraphicFramePr/>
          </xdr:nvGraphicFramePr>
          <xdr:xfrm>
            <a:off x="0" y="0"/>
            <a:ext cx="0" cy="0"/>
          </xdr:xfrm>
          <a:graphic>
            <a:graphicData uri="http://schemas.microsoft.com/office/drawing/2010/slicer">
              <sle:slicer xmlns:sle="http://schemas.microsoft.com/office/drawing/2010/slicer" name="Engine Value Stream"/>
            </a:graphicData>
          </a:graphic>
        </xdr:graphicFrame>
      </mc:Choice>
      <mc:Fallback xmlns="">
        <xdr:sp macro="" textlink="">
          <xdr:nvSpPr>
            <xdr:cNvPr id="0" name=""/>
            <xdr:cNvSpPr>
              <a:spLocks noTextEdit="1"/>
            </xdr:cNvSpPr>
          </xdr:nvSpPr>
          <xdr:spPr>
            <a:xfrm>
              <a:off x="11974829" y="288291"/>
              <a:ext cx="2404746" cy="20262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1464942</xdr:colOff>
      <xdr:row>1</xdr:row>
      <xdr:rowOff>93345</xdr:rowOff>
    </xdr:from>
    <xdr:to>
      <xdr:col>5</xdr:col>
      <xdr:colOff>15240</xdr:colOff>
      <xdr:row>8</xdr:row>
      <xdr:rowOff>21590</xdr:rowOff>
    </xdr:to>
    <mc:AlternateContent xmlns:mc="http://schemas.openxmlformats.org/markup-compatibility/2006" xmlns:a14="http://schemas.microsoft.com/office/drawing/2010/main">
      <mc:Choice Requires="a14">
        <xdr:graphicFrame macro="">
          <xdr:nvGraphicFramePr>
            <xdr:cNvPr id="76" name="Onerous/Non Onerous">
              <a:extLst>
                <a:ext uri="{FF2B5EF4-FFF2-40B4-BE49-F238E27FC236}">
                  <a16:creationId xmlns:a16="http://schemas.microsoft.com/office/drawing/2014/main" id="{2EB729F1-6EE8-747A-A7BD-958E05855D83}"/>
                </a:ext>
              </a:extLst>
            </xdr:cNvPr>
            <xdr:cNvGraphicFramePr/>
          </xdr:nvGraphicFramePr>
          <xdr:xfrm>
            <a:off x="0" y="0"/>
            <a:ext cx="0" cy="0"/>
          </xdr:xfrm>
          <a:graphic>
            <a:graphicData uri="http://schemas.microsoft.com/office/drawing/2010/slicer">
              <sle:slicer xmlns:sle="http://schemas.microsoft.com/office/drawing/2010/slicer" name="Onerous/Non Onerous"/>
            </a:graphicData>
          </a:graphic>
        </xdr:graphicFrame>
      </mc:Choice>
      <mc:Fallback xmlns="">
        <xdr:sp macro="" textlink="">
          <xdr:nvSpPr>
            <xdr:cNvPr id="0" name=""/>
            <xdr:cNvSpPr>
              <a:spLocks noTextEdit="1"/>
            </xdr:cNvSpPr>
          </xdr:nvSpPr>
          <xdr:spPr>
            <a:xfrm>
              <a:off x="6116952" y="278130"/>
              <a:ext cx="2026923" cy="1187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2148840</xdr:colOff>
      <xdr:row>1</xdr:row>
      <xdr:rowOff>92711</xdr:rowOff>
    </xdr:from>
    <xdr:to>
      <xdr:col>5</xdr:col>
      <xdr:colOff>3791585</xdr:colOff>
      <xdr:row>9</xdr:row>
      <xdr:rowOff>93981</xdr:rowOff>
    </xdr:to>
    <mc:AlternateContent xmlns:mc="http://schemas.openxmlformats.org/markup-compatibility/2006" xmlns:a14="http://schemas.microsoft.com/office/drawing/2010/main">
      <mc:Choice Requires="a14">
        <xdr:graphicFrame macro="">
          <xdr:nvGraphicFramePr>
            <xdr:cNvPr id="58" name="Top Level EVS">
              <a:extLst>
                <a:ext uri="{FF2B5EF4-FFF2-40B4-BE49-F238E27FC236}">
                  <a16:creationId xmlns:a16="http://schemas.microsoft.com/office/drawing/2014/main" id="{510CD564-D70B-BF68-4AA7-3186562AE00F}"/>
                </a:ext>
              </a:extLst>
            </xdr:cNvPr>
            <xdr:cNvGraphicFramePr/>
          </xdr:nvGraphicFramePr>
          <xdr:xfrm>
            <a:off x="0" y="0"/>
            <a:ext cx="0" cy="0"/>
          </xdr:xfrm>
          <a:graphic>
            <a:graphicData uri="http://schemas.microsoft.com/office/drawing/2010/slicer">
              <sle:slicer xmlns:sle="http://schemas.microsoft.com/office/drawing/2010/slicer" name="Top Level EVS"/>
            </a:graphicData>
          </a:graphic>
        </xdr:graphicFrame>
      </mc:Choice>
      <mc:Fallback xmlns="">
        <xdr:sp macro="" textlink="">
          <xdr:nvSpPr>
            <xdr:cNvPr id="0" name=""/>
            <xdr:cNvSpPr>
              <a:spLocks noTextEdit="1"/>
            </xdr:cNvSpPr>
          </xdr:nvSpPr>
          <xdr:spPr>
            <a:xfrm>
              <a:off x="10269220" y="277496"/>
              <a:ext cx="1626870" cy="14554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530859</xdr:colOff>
      <xdr:row>1</xdr:row>
      <xdr:rowOff>93345</xdr:rowOff>
    </xdr:from>
    <xdr:to>
      <xdr:col>2</xdr:col>
      <xdr:colOff>899159</xdr:colOff>
      <xdr:row>12</xdr:row>
      <xdr:rowOff>167640</xdr:rowOff>
    </xdr:to>
    <mc:AlternateContent xmlns:mc="http://schemas.openxmlformats.org/markup-compatibility/2006" xmlns:a14="http://schemas.microsoft.com/office/drawing/2010/main">
      <mc:Choice Requires="a14">
        <xdr:graphicFrame macro="">
          <xdr:nvGraphicFramePr>
            <xdr:cNvPr id="62" name="Customer ">
              <a:extLst>
                <a:ext uri="{FF2B5EF4-FFF2-40B4-BE49-F238E27FC236}">
                  <a16:creationId xmlns:a16="http://schemas.microsoft.com/office/drawing/2014/main" id="{40780AC2-DA7A-9146-9727-BA3979409AA1}"/>
                </a:ext>
              </a:extLst>
            </xdr:cNvPr>
            <xdr:cNvGraphicFramePr/>
          </xdr:nvGraphicFramePr>
          <xdr:xfrm>
            <a:off x="0" y="0"/>
            <a:ext cx="0" cy="0"/>
          </xdr:xfrm>
          <a:graphic>
            <a:graphicData uri="http://schemas.microsoft.com/office/drawing/2010/slicer">
              <sle:slicer xmlns:sle="http://schemas.microsoft.com/office/drawing/2010/slicer" name="Customer "/>
            </a:graphicData>
          </a:graphic>
        </xdr:graphicFrame>
      </mc:Choice>
      <mc:Fallback xmlns="">
        <xdr:sp macro="" textlink="">
          <xdr:nvSpPr>
            <xdr:cNvPr id="0" name=""/>
            <xdr:cNvSpPr>
              <a:spLocks noTextEdit="1"/>
            </xdr:cNvSpPr>
          </xdr:nvSpPr>
          <xdr:spPr>
            <a:xfrm>
              <a:off x="1797684" y="278130"/>
              <a:ext cx="1915795" cy="20650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114300</xdr:colOff>
      <xdr:row>1</xdr:row>
      <xdr:rowOff>91441</xdr:rowOff>
    </xdr:from>
    <xdr:to>
      <xdr:col>5</xdr:col>
      <xdr:colOff>2092325</xdr:colOff>
      <xdr:row>9</xdr:row>
      <xdr:rowOff>55245</xdr:rowOff>
    </xdr:to>
    <mc:AlternateContent xmlns:mc="http://schemas.openxmlformats.org/markup-compatibility/2006" xmlns:a14="http://schemas.microsoft.com/office/drawing/2010/main">
      <mc:Choice Requires="a14">
        <xdr:graphicFrame macro="">
          <xdr:nvGraphicFramePr>
            <xdr:cNvPr id="75" name="Restructure Type">
              <a:extLst>
                <a:ext uri="{FF2B5EF4-FFF2-40B4-BE49-F238E27FC236}">
                  <a16:creationId xmlns:a16="http://schemas.microsoft.com/office/drawing/2014/main" id="{DB4977E1-120C-7AB3-FAC8-30CB5837D695}"/>
                </a:ext>
              </a:extLst>
            </xdr:cNvPr>
            <xdr:cNvGraphicFramePr/>
          </xdr:nvGraphicFramePr>
          <xdr:xfrm>
            <a:off x="0" y="0"/>
            <a:ext cx="0" cy="0"/>
          </xdr:xfrm>
          <a:graphic>
            <a:graphicData uri="http://schemas.microsoft.com/office/drawing/2010/slicer">
              <sle:slicer xmlns:sle="http://schemas.microsoft.com/office/drawing/2010/slicer" name="Restructure Type"/>
            </a:graphicData>
          </a:graphic>
        </xdr:graphicFrame>
      </mc:Choice>
      <mc:Fallback xmlns="">
        <xdr:sp macro="" textlink="">
          <xdr:nvSpPr>
            <xdr:cNvPr id="0" name=""/>
            <xdr:cNvSpPr>
              <a:spLocks noTextEdit="1"/>
            </xdr:cNvSpPr>
          </xdr:nvSpPr>
          <xdr:spPr>
            <a:xfrm>
              <a:off x="8239125" y="276226"/>
              <a:ext cx="1978025" cy="141160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968375</xdr:colOff>
      <xdr:row>1</xdr:row>
      <xdr:rowOff>111126</xdr:rowOff>
    </xdr:from>
    <xdr:to>
      <xdr:col>3</xdr:col>
      <xdr:colOff>1386840</xdr:colOff>
      <xdr:row>6</xdr:row>
      <xdr:rowOff>149226</xdr:rowOff>
    </xdr:to>
    <mc:AlternateContent xmlns:mc="http://schemas.openxmlformats.org/markup-compatibility/2006" xmlns:a14="http://schemas.microsoft.com/office/drawing/2010/main">
      <mc:Choice Requires="a14">
        <xdr:graphicFrame macro="">
          <xdr:nvGraphicFramePr>
            <xdr:cNvPr id="2" name="Expected year of signature">
              <a:extLst>
                <a:ext uri="{FF2B5EF4-FFF2-40B4-BE49-F238E27FC236}">
                  <a16:creationId xmlns:a16="http://schemas.microsoft.com/office/drawing/2014/main" id="{28722010-DCA5-CE73-329A-D64330C0E178}"/>
                </a:ext>
              </a:extLst>
            </xdr:cNvPr>
            <xdr:cNvGraphicFramePr/>
          </xdr:nvGraphicFramePr>
          <xdr:xfrm>
            <a:off x="0" y="0"/>
            <a:ext cx="0" cy="0"/>
          </xdr:xfrm>
          <a:graphic>
            <a:graphicData uri="http://schemas.microsoft.com/office/drawing/2010/slicer">
              <sle:slicer xmlns:sle="http://schemas.microsoft.com/office/drawing/2010/slicer" name="Expected year of signature"/>
            </a:graphicData>
          </a:graphic>
        </xdr:graphicFrame>
      </mc:Choice>
      <mc:Fallback xmlns="">
        <xdr:sp macro="" textlink="">
          <xdr:nvSpPr>
            <xdr:cNvPr id="0" name=""/>
            <xdr:cNvSpPr>
              <a:spLocks noTextEdit="1"/>
            </xdr:cNvSpPr>
          </xdr:nvSpPr>
          <xdr:spPr>
            <a:xfrm>
              <a:off x="3768725" y="292101"/>
              <a:ext cx="2270125" cy="942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133349</xdr:colOff>
      <xdr:row>1</xdr:row>
      <xdr:rowOff>93345</xdr:rowOff>
    </xdr:from>
    <xdr:to>
      <xdr:col>0</xdr:col>
      <xdr:colOff>2044623</xdr:colOff>
      <xdr:row>12</xdr:row>
      <xdr:rowOff>95250</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F6505D8E-4854-46F5-B3DD-40F695F0A7F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3349" y="274320"/>
              <a:ext cx="1602741" cy="19926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630423</xdr:colOff>
      <xdr:row>1</xdr:row>
      <xdr:rowOff>73661</xdr:rowOff>
    </xdr:from>
    <xdr:to>
      <xdr:col>9</xdr:col>
      <xdr:colOff>424</xdr:colOff>
      <xdr:row>12</xdr:row>
      <xdr:rowOff>96521</xdr:rowOff>
    </xdr:to>
    <mc:AlternateContent xmlns:mc="http://schemas.openxmlformats.org/markup-compatibility/2006" xmlns:a14="http://schemas.microsoft.com/office/drawing/2010/main">
      <mc:Choice Requires="a14">
        <xdr:graphicFrame macro="">
          <xdr:nvGraphicFramePr>
            <xdr:cNvPr id="14" name="Engine Value Stream 1">
              <a:extLst>
                <a:ext uri="{FF2B5EF4-FFF2-40B4-BE49-F238E27FC236}">
                  <a16:creationId xmlns:a16="http://schemas.microsoft.com/office/drawing/2014/main" id="{839B23D8-68B0-4265-B060-DA851AB015A1}"/>
                </a:ext>
              </a:extLst>
            </xdr:cNvPr>
            <xdr:cNvGraphicFramePr/>
          </xdr:nvGraphicFramePr>
          <xdr:xfrm>
            <a:off x="0" y="0"/>
            <a:ext cx="0" cy="0"/>
          </xdr:xfrm>
          <a:graphic>
            <a:graphicData uri="http://schemas.microsoft.com/office/drawing/2010/slicer">
              <sle:slicer xmlns:sle="http://schemas.microsoft.com/office/drawing/2010/slicer" name="Engine Value Stream 1"/>
            </a:graphicData>
          </a:graphic>
        </xdr:graphicFrame>
      </mc:Choice>
      <mc:Fallback xmlns="">
        <xdr:sp macro="" textlink="">
          <xdr:nvSpPr>
            <xdr:cNvPr id="0" name=""/>
            <xdr:cNvSpPr>
              <a:spLocks noTextEdit="1"/>
            </xdr:cNvSpPr>
          </xdr:nvSpPr>
          <xdr:spPr>
            <a:xfrm>
              <a:off x="10770234" y="254636"/>
              <a:ext cx="2460626" cy="20021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1121973</xdr:colOff>
      <xdr:row>1</xdr:row>
      <xdr:rowOff>73025</xdr:rowOff>
    </xdr:from>
    <xdr:to>
      <xdr:col>4</xdr:col>
      <xdr:colOff>686185</xdr:colOff>
      <xdr:row>7</xdr:row>
      <xdr:rowOff>172720</xdr:rowOff>
    </xdr:to>
    <mc:AlternateContent xmlns:mc="http://schemas.openxmlformats.org/markup-compatibility/2006" xmlns:a14="http://schemas.microsoft.com/office/drawing/2010/main">
      <mc:Choice Requires="a14">
        <xdr:graphicFrame macro="">
          <xdr:nvGraphicFramePr>
            <xdr:cNvPr id="17" name="Onerous/Non Onerous 1">
              <a:extLst>
                <a:ext uri="{FF2B5EF4-FFF2-40B4-BE49-F238E27FC236}">
                  <a16:creationId xmlns:a16="http://schemas.microsoft.com/office/drawing/2014/main" id="{8F3837A9-5530-49BC-B6B0-03DACD0D7743}"/>
                </a:ext>
              </a:extLst>
            </xdr:cNvPr>
            <xdr:cNvGraphicFramePr/>
          </xdr:nvGraphicFramePr>
          <xdr:xfrm>
            <a:off x="0" y="0"/>
            <a:ext cx="0" cy="0"/>
          </xdr:xfrm>
          <a:graphic>
            <a:graphicData uri="http://schemas.microsoft.com/office/drawing/2010/slicer">
              <sle:slicer xmlns:sle="http://schemas.microsoft.com/office/drawing/2010/slicer" name="Onerous/Non Onerous 1"/>
            </a:graphicData>
          </a:graphic>
        </xdr:graphicFrame>
      </mc:Choice>
      <mc:Fallback xmlns="">
        <xdr:sp macro="" textlink="">
          <xdr:nvSpPr>
            <xdr:cNvPr id="0" name=""/>
            <xdr:cNvSpPr>
              <a:spLocks noTextEdit="1"/>
            </xdr:cNvSpPr>
          </xdr:nvSpPr>
          <xdr:spPr>
            <a:xfrm>
              <a:off x="4784722" y="254000"/>
              <a:ext cx="2079628" cy="11855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380994</xdr:colOff>
      <xdr:row>1</xdr:row>
      <xdr:rowOff>55881</xdr:rowOff>
    </xdr:from>
    <xdr:to>
      <xdr:col>7</xdr:col>
      <xdr:colOff>549839</xdr:colOff>
      <xdr:row>9</xdr:row>
      <xdr:rowOff>58421</xdr:rowOff>
    </xdr:to>
    <mc:AlternateContent xmlns:mc="http://schemas.openxmlformats.org/markup-compatibility/2006" xmlns:a14="http://schemas.microsoft.com/office/drawing/2010/main">
      <mc:Choice Requires="a14">
        <xdr:graphicFrame macro="">
          <xdr:nvGraphicFramePr>
            <xdr:cNvPr id="15" name="Top Level EVS 1">
              <a:extLst>
                <a:ext uri="{FF2B5EF4-FFF2-40B4-BE49-F238E27FC236}">
                  <a16:creationId xmlns:a16="http://schemas.microsoft.com/office/drawing/2014/main" id="{3BBE8FAE-5A01-4473-B209-DC96F4156092}"/>
                </a:ext>
              </a:extLst>
            </xdr:cNvPr>
            <xdr:cNvGraphicFramePr/>
          </xdr:nvGraphicFramePr>
          <xdr:xfrm>
            <a:off x="0" y="0"/>
            <a:ext cx="0" cy="0"/>
          </xdr:xfrm>
          <a:graphic>
            <a:graphicData uri="http://schemas.microsoft.com/office/drawing/2010/slicer">
              <sle:slicer xmlns:sle="http://schemas.microsoft.com/office/drawing/2010/slicer" name="Top Level EVS 1"/>
            </a:graphicData>
          </a:graphic>
        </xdr:graphicFrame>
      </mc:Choice>
      <mc:Fallback xmlns="">
        <xdr:sp macro="" textlink="">
          <xdr:nvSpPr>
            <xdr:cNvPr id="0" name=""/>
            <xdr:cNvSpPr>
              <a:spLocks noTextEdit="1"/>
            </xdr:cNvSpPr>
          </xdr:nvSpPr>
          <xdr:spPr>
            <a:xfrm>
              <a:off x="9030335" y="247016"/>
              <a:ext cx="1654810" cy="14401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762385</xdr:colOff>
      <xdr:row>1</xdr:row>
      <xdr:rowOff>57151</xdr:rowOff>
    </xdr:from>
    <xdr:to>
      <xdr:col>6</xdr:col>
      <xdr:colOff>284990</xdr:colOff>
      <xdr:row>8</xdr:row>
      <xdr:rowOff>172085</xdr:rowOff>
    </xdr:to>
    <mc:AlternateContent xmlns:mc="http://schemas.openxmlformats.org/markup-compatibility/2006" xmlns:a14="http://schemas.microsoft.com/office/drawing/2010/main">
      <mc:Choice Requires="a14">
        <xdr:graphicFrame macro="">
          <xdr:nvGraphicFramePr>
            <xdr:cNvPr id="19" name="Restructure Type 1">
              <a:extLst>
                <a:ext uri="{FF2B5EF4-FFF2-40B4-BE49-F238E27FC236}">
                  <a16:creationId xmlns:a16="http://schemas.microsoft.com/office/drawing/2014/main" id="{352B97ED-4F2D-4F6C-8E31-FE3F9E612C2B}"/>
                </a:ext>
              </a:extLst>
            </xdr:cNvPr>
            <xdr:cNvGraphicFramePr/>
          </xdr:nvGraphicFramePr>
          <xdr:xfrm>
            <a:off x="0" y="0"/>
            <a:ext cx="0" cy="0"/>
          </xdr:xfrm>
          <a:graphic>
            <a:graphicData uri="http://schemas.microsoft.com/office/drawing/2010/slicer">
              <sle:slicer xmlns:sle="http://schemas.microsoft.com/office/drawing/2010/slicer" name="Restructure Type 1"/>
            </a:graphicData>
          </a:graphic>
        </xdr:graphicFrame>
      </mc:Choice>
      <mc:Fallback xmlns="">
        <xdr:sp macro="" textlink="">
          <xdr:nvSpPr>
            <xdr:cNvPr id="0" name=""/>
            <xdr:cNvSpPr>
              <a:spLocks noTextEdit="1"/>
            </xdr:cNvSpPr>
          </xdr:nvSpPr>
          <xdr:spPr>
            <a:xfrm>
              <a:off x="6943725" y="226696"/>
              <a:ext cx="2009140" cy="13931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131608</xdr:colOff>
      <xdr:row>1</xdr:row>
      <xdr:rowOff>96520</xdr:rowOff>
    </xdr:from>
    <xdr:to>
      <xdr:col>2</xdr:col>
      <xdr:colOff>974656</xdr:colOff>
      <xdr:row>8</xdr:row>
      <xdr:rowOff>171449</xdr:rowOff>
    </xdr:to>
    <mc:AlternateContent xmlns:mc="http://schemas.openxmlformats.org/markup-compatibility/2006" xmlns:a14="http://schemas.microsoft.com/office/drawing/2010/main">
      <mc:Choice Requires="a14">
        <xdr:graphicFrame macro="">
          <xdr:nvGraphicFramePr>
            <xdr:cNvPr id="18" name="Expected year of signature 1">
              <a:extLst>
                <a:ext uri="{FF2B5EF4-FFF2-40B4-BE49-F238E27FC236}">
                  <a16:creationId xmlns:a16="http://schemas.microsoft.com/office/drawing/2014/main" id="{FE95AECB-C7D7-4134-B533-942736BBB0E9}"/>
                </a:ext>
              </a:extLst>
            </xdr:cNvPr>
            <xdr:cNvGraphicFramePr/>
          </xdr:nvGraphicFramePr>
          <xdr:xfrm>
            <a:off x="0" y="0"/>
            <a:ext cx="0" cy="0"/>
          </xdr:xfrm>
          <a:graphic>
            <a:graphicData uri="http://schemas.microsoft.com/office/drawing/2010/slicer">
              <sle:slicer xmlns:sle="http://schemas.microsoft.com/office/drawing/2010/slicer" name="Expected year of signature 1"/>
            </a:graphicData>
          </a:graphic>
        </xdr:graphicFrame>
      </mc:Choice>
      <mc:Fallback xmlns="">
        <xdr:sp macro="" textlink="">
          <xdr:nvSpPr>
            <xdr:cNvPr id="0" name=""/>
            <xdr:cNvSpPr>
              <a:spLocks noTextEdit="1"/>
            </xdr:cNvSpPr>
          </xdr:nvSpPr>
          <xdr:spPr>
            <a:xfrm>
              <a:off x="2320925" y="267971"/>
              <a:ext cx="2277745" cy="930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F0CA6E9-CDD1-4E06-A6F0-872DC5E37497}"/>
  <namedSheetView name="View2" id="{D96F21D1-5EF9-488F-BDD3-81434FA458C1}">
    <nsvFilter filterId="{43C77DFC-D7B4-4BF3-8979-066A2FD1821B}" ref="C5:U129" tableId="0"/>
  </namedSheetView>
</namedSheetViews>
</file>

<file path=xl/persons/person.xml><?xml version="1.0" encoding="utf-8"?>
<personList xmlns="http://schemas.microsoft.com/office/spreadsheetml/2018/threadedcomments" xmlns:x="http://schemas.openxmlformats.org/spreadsheetml/2006/main">
  <person displayName="Zhan, Wenbei" id="{6C53D347-041B-42DA-A623-C9D980E63A51}" userId="S::wenbei.zhan@aerospace.rolls-royce.com::af8d3b11-f721-4d6d-ad3f-4c61e868b1ad" providerId="AD"/>
  <person displayName="Rosling, Kerri" id="{218709F9-F745-4D76-B042-F7C0BD29AF53}" userId="S::Kerri.Rosling@Aerospace.Rolls-Royce.com::299c99ee-46c5-4cc0-a3bc-9518d2c7e40f" providerId="AD"/>
  <person displayName="Bhaur, Baldeep" id="{2D0E042C-2622-4689-81CE-FCE7E61B1474}" userId="S::baldeep.bhaur@aerospace.rolls-royce.com::a106bd08-3d05-46e8-a795-7603db96d533" providerId="AD"/>
  <person displayName="Gan, Ben" id="{9EEE8DD6-B09D-44A0-A2D8-52E8980866FE}" userId="S::benjamin.gan3@aerospace.rolls-royce.com::2bfc1ccc-735a-4b8b-965b-a392ae5be7f6" providerId="AD"/>
  <person displayName="Passey, Harriet" id="{30B5D05C-9BCE-4381-B451-35D44C5739E2}" userId="S::Harriet.Passey@Aerospace.Rolls-Royce.com::5b0e75d5-62d3-4f72-b37f-f2a3285533cb" providerId="AD"/>
  <person displayName="Davies, Nicholas" id="{3C09C00B-05B8-481A-8E64-05408D65637F}" userId="S::Nicholas.Davies@Aerospace.Rolls-Royce.com::2ad6aab1-fe17-4557-befc-3d6a3a2261e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es, Nicholas" refreshedDate="46126.645257523145" createdVersion="8" refreshedVersion="8" minRefreshableVersion="3" recordCount="125" xr:uid="{89B565F3-E781-4BE0-A1F0-4A5C6E07B430}">
  <cacheSource type="worksheet">
    <worksheetSource ref="C5:U1048576" sheet="GLOBAL LOG"/>
  </cacheSource>
  <cacheFields count="19">
    <cacheField name="Region" numFmtId="0">
      <sharedItems containsBlank="1" count="6">
        <s v="Americas"/>
        <s v="APAC"/>
        <s v="MEA"/>
        <s v="Europe"/>
        <s v="Greater China"/>
        <m/>
      </sharedItems>
    </cacheField>
    <cacheField name="Customer " numFmtId="0">
      <sharedItems containsBlank="1" count="81">
        <s v="FedEx Corporation"/>
        <s v="American Airlines "/>
        <s v="Thai Airways International Ltd "/>
        <s v="Emirates"/>
        <s v="Singapore Airlines"/>
        <s v="Vietnam Airlines "/>
        <s v="British Airways "/>
        <s v="Srilankan Airlines "/>
        <s v="World2Fly "/>
        <s v="Hawaiian Airlines "/>
        <s v="Qatar"/>
        <s v="Etihad"/>
        <s v="Ethiopian Airlines"/>
        <s v="Iberia "/>
        <s v="Air Canada "/>
        <s v="Lufthansa"/>
        <s v="Royal Brunei Airlines "/>
        <s v="Saudia"/>
        <s v="LOT Polish Airlines "/>
        <s v="Condor Flugdienst Gmbh "/>
        <s v="TAP Air Portugal "/>
        <s v="Gulf"/>
        <s v="Rwanda"/>
        <s v="Egypt"/>
        <s v="China Southern"/>
        <s v="Keylime"/>
        <s v="All Nippon Airways "/>
        <s v="Sterling"/>
        <s v="Austral"/>
        <s v="Tanzania"/>
        <s v="Virgin Atlantic "/>
        <s v="Satena"/>
        <s v="United"/>
        <s v="Air New Zealand "/>
        <s v="Finnair "/>
        <s v="Air France "/>
        <s v="Thai Airasia X "/>
        <s v="Air Caraibes "/>
        <s v="China Airlines "/>
        <s v="Asiana Airlines "/>
        <s v="Cathay Pacific Airways "/>
        <s v="Air China"/>
        <s v="Cebu Pacific "/>
        <s v="Lion Air "/>
        <s v="Garuda "/>
        <s v="Delta Air Lines "/>
        <s v="Latam "/>
        <s v="Air Transat "/>
        <s v="Mas Air "/>
        <s v="Western Air"/>
        <s v="IBC Airways"/>
        <s v="Sunclass Airlines "/>
        <s v="ITA"/>
        <s v="Turkish Airlines "/>
        <s v="DHL"/>
        <s v="British Airways"/>
        <s v="Virgin Atlantic Airways"/>
        <s v="Delta Air Lines"/>
        <s v="Philippine Airlines"/>
        <s v="Vietnam Airlines"/>
        <s v="Japan Airlines"/>
        <s v="Air India"/>
        <s v="SAS Group"/>
        <s v="China Airlines"/>
        <s v="China Eastern"/>
        <s v="Iberia"/>
        <s v="Turkish Airlines"/>
        <s v="Air Mauritius"/>
        <m/>
        <s v="Ugandan Airlines"/>
        <s v="Japan Airlines " u="1"/>
        <s v="SAA" u="1"/>
        <s v="Silkway" u="1"/>
        <s v="Ethiopia" u="1"/>
        <s v="Air China " u="1"/>
        <s v="Senegal" u="1"/>
        <s v="China Southern Airlines " u="1"/>
        <s v="Air Europa " u="1"/>
        <s v="Ita Airways " u="1"/>
        <s v="Mng Airlines " u="1"/>
        <s v="FedEx" u="1"/>
      </sharedItems>
    </cacheField>
    <cacheField name="Engine Value Stream" numFmtId="0">
      <sharedItems containsBlank="1" count="13">
        <s v="RB211-535"/>
        <s v="Trent 800"/>
        <s v="Trent XWB-84"/>
        <s v="Trent 1000"/>
        <s v="Trent 900"/>
        <s v="Trent XWB-97"/>
        <s v="Trent 700"/>
        <s v="Trent 7000"/>
        <s v="AE3007"/>
        <s v="AE2100"/>
        <m/>
        <s v="RB211-524" u="1"/>
        <s v="Trent XWB" u="1"/>
      </sharedItems>
    </cacheField>
    <cacheField name="Top Level EVS" numFmtId="0">
      <sharedItems containsBlank="1" count="6">
        <s v="TFAME"/>
        <s v="Trent XWB"/>
        <s v="Trent 900"/>
        <s v=""/>
        <m/>
        <e v="#N/A" u="1"/>
      </sharedItems>
    </cacheField>
    <cacheField name="VP/Account Manager Owner" numFmtId="0">
      <sharedItems containsBlank="1"/>
    </cacheField>
    <cacheField name="Restructure Type" numFmtId="0">
      <sharedItems containsBlank="1" count="4">
        <s v="Full Contract Restructure"/>
        <s v="Increase Spare Engine Holding"/>
        <s v="Simple/Limited Restructure"/>
        <m/>
      </sharedItems>
    </cacheField>
    <cacheField name="Opportunity Maturity" numFmtId="0">
      <sharedItems containsBlank="1" count="3">
        <s v="Mature"/>
        <s v="Immature"/>
        <m/>
      </sharedItems>
    </cacheField>
    <cacheField name="Onerous/Non Onerous" numFmtId="0">
      <sharedItems containsBlank="1" count="3">
        <s v="Not Onerous"/>
        <s v="Onerous Contract"/>
        <m/>
      </sharedItems>
    </cacheField>
    <cacheField name="Initative" numFmtId="0">
      <sharedItems containsBlank="1" count="157" longText="1">
        <s v="FedEx - agreement/amendment to unadministrable TotalCare clauses and incentivisation of SV inductions - RB211-535"/>
        <s v="American Airlines requested input on longer extension to 2035"/>
        <s v="Min term extension  involving reinstating some discount, EOCL removal and escalation improvement._x000a_Jun-2025 Level 3 approval secured in .Jul 2025 - Proposal presented to THAI  with minor trades, Sep 2025 formal proposal requested in, Feb 2026 proposal issued and expect to contract pending THA acceptance"/>
        <s v="Finiq 2 - 3 year-extension + LRU Management + 23 a/c._x000a_Term benefit includes a % of DI7"/>
        <s v="Project Aegis contractual negotiations continue - final key points  (Charging Period, R-R Mitigation, Build Life Guarantee) being worked ahead of final closing meeting between JK and HP Lau _x000a_Note expected approval to close in March 2026 is £5m and so these figures have not been amended"/>
        <s v="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
        <s v="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
        <s v="Pantheon - Trent 900 Full MRO for improved CRP"/>
        <s v="Life Min Term extension to 24 years for owned a/c and 12 years for leased a/c, plus removal of EoCL for a $/efh discount on both Engine &amp; LLPs."/>
        <s v="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
        <s v="Min term extension (life) - 1 a/c exit from 2026. 5yr term but 12yr lease term. Contract extension in 2025_x000a_Plus sell used SPE to reduce NDSES costs in CRP (Minimal but supports the OE sale)"/>
        <s v="Life Min Term extension to 25 years for owned a/c and 12 years for leased a/c, plus removal of EoCL for a $/efh discount on both Engine &amp; LLPs."/>
        <s v="EFH discount in return for addition 20x SV commitment. Negotiations ongoing."/>
        <s v="Exit for convenience removal -84"/>
        <s v="TCA Reconciliation (CRP Improvement)"/>
        <s v="Trent XWB Full MRO for improved CRP"/>
        <s v="Exit for convenience removal -97"/>
        <s v="Restructure exisiting contract -Credit Back Removal_x000a_As part of A350-900 campaign"/>
        <s v="Min term extension (life) - 2x leased a/c meet minimum term in 2026. Contract extension to 2030 inline with revised lease terms. Contracted in 2025, linked to matrix extension resolution."/>
        <s v="Flex contract extension. Current contract expiring end of 2027. "/>
        <s v="Pull forward of spare engines, working capital improvements (payment terms), reverse lease of engines, EP upsell"/>
        <s v="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
        <s v="Extend Classic"/>
        <s v="1 new SPE in Q1 linked to 2 Dr Peters transition a/c._x000a_Life Min Term extension on purchased existing fleet as part of the 9 a/c campaign."/>
        <s v="NDSES improvement through SPE sales associated to new deal + FCRG and NED Remedy Improvement"/>
        <s v="Two aircraft delays to Original Delivery Schedule. Plan to progress 2026 Used SPE, credit pull-forward for CRP improvement and Optional AOG+1 NDSES Service."/>
        <s v="Commerical Offer - 3 Year Extension/ SPE Sales (NDSES Improvement)"/>
        <s v="TCA Life Min Term Extension"/>
        <s v="Restructure exisiting contract - Min Term Extension_x000a_As part of A350-900 campaign"/>
        <s v="EP Upsell (2028+ deliveries)"/>
        <s v="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_x000a_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
        <s v="Keylime Air _ AE3007 _ Add 2 in possession aircraft to TotalCare &amp; extend all to 2030"/>
        <s v="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
        <s v="Sterling _ AE2100 _ restructure &amp; add spare engines"/>
        <s v="TCA Extension (Life)/Exit credit trade"/>
        <s v="TCA Life Min Term Extension (life)_x000a_As part of 787-9 campaign"/>
        <s v="Sale of incremental spare engine. NDSES CRP"/>
        <s v="Sale of incremental Trent 1000 used SPE to meet inventory targets with RRPF S&amp;LB. Review of NDSES cost savings and CRP improvements."/>
        <s v="Descoping of nacelle services (thrust reverser)"/>
        <s v="Keylime Air _ AE3007 _ Add 2 aircraft to TotalCare, purchase of AC under eval"/>
        <s v="Satena _ AE3007 _ Contract extension for 2 AC"/>
        <s v="Restructure exisiting contract -Increase escalation_x000a_As part of A350-900 sales campaign"/>
        <s v="UNITED TotalCare restructure to SelectCare and term extension - 535E$"/>
        <s v="Min Term extension of existing contract 4 to 6 years post L1 last week. Fixed SV's to propose to be ascertained with support from Service business planner run post min term. Customer on board (&quot;Pulling&quot;)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
        <s v="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
        <s v="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
        <s v="Min Term Extension for both Life &amp; Term mix of structures  - discussions to commence following their fleet expansion analysis in Q2. "/>
        <s v="Descoping of unprofitable services in conjunction with new a/c opportunity. Test with new a/c (decision expected Q2 2026) before descoping existing fleet."/>
        <s v="Min term extension (life) - 3 a/c exit from 2029. Maybe add in 2026 RFP "/>
        <s v="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
        <s v="Min term extension (life) - 4 a/c exit from 2028"/>
        <s v="Min term extension (life) - 3 a/c exit from 2029"/>
        <s v="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_x000a_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
        <s v="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_x000a_"/>
        <s v="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
        <m/>
        <s v="Low margin contract and asked by value stream to brainstorm ideas to improve CRP"/>
        <s v="2 Aircraft Cancellation settlement agreed in 2025Q4, expected to be contracted by 2026Q2. _x000a_Min U uplift, 2y extension and escalation increased. Resultant is Utilisation uplifted to 2175, 2y extension  for 6 ac and escalation set to 5.15%. "/>
        <s v="Note: Notice of Breach Served on Garuda: Contract restructure, including possible PAYG-&gt;PASV flip, in the event of continuing payment disputes and as avenue to avoid termination of profitable CRPs - opportunity to sell new/used additional SPE's"/>
        <s v="To be assessed in 2026 - Incremental SPE sale to further reduce NDSES costs"/>
        <s v="Restructure/buy-out of environmental partnership guarentee"/>
        <s v="Focus on fleet health at present, ICT generating ideas to improve onerous position (potential sale of used spare engine and term extension)."/>
        <s v="Consolidation of TotalCare structures"/>
        <s v="Adding aircraft to the TotalCare - either FSA currently or newly acquired AC"/>
        <s v="Western Air Limited _ AE3007 _ Extension / Amendment for 2 AC"/>
        <s v="Western Air Limited _ AE3007 _ Extension for full fleet of 9 "/>
        <s v="IBC Airways _ AE3007 _ Extension for 1 AC"/>
        <s v="Opportunity to increase SPE level on Trent XWB x 2 SPE's at 40%"/>
        <s v="Opporunity to add a 1. XWB-84 Used SPE (Q1 2027) 2. Firm Up six (6) aircraft from existing Options. 3. PAS for A350F based on the volume change (4 to 3 FIRM) of A350F."/>
        <s v="Opportunity to sell combined PAS to both KLM and Martinair for XWB-84 and XWB-97 due to A350F volume change"/>
        <s v="Change escalation period to Jul instead of Jun to simplify recon"/>
        <s v="Sale of a first used Spare Engine which would reduce NDSES cost in the CRP"/>
        <s v="2 incremental a/c under LoI - opportunity to sell incremental used Spare Engine early to help CRP NDSES cost/fleet health"/>
        <s v="Extend minimum term of remaining fleet"/>
        <s v="LRU upsell"/>
        <s v="Below the pylon - potential descope"/>
        <s v="Below the pylon - potential descope (Trent 900)"/>
        <s v="Onerous -Transistion AC if possilbe, Extend contract or EOCL buy out"/>
        <s v="Life Min Term extension for owned a/c, plus removal of EoCL for a $/efh discount"/>
        <s v="SPE#4 Pull-forward"/>
        <s v="ITA integration into GEM (+ additional aircraft)"/>
        <s v="Restructure nacelle factor calculations to simplify covered services rate calculations and resulting recons"/>
        <s v="Sell of an incremental used Spare engine to mitigate Contractual risk associated with Additional Dedicated Lease Engine clause"/>
        <s v="additional SPE sales to increase SPE holding"/>
        <s v="extending to next SV after 20 years, rather then 15 years (in aligment with other engine types)"/>
        <s v="Contract amendment if new AC campaign"/>
        <s v="Contract amendment if new AC campaign "/>
        <s v="Batch 2 restrucuture could be in scope - after T1000 onerous negotiaion"/>
        <s v="Part 2: Min Term Extension"/>
        <s v="SPE #1 - benefit to CRP "/>
        <s v="SPE #2 - would be in trade for SL2 and net neutral benefit"/>
        <s v="7 yr extension of existing contract  (included as option in contract) - Looks like double count vs above row 59"/>
        <s v="Flexibility rights - value trade being considered as part of 2025 Campaign for 30+70"/>
        <s v="£500m credit back held on CRP and is not &quot;real&quot; due to credit back clause. a min term extension or end at next SV would resolve this."/>
        <s v="Potential Low probability opportunity to upsell LRU service as there has been some discussion with SAS on this. Lufthansa Technic incumbent LRU service supplier "/>
        <s v="4 March 2026: Transition of 3 AerCap leased aircraft from Sichuan to China Airlines with aircraft being purchased from AerCap.  Contract amendments signed at end Jan-26 to move from Sichuan Life TCA to existing China Airlines Life TCA with profit upside due to better margins on China Airlines CRP.   "/>
        <s v="4 March 2026: Following transition of 3 ex-Sichuan aircraft to China Airlines Life TCA (separate line item), given these aircraft have been purchased by China Airlines, there is a request/opprotunity to convert from Life TCA to Term TCA with potential to improve margin (albeit the existing deal is already good and so the improvement might be a challenge)."/>
        <s v="4 March 2026: Campaign started for TCA for China Southern's Block 2 fleet.  This presents an opportunity to pull forward spare engine delivery and potenitially sell additional spare engines to support the wider fleet.  Also potential to combine Block 2 into existing TCA."/>
        <s v="Min Term Extention to  address CRP issue around some A/C engs reaching 2R during 2026 and potentially only have 3 months notice to exit TCA"/>
        <s v="Life Min Term extension to 25 years for 7 owned a/c and 12 years for leased a/c, plus removal of EoCL for a $/efh discount on both Engine &amp; LLPs."/>
        <s v="LLP upsell for the 2x leased (used) a/c and further Min Term extension (+6yrs to 2036)"/>
        <s v="Inclusion of minU alleviation clause in all 3 Trent 700 contracts plus standardised NDSES remedies"/>
        <s v="Potential cancellation of 3 X Additional A350-900s. Fleet review ongoing with Seabury."/>
        <s v="New campaign deal uplifting pack margin to enable release of £59m onerous provision in AP6. Contracts signed"/>
        <s v="Pantheon - Trent XWB Full MRO for improved CRP" u="1"/>
        <s v="Min term extension (life) - 2x a/c meet minimum term in 2026. Need to contract extension to 2030 inline with revised lease terms. Contract in 2025, potentially link to matrix extension" u="1"/>
        <s v="Opporunity to add a 1. XWB-84 (Q1 2027) 2. Firm Up one aircraft from existing Options. 3. PAS for A350F based on the volume change (4 to 3 FIRM) of A350F." u="1"/>
        <s v="EOCL buy out" u="1"/>
        <s v="Contractual option in existing DEG to extend term for 7 years from 2029. We have opted not to link this to the incremental SPE transaction as we are confident JAL will elect the option irrespective. We can work with JAL on optimal timing to elect the option._x000a__x000a_Looks like double count to row 102" u="1"/>
        <s v="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 u="1"/>
        <s v="Contractual option in existing DEG to extend term for 7 years from 2029. We have opted not to link this to the incremental SPE transaction as we are confident JAL will elect the option irrespective. We can work with JAL on optimal timing to elect the option." u="1"/>
        <s v="26 Feb 2026: The customer welcomes the proposed term extension approach. S&amp;C will begin drafting the documents shortly. The contract is expected to be ready by March._x000a_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 u="1"/>
        <s v="25 Jul: Customer does not like the latest offer. Further negotiation to be had. Very low probability._x000a_Restructure from T&amp;M LLPs to LLP T/X Service to secure benefits of LLP Life extensions and satisify Cathay's concerns over LLP cost of ownership and lease engine cyclic charges. L2 approval given in Sep-24 to submit outline proposal (subject to approval). Q2-25 internal BE completed to better inform the financials. Face to face discussions with Cathay w/c 2 June to further follow up on the proposal and reiterate the benefits to CPA and discuss if there is potential for a deal - Cathay committed to do further evaluation of RR proposal and feedback.  Next step for L1/2 strategy/approval depending on Cathay feedback​. Support required to confirm margin benefits to CRP. " u="1"/>
        <s v="Strategy approved for TotalCare extension. SVS L2 approved the plan which will bring 38m onerous improvement" u="1"/>
        <s v="Opportunity to increase SPE level on Trent XWB" u="1"/>
        <s v="7 yr extension of existing contract  (included as option in contract)" u="1"/>
        <s v="Flexibility rights - value trade?" u="1"/>
        <s v="Finiq 2 - 3 year-extension + LRU Management + 23 a/c._x000a_Term benefit includesa % of DI7" u="1"/>
        <s v="Additional 2 X A/C" u="1"/>
        <s v="Increase in Green Time by 12k cycles" u="1"/>
        <s v="Min term extension  involving reinstating some discount, EOCL removal and escalation improvement._x000a_Level 3 approval secured in June. Proposal presented to THAI early July, well received, negotiation ongoing. Year-end deadline around THAI electing option to retrofit aircraft with Airbus." u="1"/>
        <s v="Aegis (to update)_x000a_Note expected approval to close in March 2026 is £5m and so these figures have not been amended" u="1"/>
        <s v="Internal: resource ramp-up to commence after Aegis closing position is agreed: including 1) lessons learnt from Trent XWB Project Aegis in terms of complexity, time to conclude and not doing the Final Restoration Shop Visit Guarantee by mid August. and 2) formulate strategy and key structure (building blocks) by mid Sept 3) Run preliminary BE / Service Business scenarios by Oct . External: Letter to be sent upon completion of the Trent XWB Project Aegis from Tufan, followed by CEO Face to Face meeting kick-off to coincide with Trent 1000 AOG disruption claim discussions, certification announcement of BoM-B, and Trent 1000 fleet health stability " u="1"/>
        <s v="3 Year Extension" u="1"/>
        <s v="Transportation Service Buy Out" u="1"/>
        <s v="NDSES improvement through SPE sales " u="1"/>
        <s v="TCA Extension/Exit credit trade" u="1"/>
        <s v="Low margin contract and asked by value stream to brainstorm ideas to improve CRP, kicked off discussions with Lion Air as part of negotiation to conclude the canx of 2 A330neo, target closure by end of 2025" u="1"/>
        <s v="Contract ammendment if new AC campaign " u="1"/>
        <s v="Aegis (to update)" u="1"/>
        <s v="FEDEX Restructure of non-enforceable TotalCare contract, incentivisation of SV inductions - 535E4" u="1"/>
        <s v="Finiq 2 - 3 year-extension + LRU Management + 23 a/c" u="1"/>
        <s v="IC Approved - handshake this week.  Contract by end of September, utilising &quot;sprint&quot; contracting" u="1"/>
        <s v="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u="1"/>
        <s v="Term Extension " u="1"/>
        <s v="Restructure exisiting contract -Credit Back Removal" u="1"/>
        <s v="Transportation Service Buy Out for first 12" u="1"/>
        <s v="Linked to new RFP. Addition of 9 transtion a/c and associated SPE sales_x000a_Including 1 used SPE in Q1 linked to 2 Dr Peters transition a/c" u="1"/>
        <s v="Min Term Extension" u="1"/>
        <s v="Restructure exisiting contract - Min Term Extension" u="1"/>
        <s v="Collect debt - sell SelectCare" u="1"/>
        <s v="PAS Upsell" u="1"/>
        <s v="25 Jul: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 " u="1"/>
        <s v="Min Term Extension (life)" u="1"/>
        <s v="NDSES CRP" u="1"/>
        <s v="Descoping of nacelle services (thrust reverser) - Back burner" u="1"/>
        <s v="Restructure exisiting contract -Increase escalation" u="1"/>
        <s v="7 Aug: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 u="1"/>
        <s v="7 Aug: L3 strategy approved. Weekly L1/L2 catch up to progress. Optimisation relies on term extension and service upsell. Indicative rates and scenarios have been developed. Finalising onerous release calculation, target L2/3 approval by end of Aug to seek authority to bid.  " u="1"/>
        <s v="Finiq 2 - 3 year-extension + LRU Management + 15 a/c" u="1"/>
        <s v="Finiq 4 - Increase in escalation from 2% to 3%" u="1"/>
        <s v="Finiq 3 - Eliminate NDSES Cost via DAT" u="1"/>
        <s v="Finiq 4 - Introduce a Matrix" u="1"/>
        <s v="Finiq 3 - OWS - eliminate $20k remedy" u="1"/>
        <s v="Life Minimum Term Extension and restructuring of Fuel Burn Guarantees. On hold - Fuel Burn Guarantees not claimed and some expire in 2026. Fleet will now transition to Abra - Americas team." u="1"/>
        <s v="To be assessed in 2025 - Incremental SPE sale to further reduce NDSES costs" u="1"/>
        <s v="Add incremental a/c into existing TCA" u="1"/>
      </sharedItems>
    </cacheField>
    <cacheField name="Project Plan Requirements" numFmtId="0">
      <sharedItems containsBlank="1"/>
    </cacheField>
    <cacheField name="Status" numFmtId="0">
      <sharedItems containsBlank="1"/>
    </cacheField>
    <cacheField name="Expected year of signature" numFmtId="0">
      <sharedItems containsString="0" containsBlank="1" containsNumber="1" containsInteger="1" minValue="2025" maxValue="2027" count="4">
        <n v="2026"/>
        <n v="2025"/>
        <n v="2027"/>
        <m/>
      </sharedItems>
    </cacheField>
    <cacheField name="Signature AP" numFmtId="0">
      <sharedItems containsBlank="1"/>
    </cacheField>
    <cacheField name="CRP Term Benefit £m" numFmtId="0">
      <sharedItems containsBlank="1" containsMixedTypes="1" containsNumber="1" minValue="0" maxValue="442"/>
    </cacheField>
    <cacheField name="Profit 2026 £m" numFmtId="40">
      <sharedItems containsBlank="1" containsMixedTypes="1" containsNumber="1" minValue="-7.4" maxValue="80"/>
    </cacheField>
    <cacheField name="Profit 2027 £m" numFmtId="40">
      <sharedItems containsBlank="1" containsMixedTypes="1" containsNumber="1" minValue="0" maxValue="39"/>
    </cacheField>
    <cacheField name="Profit 2028 £m" numFmtId="40">
      <sharedItems containsBlank="1" containsMixedTypes="1" containsNumber="1" minValue="0" maxValue="16"/>
    </cacheField>
    <cacheField name="Profit 2029 £m" numFmtId="40">
      <sharedItems containsBlank="1" containsMixedTypes="1" containsNumber="1" minValue="0" maxValue="20"/>
    </cacheField>
    <cacheField name="Profit 2030 £m" numFmtId="40">
      <sharedItems containsBlank="1" containsMixedTypes="1" containsNumber="1" minValue="0" maxValue="15"/>
    </cacheField>
  </cacheFields>
  <extLst>
    <ext xmlns:x14="http://schemas.microsoft.com/office/spreadsheetml/2009/9/main" uri="{725AE2AE-9491-48be-B2B4-4EB974FC3084}">
      <x14:pivotCacheDefinition pivotCacheId="346340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x v="0"/>
    <x v="0"/>
    <x v="0"/>
    <x v="0"/>
    <s v="Meagan Austgen"/>
    <x v="0"/>
    <x v="0"/>
    <x v="0"/>
    <x v="0"/>
    <s v="Required"/>
    <s v="Negotations Started"/>
    <x v="0"/>
    <s v="AP6"/>
    <n v="21.15"/>
    <n v="6.43"/>
    <n v="6.96"/>
    <n v="7.77"/>
    <m/>
    <m/>
  </r>
  <r>
    <x v="0"/>
    <x v="1"/>
    <x v="1"/>
    <x v="0"/>
    <s v="David Gonzalez-Gomez"/>
    <x v="0"/>
    <x v="0"/>
    <x v="0"/>
    <x v="1"/>
    <s v="Required"/>
    <s v="Financial Modelling Complete"/>
    <x v="0"/>
    <s v="AP12"/>
    <n v="318"/>
    <n v="0"/>
    <m/>
    <m/>
    <m/>
    <m/>
  </r>
  <r>
    <x v="1"/>
    <x v="2"/>
    <x v="2"/>
    <x v="1"/>
    <s v="Nick Chadwick / Ben Gan"/>
    <x v="0"/>
    <x v="0"/>
    <x v="0"/>
    <x v="2"/>
    <s v="Required"/>
    <s v="Contracting Started"/>
    <x v="0"/>
    <s v="AP12"/>
    <n v="294.10000000000002"/>
    <s v="tbc"/>
    <s v="Confirm with Harry"/>
    <s v="Confirm with Harry"/>
    <s v="Confirm with Harry"/>
    <s v="Confirm with Harry"/>
  </r>
  <r>
    <x v="2"/>
    <x v="3"/>
    <x v="2"/>
    <x v="1"/>
    <s v="Matt Whatley / Darren O'neill"/>
    <x v="0"/>
    <x v="0"/>
    <x v="0"/>
    <x v="3"/>
    <s v="Required"/>
    <s v="Contracting Concluded"/>
    <x v="1"/>
    <m/>
    <n v="193"/>
    <n v="0"/>
    <s v=""/>
    <m/>
    <m/>
    <m/>
  </r>
  <r>
    <x v="1"/>
    <x v="4"/>
    <x v="2"/>
    <x v="1"/>
    <s v="Paul Hallam"/>
    <x v="0"/>
    <x v="0"/>
    <x v="1"/>
    <x v="4"/>
    <s v="Required"/>
    <s v="Contracting Started"/>
    <x v="0"/>
    <s v="AP3"/>
    <n v="231"/>
    <n v="24"/>
    <s v="Confirm with Harry"/>
    <s v="Confirm with Harry"/>
    <s v="Confirm with Harry"/>
    <s v="Confirm with Harry"/>
  </r>
  <r>
    <x v="1"/>
    <x v="5"/>
    <x v="2"/>
    <x v="1"/>
    <s v="Paul Hallam"/>
    <x v="0"/>
    <x v="0"/>
    <x v="0"/>
    <x v="5"/>
    <s v="Required"/>
    <s v="Negotations Started"/>
    <x v="0"/>
    <s v="AP6"/>
    <n v="186"/>
    <n v="10"/>
    <n v="6"/>
    <n v="7"/>
    <n v="20"/>
    <n v="9"/>
  </r>
  <r>
    <x v="1"/>
    <x v="4"/>
    <x v="3"/>
    <x v="0"/>
    <s v="Paul Hallam"/>
    <x v="0"/>
    <x v="1"/>
    <x v="1"/>
    <x v="6"/>
    <s v="Required"/>
    <s v="ICT formed"/>
    <x v="0"/>
    <s v="AP12"/>
    <n v="80"/>
    <n v="80"/>
    <s v="Confirm with Bobby"/>
    <s v="Confirm with Bobby"/>
    <s v="Confirm with Bobby"/>
    <s v="Confirm with Bobby"/>
  </r>
  <r>
    <x v="2"/>
    <x v="3"/>
    <x v="4"/>
    <x v="2"/>
    <s v="Matt Whatley / Darren O'neill"/>
    <x v="0"/>
    <x v="1"/>
    <x v="0"/>
    <x v="7"/>
    <s v="Required"/>
    <s v="Financial Modelling Started"/>
    <x v="0"/>
    <s v="AP9"/>
    <n v="100"/>
    <n v="0"/>
    <s v=""/>
    <m/>
    <m/>
    <m/>
  </r>
  <r>
    <x v="3"/>
    <x v="6"/>
    <x v="5"/>
    <x v="1"/>
    <s v="Matt O'Connor"/>
    <x v="0"/>
    <x v="0"/>
    <x v="0"/>
    <x v="8"/>
    <s v="Required"/>
    <s v="Negotations Started"/>
    <x v="0"/>
    <s v="AP6"/>
    <n v="330"/>
    <m/>
    <m/>
    <m/>
    <m/>
    <m/>
  </r>
  <r>
    <x v="1"/>
    <x v="7"/>
    <x v="6"/>
    <x v="0"/>
    <s v="Kendrick Lim"/>
    <x v="0"/>
    <x v="0"/>
    <x v="0"/>
    <x v="9"/>
    <s v="Required"/>
    <s v="Negotations Started"/>
    <x v="0"/>
    <s v="AP6"/>
    <n v="104.16666666666667"/>
    <n v="20"/>
    <n v="2"/>
    <n v="1"/>
    <n v="8"/>
    <n v="15"/>
  </r>
  <r>
    <x v="3"/>
    <x v="8"/>
    <x v="2"/>
    <x v="1"/>
    <s v="Neeraj Sunger"/>
    <x v="1"/>
    <x v="0"/>
    <x v="0"/>
    <x v="10"/>
    <s v="Not Required"/>
    <s v="ICT formed"/>
    <x v="0"/>
    <m/>
    <m/>
    <m/>
    <m/>
    <m/>
    <m/>
    <m/>
  </r>
  <r>
    <x v="3"/>
    <x v="6"/>
    <x v="3"/>
    <x v="0"/>
    <s v="Matt O'Connor"/>
    <x v="0"/>
    <x v="0"/>
    <x v="1"/>
    <x v="11"/>
    <s v="Required"/>
    <s v="Negotations Started"/>
    <x v="0"/>
    <s v="AP6"/>
    <n v="303"/>
    <n v="35"/>
    <m/>
    <m/>
    <m/>
    <m/>
  </r>
  <r>
    <x v="0"/>
    <x v="9"/>
    <x v="6"/>
    <x v="0"/>
    <s v="Harrison Green"/>
    <x v="0"/>
    <x v="0"/>
    <x v="0"/>
    <x v="12"/>
    <s v="Required"/>
    <s v="Contracting Concluded"/>
    <x v="1"/>
    <s v="AP11"/>
    <n v="53.2"/>
    <n v="7.6"/>
    <n v="7.6"/>
    <n v="7.6"/>
    <n v="7.6"/>
    <n v="7.6"/>
  </r>
  <r>
    <x v="2"/>
    <x v="10"/>
    <x v="2"/>
    <x v="1"/>
    <s v="Matt Whatley / Issy Walton"/>
    <x v="0"/>
    <x v="0"/>
    <x v="0"/>
    <x v="13"/>
    <s v="Not Required"/>
    <s v="Contracting Started"/>
    <x v="0"/>
    <s v="AP3"/>
    <m/>
    <n v="15"/>
    <n v="39"/>
    <n v="16"/>
    <n v="16"/>
    <n v="11"/>
  </r>
  <r>
    <x v="2"/>
    <x v="11"/>
    <x v="5"/>
    <x v="1"/>
    <s v="Gordon Deas"/>
    <x v="2"/>
    <x v="0"/>
    <x v="0"/>
    <x v="14"/>
    <s v="Not Required"/>
    <s v="Contracting Concluded"/>
    <x v="1"/>
    <m/>
    <n v="2.3188405797101455"/>
    <n v="2.3199999999999998"/>
    <m/>
    <m/>
    <m/>
    <m/>
  </r>
  <r>
    <x v="2"/>
    <x v="3"/>
    <x v="2"/>
    <x v="1"/>
    <s v="Matt Whatley / Darren O'neill"/>
    <x v="2"/>
    <x v="1"/>
    <x v="0"/>
    <x v="15"/>
    <s v="Not Required"/>
    <s v="Initial idea"/>
    <x v="2"/>
    <m/>
    <n v="33"/>
    <n v="0"/>
    <s v=""/>
    <m/>
    <m/>
    <m/>
  </r>
  <r>
    <x v="2"/>
    <x v="10"/>
    <x v="5"/>
    <x v="1"/>
    <s v="Matt Whatley / Issy Walton"/>
    <x v="0"/>
    <x v="1"/>
    <x v="0"/>
    <x v="16"/>
    <s v="Not Required"/>
    <s v="Initial idea"/>
    <x v="2"/>
    <m/>
    <m/>
    <m/>
    <m/>
    <m/>
    <m/>
    <m/>
  </r>
  <r>
    <x v="2"/>
    <x v="12"/>
    <x v="2"/>
    <x v="1"/>
    <s v="Gordon Deas"/>
    <x v="2"/>
    <x v="0"/>
    <x v="0"/>
    <x v="17"/>
    <s v="Not Required"/>
    <s v="ICT formed"/>
    <x v="0"/>
    <m/>
    <m/>
    <n v="0"/>
    <m/>
    <m/>
    <m/>
    <m/>
  </r>
  <r>
    <x v="3"/>
    <x v="13"/>
    <x v="2"/>
    <x v="1"/>
    <s v="Neeraj Sunger"/>
    <x v="2"/>
    <x v="0"/>
    <x v="0"/>
    <x v="18"/>
    <s v="Not Required"/>
    <s v="Contracting Concluded"/>
    <x v="1"/>
    <m/>
    <m/>
    <m/>
    <m/>
    <m/>
    <m/>
    <m/>
  </r>
  <r>
    <x v="0"/>
    <x v="14"/>
    <x v="6"/>
    <x v="0"/>
    <s v="David Gonzalez-Gomez"/>
    <x v="3"/>
    <x v="1"/>
    <x v="0"/>
    <x v="19"/>
    <s v="Not Required"/>
    <m/>
    <x v="3"/>
    <m/>
    <n v="15"/>
    <n v="1E-3"/>
    <n v="1E-3"/>
    <n v="5"/>
    <n v="5"/>
    <n v="5"/>
  </r>
  <r>
    <x v="3"/>
    <x v="15"/>
    <x v="2"/>
    <x v="1"/>
    <s v="Keith Coull"/>
    <x v="2"/>
    <x v="0"/>
    <x v="0"/>
    <x v="20"/>
    <s v="Not Required"/>
    <s v="Negotations Concluded"/>
    <x v="0"/>
    <s v="AP3"/>
    <n v="14"/>
    <m/>
    <m/>
    <m/>
    <m/>
    <m/>
  </r>
  <r>
    <x v="1"/>
    <x v="16"/>
    <x v="3"/>
    <x v="0"/>
    <s v="Kendrick Lim"/>
    <x v="3"/>
    <x v="0"/>
    <x v="1"/>
    <x v="21"/>
    <s v="Not Required"/>
    <s v="ICT formed"/>
    <x v="3"/>
    <m/>
    <n v="13"/>
    <n v="4"/>
    <s v="Confirm with Bobby"/>
    <s v="Confirm with Bobby"/>
    <s v="Confirm with Bobby"/>
    <s v="Confirm with Bobby"/>
  </r>
  <r>
    <x v="2"/>
    <x v="17"/>
    <x v="6"/>
    <x v="0"/>
    <s v="Georges Abou-Nasr"/>
    <x v="0"/>
    <x v="1"/>
    <x v="0"/>
    <x v="22"/>
    <s v="Not Required"/>
    <s v="Initial idea"/>
    <x v="2"/>
    <m/>
    <m/>
    <n v="0"/>
    <n v="0"/>
    <m/>
    <m/>
    <m/>
  </r>
  <r>
    <x v="3"/>
    <x v="18"/>
    <x v="3"/>
    <x v="0"/>
    <s v="Sean Burke"/>
    <x v="1"/>
    <x v="1"/>
    <x v="0"/>
    <x v="23"/>
    <s v="Not Required"/>
    <s v="Negotations Started"/>
    <x v="0"/>
    <s v="AP6"/>
    <n v="10"/>
    <m/>
    <m/>
    <m/>
    <m/>
    <m/>
  </r>
  <r>
    <x v="3"/>
    <x v="19"/>
    <x v="7"/>
    <x v="0"/>
    <s v="Aaron Taylor"/>
    <x v="1"/>
    <x v="0"/>
    <x v="0"/>
    <x v="24"/>
    <s v="Not Required"/>
    <s v="Contracting Started"/>
    <x v="0"/>
    <m/>
    <n v="9.3478260869565233"/>
    <m/>
    <m/>
    <m/>
    <m/>
    <m/>
  </r>
  <r>
    <x v="3"/>
    <x v="20"/>
    <x v="7"/>
    <x v="0"/>
    <s v="Richard Docherty"/>
    <x v="1"/>
    <x v="0"/>
    <x v="0"/>
    <x v="25"/>
    <s v="Not Required"/>
    <s v="Negotations Concluded"/>
    <x v="0"/>
    <m/>
    <n v="6"/>
    <m/>
    <m/>
    <m/>
    <m/>
    <m/>
  </r>
  <r>
    <x v="2"/>
    <x v="21"/>
    <x v="3"/>
    <x v="0"/>
    <s v="Georgia Chapman"/>
    <x v="0"/>
    <x v="0"/>
    <x v="0"/>
    <x v="26"/>
    <s v="Required"/>
    <s v="Negotations Started"/>
    <x v="0"/>
    <s v="AP6"/>
    <n v="32.299999999999997"/>
    <n v="-7.4"/>
    <n v="2.5"/>
    <n v="3.4"/>
    <n v="4.5999999999999996"/>
    <n v="4.0999999999999996"/>
  </r>
  <r>
    <x v="2"/>
    <x v="22"/>
    <x v="6"/>
    <x v="0"/>
    <s v="Gordon Deas"/>
    <x v="0"/>
    <x v="1"/>
    <x v="0"/>
    <x v="27"/>
    <s v="Not Required"/>
    <s v="Initial idea"/>
    <x v="0"/>
    <m/>
    <n v="8.879999999999999"/>
    <n v="0"/>
    <n v="0"/>
    <m/>
    <m/>
    <m/>
  </r>
  <r>
    <x v="2"/>
    <x v="12"/>
    <x v="2"/>
    <x v="1"/>
    <s v="Gordon Deas"/>
    <x v="0"/>
    <x v="1"/>
    <x v="0"/>
    <x v="28"/>
    <s v="Not Required"/>
    <s v="ICT formed"/>
    <x v="0"/>
    <m/>
    <m/>
    <n v="0"/>
    <m/>
    <m/>
    <m/>
    <m/>
  </r>
  <r>
    <x v="2"/>
    <x v="23"/>
    <x v="2"/>
    <x v="1"/>
    <s v="Georges Abou-Nasr"/>
    <x v="0"/>
    <x v="1"/>
    <x v="0"/>
    <x v="29"/>
    <s v="Not Required"/>
    <s v="Initial idea"/>
    <x v="2"/>
    <m/>
    <m/>
    <m/>
    <m/>
    <m/>
    <m/>
    <m/>
  </r>
  <r>
    <x v="4"/>
    <x v="24"/>
    <x v="6"/>
    <x v="0"/>
    <s v="Daniel Hector"/>
    <x v="2"/>
    <x v="0"/>
    <x v="0"/>
    <x v="30"/>
    <s v="Not Required"/>
    <s v="Negotations Started"/>
    <x v="0"/>
    <m/>
    <n v="5"/>
    <n v="5"/>
    <m/>
    <m/>
    <m/>
    <m/>
  </r>
  <r>
    <x v="0"/>
    <x v="25"/>
    <x v="8"/>
    <x v="0"/>
    <s v="Cory Noel"/>
    <x v="2"/>
    <x v="0"/>
    <x v="0"/>
    <x v="31"/>
    <s v="Not Required"/>
    <s v="Contracting Concluded"/>
    <x v="1"/>
    <m/>
    <n v="5"/>
    <n v="0"/>
    <m/>
    <m/>
    <m/>
    <m/>
  </r>
  <r>
    <x v="1"/>
    <x v="26"/>
    <x v="3"/>
    <x v="0"/>
    <s v="Nick Chadwick / Chong Sien Lim"/>
    <x v="1"/>
    <x v="1"/>
    <x v="2"/>
    <x v="32"/>
    <s v="Not Required"/>
    <s v="Contracting Concluded"/>
    <x v="1"/>
    <m/>
    <n v="4.9000000000000004"/>
    <n v="2.0580000000000003"/>
    <m/>
    <m/>
    <m/>
    <m/>
  </r>
  <r>
    <x v="0"/>
    <x v="27"/>
    <x v="9"/>
    <x v="0"/>
    <s v="Cory Noel"/>
    <x v="0"/>
    <x v="0"/>
    <x v="0"/>
    <x v="33"/>
    <s v="Not Required"/>
    <s v="Financial Modelling Complete"/>
    <x v="0"/>
    <m/>
    <n v="3.87"/>
    <n v="0"/>
    <m/>
    <m/>
    <m/>
    <m/>
  </r>
  <r>
    <x v="2"/>
    <x v="28"/>
    <x v="3"/>
    <x v="0"/>
    <s v="Georgia Chapman"/>
    <x v="0"/>
    <x v="1"/>
    <x v="0"/>
    <x v="34"/>
    <s v="Not Required"/>
    <s v="Initial idea"/>
    <x v="3"/>
    <m/>
    <n v="3.552"/>
    <n v="0"/>
    <m/>
    <m/>
    <m/>
    <m/>
  </r>
  <r>
    <x v="2"/>
    <x v="12"/>
    <x v="3"/>
    <x v="0"/>
    <s v="Gordon Deas"/>
    <x v="0"/>
    <x v="0"/>
    <x v="1"/>
    <x v="35"/>
    <s v="Not Required"/>
    <s v="ICT formed"/>
    <x v="0"/>
    <m/>
    <m/>
    <n v="23"/>
    <m/>
    <m/>
    <m/>
    <m/>
  </r>
  <r>
    <x v="2"/>
    <x v="29"/>
    <x v="3"/>
    <x v="0"/>
    <s v="Gordon Deas"/>
    <x v="1"/>
    <x v="0"/>
    <x v="0"/>
    <x v="36"/>
    <s v="Not Required"/>
    <s v="Contracting Concluded"/>
    <x v="0"/>
    <s v="AP4"/>
    <n v="2.6284800000000001"/>
    <n v="0.52569600000000005"/>
    <n v="0.52569600000000005"/>
    <m/>
    <m/>
    <m/>
  </r>
  <r>
    <x v="3"/>
    <x v="30"/>
    <x v="3"/>
    <x v="0"/>
    <s v="Keith Coull"/>
    <x v="1"/>
    <x v="0"/>
    <x v="1"/>
    <x v="37"/>
    <s v="Not Required"/>
    <s v="Negotations Started"/>
    <x v="0"/>
    <s v="AP6"/>
    <n v="2"/>
    <n v="2"/>
    <m/>
    <m/>
    <m/>
    <m/>
  </r>
  <r>
    <x v="3"/>
    <x v="6"/>
    <x v="4"/>
    <x v="0"/>
    <s v="Matt O'Connor"/>
    <x v="0"/>
    <x v="0"/>
    <x v="0"/>
    <x v="38"/>
    <s v="Not Required"/>
    <s v="ICT formed"/>
    <x v="0"/>
    <m/>
    <n v="1.1000000000000001"/>
    <n v="0.5"/>
    <n v="0"/>
    <m/>
    <m/>
    <m/>
  </r>
  <r>
    <x v="0"/>
    <x v="25"/>
    <x v="8"/>
    <x v="0"/>
    <s v="Cory Noel"/>
    <x v="2"/>
    <x v="0"/>
    <x v="0"/>
    <x v="39"/>
    <s v="Not Required"/>
    <s v="Contracting Started"/>
    <x v="0"/>
    <m/>
    <n v="1"/>
    <n v="0"/>
    <m/>
    <m/>
    <m/>
    <m/>
  </r>
  <r>
    <x v="0"/>
    <x v="31"/>
    <x v="8"/>
    <x v="0"/>
    <s v="Cory Noel"/>
    <x v="2"/>
    <x v="1"/>
    <x v="0"/>
    <x v="40"/>
    <s v="Not Required"/>
    <m/>
    <x v="3"/>
    <m/>
    <n v="1"/>
    <n v="0"/>
    <m/>
    <m/>
    <m/>
    <m/>
  </r>
  <r>
    <x v="2"/>
    <x v="12"/>
    <x v="2"/>
    <x v="1"/>
    <s v="Gordon Deas"/>
    <x v="2"/>
    <x v="1"/>
    <x v="0"/>
    <x v="41"/>
    <s v="Not Required"/>
    <s v="ICT formed"/>
    <x v="2"/>
    <m/>
    <n v="0"/>
    <n v="0"/>
    <m/>
    <m/>
    <m/>
    <m/>
  </r>
  <r>
    <x v="0"/>
    <x v="32"/>
    <x v="0"/>
    <x v="0"/>
    <s v="Meagan Austgen"/>
    <x v="3"/>
    <x v="1"/>
    <x v="0"/>
    <x v="42"/>
    <s v="Not Required"/>
    <m/>
    <x v="3"/>
    <m/>
    <n v="0"/>
    <n v="0"/>
    <n v="0"/>
    <n v="0"/>
    <n v="0"/>
    <n v="0"/>
  </r>
  <r>
    <x v="1"/>
    <x v="33"/>
    <x v="3"/>
    <x v="0"/>
    <s v="Kendrick Lim"/>
    <x v="2"/>
    <x v="1"/>
    <x v="1"/>
    <x v="43"/>
    <s v="Not Required"/>
    <s v="Negotations Started"/>
    <x v="0"/>
    <s v="AP6"/>
    <n v="14"/>
    <n v="14"/>
    <s v="Confirm with Bobby"/>
    <s v="Confirm with Bobby"/>
    <s v="Confirm with Bobby"/>
    <s v="Confirm with Bobby"/>
  </r>
  <r>
    <x v="1"/>
    <x v="26"/>
    <x v="3"/>
    <x v="0"/>
    <s v="Nick Chadwick / Chong Sien Lim"/>
    <x v="3"/>
    <x v="1"/>
    <x v="2"/>
    <x v="44"/>
    <s v="Not Required"/>
    <m/>
    <x v="0"/>
    <m/>
    <m/>
    <n v="0"/>
    <m/>
    <m/>
    <m/>
    <m/>
  </r>
  <r>
    <x v="1"/>
    <x v="4"/>
    <x v="4"/>
    <x v="0"/>
    <s v="Paul Hallam"/>
    <x v="3"/>
    <x v="0"/>
    <x v="2"/>
    <x v="45"/>
    <s v="Not Required"/>
    <m/>
    <x v="3"/>
    <m/>
    <m/>
    <n v="0"/>
    <m/>
    <m/>
    <m/>
    <m/>
  </r>
  <r>
    <x v="3"/>
    <x v="34"/>
    <x v="2"/>
    <x v="1"/>
    <s v="Matt Haddon"/>
    <x v="0"/>
    <x v="1"/>
    <x v="0"/>
    <x v="46"/>
    <s v="Not Required"/>
    <s v="Initial idea"/>
    <x v="2"/>
    <m/>
    <m/>
    <m/>
    <m/>
    <m/>
    <m/>
    <m/>
  </r>
  <r>
    <x v="3"/>
    <x v="30"/>
    <x v="7"/>
    <x v="0"/>
    <s v="Keith Coull"/>
    <x v="0"/>
    <x v="1"/>
    <x v="0"/>
    <x v="47"/>
    <s v="Not Required"/>
    <s v="Negotations Started"/>
    <x v="3"/>
    <m/>
    <m/>
    <m/>
    <m/>
    <m/>
    <m/>
    <m/>
  </r>
  <r>
    <x v="3"/>
    <x v="35"/>
    <x v="2"/>
    <x v="1"/>
    <s v="Richard Docherty"/>
    <x v="0"/>
    <x v="0"/>
    <x v="0"/>
    <x v="48"/>
    <s v="Not Required"/>
    <s v="Initial idea"/>
    <x v="2"/>
    <m/>
    <m/>
    <m/>
    <m/>
    <m/>
    <m/>
    <m/>
  </r>
  <r>
    <x v="1"/>
    <x v="36"/>
    <x v="6"/>
    <x v="0"/>
    <s v="Nick Chadwick"/>
    <x v="3"/>
    <x v="0"/>
    <x v="2"/>
    <x v="49"/>
    <s v="Not Required"/>
    <m/>
    <x v="3"/>
    <m/>
    <m/>
    <n v="0"/>
    <s v="Rebecca to confirm"/>
    <s v="Rebecca to confirm"/>
    <s v="Rebecca to confirm"/>
    <s v="Rebecca to confirm"/>
  </r>
  <r>
    <x v="3"/>
    <x v="15"/>
    <x v="2"/>
    <x v="1"/>
    <s v="Keith Coull"/>
    <x v="0"/>
    <x v="0"/>
    <x v="0"/>
    <x v="50"/>
    <s v="Not Required"/>
    <s v="Initial idea"/>
    <x v="2"/>
    <m/>
    <m/>
    <m/>
    <m/>
    <m/>
    <m/>
    <m/>
  </r>
  <r>
    <x v="3"/>
    <x v="37"/>
    <x v="2"/>
    <x v="1"/>
    <s v="Richard Docherty"/>
    <x v="0"/>
    <x v="0"/>
    <x v="0"/>
    <x v="51"/>
    <s v="Not Required"/>
    <s v="Initial idea"/>
    <x v="2"/>
    <m/>
    <m/>
    <m/>
    <m/>
    <m/>
    <m/>
    <m/>
  </r>
  <r>
    <x v="4"/>
    <x v="38"/>
    <x v="2"/>
    <x v="1"/>
    <s v="Daniel Hector"/>
    <x v="2"/>
    <x v="0"/>
    <x v="0"/>
    <x v="52"/>
    <s v="Not Required"/>
    <s v="Contracting Started"/>
    <x v="0"/>
    <s v="AP12"/>
    <n v="23"/>
    <n v="9"/>
    <n v="4"/>
    <n v="3"/>
    <n v="4"/>
    <n v="3"/>
  </r>
  <r>
    <x v="1"/>
    <x v="39"/>
    <x v="2"/>
    <x v="1"/>
    <s v="Nick Chadwick / Chong Sien Lim"/>
    <x v="0"/>
    <x v="1"/>
    <x v="0"/>
    <x v="53"/>
    <s v="Required"/>
    <s v="Initial idea"/>
    <x v="3"/>
    <m/>
    <s v="TBD"/>
    <n v="0"/>
    <m/>
    <m/>
    <m/>
    <m/>
  </r>
  <r>
    <x v="4"/>
    <x v="40"/>
    <x v="2"/>
    <x v="1"/>
    <s v="Daniel Hector"/>
    <x v="2"/>
    <x v="0"/>
    <x v="0"/>
    <x v="54"/>
    <s v="Not Required"/>
    <s v="ICT formed"/>
    <x v="0"/>
    <s v="AP9"/>
    <n v="30"/>
    <n v="12"/>
    <m/>
    <m/>
    <m/>
    <m/>
  </r>
  <r>
    <x v="4"/>
    <x v="41"/>
    <x v="3"/>
    <x v="0"/>
    <s v="Xiaowei Liu"/>
    <x v="0"/>
    <x v="1"/>
    <x v="1"/>
    <x v="55"/>
    <s v="Required"/>
    <s v="Financials Approved"/>
    <x v="2"/>
    <m/>
    <n v="30"/>
    <m/>
    <n v="30"/>
    <m/>
    <m/>
    <m/>
  </r>
  <r>
    <x v="1"/>
    <x v="42"/>
    <x v="7"/>
    <x v="0"/>
    <s v="Kendrick Lim"/>
    <x v="3"/>
    <x v="1"/>
    <x v="0"/>
    <x v="56"/>
    <s v="Not Required"/>
    <s v="Initial idea"/>
    <x v="3"/>
    <m/>
    <m/>
    <n v="0"/>
    <m/>
    <m/>
    <m/>
    <m/>
  </r>
  <r>
    <x v="1"/>
    <x v="43"/>
    <x v="7"/>
    <x v="0"/>
    <s v="Paul Hallam"/>
    <x v="0"/>
    <x v="0"/>
    <x v="0"/>
    <x v="57"/>
    <s v="Required"/>
    <s v="Contracting Concluded"/>
    <x v="0"/>
    <s v="AP3"/>
    <n v="30"/>
    <n v="8.5"/>
    <s v="Confirm with Laura"/>
    <s v="Confirm with Laura"/>
    <s v="Confirm with Laura"/>
    <s v="Confirm with Laura"/>
  </r>
  <r>
    <x v="1"/>
    <x v="44"/>
    <x v="7"/>
    <x v="0"/>
    <s v="Paul Hallam"/>
    <x v="3"/>
    <x v="1"/>
    <x v="2"/>
    <x v="58"/>
    <s v="Not Required"/>
    <m/>
    <x v="3"/>
    <m/>
    <m/>
    <n v="0"/>
    <m/>
    <m/>
    <m/>
    <m/>
  </r>
  <r>
    <x v="0"/>
    <x v="45"/>
    <x v="7"/>
    <x v="0"/>
    <s v="Meagan Austgen"/>
    <x v="1"/>
    <x v="1"/>
    <x v="1"/>
    <x v="59"/>
    <s v="Not Required"/>
    <s v="Initial idea"/>
    <x v="0"/>
    <m/>
    <m/>
    <n v="0"/>
    <m/>
    <m/>
    <m/>
    <m/>
  </r>
  <r>
    <x v="3"/>
    <x v="30"/>
    <x v="3"/>
    <x v="0"/>
    <s v="Keith Coull"/>
    <x v="2"/>
    <x v="1"/>
    <x v="1"/>
    <x v="60"/>
    <s v="Not Required"/>
    <s v="Initial idea"/>
    <x v="3"/>
    <m/>
    <m/>
    <m/>
    <m/>
    <m/>
    <m/>
    <m/>
  </r>
  <r>
    <x v="0"/>
    <x v="46"/>
    <x v="3"/>
    <x v="0"/>
    <s v="David Gonzalez-Gomez"/>
    <x v="0"/>
    <x v="1"/>
    <x v="1"/>
    <x v="61"/>
    <s v="Required"/>
    <s v="Contracting Started"/>
    <x v="0"/>
    <s v="AP12"/>
    <n v="50"/>
    <n v="50"/>
    <m/>
    <m/>
    <m/>
    <m/>
  </r>
  <r>
    <x v="0"/>
    <x v="47"/>
    <x v="6"/>
    <x v="0"/>
    <s v="Christian Bencid"/>
    <x v="3"/>
    <x v="1"/>
    <x v="0"/>
    <x v="62"/>
    <s v="Not Required"/>
    <m/>
    <x v="3"/>
    <m/>
    <m/>
    <n v="0"/>
    <m/>
    <m/>
    <m/>
    <m/>
  </r>
  <r>
    <x v="0"/>
    <x v="48"/>
    <x v="6"/>
    <x v="0"/>
    <s v="Cory Noel"/>
    <x v="2"/>
    <x v="1"/>
    <x v="0"/>
    <x v="63"/>
    <s v="Not Required"/>
    <s v="Initial idea"/>
    <x v="3"/>
    <m/>
    <m/>
    <n v="0"/>
    <m/>
    <m/>
    <m/>
    <m/>
  </r>
  <r>
    <x v="0"/>
    <x v="49"/>
    <x v="8"/>
    <x v="0"/>
    <s v="Cory Noel"/>
    <x v="2"/>
    <x v="0"/>
    <x v="0"/>
    <x v="64"/>
    <s v="Not Required"/>
    <s v="Negotations Concluded"/>
    <x v="0"/>
    <m/>
    <m/>
    <n v="0"/>
    <m/>
    <m/>
    <m/>
    <m/>
  </r>
  <r>
    <x v="0"/>
    <x v="49"/>
    <x v="8"/>
    <x v="0"/>
    <s v="Cory Noel"/>
    <x v="2"/>
    <x v="1"/>
    <x v="0"/>
    <x v="65"/>
    <s v="Not Required"/>
    <s v="Initial idea"/>
    <x v="3"/>
    <m/>
    <m/>
    <n v="0"/>
    <m/>
    <m/>
    <m/>
    <m/>
  </r>
  <r>
    <x v="0"/>
    <x v="50"/>
    <x v="8"/>
    <x v="0"/>
    <s v="Cory Noel"/>
    <x v="2"/>
    <x v="0"/>
    <x v="0"/>
    <x v="66"/>
    <s v="Not Required"/>
    <s v="Contracting Concluded"/>
    <x v="1"/>
    <m/>
    <m/>
    <n v="0"/>
    <m/>
    <m/>
    <m/>
    <m/>
  </r>
  <r>
    <x v="4"/>
    <x v="41"/>
    <x v="2"/>
    <x v="1"/>
    <s v="Xiaowei Liu"/>
    <x v="1"/>
    <x v="1"/>
    <x v="0"/>
    <x v="67"/>
    <s v="Not Required"/>
    <s v="Financials Approved"/>
    <x v="0"/>
    <s v="AP6"/>
    <n v="19.3"/>
    <n v="5.3"/>
    <n v="3.6"/>
    <n v="2"/>
    <n v="1.3"/>
    <n v="1.3"/>
  </r>
  <r>
    <x v="3"/>
    <x v="35"/>
    <x v="2"/>
    <x v="1"/>
    <s v="Richard Docherty"/>
    <x v="0"/>
    <x v="0"/>
    <x v="0"/>
    <x v="68"/>
    <s v="Not Required"/>
    <s v="Contracting Started"/>
    <x v="0"/>
    <m/>
    <m/>
    <m/>
    <m/>
    <m/>
    <m/>
    <m/>
  </r>
  <r>
    <x v="3"/>
    <x v="35"/>
    <x v="2"/>
    <x v="1"/>
    <s v="Richard Docherty"/>
    <x v="0"/>
    <x v="0"/>
    <x v="0"/>
    <x v="69"/>
    <s v="Not Required"/>
    <s v="Contracting Started"/>
    <x v="0"/>
    <m/>
    <m/>
    <m/>
    <m/>
    <m/>
    <m/>
    <m/>
  </r>
  <r>
    <x v="3"/>
    <x v="6"/>
    <x v="5"/>
    <x v="1"/>
    <s v="Matt O'Connor"/>
    <x v="2"/>
    <x v="0"/>
    <x v="0"/>
    <x v="70"/>
    <s v="Not Required"/>
    <s v="Initial idea"/>
    <x v="3"/>
    <m/>
    <m/>
    <m/>
    <m/>
    <m/>
    <m/>
    <m/>
  </r>
  <r>
    <x v="3"/>
    <x v="6"/>
    <x v="1"/>
    <x v="0"/>
    <s v="Matt O'Connor"/>
    <x v="2"/>
    <x v="1"/>
    <x v="0"/>
    <x v="70"/>
    <s v="Not Required"/>
    <s v="Initial idea"/>
    <x v="3"/>
    <m/>
    <m/>
    <m/>
    <m/>
    <m/>
    <m/>
    <m/>
  </r>
  <r>
    <x v="3"/>
    <x v="51"/>
    <x v="7"/>
    <x v="0"/>
    <s v="Matt Haddon"/>
    <x v="1"/>
    <x v="0"/>
    <x v="0"/>
    <x v="71"/>
    <s v="Not Required"/>
    <s v="Initial idea"/>
    <x v="0"/>
    <m/>
    <m/>
    <m/>
    <m/>
    <m/>
    <m/>
    <m/>
  </r>
  <r>
    <x v="3"/>
    <x v="52"/>
    <x v="7"/>
    <x v="0"/>
    <s v="Aaron Taylor"/>
    <x v="1"/>
    <x v="0"/>
    <x v="0"/>
    <x v="72"/>
    <s v="Not Required"/>
    <s v="ICT formed"/>
    <x v="3"/>
    <m/>
    <m/>
    <m/>
    <m/>
    <m/>
    <m/>
    <m/>
  </r>
  <r>
    <x v="3"/>
    <x v="53"/>
    <x v="6"/>
    <x v="0"/>
    <s v="Matt O'Connor"/>
    <x v="0"/>
    <x v="0"/>
    <x v="0"/>
    <x v="73"/>
    <s v="Not Required"/>
    <s v="Initial idea"/>
    <x v="3"/>
    <m/>
    <m/>
    <m/>
    <m/>
    <m/>
    <m/>
    <m/>
  </r>
  <r>
    <x v="3"/>
    <x v="54"/>
    <x v="6"/>
    <x v="0"/>
    <s v="Aaron Taylor"/>
    <x v="2"/>
    <x v="1"/>
    <x v="0"/>
    <x v="74"/>
    <s v="Not Required"/>
    <s v="Initial idea"/>
    <x v="3"/>
    <m/>
    <m/>
    <m/>
    <m/>
    <m/>
    <m/>
    <m/>
  </r>
  <r>
    <x v="3"/>
    <x v="6"/>
    <x v="5"/>
    <x v="1"/>
    <s v="Matt O'Connor"/>
    <x v="0"/>
    <x v="1"/>
    <x v="0"/>
    <x v="75"/>
    <s v="Not Required"/>
    <s v="ICT formed"/>
    <x v="3"/>
    <m/>
    <m/>
    <m/>
    <m/>
    <m/>
    <m/>
    <m/>
  </r>
  <r>
    <x v="3"/>
    <x v="6"/>
    <x v="3"/>
    <x v="0"/>
    <s v="Matt O'Connor"/>
    <x v="0"/>
    <x v="1"/>
    <x v="1"/>
    <x v="75"/>
    <s v="Not Required"/>
    <s v="ICT formed"/>
    <x v="3"/>
    <m/>
    <m/>
    <m/>
    <m/>
    <m/>
    <m/>
    <m/>
  </r>
  <r>
    <x v="3"/>
    <x v="6"/>
    <x v="4"/>
    <x v="0"/>
    <s v="Matt O'Connor"/>
    <x v="0"/>
    <x v="1"/>
    <x v="0"/>
    <x v="76"/>
    <s v="Not Required"/>
    <s v="ICT formed"/>
    <x v="3"/>
    <m/>
    <m/>
    <m/>
    <m/>
    <m/>
    <m/>
    <m/>
  </r>
  <r>
    <x v="3"/>
    <x v="30"/>
    <x v="5"/>
    <x v="1"/>
    <s v="Keith Coull"/>
    <x v="0"/>
    <x v="1"/>
    <x v="1"/>
    <x v="77"/>
    <s v="Not Required"/>
    <s v="Initial idea"/>
    <x v="3"/>
    <m/>
    <m/>
    <m/>
    <m/>
    <m/>
    <m/>
    <m/>
  </r>
  <r>
    <x v="3"/>
    <x v="37"/>
    <x v="2"/>
    <x v="1"/>
    <s v="Alejandra Barrionuevo"/>
    <x v="0"/>
    <x v="1"/>
    <x v="0"/>
    <x v="78"/>
    <s v="Not Required"/>
    <s v="Initial idea"/>
    <x v="2"/>
    <m/>
    <m/>
    <m/>
    <m/>
    <m/>
    <m/>
    <m/>
  </r>
  <r>
    <x v="3"/>
    <x v="52"/>
    <x v="7"/>
    <x v="0"/>
    <s v="Aaron Taylor"/>
    <x v="1"/>
    <x v="0"/>
    <x v="0"/>
    <x v="79"/>
    <s v="Not Required"/>
    <s v="Contracting Started"/>
    <x v="0"/>
    <m/>
    <n v="1.9"/>
    <m/>
    <m/>
    <m/>
    <m/>
    <m/>
  </r>
  <r>
    <x v="3"/>
    <x v="52"/>
    <x v="2"/>
    <x v="1"/>
    <s v="Aaron Taylor"/>
    <x v="2"/>
    <x v="1"/>
    <x v="0"/>
    <x v="80"/>
    <s v="Not Required"/>
    <s v="Initial idea"/>
    <x v="3"/>
    <m/>
    <m/>
    <m/>
    <m/>
    <m/>
    <m/>
    <m/>
  </r>
  <r>
    <x v="3"/>
    <x v="55"/>
    <x v="4"/>
    <x v="0"/>
    <s v="Sachin Fernandes"/>
    <x v="2"/>
    <x v="0"/>
    <x v="0"/>
    <x v="81"/>
    <s v="Not Required"/>
    <s v="Initial idea"/>
    <x v="3"/>
    <m/>
    <m/>
    <m/>
    <m/>
    <m/>
    <m/>
    <m/>
  </r>
  <r>
    <x v="3"/>
    <x v="56"/>
    <x v="7"/>
    <x v="0"/>
    <s v="Keith Coull"/>
    <x v="1"/>
    <x v="1"/>
    <x v="0"/>
    <x v="82"/>
    <s v="Not Required"/>
    <s v="Initial idea"/>
    <x v="0"/>
    <m/>
    <n v="2.5"/>
    <m/>
    <m/>
    <m/>
    <m/>
    <m/>
  </r>
  <r>
    <x v="0"/>
    <x v="57"/>
    <x v="2"/>
    <x v="1"/>
    <s v="Meagan Austgen"/>
    <x v="1"/>
    <x v="1"/>
    <x v="0"/>
    <x v="83"/>
    <s v="Not Required"/>
    <s v="Initial idea"/>
    <x v="3"/>
    <m/>
    <m/>
    <m/>
    <m/>
    <m/>
    <m/>
    <m/>
  </r>
  <r>
    <x v="0"/>
    <x v="57"/>
    <x v="2"/>
    <x v="1"/>
    <s v="Meagan Austgen"/>
    <x v="2"/>
    <x v="1"/>
    <x v="0"/>
    <x v="84"/>
    <s v="Not Required"/>
    <m/>
    <x v="3"/>
    <m/>
    <m/>
    <m/>
    <m/>
    <m/>
    <m/>
    <m/>
  </r>
  <r>
    <x v="1"/>
    <x v="58"/>
    <x v="2"/>
    <x v="1"/>
    <s v="Kendrick Lim"/>
    <x v="0"/>
    <x v="1"/>
    <x v="0"/>
    <x v="85"/>
    <s v="Not Required"/>
    <m/>
    <x v="3"/>
    <m/>
    <m/>
    <m/>
    <m/>
    <m/>
    <m/>
    <m/>
  </r>
  <r>
    <x v="1"/>
    <x v="58"/>
    <x v="5"/>
    <x v="1"/>
    <s v="Kendrick Lim"/>
    <x v="0"/>
    <x v="1"/>
    <x v="0"/>
    <x v="86"/>
    <s v="Not Required"/>
    <m/>
    <x v="3"/>
    <m/>
    <m/>
    <m/>
    <m/>
    <m/>
    <m/>
    <m/>
  </r>
  <r>
    <x v="1"/>
    <x v="4"/>
    <x v="2"/>
    <x v="1"/>
    <s v="Paul Hallam"/>
    <x v="0"/>
    <x v="1"/>
    <x v="0"/>
    <x v="87"/>
    <s v="Not Required"/>
    <s v="Initial idea"/>
    <x v="3"/>
    <m/>
    <m/>
    <m/>
    <m/>
    <m/>
    <m/>
    <m/>
  </r>
  <r>
    <x v="1"/>
    <x v="59"/>
    <x v="2"/>
    <x v="1"/>
    <s v="Paul Hallam"/>
    <x v="0"/>
    <x v="0"/>
    <x v="0"/>
    <x v="88"/>
    <s v="Not Required"/>
    <s v="Strategy Approved"/>
    <x v="0"/>
    <m/>
    <m/>
    <m/>
    <m/>
    <m/>
    <m/>
    <m/>
  </r>
  <r>
    <x v="1"/>
    <x v="60"/>
    <x v="5"/>
    <x v="1"/>
    <s v="Nicholas Chadwick"/>
    <x v="1"/>
    <x v="0"/>
    <x v="0"/>
    <x v="89"/>
    <s v="Not Required"/>
    <s v="Strategy Approved"/>
    <x v="0"/>
    <s v="AP6"/>
    <n v="7"/>
    <m/>
    <m/>
    <m/>
    <m/>
    <m/>
  </r>
  <r>
    <x v="1"/>
    <x v="60"/>
    <x v="5"/>
    <x v="1"/>
    <s v="Nicholas Chadwick"/>
    <x v="1"/>
    <x v="1"/>
    <x v="0"/>
    <x v="90"/>
    <s v="Not Required"/>
    <s v="Strategy Approved"/>
    <x v="3"/>
    <m/>
    <m/>
    <m/>
    <m/>
    <m/>
    <m/>
    <m/>
  </r>
  <r>
    <x v="1"/>
    <x v="60"/>
    <x v="2"/>
    <x v="1"/>
    <s v="Nicholas Chadwick"/>
    <x v="2"/>
    <x v="0"/>
    <x v="0"/>
    <x v="91"/>
    <s v="Not Required"/>
    <s v="Initial idea"/>
    <x v="0"/>
    <m/>
    <n v="442"/>
    <n v="3.2"/>
    <s v="Harry to confirm"/>
    <s v="Harry to confirm"/>
    <s v="Harry to confirm"/>
    <s v="Harry to confirm"/>
  </r>
  <r>
    <x v="1"/>
    <x v="61"/>
    <x v="2"/>
    <x v="1"/>
    <s v="Nick Chadwick / Ben Gan"/>
    <x v="2"/>
    <x v="1"/>
    <x v="0"/>
    <x v="92"/>
    <s v="Not Required"/>
    <s v="Initial idea"/>
    <x v="3"/>
    <m/>
    <m/>
    <m/>
    <m/>
    <m/>
    <m/>
    <m/>
  </r>
  <r>
    <x v="1"/>
    <x v="61"/>
    <x v="2"/>
    <x v="1"/>
    <s v="Nick Chadwick / Ben Gan"/>
    <x v="2"/>
    <x v="1"/>
    <x v="0"/>
    <x v="93"/>
    <s v="Not Required"/>
    <s v="Initial idea"/>
    <x v="3"/>
    <m/>
    <m/>
    <m/>
    <m/>
    <m/>
    <m/>
    <m/>
  </r>
  <r>
    <x v="3"/>
    <x v="62"/>
    <x v="2"/>
    <x v="1"/>
    <s v="Matt Haddon "/>
    <x v="0"/>
    <x v="1"/>
    <x v="0"/>
    <x v="94"/>
    <s v="Not Required"/>
    <s v="Initial idea"/>
    <x v="2"/>
    <m/>
    <m/>
    <m/>
    <m/>
    <m/>
    <m/>
    <m/>
  </r>
  <r>
    <x v="4"/>
    <x v="63"/>
    <x v="2"/>
    <x v="1"/>
    <s v="Daniel Hector"/>
    <x v="2"/>
    <x v="0"/>
    <x v="0"/>
    <x v="95"/>
    <s v="Not Required"/>
    <s v="Contracting Concluded"/>
    <x v="0"/>
    <m/>
    <m/>
    <m/>
    <m/>
    <m/>
    <m/>
    <m/>
  </r>
  <r>
    <x v="4"/>
    <x v="63"/>
    <x v="2"/>
    <x v="1"/>
    <s v="Dan Hector"/>
    <x v="0"/>
    <x v="1"/>
    <x v="0"/>
    <x v="96"/>
    <s v="Not Required"/>
    <s v="Initial idea"/>
    <x v="2"/>
    <m/>
    <m/>
    <m/>
    <m/>
    <m/>
    <m/>
    <m/>
  </r>
  <r>
    <x v="4"/>
    <x v="24"/>
    <x v="2"/>
    <x v="1"/>
    <s v="Dan Hector"/>
    <x v="1"/>
    <x v="1"/>
    <x v="0"/>
    <x v="97"/>
    <s v="Not Required"/>
    <s v="ICT formed"/>
    <x v="0"/>
    <m/>
    <m/>
    <m/>
    <m/>
    <m/>
    <m/>
    <m/>
  </r>
  <r>
    <x v="4"/>
    <x v="64"/>
    <x v="2"/>
    <x v="1"/>
    <s v="Xiaowei Liu"/>
    <x v="1"/>
    <x v="0"/>
    <x v="0"/>
    <x v="55"/>
    <s v="Not Required"/>
    <m/>
    <x v="3"/>
    <m/>
    <m/>
    <m/>
    <m/>
    <m/>
    <m/>
    <m/>
  </r>
  <r>
    <x v="4"/>
    <x v="41"/>
    <x v="2"/>
    <x v="1"/>
    <m/>
    <x v="3"/>
    <x v="2"/>
    <x v="2"/>
    <x v="55"/>
    <s v="Not Required"/>
    <m/>
    <x v="3"/>
    <m/>
    <m/>
    <m/>
    <m/>
    <m/>
    <m/>
    <m/>
  </r>
  <r>
    <x v="3"/>
    <x v="56"/>
    <x v="5"/>
    <x v="1"/>
    <s v="Keith Coull"/>
    <x v="0"/>
    <x v="1"/>
    <x v="1"/>
    <x v="98"/>
    <s v="Not Required"/>
    <s v="Initial idea"/>
    <x v="0"/>
    <m/>
    <m/>
    <m/>
    <m/>
    <m/>
    <m/>
    <m/>
  </r>
  <r>
    <x v="3"/>
    <x v="65"/>
    <x v="2"/>
    <x v="1"/>
    <s v="Neeraj Sunger"/>
    <x v="0"/>
    <x v="0"/>
    <x v="0"/>
    <x v="99"/>
    <s v="Not Required"/>
    <s v="ICT formed"/>
    <x v="0"/>
    <m/>
    <m/>
    <m/>
    <m/>
    <m/>
    <m/>
    <m/>
  </r>
  <r>
    <x v="3"/>
    <x v="65"/>
    <x v="2"/>
    <x v="1"/>
    <s v="Neeraj Sunger"/>
    <x v="2"/>
    <x v="0"/>
    <x v="0"/>
    <x v="100"/>
    <s v="Not Required"/>
    <s v="ICT formed"/>
    <x v="0"/>
    <m/>
    <m/>
    <m/>
    <m/>
    <m/>
    <m/>
    <m/>
  </r>
  <r>
    <x v="3"/>
    <x v="66"/>
    <x v="6"/>
    <x v="0"/>
    <s v="Sachin Fernandes"/>
    <x v="2"/>
    <x v="0"/>
    <x v="0"/>
    <x v="101"/>
    <s v="Not Required"/>
    <s v="Initial idea"/>
    <x v="0"/>
    <m/>
    <m/>
    <m/>
    <m/>
    <m/>
    <m/>
    <m/>
  </r>
  <r>
    <x v="2"/>
    <x v="67"/>
    <x v="2"/>
    <x v="1"/>
    <s v="Georgia Chapman"/>
    <x v="2"/>
    <x v="1"/>
    <x v="0"/>
    <x v="102"/>
    <s v="Not Required"/>
    <s v="Initial idea"/>
    <x v="0"/>
    <m/>
    <m/>
    <m/>
    <m/>
    <m/>
    <m/>
    <m/>
  </r>
  <r>
    <x v="0"/>
    <x v="57"/>
    <x v="7"/>
    <x v="0"/>
    <s v="Meagan Austgen"/>
    <x v="0"/>
    <x v="0"/>
    <x v="1"/>
    <x v="103"/>
    <s v="Required"/>
    <s v="Contracting Concluded"/>
    <x v="0"/>
    <s v="AP6"/>
    <n v="59"/>
    <n v="59"/>
    <m/>
    <m/>
    <m/>
    <m/>
  </r>
  <r>
    <x v="5"/>
    <x v="68"/>
    <x v="10"/>
    <x v="3"/>
    <m/>
    <x v="3"/>
    <x v="2"/>
    <x v="2"/>
    <x v="55"/>
    <s v=""/>
    <m/>
    <x v="3"/>
    <m/>
    <m/>
    <m/>
    <m/>
    <m/>
    <m/>
    <m/>
  </r>
  <r>
    <x v="5"/>
    <x v="68"/>
    <x v="10"/>
    <x v="3"/>
    <m/>
    <x v="3"/>
    <x v="2"/>
    <x v="2"/>
    <x v="55"/>
    <s v=""/>
    <m/>
    <x v="3"/>
    <m/>
    <m/>
    <m/>
    <m/>
    <m/>
    <m/>
    <m/>
  </r>
  <r>
    <x v="5"/>
    <x v="68"/>
    <x v="10"/>
    <x v="3"/>
    <m/>
    <x v="3"/>
    <x v="2"/>
    <x v="2"/>
    <x v="55"/>
    <s v=""/>
    <m/>
    <x v="3"/>
    <m/>
    <m/>
    <m/>
    <m/>
    <m/>
    <m/>
    <m/>
  </r>
  <r>
    <x v="5"/>
    <x v="68"/>
    <x v="10"/>
    <x v="3"/>
    <m/>
    <x v="3"/>
    <x v="2"/>
    <x v="2"/>
    <x v="55"/>
    <s v=""/>
    <m/>
    <x v="3"/>
    <m/>
    <m/>
    <m/>
    <m/>
    <m/>
    <m/>
    <m/>
  </r>
  <r>
    <x v="5"/>
    <x v="68"/>
    <x v="10"/>
    <x v="3"/>
    <m/>
    <x v="3"/>
    <x v="2"/>
    <x v="2"/>
    <x v="55"/>
    <s v=""/>
    <m/>
    <x v="3"/>
    <m/>
    <m/>
    <m/>
    <m/>
    <m/>
    <m/>
    <m/>
  </r>
  <r>
    <x v="5"/>
    <x v="68"/>
    <x v="10"/>
    <x v="3"/>
    <m/>
    <x v="3"/>
    <x v="2"/>
    <x v="2"/>
    <x v="55"/>
    <s v=""/>
    <m/>
    <x v="3"/>
    <m/>
    <m/>
    <m/>
    <m/>
    <m/>
    <m/>
    <m/>
  </r>
  <r>
    <x v="5"/>
    <x v="68"/>
    <x v="10"/>
    <x v="3"/>
    <m/>
    <x v="3"/>
    <x v="2"/>
    <x v="2"/>
    <x v="55"/>
    <s v=""/>
    <m/>
    <x v="3"/>
    <m/>
    <m/>
    <m/>
    <m/>
    <m/>
    <m/>
    <m/>
  </r>
  <r>
    <x v="5"/>
    <x v="68"/>
    <x v="10"/>
    <x v="3"/>
    <m/>
    <x v="3"/>
    <x v="2"/>
    <x v="2"/>
    <x v="55"/>
    <s v=""/>
    <m/>
    <x v="3"/>
    <m/>
    <m/>
    <m/>
    <m/>
    <m/>
    <m/>
    <m/>
  </r>
  <r>
    <x v="5"/>
    <x v="68"/>
    <x v="10"/>
    <x v="3"/>
    <m/>
    <x v="3"/>
    <x v="2"/>
    <x v="2"/>
    <x v="55"/>
    <s v=""/>
    <m/>
    <x v="3"/>
    <m/>
    <m/>
    <m/>
    <m/>
    <m/>
    <m/>
    <m/>
  </r>
  <r>
    <x v="5"/>
    <x v="68"/>
    <x v="10"/>
    <x v="3"/>
    <m/>
    <x v="3"/>
    <x v="2"/>
    <x v="2"/>
    <x v="55"/>
    <s v=""/>
    <m/>
    <x v="3"/>
    <m/>
    <m/>
    <m/>
    <m/>
    <m/>
    <m/>
    <m/>
  </r>
  <r>
    <x v="5"/>
    <x v="68"/>
    <x v="10"/>
    <x v="3"/>
    <m/>
    <x v="3"/>
    <x v="2"/>
    <x v="2"/>
    <x v="55"/>
    <s v=""/>
    <m/>
    <x v="3"/>
    <m/>
    <m/>
    <m/>
    <m/>
    <m/>
    <m/>
    <m/>
  </r>
  <r>
    <x v="5"/>
    <x v="68"/>
    <x v="10"/>
    <x v="3"/>
    <m/>
    <x v="3"/>
    <x v="2"/>
    <x v="2"/>
    <x v="55"/>
    <s v=""/>
    <m/>
    <x v="3"/>
    <m/>
    <m/>
    <m/>
    <m/>
    <m/>
    <m/>
    <m/>
  </r>
  <r>
    <x v="5"/>
    <x v="68"/>
    <x v="10"/>
    <x v="3"/>
    <m/>
    <x v="3"/>
    <x v="2"/>
    <x v="2"/>
    <x v="55"/>
    <s v=""/>
    <m/>
    <x v="3"/>
    <m/>
    <m/>
    <m/>
    <m/>
    <m/>
    <m/>
    <m/>
  </r>
  <r>
    <x v="5"/>
    <x v="68"/>
    <x v="10"/>
    <x v="3"/>
    <m/>
    <x v="3"/>
    <x v="2"/>
    <x v="2"/>
    <x v="55"/>
    <s v=""/>
    <m/>
    <x v="3"/>
    <m/>
    <m/>
    <m/>
    <m/>
    <m/>
    <m/>
    <m/>
  </r>
  <r>
    <x v="5"/>
    <x v="68"/>
    <x v="10"/>
    <x v="3"/>
    <m/>
    <x v="3"/>
    <x v="2"/>
    <x v="2"/>
    <x v="55"/>
    <s v=""/>
    <m/>
    <x v="3"/>
    <m/>
    <m/>
    <m/>
    <m/>
    <m/>
    <m/>
    <m/>
  </r>
  <r>
    <x v="2"/>
    <x v="69"/>
    <x v="10"/>
    <x v="4"/>
    <s v="Gordon Deas"/>
    <x v="3"/>
    <x v="2"/>
    <x v="2"/>
    <x v="55"/>
    <m/>
    <m/>
    <x v="0"/>
    <m/>
    <m/>
    <m/>
    <m/>
    <m/>
    <m/>
    <m/>
  </r>
  <r>
    <x v="5"/>
    <x v="68"/>
    <x v="10"/>
    <x v="4"/>
    <m/>
    <x v="3"/>
    <x v="2"/>
    <x v="2"/>
    <x v="55"/>
    <m/>
    <m/>
    <x v="3"/>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75B61C-3D23-457C-B42B-8D5C807E6410}" name="PivotTable1" cacheId="87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15:K126" firstHeaderRow="0" firstDataRow="1" firstDataCol="6"/>
  <pivotFields count="19">
    <pivotField axis="axisRow" compact="0" outline="0" showAll="0" defaultSubtotal="0">
      <items count="6">
        <item x="0"/>
        <item x="1"/>
        <item x="3"/>
        <item x="4"/>
        <item x="2"/>
        <item x="5"/>
      </items>
      <extLst>
        <ext xmlns:x14="http://schemas.microsoft.com/office/spreadsheetml/2009/9/main" uri="{2946ED86-A175-432a-8AC1-64E0C546D7DE}">
          <x14:pivotField fillDownLabels="1"/>
        </ext>
      </extLst>
    </pivotField>
    <pivotField axis="axisRow" compact="0" outline="0" showAll="0" defaultSubtotal="0">
      <items count="81">
        <item x="14"/>
        <item x="37"/>
        <item x="41"/>
        <item m="1" x="74"/>
        <item m="1" x="77"/>
        <item x="35"/>
        <item x="33"/>
        <item x="47"/>
        <item x="26"/>
        <item x="1"/>
        <item x="39"/>
        <item x="28"/>
        <item x="6"/>
        <item x="40"/>
        <item x="42"/>
        <item x="38"/>
        <item m="1" x="76"/>
        <item x="19"/>
        <item x="45"/>
        <item x="54"/>
        <item x="23"/>
        <item x="3"/>
        <item m="1" x="73"/>
        <item x="11"/>
        <item m="1" x="80"/>
        <item x="34"/>
        <item x="44"/>
        <item x="21"/>
        <item x="9"/>
        <item x="50"/>
        <item x="13"/>
        <item m="1" x="78"/>
        <item m="1" x="70"/>
        <item x="25"/>
        <item x="46"/>
        <item x="43"/>
        <item x="18"/>
        <item x="15"/>
        <item x="48"/>
        <item m="1" x="79"/>
        <item x="10"/>
        <item x="16"/>
        <item x="22"/>
        <item m="1" x="71"/>
        <item x="31"/>
        <item x="17"/>
        <item m="1" x="75"/>
        <item m="1" x="72"/>
        <item x="4"/>
        <item x="7"/>
        <item x="27"/>
        <item x="51"/>
        <item x="29"/>
        <item x="20"/>
        <item x="36"/>
        <item x="2"/>
        <item x="53"/>
        <item x="32"/>
        <item x="5"/>
        <item x="30"/>
        <item x="49"/>
        <item x="8"/>
        <item x="68"/>
        <item x="0"/>
        <item x="52"/>
        <item x="24"/>
        <item x="55"/>
        <item x="56"/>
        <item x="57"/>
        <item x="58"/>
        <item x="59"/>
        <item x="60"/>
        <item x="61"/>
        <item x="62"/>
        <item x="12"/>
        <item x="63"/>
        <item x="64"/>
        <item x="65"/>
        <item x="66"/>
        <item x="67"/>
        <item x="69"/>
      </items>
      <extLst>
        <ext xmlns:x14="http://schemas.microsoft.com/office/spreadsheetml/2009/9/main" uri="{2946ED86-A175-432a-8AC1-64E0C546D7DE}">
          <x14:pivotField fillDownLabels="1"/>
        </ext>
      </extLst>
    </pivotField>
    <pivotField axis="axisRow" compact="0" outline="0" showAll="0" defaultSubtotal="0">
      <items count="13">
        <item x="9"/>
        <item x="8"/>
        <item m="1" x="11"/>
        <item x="0"/>
        <item x="3"/>
        <item x="6"/>
        <item x="7"/>
        <item x="1"/>
        <item x="4"/>
        <item m="1" x="12"/>
        <item x="2"/>
        <item x="5"/>
        <item x="10"/>
      </items>
      <extLst>
        <ext xmlns:x14="http://schemas.microsoft.com/office/spreadsheetml/2009/9/main" uri="{2946ED86-A175-432a-8AC1-64E0C546D7DE}">
          <x14:pivotField fillDownLabels="1"/>
        </ext>
      </extLst>
    </pivotField>
    <pivotField compact="0" outline="0" showAll="0" defaultSubtotal="0">
      <items count="6">
        <item x="3"/>
        <item x="0"/>
        <item x="2"/>
        <item x="1"/>
        <item m="1" x="5"/>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157">
        <item x="72"/>
        <item n="25 Jul: Add ex-Block 1 Spare Engine to Block 2 TCA with Buy-In SV at SelectCare Pricing (less exit credits) delivering dilution benefits. Pricing and use of exit credit approved at L2 in May-25. First round of discussion with customer in early June. Cust" m="1" x="142"/>
        <item n="XWB package deal includes closing XWB-97 fire claim, closing potential Freckle claim, CPA to agree the new climb derate algorithm, deleting XWB-84 Benefit Sharing clause, implementing Law1/Law2, recognizing tailstrike support, closing lease cyclic charge" m="1" x="112"/>
        <item m="1" x="123"/>
        <item m="1" x="147"/>
        <item m="1" x="148"/>
        <item x="32"/>
        <item m="1" x="156"/>
        <item x="63"/>
        <item m="1" x="118"/>
        <item x="1"/>
        <item m="1" x="109"/>
        <item x="75"/>
        <item x="76"/>
        <item x="49"/>
        <item x="70"/>
        <item m="1" x="140"/>
        <item x="62"/>
        <item m="1" x="110"/>
        <item m="1" x="145"/>
        <item x="47"/>
        <item x="12"/>
        <item m="1" x="107"/>
        <item x="13"/>
        <item x="16"/>
        <item x="22"/>
        <item x="73"/>
        <item m="1" x="130"/>
        <item m="1" x="149"/>
        <item m="1" x="151"/>
        <item m="1" x="153"/>
        <item m="1" x="150"/>
        <item m="1" x="152"/>
        <item x="19"/>
        <item x="61"/>
        <item x="66"/>
        <item m="1" x="132"/>
        <item m="1" x="119"/>
        <item m="1" x="122"/>
        <item x="39"/>
        <item x="31"/>
        <item m="1" x="133"/>
        <item x="8"/>
        <item x="11"/>
        <item m="1" x="154"/>
        <item x="56"/>
        <item m="1" x="127"/>
        <item x="74"/>
        <item m="1" x="138"/>
        <item m="1" x="120"/>
        <item m="1" x="143"/>
        <item x="10"/>
        <item m="1" x="105"/>
        <item x="51"/>
        <item x="50"/>
        <item x="46"/>
        <item x="9"/>
        <item x="43"/>
        <item m="1" x="144"/>
        <item m="1" x="125"/>
        <item x="24"/>
        <item x="58"/>
        <item x="77"/>
        <item m="1" x="114"/>
        <item x="69"/>
        <item m="1" x="106"/>
        <item m="1" x="141"/>
        <item x="20"/>
        <item m="1" x="139"/>
        <item m="1" x="135"/>
        <item m="1" x="146"/>
        <item x="44"/>
        <item x="60"/>
        <item x="53"/>
        <item x="71"/>
        <item x="37"/>
        <item x="40"/>
        <item x="33"/>
        <item m="1" x="126"/>
        <item x="14"/>
        <item m="1" x="134"/>
        <item m="1" x="155"/>
        <item x="45"/>
        <item m="1" x="124"/>
        <item m="1" x="136"/>
        <item x="25"/>
        <item x="42"/>
        <item x="64"/>
        <item x="65"/>
        <item x="55"/>
        <item m="1" x="137"/>
        <item x="79"/>
        <item x="80"/>
        <item m="1" x="131"/>
        <item x="7"/>
        <item m="1" x="104"/>
        <item x="59"/>
        <item x="0"/>
        <item m="1" x="117"/>
        <item m="1" x="129"/>
        <item x="5"/>
        <item x="17"/>
        <item x="23"/>
        <item x="27"/>
        <item x="28"/>
        <item x="29"/>
        <item x="30"/>
        <item x="35"/>
        <item x="36"/>
        <item x="38"/>
        <item x="41"/>
        <item x="48"/>
        <item m="1" x="111"/>
        <item m="1" x="113"/>
        <item x="81"/>
        <item x="82"/>
        <item x="83"/>
        <item x="84"/>
        <item m="1" x="128"/>
        <item x="87"/>
        <item x="88"/>
        <item x="89"/>
        <item x="90"/>
        <item m="1" x="115"/>
        <item m="1" x="116"/>
        <item x="93"/>
        <item m="1" x="121"/>
        <item x="94"/>
        <item x="2"/>
        <item x="4"/>
        <item x="6"/>
        <item x="26"/>
        <item x="34"/>
        <item x="57"/>
        <item x="85"/>
        <item x="86"/>
        <item x="3"/>
        <item x="21"/>
        <item m="1" x="108"/>
        <item x="52"/>
        <item x="54"/>
        <item x="67"/>
        <item x="91"/>
        <item x="92"/>
        <item x="95"/>
        <item x="96"/>
        <item x="97"/>
        <item x="98"/>
        <item x="15"/>
        <item x="18"/>
        <item x="68"/>
        <item x="78"/>
        <item x="99"/>
        <item x="100"/>
        <item x="101"/>
        <item x="102"/>
        <item x="10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1"/>
        <item x="0"/>
        <item x="2"/>
        <item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6">
    <field x="2"/>
    <field x="0"/>
    <field x="1"/>
    <field x="5"/>
    <field x="6"/>
    <field x="8"/>
  </rowFields>
  <rowItems count="111">
    <i>
      <x/>
      <x/>
      <x v="50"/>
      <x/>
      <x v="1"/>
      <x v="77"/>
    </i>
    <i>
      <x v="1"/>
      <x/>
      <x v="29"/>
      <x v="2"/>
      <x v="1"/>
      <x v="35"/>
    </i>
    <i r="2">
      <x v="33"/>
      <x v="2"/>
      <x v="1"/>
      <x v="39"/>
    </i>
    <i r="5">
      <x v="40"/>
    </i>
    <i r="2">
      <x v="44"/>
      <x v="2"/>
      <x/>
      <x v="76"/>
    </i>
    <i r="2">
      <x v="60"/>
      <x v="2"/>
      <x/>
      <x v="88"/>
    </i>
    <i r="4">
      <x v="1"/>
      <x v="87"/>
    </i>
    <i>
      <x v="3"/>
      <x/>
      <x v="57"/>
      <x v="3"/>
      <x/>
      <x v="86"/>
    </i>
    <i r="2">
      <x v="63"/>
      <x/>
      <x v="1"/>
      <x v="97"/>
    </i>
    <i>
      <x v="4"/>
      <x/>
      <x v="34"/>
      <x/>
      <x/>
      <x v="34"/>
    </i>
    <i r="1">
      <x v="1"/>
      <x v="6"/>
      <x v="2"/>
      <x/>
      <x v="57"/>
    </i>
    <i r="2">
      <x v="8"/>
      <x v="1"/>
      <x/>
      <x v="6"/>
    </i>
    <i r="3">
      <x v="3"/>
      <x/>
      <x v="71"/>
    </i>
    <i r="2">
      <x v="41"/>
      <x v="3"/>
      <x v="1"/>
      <x v="137"/>
    </i>
    <i r="2">
      <x v="48"/>
      <x/>
      <x/>
      <x v="130"/>
    </i>
    <i r="1">
      <x v="2"/>
      <x v="12"/>
      <x/>
      <x/>
      <x v="12"/>
    </i>
    <i r="4">
      <x v="1"/>
      <x v="43"/>
    </i>
    <i r="2">
      <x v="36"/>
      <x v="1"/>
      <x/>
      <x v="102"/>
    </i>
    <i r="2">
      <x v="59"/>
      <x v="1"/>
      <x v="1"/>
      <x v="75"/>
    </i>
    <i r="3">
      <x v="2"/>
      <x/>
      <x v="72"/>
    </i>
    <i r="1">
      <x v="3"/>
      <x v="2"/>
      <x/>
      <x/>
      <x v="89"/>
    </i>
    <i r="1">
      <x v="4"/>
      <x v="11"/>
      <x/>
      <x/>
      <x v="132"/>
    </i>
    <i r="2">
      <x v="27"/>
      <x/>
      <x v="1"/>
      <x v="131"/>
    </i>
    <i r="2">
      <x v="52"/>
      <x v="1"/>
      <x v="1"/>
      <x v="108"/>
    </i>
    <i r="2">
      <x v="74"/>
      <x/>
      <x v="1"/>
      <x v="107"/>
    </i>
    <i>
      <x v="5"/>
      <x/>
      <x/>
      <x v="3"/>
      <x/>
      <x v="33"/>
    </i>
    <i r="2">
      <x v="7"/>
      <x v="3"/>
      <x/>
      <x v="17"/>
    </i>
    <i r="2">
      <x v="28"/>
      <x/>
      <x v="1"/>
      <x v="21"/>
    </i>
    <i r="2">
      <x v="38"/>
      <x v="2"/>
      <x/>
      <x v="8"/>
    </i>
    <i r="1">
      <x v="1"/>
      <x v="49"/>
      <x/>
      <x v="1"/>
      <x v="56"/>
    </i>
    <i r="2">
      <x v="54"/>
      <x v="3"/>
      <x v="1"/>
      <x v="14"/>
    </i>
    <i r="1">
      <x v="2"/>
      <x v="19"/>
      <x v="2"/>
      <x/>
      <x v="47"/>
    </i>
    <i r="2">
      <x v="56"/>
      <x/>
      <x v="1"/>
      <x v="26"/>
    </i>
    <i r="2">
      <x v="78"/>
      <x v="2"/>
      <x v="1"/>
      <x v="154"/>
    </i>
    <i r="1">
      <x v="3"/>
      <x v="65"/>
      <x v="2"/>
      <x v="1"/>
      <x v="106"/>
    </i>
    <i r="1">
      <x v="4"/>
      <x v="42"/>
      <x/>
      <x/>
      <x v="103"/>
    </i>
    <i r="2">
      <x v="45"/>
      <x/>
      <x/>
      <x v="25"/>
    </i>
    <i>
      <x v="6"/>
      <x/>
      <x v="18"/>
      <x v="1"/>
      <x/>
      <x v="96"/>
    </i>
    <i r="2">
      <x v="68"/>
      <x/>
      <x v="1"/>
      <x v="156"/>
    </i>
    <i r="1">
      <x v="1"/>
      <x v="14"/>
      <x v="3"/>
      <x/>
      <x v="45"/>
    </i>
    <i r="2">
      <x v="26"/>
      <x v="3"/>
      <x/>
      <x v="61"/>
    </i>
    <i r="2">
      <x v="35"/>
      <x/>
      <x v="1"/>
      <x v="133"/>
    </i>
    <i r="1">
      <x v="2"/>
      <x v="17"/>
      <x v="1"/>
      <x v="1"/>
      <x v="60"/>
    </i>
    <i r="2">
      <x v="51"/>
      <x v="1"/>
      <x v="1"/>
      <x v="74"/>
    </i>
    <i r="2">
      <x v="53"/>
      <x v="1"/>
      <x v="1"/>
      <x v="85"/>
    </i>
    <i r="2">
      <x v="59"/>
      <x/>
      <x/>
      <x v="20"/>
    </i>
    <i r="2">
      <x v="64"/>
      <x v="1"/>
      <x v="1"/>
      <x/>
    </i>
    <i r="5">
      <x v="91"/>
    </i>
    <i r="2">
      <x v="67"/>
      <x v="1"/>
      <x/>
      <x v="115"/>
    </i>
    <i>
      <x v="7"/>
      <x/>
      <x v="9"/>
      <x/>
      <x v="1"/>
      <x v="10"/>
    </i>
    <i r="1">
      <x v="2"/>
      <x v="12"/>
      <x v="2"/>
      <x/>
      <x v="15"/>
    </i>
    <i>
      <x v="8"/>
      <x v="1"/>
      <x v="48"/>
      <x v="3"/>
      <x v="1"/>
      <x v="82"/>
    </i>
    <i r="1">
      <x v="2"/>
      <x v="12"/>
      <x/>
      <x/>
      <x v="13"/>
    </i>
    <i r="4">
      <x v="1"/>
      <x v="109"/>
    </i>
    <i r="2">
      <x v="66"/>
      <x v="2"/>
      <x v="1"/>
      <x v="114"/>
    </i>
    <i r="1">
      <x v="4"/>
      <x v="21"/>
      <x/>
      <x/>
      <x v="94"/>
    </i>
    <i>
      <x v="10"/>
      <x/>
      <x v="68"/>
      <x v="1"/>
      <x/>
      <x v="116"/>
    </i>
    <i r="3">
      <x v="2"/>
      <x/>
      <x v="117"/>
    </i>
    <i r="1">
      <x v="1"/>
      <x v="10"/>
      <x/>
      <x/>
      <x v="73"/>
    </i>
    <i r="2">
      <x v="48"/>
      <x/>
      <x/>
      <x v="119"/>
    </i>
    <i r="4">
      <x v="1"/>
      <x v="129"/>
    </i>
    <i r="2">
      <x v="55"/>
      <x/>
      <x v="1"/>
      <x v="128"/>
    </i>
    <i r="2">
      <x v="58"/>
      <x/>
      <x v="1"/>
      <x v="100"/>
    </i>
    <i r="2">
      <x v="69"/>
      <x/>
      <x/>
      <x v="134"/>
    </i>
    <i r="2">
      <x v="70"/>
      <x/>
      <x v="1"/>
      <x v="120"/>
    </i>
    <i r="2">
      <x v="71"/>
      <x v="2"/>
      <x v="1"/>
      <x v="142"/>
    </i>
    <i r="2">
      <x v="72"/>
      <x v="2"/>
      <x/>
      <x v="125"/>
    </i>
    <i r="5">
      <x v="143"/>
    </i>
    <i r="1">
      <x v="2"/>
      <x v="1"/>
      <x/>
      <x/>
      <x v="151"/>
    </i>
    <i r="4">
      <x v="1"/>
      <x v="53"/>
    </i>
    <i r="2">
      <x v="5"/>
      <x/>
      <x v="1"/>
      <x v="64"/>
    </i>
    <i r="5">
      <x v="111"/>
    </i>
    <i r="5">
      <x v="150"/>
    </i>
    <i r="2">
      <x v="25"/>
      <x/>
      <x/>
      <x v="55"/>
    </i>
    <i r="2">
      <x v="30"/>
      <x v="2"/>
      <x v="1"/>
      <x v="149"/>
    </i>
    <i r="2">
      <x v="37"/>
      <x/>
      <x v="1"/>
      <x v="54"/>
    </i>
    <i r="3">
      <x v="2"/>
      <x v="1"/>
      <x v="67"/>
    </i>
    <i r="2">
      <x v="61"/>
      <x v="1"/>
      <x v="1"/>
      <x v="51"/>
    </i>
    <i r="2">
      <x v="64"/>
      <x v="2"/>
      <x/>
      <x v="92"/>
    </i>
    <i r="2">
      <x v="73"/>
      <x/>
      <x/>
      <x v="127"/>
    </i>
    <i r="2">
      <x v="77"/>
      <x/>
      <x v="1"/>
      <x v="152"/>
    </i>
    <i r="3">
      <x v="2"/>
      <x v="1"/>
      <x v="153"/>
    </i>
    <i r="1">
      <x v="3"/>
      <x v="2"/>
      <x v="1"/>
      <x/>
      <x v="141"/>
    </i>
    <i r="3">
      <x v="3"/>
      <x v="2"/>
      <x v="89"/>
    </i>
    <i r="2">
      <x v="13"/>
      <x v="2"/>
      <x v="1"/>
      <x v="140"/>
    </i>
    <i r="2">
      <x v="15"/>
      <x v="2"/>
      <x v="1"/>
      <x v="139"/>
    </i>
    <i r="2">
      <x v="65"/>
      <x v="1"/>
      <x/>
      <x v="146"/>
    </i>
    <i r="2">
      <x v="75"/>
      <x/>
      <x/>
      <x v="145"/>
    </i>
    <i r="3">
      <x v="2"/>
      <x v="1"/>
      <x v="144"/>
    </i>
    <i r="2">
      <x v="76"/>
      <x v="1"/>
      <x v="1"/>
      <x v="89"/>
    </i>
    <i r="1">
      <x v="4"/>
      <x v="20"/>
      <x/>
      <x/>
      <x v="105"/>
    </i>
    <i r="2">
      <x v="21"/>
      <x/>
      <x v="1"/>
      <x v="136"/>
    </i>
    <i r="3">
      <x v="2"/>
      <x/>
      <x v="148"/>
    </i>
    <i r="2">
      <x v="40"/>
      <x/>
      <x v="1"/>
      <x v="23"/>
    </i>
    <i r="2">
      <x v="74"/>
      <x/>
      <x/>
      <x v="104"/>
    </i>
    <i r="3">
      <x v="2"/>
      <x/>
      <x v="110"/>
    </i>
    <i r="4">
      <x v="1"/>
      <x v="101"/>
    </i>
    <i r="2">
      <x v="79"/>
      <x v="2"/>
      <x/>
      <x v="155"/>
    </i>
    <i>
      <x v="11"/>
      <x v="1"/>
      <x v="69"/>
      <x/>
      <x/>
      <x v="135"/>
    </i>
    <i r="2">
      <x v="71"/>
      <x v="1"/>
      <x/>
      <x v="122"/>
    </i>
    <i r="4">
      <x v="1"/>
      <x v="121"/>
    </i>
    <i r="1">
      <x v="2"/>
      <x v="12"/>
      <x/>
      <x/>
      <x v="12"/>
    </i>
    <i r="4">
      <x v="1"/>
      <x v="42"/>
    </i>
    <i r="3">
      <x v="2"/>
      <x v="1"/>
      <x v="15"/>
    </i>
    <i r="2">
      <x v="59"/>
      <x/>
      <x/>
      <x v="62"/>
    </i>
    <i r="2">
      <x v="67"/>
      <x/>
      <x/>
      <x v="147"/>
    </i>
    <i r="1">
      <x v="4"/>
      <x v="23"/>
      <x v="2"/>
      <x v="1"/>
      <x v="79"/>
    </i>
    <i r="2">
      <x v="40"/>
      <x/>
      <x/>
      <x v="24"/>
    </i>
    <i>
      <x v="12"/>
      <x v="4"/>
      <x v="80"/>
      <x v="3"/>
      <x v="2"/>
      <x v="89"/>
    </i>
    <i r="1">
      <x v="5"/>
      <x v="62"/>
      <x v="3"/>
      <x v="2"/>
      <x v="89"/>
    </i>
    <i t="grand">
      <x/>
    </i>
  </rowItems>
  <colFields count="1">
    <field x="-2"/>
  </colFields>
  <colItems count="5">
    <i>
      <x/>
    </i>
    <i i="1">
      <x v="1"/>
    </i>
    <i i="2">
      <x v="2"/>
    </i>
    <i i="3">
      <x v="3"/>
    </i>
    <i i="4">
      <x v="4"/>
    </i>
  </colItems>
  <dataFields count="5">
    <dataField name="Sum of CRP Term Benefit £m" fld="13" baseField="0" baseItem="0"/>
    <dataField name="Sum of Profit 2026 £m" fld="14" baseField="1" baseItem="14"/>
    <dataField name="Sum of Profit 2027 £m" fld="15" baseField="8" baseItem="44"/>
    <dataField name="Sum of Profit 2028 £m" fld="16" baseField="8" baseItem="44"/>
    <dataField name="Sum of Profit 2029 £m" fld="17" baseField="8" baseItem="44"/>
  </dataFields>
  <formats count="326">
    <format dxfId="47">
      <pivotArea outline="0" collapsedLevelsAreSubtotals="1" fieldPosition="0"/>
    </format>
    <format dxfId="48">
      <pivotArea field="1" type="button" dataOnly="0" labelOnly="1" outline="0" axis="axisRow" fieldPosition="2"/>
    </format>
    <format dxfId="49">
      <pivotArea field="6" type="button" dataOnly="0" labelOnly="1" outline="0" axis="axisRow" fieldPosition="4"/>
    </format>
    <format dxfId="50">
      <pivotArea dataOnly="0" labelOnly="1" outline="0" fieldPosition="0">
        <references count="1">
          <reference field="4294967294" count="2">
            <x v="0"/>
            <x v="1"/>
          </reference>
        </references>
      </pivotArea>
    </format>
    <format dxfId="51">
      <pivotArea field="2" type="button" dataOnly="0" labelOnly="1" outline="0" axis="axisRow" fieldPosition="0"/>
    </format>
    <format dxfId="52">
      <pivotArea field="1" type="button" dataOnly="0" labelOnly="1" outline="0" axis="axisRow" fieldPosition="2"/>
    </format>
    <format dxfId="53">
      <pivotArea field="6" type="button" dataOnly="0" labelOnly="1" outline="0" axis="axisRow" fieldPosition="4"/>
    </format>
    <format dxfId="54">
      <pivotArea dataOnly="0" labelOnly="1" outline="0" fieldPosition="0">
        <references count="1">
          <reference field="4294967294" count="2">
            <x v="0"/>
            <x v="1"/>
          </reference>
        </references>
      </pivotArea>
    </format>
    <format dxfId="55">
      <pivotArea field="2" type="button" dataOnly="0" labelOnly="1" outline="0" axis="axisRow" fieldPosition="0"/>
    </format>
    <format dxfId="56">
      <pivotArea field="1" type="button" dataOnly="0" labelOnly="1" outline="0" axis="axisRow" fieldPosition="2"/>
    </format>
    <format dxfId="57">
      <pivotArea field="6" type="button" dataOnly="0" labelOnly="1" outline="0" axis="axisRow" fieldPosition="4"/>
    </format>
    <format dxfId="58">
      <pivotArea dataOnly="0" labelOnly="1" outline="0" fieldPosition="0">
        <references count="1">
          <reference field="4294967294" count="2">
            <x v="0"/>
            <x v="1"/>
          </reference>
        </references>
      </pivotArea>
    </format>
    <format dxfId="59">
      <pivotArea grandRow="1" outline="0" collapsedLevelsAreSubtotals="1" fieldPosition="0"/>
    </format>
    <format dxfId="60">
      <pivotArea dataOnly="0" labelOnly="1" grandRow="1" outline="0" fieldPosition="0"/>
    </format>
    <format dxfId="61">
      <pivotArea grandRow="1" outline="0" collapsedLevelsAreSubtotals="1" fieldPosition="0"/>
    </format>
    <format dxfId="62">
      <pivotArea dataOnly="0" labelOnly="1" grandRow="1" outline="0" fieldPosition="0"/>
    </format>
    <format dxfId="63">
      <pivotArea field="2" type="button" dataOnly="0" labelOnly="1" outline="0" axis="axisRow" fieldPosition="0"/>
    </format>
    <format dxfId="64">
      <pivotArea field="8" type="button" dataOnly="0" labelOnly="1" outline="0" axis="axisRow" fieldPosition="5"/>
    </format>
    <format dxfId="65">
      <pivotArea field="8" type="button" dataOnly="0" labelOnly="1" outline="0" axis="axisRow" fieldPosition="5"/>
    </format>
    <format dxfId="66">
      <pivotArea field="8" type="button" dataOnly="0" labelOnly="1" outline="0" axis="axisRow" fieldPosition="5"/>
    </format>
    <format dxfId="67">
      <pivotArea dataOnly="0" labelOnly="1" outline="0" fieldPosition="0">
        <references count="4">
          <reference field="1" count="1" selected="0">
            <x v="50"/>
          </reference>
          <reference field="2" count="1" selected="0">
            <x v="0"/>
          </reference>
          <reference field="6" count="1" selected="0">
            <x v="0"/>
          </reference>
          <reference field="8" count="1">
            <x v="77"/>
          </reference>
        </references>
      </pivotArea>
    </format>
    <format dxfId="68">
      <pivotArea dataOnly="0" labelOnly="1" outline="0" fieldPosition="0">
        <references count="4">
          <reference field="1" count="1" selected="0">
            <x v="29"/>
          </reference>
          <reference field="2" count="1" selected="0">
            <x v="1"/>
          </reference>
          <reference field="6" count="1" selected="0">
            <x v="0"/>
          </reference>
          <reference field="8" count="1">
            <x v="35"/>
          </reference>
        </references>
      </pivotArea>
    </format>
    <format dxfId="69">
      <pivotArea dataOnly="0" labelOnly="1" outline="0" fieldPosition="0">
        <references count="4">
          <reference field="1" count="1" selected="0">
            <x v="33"/>
          </reference>
          <reference field="2" count="1" selected="0">
            <x v="1"/>
          </reference>
          <reference field="6" count="1" selected="0">
            <x v="0"/>
          </reference>
          <reference field="8" count="2">
            <x v="39"/>
            <x v="40"/>
          </reference>
        </references>
      </pivotArea>
    </format>
    <format dxfId="70">
      <pivotArea dataOnly="0" labelOnly="1" outline="0" fieldPosition="0">
        <references count="4">
          <reference field="1" count="1" selected="0">
            <x v="44"/>
          </reference>
          <reference field="2" count="1" selected="0">
            <x v="1"/>
          </reference>
          <reference field="6" count="1" selected="0">
            <x v="0"/>
          </reference>
          <reference field="8" count="1">
            <x v="76"/>
          </reference>
        </references>
      </pivotArea>
    </format>
    <format dxfId="71">
      <pivotArea dataOnly="0" labelOnly="1" outline="0" fieldPosition="0">
        <references count="4">
          <reference field="1" count="1" selected="0">
            <x v="60"/>
          </reference>
          <reference field="2" count="1" selected="0">
            <x v="1"/>
          </reference>
          <reference field="6" count="1" selected="0">
            <x v="0"/>
          </reference>
          <reference field="8" count="1">
            <x v="88"/>
          </reference>
        </references>
      </pivotArea>
    </format>
    <format dxfId="72">
      <pivotArea dataOnly="0" labelOnly="1" outline="0" fieldPosition="0">
        <references count="4">
          <reference field="1" count="1" selected="0">
            <x v="60"/>
          </reference>
          <reference field="2" count="1" selected="0">
            <x v="1"/>
          </reference>
          <reference field="6" count="1" selected="0">
            <x v="1"/>
          </reference>
          <reference field="8" count="1">
            <x v="87"/>
          </reference>
        </references>
      </pivotArea>
    </format>
    <format dxfId="73">
      <pivotArea dataOnly="0" labelOnly="1" outline="0" fieldPosition="0">
        <references count="4">
          <reference field="1" count="1" selected="0">
            <x v="47"/>
          </reference>
          <reference field="2" count="1" selected="0">
            <x v="2"/>
          </reference>
          <reference field="6" count="1" selected="0">
            <x v="0"/>
          </reference>
          <reference field="8" count="1">
            <x v="37"/>
          </reference>
        </references>
      </pivotArea>
    </format>
    <format dxfId="74">
      <pivotArea dataOnly="0" labelOnly="1" outline="0" fieldPosition="0">
        <references count="4">
          <reference field="1" count="1" selected="0">
            <x v="24"/>
          </reference>
          <reference field="2" count="1" selected="0">
            <x v="3"/>
          </reference>
          <reference field="6" count="1" selected="0">
            <x v="0"/>
          </reference>
          <reference field="8" count="1">
            <x v="27"/>
          </reference>
        </references>
      </pivotArea>
    </format>
    <format dxfId="75">
      <pivotArea dataOnly="0" labelOnly="1" outline="0" fieldPosition="0">
        <references count="4">
          <reference field="1" count="1" selected="0">
            <x v="57"/>
          </reference>
          <reference field="2" count="1" selected="0">
            <x v="3"/>
          </reference>
          <reference field="6" count="1" selected="0">
            <x v="0"/>
          </reference>
          <reference field="8" count="1">
            <x v="86"/>
          </reference>
        </references>
      </pivotArea>
    </format>
    <format dxfId="76">
      <pivotArea dataOnly="0" labelOnly="1" outline="0" fieldPosition="0">
        <references count="4">
          <reference field="1" count="1" selected="0">
            <x v="3"/>
          </reference>
          <reference field="2" count="1" selected="0">
            <x v="4"/>
          </reference>
          <reference field="6" count="1" selected="0">
            <x v="0"/>
          </reference>
          <reference field="8" count="1">
            <x v="5"/>
          </reference>
        </references>
      </pivotArea>
    </format>
    <format dxfId="77">
      <pivotArea dataOnly="0" labelOnly="1" outline="0" fieldPosition="0">
        <references count="4">
          <reference field="1" count="1" selected="0">
            <x v="4"/>
          </reference>
          <reference field="2" count="1" selected="0">
            <x v="4"/>
          </reference>
          <reference field="6" count="1" selected="0">
            <x v="0"/>
          </reference>
          <reference field="8" count="1">
            <x v="44"/>
          </reference>
        </references>
      </pivotArea>
    </format>
    <format dxfId="78">
      <pivotArea dataOnly="0" labelOnly="1" outline="0" fieldPosition="0">
        <references count="4">
          <reference field="1" count="1" selected="0">
            <x v="6"/>
          </reference>
          <reference field="2" count="1" selected="0">
            <x v="4"/>
          </reference>
          <reference field="6" count="1" selected="0">
            <x v="0"/>
          </reference>
          <reference field="8" count="1">
            <x v="57"/>
          </reference>
        </references>
      </pivotArea>
    </format>
    <format dxfId="79">
      <pivotArea dataOnly="0" labelOnly="1" outline="0" fieldPosition="0">
        <references count="4">
          <reference field="1" count="1" selected="0">
            <x v="8"/>
          </reference>
          <reference field="2" count="1" selected="0">
            <x v="4"/>
          </reference>
          <reference field="6" count="1" selected="0">
            <x v="0"/>
          </reference>
          <reference field="8" count="2">
            <x v="6"/>
            <x v="71"/>
          </reference>
        </references>
      </pivotArea>
    </format>
    <format dxfId="80">
      <pivotArea dataOnly="0" labelOnly="1" outline="0" fieldPosition="0">
        <references count="4">
          <reference field="1" count="1" selected="0">
            <x v="11"/>
          </reference>
          <reference field="2" count="1" selected="0">
            <x v="4"/>
          </reference>
          <reference field="6" count="1" selected="0">
            <x v="0"/>
          </reference>
          <reference field="8" count="1">
            <x v="78"/>
          </reference>
        </references>
      </pivotArea>
    </format>
    <format dxfId="81">
      <pivotArea dataOnly="0" labelOnly="1" outline="0" fieldPosition="0">
        <references count="4">
          <reference field="1" count="1" selected="0">
            <x v="12"/>
          </reference>
          <reference field="2" count="1" selected="0">
            <x v="4"/>
          </reference>
          <reference field="6" count="1" selected="0">
            <x v="0"/>
          </reference>
          <reference field="8" count="1">
            <x v="12"/>
          </reference>
        </references>
      </pivotArea>
    </format>
    <format dxfId="82">
      <pivotArea dataOnly="0" labelOnly="1" outline="0" fieldPosition="0">
        <references count="4">
          <reference field="1" count="1" selected="0">
            <x v="12"/>
          </reference>
          <reference field="2" count="1" selected="0">
            <x v="4"/>
          </reference>
          <reference field="6" count="1" selected="0">
            <x v="1"/>
          </reference>
          <reference field="8" count="1">
            <x v="43"/>
          </reference>
        </references>
      </pivotArea>
    </format>
    <format dxfId="83">
      <pivotArea dataOnly="0" labelOnly="1" outline="0" fieldPosition="0">
        <references count="4">
          <reference field="1" count="1" selected="0">
            <x v="20"/>
          </reference>
          <reference field="2" count="1" selected="0">
            <x v="4"/>
          </reference>
          <reference field="6" count="1" selected="0">
            <x v="0"/>
          </reference>
          <reference field="8" count="1">
            <x v="83"/>
          </reference>
        </references>
      </pivotArea>
    </format>
    <format dxfId="84">
      <pivotArea dataOnly="0" labelOnly="1" outline="0" fieldPosition="0">
        <references count="4">
          <reference field="1" count="1" selected="0">
            <x v="22"/>
          </reference>
          <reference field="2" count="1" selected="0">
            <x v="4"/>
          </reference>
          <reference field="6" count="1" selected="0">
            <x v="1"/>
          </reference>
          <reference field="8" count="1">
            <x v="50"/>
          </reference>
        </references>
      </pivotArea>
    </format>
    <format dxfId="85">
      <pivotArea dataOnly="0" labelOnly="1" outline="0" fieldPosition="0">
        <references count="4">
          <reference field="1" count="1" selected="0">
            <x v="27"/>
          </reference>
          <reference field="2" count="1" selected="0">
            <x v="4"/>
          </reference>
          <reference field="6" count="1" selected="0">
            <x v="1"/>
          </reference>
          <reference field="8" count="2">
            <x v="3"/>
            <x v="59"/>
          </reference>
        </references>
      </pivotArea>
    </format>
    <format dxfId="86">
      <pivotArea dataOnly="0" labelOnly="1" outline="0" fieldPosition="0">
        <references count="4">
          <reference field="1" count="1" selected="0">
            <x v="34"/>
          </reference>
          <reference field="2" count="1" selected="0">
            <x v="4"/>
          </reference>
          <reference field="6" count="1" selected="0">
            <x v="0"/>
          </reference>
          <reference field="8" count="1">
            <x v="34"/>
          </reference>
        </references>
      </pivotArea>
    </format>
    <format dxfId="87">
      <pivotArea dataOnly="0" labelOnly="1" outline="0" fieldPosition="0">
        <references count="4">
          <reference field="1" count="1" selected="0">
            <x v="36"/>
          </reference>
          <reference field="2" count="1" selected="0">
            <x v="4"/>
          </reference>
          <reference field="6" count="1" selected="0">
            <x v="0"/>
          </reference>
          <reference field="8" count="1">
            <x v="90"/>
          </reference>
        </references>
      </pivotArea>
    </format>
    <format dxfId="88">
      <pivotArea dataOnly="0" labelOnly="1" outline="0" fieldPosition="0">
        <references count="4">
          <reference field="1" count="1" selected="0">
            <x v="41"/>
          </reference>
          <reference field="2" count="1" selected="0">
            <x v="4"/>
          </reference>
          <reference field="6" count="1" selected="0">
            <x v="1"/>
          </reference>
          <reference field="8" count="1">
            <x v="11"/>
          </reference>
        </references>
      </pivotArea>
    </format>
    <format dxfId="89">
      <pivotArea dataOnly="0" labelOnly="1" outline="0" fieldPosition="0">
        <references count="4">
          <reference field="1" count="1" selected="0">
            <x v="48"/>
          </reference>
          <reference field="2" count="1" selected="0">
            <x v="4"/>
          </reference>
          <reference field="6" count="1" selected="0">
            <x v="0"/>
          </reference>
          <reference field="8" count="1">
            <x v="38"/>
          </reference>
        </references>
      </pivotArea>
    </format>
    <format dxfId="90">
      <pivotArea dataOnly="0" labelOnly="1" outline="0" fieldPosition="0">
        <references count="4">
          <reference field="1" count="1" selected="0">
            <x v="52"/>
          </reference>
          <reference field="2" count="1" selected="0">
            <x v="4"/>
          </reference>
          <reference field="6" count="1" selected="0">
            <x v="1"/>
          </reference>
          <reference field="8" count="1">
            <x v="58"/>
          </reference>
        </references>
      </pivotArea>
    </format>
    <format dxfId="91">
      <pivotArea dataOnly="0" labelOnly="1" outline="0" fieldPosition="0">
        <references count="4">
          <reference field="1" count="1" selected="0">
            <x v="59"/>
          </reference>
          <reference field="2" count="1" selected="0">
            <x v="4"/>
          </reference>
          <reference field="6" count="1" selected="0">
            <x v="0"/>
          </reference>
          <reference field="8" count="1">
            <x v="72"/>
          </reference>
        </references>
      </pivotArea>
    </format>
    <format dxfId="92">
      <pivotArea dataOnly="0" labelOnly="1" outline="0" fieldPosition="0">
        <references count="4">
          <reference field="1" count="1" selected="0">
            <x v="59"/>
          </reference>
          <reference field="2" count="1" selected="0">
            <x v="4"/>
          </reference>
          <reference field="6" count="1" selected="0">
            <x v="1"/>
          </reference>
          <reference field="8" count="1">
            <x v="75"/>
          </reference>
        </references>
      </pivotArea>
    </format>
    <format dxfId="93">
      <pivotArea dataOnly="0" labelOnly="1" outline="0" fieldPosition="0">
        <references count="4">
          <reference field="1" count="1" selected="0">
            <x v="0"/>
          </reference>
          <reference field="2" count="1" selected="0">
            <x v="5"/>
          </reference>
          <reference field="6" count="1" selected="0">
            <x v="0"/>
          </reference>
          <reference field="8" count="1">
            <x v="33"/>
          </reference>
        </references>
      </pivotArea>
    </format>
    <format dxfId="94">
      <pivotArea dataOnly="0" labelOnly="1" outline="0" fieldPosition="0">
        <references count="4">
          <reference field="1" count="1" selected="0">
            <x v="7"/>
          </reference>
          <reference field="2" count="1" selected="0">
            <x v="5"/>
          </reference>
          <reference field="6" count="1" selected="0">
            <x v="0"/>
          </reference>
          <reference field="8" count="1">
            <x v="17"/>
          </reference>
        </references>
      </pivotArea>
    </format>
    <format dxfId="95">
      <pivotArea dataOnly="0" labelOnly="1" outline="0" fieldPosition="0">
        <references count="4">
          <reference field="1" count="1" selected="0">
            <x v="16"/>
          </reference>
          <reference field="2" count="1" selected="0">
            <x v="5"/>
          </reference>
          <reference field="6" count="1" selected="0">
            <x v="1"/>
          </reference>
          <reference field="8" count="1">
            <x v="1"/>
          </reference>
        </references>
      </pivotArea>
    </format>
    <format dxfId="96">
      <pivotArea dataOnly="0" labelOnly="1" outline="0" fieldPosition="0">
        <references count="4">
          <reference field="1" count="1" selected="0">
            <x v="19"/>
          </reference>
          <reference field="2" count="1" selected="0">
            <x v="5"/>
          </reference>
          <reference field="6" count="1" selected="0">
            <x v="0"/>
          </reference>
          <reference field="8" count="1">
            <x v="47"/>
          </reference>
        </references>
      </pivotArea>
    </format>
    <format dxfId="97">
      <pivotArea dataOnly="0" labelOnly="1" outline="0" fieldPosition="0">
        <references count="4">
          <reference field="1" count="1" selected="0">
            <x v="20"/>
          </reference>
          <reference field="2" count="1" selected="0">
            <x v="5"/>
          </reference>
          <reference field="6" count="1" selected="0">
            <x v="1"/>
          </reference>
          <reference field="8" count="1">
            <x v="80"/>
          </reference>
        </references>
      </pivotArea>
    </format>
    <format dxfId="98">
      <pivotArea dataOnly="0" labelOnly="1" outline="0" fieldPosition="0">
        <references count="4">
          <reference field="1" count="1" selected="0">
            <x v="28"/>
          </reference>
          <reference field="2" count="1" selected="0">
            <x v="5"/>
          </reference>
          <reference field="6" count="1" selected="0">
            <x v="1"/>
          </reference>
          <reference field="8" count="1">
            <x v="21"/>
          </reference>
        </references>
      </pivotArea>
    </format>
    <format dxfId="99">
      <pivotArea dataOnly="0" labelOnly="1" outline="0" fieldPosition="0">
        <references count="4">
          <reference field="1" count="1" selected="0">
            <x v="38"/>
          </reference>
          <reference field="2" count="1" selected="0">
            <x v="5"/>
          </reference>
          <reference field="6" count="1" selected="0">
            <x v="0"/>
          </reference>
          <reference field="8" count="1">
            <x v="8"/>
          </reference>
        </references>
      </pivotArea>
    </format>
    <format dxfId="100">
      <pivotArea dataOnly="0" labelOnly="1" outline="0" fieldPosition="0">
        <references count="4">
          <reference field="1" count="1" selected="0">
            <x v="39"/>
          </reference>
          <reference field="2" count="1" selected="0">
            <x v="5"/>
          </reference>
          <reference field="6" count="1" selected="0">
            <x v="1"/>
          </reference>
          <reference field="8" count="1">
            <x v="7"/>
          </reference>
        </references>
      </pivotArea>
    </format>
    <format dxfId="101">
      <pivotArea dataOnly="0" labelOnly="1" outline="0" fieldPosition="0">
        <references count="4">
          <reference field="1" count="1" selected="0">
            <x v="42"/>
          </reference>
          <reference field="2" count="1" selected="0">
            <x v="5"/>
          </reference>
          <reference field="6" count="1" selected="0">
            <x v="0"/>
          </reference>
          <reference field="8" count="1">
            <x v="48"/>
          </reference>
        </references>
      </pivotArea>
    </format>
    <format dxfId="102">
      <pivotArea dataOnly="0" labelOnly="1" outline="0" fieldPosition="0">
        <references count="4">
          <reference field="1" count="1" selected="0">
            <x v="43"/>
          </reference>
          <reference field="2" count="1" selected="0">
            <x v="5"/>
          </reference>
          <reference field="6" count="1" selected="0">
            <x v="0"/>
          </reference>
          <reference field="8" count="1">
            <x v="9"/>
          </reference>
        </references>
      </pivotArea>
    </format>
    <format dxfId="103">
      <pivotArea dataOnly="0" labelOnly="1" outline="0" fieldPosition="0">
        <references count="4">
          <reference field="1" count="1" selected="0">
            <x v="45"/>
          </reference>
          <reference field="2" count="1" selected="0">
            <x v="5"/>
          </reference>
          <reference field="6" count="1" selected="0">
            <x v="0"/>
          </reference>
          <reference field="8" count="1">
            <x v="25"/>
          </reference>
        </references>
      </pivotArea>
    </format>
    <format dxfId="104">
      <pivotArea dataOnly="0" labelOnly="1" outline="0" fieldPosition="0">
        <references count="4">
          <reference field="1" count="1" selected="0">
            <x v="49"/>
          </reference>
          <reference field="2" count="1" selected="0">
            <x v="5"/>
          </reference>
          <reference field="6" count="1" selected="0">
            <x v="1"/>
          </reference>
          <reference field="8" count="1">
            <x v="56"/>
          </reference>
        </references>
      </pivotArea>
    </format>
    <format dxfId="105">
      <pivotArea dataOnly="0" labelOnly="1" outline="0" fieldPosition="0">
        <references count="4">
          <reference field="1" count="1" selected="0">
            <x v="54"/>
          </reference>
          <reference field="2" count="1" selected="0">
            <x v="5"/>
          </reference>
          <reference field="6" count="1" selected="0">
            <x v="1"/>
          </reference>
          <reference field="8" count="1">
            <x v="14"/>
          </reference>
        </references>
      </pivotArea>
    </format>
    <format dxfId="106">
      <pivotArea dataOnly="0" labelOnly="1" outline="0" fieldPosition="0">
        <references count="4">
          <reference field="1" count="1" selected="0">
            <x v="56"/>
          </reference>
          <reference field="2" count="1" selected="0">
            <x v="5"/>
          </reference>
          <reference field="6" count="1" selected="0">
            <x v="1"/>
          </reference>
          <reference field="8" count="1">
            <x v="26"/>
          </reference>
        </references>
      </pivotArea>
    </format>
    <format dxfId="107">
      <pivotArea dataOnly="0" labelOnly="1" outline="0" fieldPosition="0">
        <references count="4">
          <reference field="1" count="1" selected="0">
            <x v="14"/>
          </reference>
          <reference field="2" count="1" selected="0">
            <x v="6"/>
          </reference>
          <reference field="6" count="1" selected="0">
            <x v="0"/>
          </reference>
          <reference field="8" count="1">
            <x v="45"/>
          </reference>
        </references>
      </pivotArea>
    </format>
    <format dxfId="108">
      <pivotArea dataOnly="0" labelOnly="1" outline="0" fieldPosition="0">
        <references count="4">
          <reference field="1" count="1" selected="0">
            <x v="17"/>
          </reference>
          <reference field="2" count="1" selected="0">
            <x v="6"/>
          </reference>
          <reference field="6" count="1" selected="0">
            <x v="1"/>
          </reference>
          <reference field="8" count="1">
            <x v="60"/>
          </reference>
        </references>
      </pivotArea>
    </format>
    <format dxfId="109">
      <pivotArea dataOnly="0" labelOnly="1" outline="0" fieldPosition="0">
        <references count="4">
          <reference field="1" count="1" selected="0">
            <x v="18"/>
          </reference>
          <reference field="2" count="1" selected="0">
            <x v="6"/>
          </reference>
          <reference field="6" count="1" selected="0">
            <x v="0"/>
          </reference>
          <reference field="8" count="1">
            <x v="81"/>
          </reference>
        </references>
      </pivotArea>
    </format>
    <format dxfId="110">
      <pivotArea dataOnly="0" labelOnly="1" outline="0" fieldPosition="0">
        <references count="4">
          <reference field="1" count="1" selected="0">
            <x v="26"/>
          </reference>
          <reference field="2" count="1" selected="0">
            <x v="6"/>
          </reference>
          <reference field="6" count="1" selected="0">
            <x v="0"/>
          </reference>
          <reference field="8" count="1">
            <x v="61"/>
          </reference>
        </references>
      </pivotArea>
    </format>
    <format dxfId="111">
      <pivotArea dataOnly="0" labelOnly="1" outline="0" fieldPosition="0">
        <references count="4">
          <reference field="1" count="1" selected="0">
            <x v="31"/>
          </reference>
          <reference field="2" count="1" selected="0">
            <x v="6"/>
          </reference>
          <reference field="6" count="1" selected="0">
            <x v="1"/>
          </reference>
          <reference field="8" count="1">
            <x v="0"/>
          </reference>
        </references>
      </pivotArea>
    </format>
    <format dxfId="112">
      <pivotArea dataOnly="0" labelOnly="1" outline="0" fieldPosition="0">
        <references count="4">
          <reference field="1" count="1" selected="0">
            <x v="35"/>
          </reference>
          <reference field="2" count="1" selected="0">
            <x v="6"/>
          </reference>
          <reference field="6" count="1" selected="0">
            <x v="1"/>
          </reference>
          <reference field="8" count="1">
            <x v="46"/>
          </reference>
        </references>
      </pivotArea>
    </format>
    <format dxfId="113">
      <pivotArea dataOnly="0" labelOnly="1" outline="0" fieldPosition="0">
        <references count="4">
          <reference field="1" count="1" selected="0">
            <x v="46"/>
          </reference>
          <reference field="2" count="1" selected="0">
            <x v="6"/>
          </reference>
          <reference field="6" count="1" selected="0">
            <x v="1"/>
          </reference>
          <reference field="8" count="1">
            <x v="16"/>
          </reference>
        </references>
      </pivotArea>
    </format>
    <format dxfId="114">
      <pivotArea dataOnly="0" labelOnly="1" outline="0" fieldPosition="0">
        <references count="4">
          <reference field="1" count="1" selected="0">
            <x v="51"/>
          </reference>
          <reference field="2" count="1" selected="0">
            <x v="6"/>
          </reference>
          <reference field="6" count="1" selected="0">
            <x v="1"/>
          </reference>
          <reference field="8" count="1">
            <x v="74"/>
          </reference>
        </references>
      </pivotArea>
    </format>
    <format dxfId="115">
      <pivotArea dataOnly="0" labelOnly="1" outline="0" fieldPosition="0">
        <references count="4">
          <reference field="1" count="1" selected="0">
            <x v="53"/>
          </reference>
          <reference field="2" count="1" selected="0">
            <x v="6"/>
          </reference>
          <reference field="6" count="1" selected="0">
            <x v="1"/>
          </reference>
          <reference field="8" count="1">
            <x v="85"/>
          </reference>
        </references>
      </pivotArea>
    </format>
    <format dxfId="116">
      <pivotArea dataOnly="0" labelOnly="1" outline="0" fieldPosition="0">
        <references count="4">
          <reference field="1" count="1" selected="0">
            <x v="59"/>
          </reference>
          <reference field="2" count="1" selected="0">
            <x v="6"/>
          </reference>
          <reference field="6" count="1" selected="0">
            <x v="0"/>
          </reference>
          <reference field="8" count="1">
            <x v="20"/>
          </reference>
        </references>
      </pivotArea>
    </format>
    <format dxfId="117">
      <pivotArea dataOnly="0" labelOnly="1" outline="0" fieldPosition="0">
        <references count="4">
          <reference field="1" count="1" selected="0">
            <x v="9"/>
          </reference>
          <reference field="2" count="1" selected="0">
            <x v="7"/>
          </reference>
          <reference field="6" count="1" selected="0">
            <x v="0"/>
          </reference>
          <reference field="8" count="1">
            <x v="10"/>
          </reference>
        </references>
      </pivotArea>
    </format>
    <format dxfId="118">
      <pivotArea dataOnly="0" labelOnly="1" outline="0" fieldPosition="0">
        <references count="4">
          <reference field="1" count="1" selected="0">
            <x v="12"/>
          </reference>
          <reference field="2" count="1" selected="0">
            <x v="7"/>
          </reference>
          <reference field="6" count="1" selected="0">
            <x v="0"/>
          </reference>
          <reference field="8" count="1">
            <x v="15"/>
          </reference>
        </references>
      </pivotArea>
    </format>
    <format dxfId="119">
      <pivotArea dataOnly="0" labelOnly="1" outline="0" fieldPosition="0">
        <references count="4">
          <reference field="1" count="1" selected="0">
            <x v="12"/>
          </reference>
          <reference field="2" count="1" selected="0">
            <x v="8"/>
          </reference>
          <reference field="6" count="1" selected="0">
            <x v="1"/>
          </reference>
          <reference field="8" count="1">
            <x v="19"/>
          </reference>
        </references>
      </pivotArea>
    </format>
    <format dxfId="120">
      <pivotArea dataOnly="0" labelOnly="1" outline="0" fieldPosition="0">
        <references count="4">
          <reference field="1" count="1" selected="0">
            <x v="48"/>
          </reference>
          <reference field="2" count="1" selected="0">
            <x v="8"/>
          </reference>
          <reference field="6" count="1" selected="0">
            <x v="1"/>
          </reference>
          <reference field="8" count="1">
            <x v="82"/>
          </reference>
        </references>
      </pivotArea>
    </format>
    <format dxfId="121">
      <pivotArea dataOnly="0" labelOnly="1" outline="0" fieldPosition="0">
        <references count="4">
          <reference field="1" count="1" selected="0">
            <x v="10"/>
          </reference>
          <reference field="2" count="1" selected="0">
            <x v="9"/>
          </reference>
          <reference field="6" count="1" selected="0">
            <x v="0"/>
          </reference>
          <reference field="8" count="1">
            <x v="73"/>
          </reference>
        </references>
      </pivotArea>
    </format>
    <format dxfId="122">
      <pivotArea dataOnly="0" labelOnly="1" outline="0" fieldPosition="0">
        <references count="4">
          <reference field="1" count="1" selected="0">
            <x v="13"/>
          </reference>
          <reference field="2" count="1" selected="0">
            <x v="9"/>
          </reference>
          <reference field="6" count="1" selected="0">
            <x v="0"/>
          </reference>
          <reference field="8" count="1">
            <x v="2"/>
          </reference>
        </references>
      </pivotArea>
    </format>
    <format dxfId="123">
      <pivotArea dataOnly="0" labelOnly="1" outline="0" fieldPosition="0">
        <references count="4">
          <reference field="1" count="1" selected="0">
            <x v="15"/>
          </reference>
          <reference field="2" count="1" selected="0">
            <x v="9"/>
          </reference>
          <reference field="6" count="1" selected="0">
            <x v="1"/>
          </reference>
          <reference field="8" count="1">
            <x v="4"/>
          </reference>
        </references>
      </pivotArea>
    </format>
    <format dxfId="124">
      <pivotArea dataOnly="0" labelOnly="1" outline="0" fieldPosition="0">
        <references count="4">
          <reference field="1" count="1" selected="0">
            <x v="32"/>
          </reference>
          <reference field="2" count="1" selected="0">
            <x v="9"/>
          </reference>
          <reference field="6" count="1" selected="0">
            <x v="0"/>
          </reference>
          <reference field="8" count="1">
            <x v="18"/>
          </reference>
        </references>
      </pivotArea>
    </format>
    <format dxfId="125">
      <pivotArea dataOnly="0" labelOnly="1" outline="0" fieldPosition="0">
        <references count="4">
          <reference field="1" count="1" selected="0">
            <x v="1"/>
          </reference>
          <reference field="2" count="1" selected="0">
            <x v="10"/>
          </reference>
          <reference field="6" count="1" selected="0">
            <x v="1"/>
          </reference>
          <reference field="8" count="1">
            <x v="53"/>
          </reference>
        </references>
      </pivotArea>
    </format>
    <format dxfId="126">
      <pivotArea dataOnly="0" labelOnly="1" outline="0" fieldPosition="0">
        <references count="4">
          <reference field="1" count="1" selected="0">
            <x v="1"/>
          </reference>
          <reference field="2" count="1" selected="0">
            <x v="10"/>
          </reference>
          <reference field="6" count="1" selected="0">
            <x v="2"/>
          </reference>
          <reference field="8" count="1">
            <x v="22"/>
          </reference>
        </references>
      </pivotArea>
    </format>
    <format dxfId="127">
      <pivotArea dataOnly="0" labelOnly="1" outline="0" fieldPosition="0">
        <references count="4">
          <reference field="1" count="1" selected="0">
            <x v="2"/>
          </reference>
          <reference field="2" count="1" selected="0">
            <x v="10"/>
          </reference>
          <reference field="6" count="1" selected="0">
            <x v="0"/>
          </reference>
          <reference field="8" count="1">
            <x v="63"/>
          </reference>
        </references>
      </pivotArea>
    </format>
    <format dxfId="128">
      <pivotArea dataOnly="0" labelOnly="1" outline="0" fieldPosition="0">
        <references count="4">
          <reference field="1" count="1" selected="0">
            <x v="5"/>
          </reference>
          <reference field="2" count="1" selected="0">
            <x v="10"/>
          </reference>
          <reference field="6" count="1" selected="0">
            <x v="1"/>
          </reference>
          <reference field="8" count="3">
            <x v="53"/>
            <x v="64"/>
            <x v="65"/>
          </reference>
        </references>
      </pivotArea>
    </format>
    <format dxfId="129">
      <pivotArea dataOnly="0" labelOnly="1" outline="0" fieldPosition="0">
        <references count="4">
          <reference field="1" count="1" selected="0">
            <x v="20"/>
          </reference>
          <reference field="2" count="1" selected="0">
            <x v="10"/>
          </reference>
          <reference field="6" count="1" selected="0">
            <x v="1"/>
          </reference>
          <reference field="8" count="1">
            <x v="66"/>
          </reference>
        </references>
      </pivotArea>
    </format>
    <format dxfId="130">
      <pivotArea dataOnly="0" labelOnly="1" outline="0" fieldPosition="0">
        <references count="4">
          <reference field="1" count="1" selected="0">
            <x v="21"/>
          </reference>
          <reference field="2" count="1" selected="0">
            <x v="10"/>
          </reference>
          <reference field="6" count="1" selected="0">
            <x v="0"/>
          </reference>
          <reference field="8" count="2">
            <x v="31"/>
            <x v="32"/>
          </reference>
        </references>
      </pivotArea>
    </format>
    <format dxfId="131">
      <pivotArea dataOnly="0" labelOnly="1" outline="0" fieldPosition="0">
        <references count="4">
          <reference field="1" count="1" selected="0">
            <x v="21"/>
          </reference>
          <reference field="2" count="1" selected="0">
            <x v="10"/>
          </reference>
          <reference field="6" count="1" selected="0">
            <x v="1"/>
          </reference>
          <reference field="8" count="3">
            <x v="28"/>
            <x v="29"/>
            <x v="30"/>
          </reference>
        </references>
      </pivotArea>
    </format>
    <format dxfId="132">
      <pivotArea dataOnly="0" labelOnly="1" outline="0" fieldPosition="0">
        <references count="4">
          <reference field="1" count="1" selected="0">
            <x v="22"/>
          </reference>
          <reference field="2" count="1" selected="0">
            <x v="10"/>
          </reference>
          <reference field="6" count="1" selected="0">
            <x v="0"/>
          </reference>
          <reference field="8" count="3">
            <x v="68"/>
            <x v="69"/>
            <x v="70"/>
          </reference>
        </references>
      </pivotArea>
    </format>
    <format dxfId="133">
      <pivotArea dataOnly="0" labelOnly="1" outline="0" fieldPosition="0">
        <references count="4">
          <reference field="1" count="1" selected="0">
            <x v="25"/>
          </reference>
          <reference field="2" count="1" selected="0">
            <x v="10"/>
          </reference>
          <reference field="6" count="1" selected="0">
            <x v="0"/>
          </reference>
          <reference field="8" count="1">
            <x v="55"/>
          </reference>
        </references>
      </pivotArea>
    </format>
    <format dxfId="134">
      <pivotArea dataOnly="0" labelOnly="1" outline="0" fieldPosition="0">
        <references count="4">
          <reference field="1" count="1" selected="0">
            <x v="30"/>
          </reference>
          <reference field="2" count="1" selected="0">
            <x v="10"/>
          </reference>
          <reference field="6" count="1" selected="0">
            <x v="1"/>
          </reference>
          <reference field="8" count="1">
            <x v="52"/>
          </reference>
        </references>
      </pivotArea>
    </format>
    <format dxfId="135">
      <pivotArea dataOnly="0" labelOnly="1" outline="0" fieldPosition="0">
        <references count="4">
          <reference field="1" count="1" selected="0">
            <x v="37"/>
          </reference>
          <reference field="2" count="1" selected="0">
            <x v="10"/>
          </reference>
          <reference field="6" count="1" selected="0">
            <x v="1"/>
          </reference>
          <reference field="8" count="2">
            <x v="54"/>
            <x v="67"/>
          </reference>
        </references>
      </pivotArea>
    </format>
    <format dxfId="136">
      <pivotArea dataOnly="0" labelOnly="1" outline="0" fieldPosition="0">
        <references count="4">
          <reference field="1" count="1" selected="0">
            <x v="40"/>
          </reference>
          <reference field="2" count="1" selected="0">
            <x v="10"/>
          </reference>
          <reference field="6" count="1" selected="0">
            <x v="1"/>
          </reference>
          <reference field="8" count="1">
            <x v="23"/>
          </reference>
        </references>
      </pivotArea>
    </format>
    <format dxfId="137">
      <pivotArea dataOnly="0" labelOnly="1" outline="0" fieldPosition="0">
        <references count="4">
          <reference field="1" count="1" selected="0">
            <x v="48"/>
          </reference>
          <reference field="2" count="1" selected="0">
            <x v="10"/>
          </reference>
          <reference field="6" count="1" selected="0">
            <x v="1"/>
          </reference>
          <reference field="8" count="1">
            <x v="36"/>
          </reference>
        </references>
      </pivotArea>
    </format>
    <format dxfId="138">
      <pivotArea dataOnly="0" labelOnly="1" outline="0" fieldPosition="0">
        <references count="4">
          <reference field="1" count="1" selected="0">
            <x v="55"/>
          </reference>
          <reference field="2" count="1" selected="0">
            <x v="10"/>
          </reference>
          <reference field="6" count="1" selected="0">
            <x v="0"/>
          </reference>
          <reference field="8" count="1">
            <x v="49"/>
          </reference>
        </references>
      </pivotArea>
    </format>
    <format dxfId="139">
      <pivotArea dataOnly="0" labelOnly="1" outline="0" fieldPosition="0">
        <references count="4">
          <reference field="1" count="1" selected="0">
            <x v="58"/>
          </reference>
          <reference field="2" count="1" selected="0">
            <x v="10"/>
          </reference>
          <reference field="6" count="1" selected="0">
            <x v="1"/>
          </reference>
          <reference field="8" count="1">
            <x v="41"/>
          </reference>
        </references>
      </pivotArea>
    </format>
    <format dxfId="140">
      <pivotArea dataOnly="0" labelOnly="1" outline="0" fieldPosition="0">
        <references count="4">
          <reference field="1" count="1" selected="0">
            <x v="61"/>
          </reference>
          <reference field="2" count="1" selected="0">
            <x v="10"/>
          </reference>
          <reference field="6" count="1" selected="0">
            <x v="1"/>
          </reference>
          <reference field="8" count="1">
            <x v="51"/>
          </reference>
        </references>
      </pivotArea>
    </format>
    <format dxfId="141">
      <pivotArea dataOnly="0" labelOnly="1" outline="0" fieldPosition="0">
        <references count="4">
          <reference field="1" count="1" selected="0">
            <x v="12"/>
          </reference>
          <reference field="2" count="1" selected="0">
            <x v="11"/>
          </reference>
          <reference field="6" count="1" selected="0">
            <x v="0"/>
          </reference>
          <reference field="8" count="1">
            <x v="12"/>
          </reference>
        </references>
      </pivotArea>
    </format>
    <format dxfId="142">
      <pivotArea dataOnly="0" labelOnly="1" outline="0" fieldPosition="0">
        <references count="4">
          <reference field="1" count="1" selected="0">
            <x v="12"/>
          </reference>
          <reference field="2" count="1" selected="0">
            <x v="11"/>
          </reference>
          <reference field="6" count="1" selected="0">
            <x v="1"/>
          </reference>
          <reference field="8" count="2">
            <x v="15"/>
            <x v="42"/>
          </reference>
        </references>
      </pivotArea>
    </format>
    <format dxfId="143">
      <pivotArea dataOnly="0" labelOnly="1" outline="0" fieldPosition="0">
        <references count="4">
          <reference field="1" count="1" selected="0">
            <x v="23"/>
          </reference>
          <reference field="2" count="1" selected="0">
            <x v="11"/>
          </reference>
          <reference field="6" count="1" selected="0">
            <x v="0"/>
          </reference>
          <reference field="8" count="1">
            <x v="84"/>
          </reference>
        </references>
      </pivotArea>
    </format>
    <format dxfId="144">
      <pivotArea dataOnly="0" labelOnly="1" outline="0" fieldPosition="0">
        <references count="4">
          <reference field="1" count="1" selected="0">
            <x v="23"/>
          </reference>
          <reference field="2" count="1" selected="0">
            <x v="11"/>
          </reference>
          <reference field="6" count="1" selected="0">
            <x v="1"/>
          </reference>
          <reference field="8" count="1">
            <x v="79"/>
          </reference>
        </references>
      </pivotArea>
    </format>
    <format dxfId="145">
      <pivotArea dataOnly="0" labelOnly="1" outline="0" fieldPosition="0">
        <references count="4">
          <reference field="1" count="1" selected="0">
            <x v="40"/>
          </reference>
          <reference field="2" count="1" selected="0">
            <x v="11"/>
          </reference>
          <reference field="6" count="1" selected="0">
            <x v="0"/>
          </reference>
          <reference field="8" count="1">
            <x v="24"/>
          </reference>
        </references>
      </pivotArea>
    </format>
    <format dxfId="146">
      <pivotArea dataOnly="0" labelOnly="1" outline="0" fieldPosition="0">
        <references count="4">
          <reference field="1" count="1" selected="0">
            <x v="59"/>
          </reference>
          <reference field="2" count="1" selected="0">
            <x v="11"/>
          </reference>
          <reference field="6" count="1" selected="0">
            <x v="0"/>
          </reference>
          <reference field="8" count="1">
            <x v="62"/>
          </reference>
        </references>
      </pivotArea>
    </format>
    <format dxfId="147">
      <pivotArea dataOnly="0" labelOnly="1" outline="0" fieldPosition="0">
        <references count="4">
          <reference field="1" count="1" selected="0">
            <x v="12"/>
          </reference>
          <reference field="2" count="1" selected="0">
            <x v="12"/>
          </reference>
          <reference field="6" count="1" selected="0">
            <x v="0"/>
          </reference>
          <reference field="8" count="1">
            <x v="13"/>
          </reference>
        </references>
      </pivotArea>
    </format>
    <format dxfId="148">
      <pivotArea dataOnly="0" labelOnly="1" outline="0" fieldPosition="0">
        <references count="4">
          <reference field="1" count="1" selected="0">
            <x v="62"/>
          </reference>
          <reference field="2" count="1" selected="0">
            <x v="12"/>
          </reference>
          <reference field="6" count="1" selected="0">
            <x v="2"/>
          </reference>
          <reference field="8" count="1">
            <x v="89"/>
          </reference>
        </references>
      </pivotArea>
    </format>
    <format dxfId="149">
      <pivotArea dataOnly="0" labelOnly="1" outline="0" fieldPosition="0">
        <references count="1">
          <reference field="2" count="7">
            <x v="0"/>
            <x v="1"/>
            <x v="3"/>
            <x v="4"/>
            <x v="5"/>
            <x v="6"/>
            <x v="7"/>
          </reference>
        </references>
      </pivotArea>
    </format>
    <format dxfId="150">
      <pivotArea dataOnly="0" labelOnly="1" grandRow="1" outline="0" fieldPosition="0"/>
    </format>
    <format dxfId="151">
      <pivotArea dataOnly="0" labelOnly="1" outline="0" fieldPosition="0">
        <references count="2">
          <reference field="1" count="1">
            <x v="50"/>
          </reference>
          <reference field="2" count="1" selected="0">
            <x v="0"/>
          </reference>
        </references>
      </pivotArea>
    </format>
    <format dxfId="152">
      <pivotArea dataOnly="0" labelOnly="1" outline="0" fieldPosition="0">
        <references count="2">
          <reference field="1" count="4">
            <x v="29"/>
            <x v="33"/>
            <x v="44"/>
            <x v="60"/>
          </reference>
          <reference field="2" count="1" selected="0">
            <x v="1"/>
          </reference>
        </references>
      </pivotArea>
    </format>
    <format dxfId="153">
      <pivotArea dataOnly="0" labelOnly="1" outline="0" fieldPosition="0">
        <references count="2">
          <reference field="1" count="2">
            <x v="24"/>
            <x v="57"/>
          </reference>
          <reference field="2" count="1" selected="0">
            <x v="3"/>
          </reference>
        </references>
      </pivotArea>
    </format>
    <format dxfId="154">
      <pivotArea dataOnly="0" labelOnly="1" outline="0" fieldPosition="0">
        <references count="2">
          <reference field="1" count="1">
            <x v="34"/>
          </reference>
          <reference field="2" count="1" selected="0">
            <x v="4"/>
          </reference>
        </references>
      </pivotArea>
    </format>
    <format dxfId="155">
      <pivotArea dataOnly="0" labelOnly="1" outline="0" fieldPosition="0">
        <references count="2">
          <reference field="1" count="4">
            <x v="0"/>
            <x v="7"/>
            <x v="28"/>
            <x v="38"/>
          </reference>
          <reference field="2" count="1" selected="0">
            <x v="5"/>
          </reference>
        </references>
      </pivotArea>
    </format>
    <format dxfId="156">
      <pivotArea dataOnly="0" labelOnly="1" outline="0" fieldPosition="0">
        <references count="2">
          <reference field="1" count="1">
            <x v="18"/>
          </reference>
          <reference field="2" count="1" selected="0">
            <x v="6"/>
          </reference>
        </references>
      </pivotArea>
    </format>
    <format dxfId="157">
      <pivotArea dataOnly="0" labelOnly="1" outline="0" fieldPosition="0">
        <references count="2">
          <reference field="1" count="1">
            <x v="9"/>
          </reference>
          <reference field="2" count="1" selected="0">
            <x v="7"/>
          </reference>
        </references>
      </pivotArea>
    </format>
    <format dxfId="158">
      <pivotArea dataOnly="0" labelOnly="1" outline="0" fieldPosition="0">
        <references count="3">
          <reference field="1" count="1" selected="0">
            <x v="50"/>
          </reference>
          <reference field="2" count="1" selected="0">
            <x v="0"/>
          </reference>
          <reference field="6" count="1">
            <x v="0"/>
          </reference>
        </references>
      </pivotArea>
    </format>
    <format dxfId="159">
      <pivotArea dataOnly="0" labelOnly="1" outline="0" fieldPosition="0">
        <references count="3">
          <reference field="1" count="1" selected="0">
            <x v="60"/>
          </reference>
          <reference field="2" count="1" selected="0">
            <x v="1"/>
          </reference>
          <reference field="6" count="1">
            <x v="1"/>
          </reference>
        </references>
      </pivotArea>
    </format>
    <format dxfId="160">
      <pivotArea dataOnly="0" labelOnly="1" outline="0" fieldPosition="0">
        <references count="3">
          <reference field="1" count="1" selected="0">
            <x v="24"/>
          </reference>
          <reference field="2" count="1" selected="0">
            <x v="3"/>
          </reference>
          <reference field="6" count="1">
            <x v="0"/>
          </reference>
        </references>
      </pivotArea>
    </format>
    <format dxfId="161">
      <pivotArea dataOnly="0" labelOnly="1" outline="0" fieldPosition="0">
        <references count="3">
          <reference field="1" count="1" selected="0">
            <x v="28"/>
          </reference>
          <reference field="2" count="1" selected="0">
            <x v="5"/>
          </reference>
          <reference field="6" count="1">
            <x v="1"/>
          </reference>
        </references>
      </pivotArea>
    </format>
    <format dxfId="162">
      <pivotArea dataOnly="0" labelOnly="1" outline="0" fieldPosition="0">
        <references count="3">
          <reference field="1" count="1" selected="0">
            <x v="38"/>
          </reference>
          <reference field="2" count="1" selected="0">
            <x v="5"/>
          </reference>
          <reference field="6" count="1">
            <x v="0"/>
          </reference>
        </references>
      </pivotArea>
    </format>
    <format dxfId="163">
      <pivotArea dataOnly="0" labelOnly="1" outline="0" fieldPosition="0">
        <references count="4">
          <reference field="1" count="1" selected="0">
            <x v="50"/>
          </reference>
          <reference field="2" count="1" selected="0">
            <x v="0"/>
          </reference>
          <reference field="6" count="1" selected="0">
            <x v="0"/>
          </reference>
          <reference field="8" count="1">
            <x v="77"/>
          </reference>
        </references>
      </pivotArea>
    </format>
    <format dxfId="164">
      <pivotArea dataOnly="0" labelOnly="1" outline="0" fieldPosition="0">
        <references count="4">
          <reference field="1" count="1" selected="0">
            <x v="29"/>
          </reference>
          <reference field="2" count="1" selected="0">
            <x v="1"/>
          </reference>
          <reference field="6" count="1" selected="0">
            <x v="0"/>
          </reference>
          <reference field="8" count="1">
            <x v="35"/>
          </reference>
        </references>
      </pivotArea>
    </format>
    <format dxfId="165">
      <pivotArea dataOnly="0" labelOnly="1" outline="0" fieldPosition="0">
        <references count="4">
          <reference field="1" count="1" selected="0">
            <x v="33"/>
          </reference>
          <reference field="2" count="1" selected="0">
            <x v="1"/>
          </reference>
          <reference field="6" count="1" selected="0">
            <x v="0"/>
          </reference>
          <reference field="8" count="2">
            <x v="39"/>
            <x v="40"/>
          </reference>
        </references>
      </pivotArea>
    </format>
    <format dxfId="166">
      <pivotArea dataOnly="0" labelOnly="1" outline="0" fieldPosition="0">
        <references count="4">
          <reference field="1" count="1" selected="0">
            <x v="44"/>
          </reference>
          <reference field="2" count="1" selected="0">
            <x v="1"/>
          </reference>
          <reference field="6" count="1" selected="0">
            <x v="0"/>
          </reference>
          <reference field="8" count="1">
            <x v="76"/>
          </reference>
        </references>
      </pivotArea>
    </format>
    <format dxfId="167">
      <pivotArea dataOnly="0" labelOnly="1" outline="0" fieldPosition="0">
        <references count="4">
          <reference field="1" count="1" selected="0">
            <x v="60"/>
          </reference>
          <reference field="2" count="1" selected="0">
            <x v="1"/>
          </reference>
          <reference field="6" count="1" selected="0">
            <x v="0"/>
          </reference>
          <reference field="8" count="1">
            <x v="88"/>
          </reference>
        </references>
      </pivotArea>
    </format>
    <format dxfId="168">
      <pivotArea dataOnly="0" labelOnly="1" outline="0" fieldPosition="0">
        <references count="4">
          <reference field="1" count="1" selected="0">
            <x v="60"/>
          </reference>
          <reference field="2" count="1" selected="0">
            <x v="1"/>
          </reference>
          <reference field="6" count="1" selected="0">
            <x v="1"/>
          </reference>
          <reference field="8" count="1">
            <x v="87"/>
          </reference>
        </references>
      </pivotArea>
    </format>
    <format dxfId="169">
      <pivotArea dataOnly="0" labelOnly="1" outline="0" fieldPosition="0">
        <references count="4">
          <reference field="1" count="1" selected="0">
            <x v="24"/>
          </reference>
          <reference field="2" count="1" selected="0">
            <x v="3"/>
          </reference>
          <reference field="6" count="1" selected="0">
            <x v="0"/>
          </reference>
          <reference field="8" count="1">
            <x v="27"/>
          </reference>
        </references>
      </pivotArea>
    </format>
    <format dxfId="170">
      <pivotArea dataOnly="0" labelOnly="1" outline="0" fieldPosition="0">
        <references count="4">
          <reference field="1" count="1" selected="0">
            <x v="57"/>
          </reference>
          <reference field="2" count="1" selected="0">
            <x v="3"/>
          </reference>
          <reference field="6" count="1" selected="0">
            <x v="0"/>
          </reference>
          <reference field="8" count="1">
            <x v="86"/>
          </reference>
        </references>
      </pivotArea>
    </format>
    <format dxfId="171">
      <pivotArea dataOnly="0" labelOnly="1" outline="0" fieldPosition="0">
        <references count="4">
          <reference field="1" count="1" selected="0">
            <x v="34"/>
          </reference>
          <reference field="2" count="1" selected="0">
            <x v="4"/>
          </reference>
          <reference field="6" count="1" selected="0">
            <x v="0"/>
          </reference>
          <reference field="8" count="1">
            <x v="34"/>
          </reference>
        </references>
      </pivotArea>
    </format>
    <format dxfId="172">
      <pivotArea dataOnly="0" labelOnly="1" outline="0" fieldPosition="0">
        <references count="4">
          <reference field="1" count="1" selected="0">
            <x v="0"/>
          </reference>
          <reference field="2" count="1" selected="0">
            <x v="5"/>
          </reference>
          <reference field="6" count="1" selected="0">
            <x v="0"/>
          </reference>
          <reference field="8" count="1">
            <x v="33"/>
          </reference>
        </references>
      </pivotArea>
    </format>
    <format dxfId="173">
      <pivotArea dataOnly="0" labelOnly="1" outline="0" fieldPosition="0">
        <references count="4">
          <reference field="1" count="1" selected="0">
            <x v="7"/>
          </reference>
          <reference field="2" count="1" selected="0">
            <x v="5"/>
          </reference>
          <reference field="6" count="1" selected="0">
            <x v="0"/>
          </reference>
          <reference field="8" count="1">
            <x v="17"/>
          </reference>
        </references>
      </pivotArea>
    </format>
    <format dxfId="174">
      <pivotArea dataOnly="0" labelOnly="1" outline="0" fieldPosition="0">
        <references count="4">
          <reference field="1" count="1" selected="0">
            <x v="28"/>
          </reference>
          <reference field="2" count="1" selected="0">
            <x v="5"/>
          </reference>
          <reference field="6" count="1" selected="0">
            <x v="1"/>
          </reference>
          <reference field="8" count="1">
            <x v="21"/>
          </reference>
        </references>
      </pivotArea>
    </format>
    <format dxfId="175">
      <pivotArea dataOnly="0" labelOnly="1" outline="0" fieldPosition="0">
        <references count="4">
          <reference field="1" count="1" selected="0">
            <x v="38"/>
          </reference>
          <reference field="2" count="1" selected="0">
            <x v="5"/>
          </reference>
          <reference field="6" count="1" selected="0">
            <x v="0"/>
          </reference>
          <reference field="8" count="1">
            <x v="8"/>
          </reference>
        </references>
      </pivotArea>
    </format>
    <format dxfId="176">
      <pivotArea dataOnly="0" labelOnly="1" outline="0" fieldPosition="0">
        <references count="4">
          <reference field="1" count="1" selected="0">
            <x v="18"/>
          </reference>
          <reference field="2" count="1" selected="0">
            <x v="6"/>
          </reference>
          <reference field="6" count="1" selected="0">
            <x v="0"/>
          </reference>
          <reference field="8" count="1">
            <x v="81"/>
          </reference>
        </references>
      </pivotArea>
    </format>
    <format dxfId="177">
      <pivotArea dataOnly="0" labelOnly="1" outline="0" fieldPosition="0">
        <references count="4">
          <reference field="1" count="1" selected="0">
            <x v="9"/>
          </reference>
          <reference field="2" count="1" selected="0">
            <x v="7"/>
          </reference>
          <reference field="6" count="1" selected="0">
            <x v="0"/>
          </reference>
          <reference field="8" count="1">
            <x v="10"/>
          </reference>
        </references>
      </pivotArea>
    </format>
    <format dxfId="178">
      <pivotArea outline="0" fieldPosition="0">
        <references count="4">
          <reference field="1" count="14" selected="0">
            <x v="0"/>
            <x v="7"/>
            <x v="9"/>
            <x v="18"/>
            <x v="24"/>
            <x v="28"/>
            <x v="29"/>
            <x v="33"/>
            <x v="34"/>
            <x v="38"/>
            <x v="44"/>
            <x v="50"/>
            <x v="57"/>
            <x v="60"/>
          </reference>
          <reference field="2" count="7" selected="0">
            <x v="0"/>
            <x v="1"/>
            <x v="3"/>
            <x v="4"/>
            <x v="5"/>
            <x v="6"/>
            <x v="7"/>
          </reference>
          <reference field="6" count="2" selected="0">
            <x v="0"/>
            <x v="1"/>
          </reference>
          <reference field="8" count="16" selected="0">
            <x v="8"/>
            <x v="10"/>
            <x v="17"/>
            <x v="21"/>
            <x v="27"/>
            <x v="33"/>
            <x v="34"/>
            <x v="35"/>
            <x v="39"/>
            <x v="40"/>
            <x v="76"/>
            <x v="77"/>
            <x v="81"/>
            <x v="86"/>
            <x v="87"/>
            <x v="88"/>
          </reference>
        </references>
      </pivotArea>
    </format>
    <format dxfId="179">
      <pivotArea grandRow="1" outline="0" collapsedLevelsAreSubtotals="1" fieldPosition="0"/>
    </format>
    <format dxfId="180">
      <pivotArea outline="0" collapsedLevelsAreSubtotals="1" fieldPosition="0"/>
    </format>
    <format dxfId="181">
      <pivotArea dataOnly="0" labelOnly="1" outline="0" fieldPosition="0">
        <references count="1">
          <reference field="4294967294" count="2">
            <x v="0"/>
            <x v="1"/>
          </reference>
        </references>
      </pivotArea>
    </format>
    <format dxfId="182">
      <pivotArea field="1" type="button" dataOnly="0" labelOnly="1" outline="0" axis="axisRow" fieldPosition="2"/>
    </format>
    <format dxfId="183">
      <pivotArea field="5" type="button" dataOnly="0" labelOnly="1" outline="0" axis="axisRow" fieldPosition="3"/>
    </format>
    <format dxfId="184">
      <pivotArea field="6" type="button" dataOnly="0" labelOnly="1" outline="0" axis="axisRow" fieldPosition="4"/>
    </format>
    <format dxfId="185">
      <pivotArea field="1" type="button" dataOnly="0" labelOnly="1" outline="0" axis="axisRow" fieldPosition="2"/>
    </format>
    <format dxfId="186">
      <pivotArea field="5" type="button" dataOnly="0" labelOnly="1" outline="0" axis="axisRow" fieldPosition="3"/>
    </format>
    <format dxfId="187">
      <pivotArea field="6" type="button" dataOnly="0" labelOnly="1" outline="0" axis="axisRow" fieldPosition="4"/>
    </format>
    <format dxfId="188">
      <pivotArea field="2" type="button" dataOnly="0" labelOnly="1" outline="0" axis="axisRow" fieldPosition="0"/>
    </format>
    <format dxfId="189">
      <pivotArea field="8" type="button" dataOnly="0" labelOnly="1" outline="0" axis="axisRow" fieldPosition="5"/>
    </format>
    <format dxfId="190">
      <pivotArea field="2" type="button" dataOnly="0" labelOnly="1" outline="0" axis="axisRow" fieldPosition="0"/>
    </format>
    <format dxfId="191">
      <pivotArea dataOnly="0" labelOnly="1" outline="0" fieldPosition="0">
        <references count="5">
          <reference field="1" count="1" selected="0">
            <x v="50"/>
          </reference>
          <reference field="2" count="1" selected="0">
            <x v="0"/>
          </reference>
          <reference field="5" count="1" selected="0">
            <x v="3"/>
          </reference>
          <reference field="6" count="1" selected="0">
            <x v="0"/>
          </reference>
          <reference field="8" count="1">
            <x v="77"/>
          </reference>
        </references>
      </pivotArea>
    </format>
    <format dxfId="192">
      <pivotArea dataOnly="0" labelOnly="1" outline="0" fieldPosition="0">
        <references count="5">
          <reference field="1" count="1" selected="0">
            <x v="29"/>
          </reference>
          <reference field="2" count="1" selected="0">
            <x v="1"/>
          </reference>
          <reference field="5" count="1" selected="0">
            <x v="3"/>
          </reference>
          <reference field="6" count="1" selected="0">
            <x v="0"/>
          </reference>
          <reference field="8" count="1">
            <x v="35"/>
          </reference>
        </references>
      </pivotArea>
    </format>
    <format dxfId="193">
      <pivotArea dataOnly="0" labelOnly="1" outline="0" fieldPosition="0">
        <references count="5">
          <reference field="1" count="1" selected="0">
            <x v="33"/>
          </reference>
          <reference field="2" count="1" selected="0">
            <x v="1"/>
          </reference>
          <reference field="5" count="1" selected="0">
            <x v="3"/>
          </reference>
          <reference field="6" count="1" selected="0">
            <x v="0"/>
          </reference>
          <reference field="8" count="2">
            <x v="39"/>
            <x v="40"/>
          </reference>
        </references>
      </pivotArea>
    </format>
    <format dxfId="194">
      <pivotArea dataOnly="0" labelOnly="1" outline="0" fieldPosition="0">
        <references count="5">
          <reference field="1" count="1" selected="0">
            <x v="44"/>
          </reference>
          <reference field="2" count="1" selected="0">
            <x v="1"/>
          </reference>
          <reference field="5" count="1" selected="0">
            <x v="3"/>
          </reference>
          <reference field="6" count="1" selected="0">
            <x v="0"/>
          </reference>
          <reference field="8" count="1">
            <x v="76"/>
          </reference>
        </references>
      </pivotArea>
    </format>
    <format dxfId="195">
      <pivotArea dataOnly="0" labelOnly="1" outline="0" fieldPosition="0">
        <references count="5">
          <reference field="1" count="1" selected="0">
            <x v="60"/>
          </reference>
          <reference field="2" count="1" selected="0">
            <x v="1"/>
          </reference>
          <reference field="5" count="1" selected="0">
            <x v="3"/>
          </reference>
          <reference field="6" count="1" selected="0">
            <x v="0"/>
          </reference>
          <reference field="8" count="1">
            <x v="88"/>
          </reference>
        </references>
      </pivotArea>
    </format>
    <format dxfId="196">
      <pivotArea dataOnly="0" labelOnly="1" outline="0" fieldPosition="0">
        <references count="5">
          <reference field="1" count="1" selected="0">
            <x v="60"/>
          </reference>
          <reference field="2" count="1" selected="0">
            <x v="1"/>
          </reference>
          <reference field="5" count="1" selected="0">
            <x v="3"/>
          </reference>
          <reference field="6" count="1" selected="0">
            <x v="1"/>
          </reference>
          <reference field="8" count="1">
            <x v="87"/>
          </reference>
        </references>
      </pivotArea>
    </format>
    <format dxfId="197">
      <pivotArea dataOnly="0" labelOnly="1" outline="0" fieldPosition="0">
        <references count="5">
          <reference field="1" count="1" selected="0">
            <x v="47"/>
          </reference>
          <reference field="2" count="1" selected="0">
            <x v="2"/>
          </reference>
          <reference field="5" count="1" selected="0">
            <x v="3"/>
          </reference>
          <reference field="6" count="1" selected="0">
            <x v="0"/>
          </reference>
          <reference field="8" count="1">
            <x v="37"/>
          </reference>
        </references>
      </pivotArea>
    </format>
    <format dxfId="198">
      <pivotArea dataOnly="0" labelOnly="1" outline="0" fieldPosition="0">
        <references count="5">
          <reference field="1" count="1" selected="0">
            <x v="24"/>
          </reference>
          <reference field="2" count="1" selected="0">
            <x v="3"/>
          </reference>
          <reference field="5" count="1" selected="0">
            <x v="0"/>
          </reference>
          <reference field="6" count="1" selected="0">
            <x v="0"/>
          </reference>
          <reference field="8" count="1">
            <x v="27"/>
          </reference>
        </references>
      </pivotArea>
    </format>
    <format dxfId="199">
      <pivotArea dataOnly="0" labelOnly="1" outline="0" fieldPosition="0">
        <references count="5">
          <reference field="1" count="1" selected="0">
            <x v="57"/>
          </reference>
          <reference field="2" count="1" selected="0">
            <x v="3"/>
          </reference>
          <reference field="5" count="1" selected="0">
            <x v="3"/>
          </reference>
          <reference field="6" count="1" selected="0">
            <x v="0"/>
          </reference>
          <reference field="8" count="1">
            <x v="86"/>
          </reference>
        </references>
      </pivotArea>
    </format>
    <format dxfId="200">
      <pivotArea dataOnly="0" labelOnly="1" outline="0" fieldPosition="0">
        <references count="5">
          <reference field="1" count="1" selected="0">
            <x v="3"/>
          </reference>
          <reference field="2" count="1" selected="0">
            <x v="4"/>
          </reference>
          <reference field="5" count="1" selected="0">
            <x v="3"/>
          </reference>
          <reference field="6" count="1" selected="0">
            <x v="0"/>
          </reference>
          <reference field="8" count="1">
            <x v="5"/>
          </reference>
        </references>
      </pivotArea>
    </format>
    <format dxfId="201">
      <pivotArea dataOnly="0" labelOnly="1" outline="0" fieldPosition="0">
        <references count="5">
          <reference field="1" count="1" selected="0">
            <x v="4"/>
          </reference>
          <reference field="2" count="1" selected="0">
            <x v="4"/>
          </reference>
          <reference field="5" count="1" selected="0">
            <x v="3"/>
          </reference>
          <reference field="6" count="1" selected="0">
            <x v="0"/>
          </reference>
          <reference field="8" count="1">
            <x v="44"/>
          </reference>
        </references>
      </pivotArea>
    </format>
    <format dxfId="202">
      <pivotArea dataOnly="0" labelOnly="1" outline="0" fieldPosition="0">
        <references count="5">
          <reference field="1" count="1" selected="0">
            <x v="6"/>
          </reference>
          <reference field="2" count="1" selected="0">
            <x v="4"/>
          </reference>
          <reference field="5" count="1" selected="0">
            <x v="3"/>
          </reference>
          <reference field="6" count="1" selected="0">
            <x v="0"/>
          </reference>
          <reference field="8" count="1">
            <x v="57"/>
          </reference>
        </references>
      </pivotArea>
    </format>
    <format dxfId="203">
      <pivotArea dataOnly="0" labelOnly="1" outline="0" fieldPosition="0">
        <references count="5">
          <reference field="1" count="1" selected="0">
            <x v="8"/>
          </reference>
          <reference field="2" count="1" selected="0">
            <x v="4"/>
          </reference>
          <reference field="5" count="1" selected="0">
            <x v="3"/>
          </reference>
          <reference field="6" count="1" selected="0">
            <x v="0"/>
          </reference>
          <reference field="8" count="2">
            <x v="6"/>
            <x v="71"/>
          </reference>
        </references>
      </pivotArea>
    </format>
    <format dxfId="204">
      <pivotArea dataOnly="0" labelOnly="1" outline="0" fieldPosition="0">
        <references count="5">
          <reference field="1" count="1" selected="0">
            <x v="11"/>
          </reference>
          <reference field="2" count="1" selected="0">
            <x v="4"/>
          </reference>
          <reference field="5" count="1" selected="0">
            <x v="3"/>
          </reference>
          <reference field="6" count="1" selected="0">
            <x v="0"/>
          </reference>
          <reference field="8" count="1">
            <x v="78"/>
          </reference>
        </references>
      </pivotArea>
    </format>
    <format dxfId="205">
      <pivotArea dataOnly="0" labelOnly="1" outline="0" fieldPosition="0">
        <references count="5">
          <reference field="1" count="1" selected="0">
            <x v="12"/>
          </reference>
          <reference field="2" count="1" selected="0">
            <x v="4"/>
          </reference>
          <reference field="5" count="1" selected="0">
            <x v="0"/>
          </reference>
          <reference field="6" count="1" selected="0">
            <x v="1"/>
          </reference>
          <reference field="8" count="1">
            <x v="43"/>
          </reference>
        </references>
      </pivotArea>
    </format>
    <format dxfId="206">
      <pivotArea dataOnly="0" labelOnly="1" outline="0" fieldPosition="0">
        <references count="5">
          <reference field="1" count="1" selected="0">
            <x v="12"/>
          </reference>
          <reference field="2" count="1" selected="0">
            <x v="4"/>
          </reference>
          <reference field="5" count="1" selected="0">
            <x v="3"/>
          </reference>
          <reference field="6" count="1" selected="0">
            <x v="0"/>
          </reference>
          <reference field="8" count="1">
            <x v="12"/>
          </reference>
        </references>
      </pivotArea>
    </format>
    <format dxfId="207">
      <pivotArea dataOnly="0" labelOnly="1" outline="0" fieldPosition="0">
        <references count="5">
          <reference field="1" count="1" selected="0">
            <x v="20"/>
          </reference>
          <reference field="2" count="1" selected="0">
            <x v="4"/>
          </reference>
          <reference field="5" count="1" selected="0">
            <x v="3"/>
          </reference>
          <reference field="6" count="1" selected="0">
            <x v="0"/>
          </reference>
          <reference field="8" count="1">
            <x v="83"/>
          </reference>
        </references>
      </pivotArea>
    </format>
    <format dxfId="208">
      <pivotArea dataOnly="0" labelOnly="1" outline="0" fieldPosition="0">
        <references count="5">
          <reference field="1" count="1" selected="0">
            <x v="22"/>
          </reference>
          <reference field="2" count="1" selected="0">
            <x v="4"/>
          </reference>
          <reference field="5" count="1" selected="0">
            <x v="3"/>
          </reference>
          <reference field="6" count="1" selected="0">
            <x v="1"/>
          </reference>
          <reference field="8" count="1">
            <x v="50"/>
          </reference>
        </references>
      </pivotArea>
    </format>
    <format dxfId="209">
      <pivotArea dataOnly="0" labelOnly="1" outline="0" fieldPosition="0">
        <references count="5">
          <reference field="1" count="1" selected="0">
            <x v="27"/>
          </reference>
          <reference field="2" count="1" selected="0">
            <x v="4"/>
          </reference>
          <reference field="5" count="1" selected="0">
            <x v="3"/>
          </reference>
          <reference field="6" count="1" selected="0">
            <x v="1"/>
          </reference>
          <reference field="8" count="2">
            <x v="3"/>
            <x v="59"/>
          </reference>
        </references>
      </pivotArea>
    </format>
    <format dxfId="210">
      <pivotArea dataOnly="0" labelOnly="1" outline="0" fieldPosition="0">
        <references count="5">
          <reference field="1" count="1" selected="0">
            <x v="34"/>
          </reference>
          <reference field="2" count="1" selected="0">
            <x v="4"/>
          </reference>
          <reference field="5" count="1" selected="0">
            <x v="3"/>
          </reference>
          <reference field="6" count="1" selected="0">
            <x v="0"/>
          </reference>
          <reference field="8" count="1">
            <x v="34"/>
          </reference>
        </references>
      </pivotArea>
    </format>
    <format dxfId="211">
      <pivotArea dataOnly="0" labelOnly="1" outline="0" fieldPosition="0">
        <references count="5">
          <reference field="1" count="1" selected="0">
            <x v="36"/>
          </reference>
          <reference field="2" count="1" selected="0">
            <x v="4"/>
          </reference>
          <reference field="5" count="1" selected="0">
            <x v="3"/>
          </reference>
          <reference field="6" count="1" selected="0">
            <x v="0"/>
          </reference>
          <reference field="8" count="1">
            <x v="90"/>
          </reference>
        </references>
      </pivotArea>
    </format>
    <format dxfId="212">
      <pivotArea dataOnly="0" labelOnly="1" outline="0" fieldPosition="0">
        <references count="5">
          <reference field="1" count="1" selected="0">
            <x v="41"/>
          </reference>
          <reference field="2" count="1" selected="0">
            <x v="4"/>
          </reference>
          <reference field="5" count="1" selected="0">
            <x v="3"/>
          </reference>
          <reference field="6" count="1" selected="0">
            <x v="1"/>
          </reference>
          <reference field="8" count="1">
            <x v="11"/>
          </reference>
        </references>
      </pivotArea>
    </format>
    <format dxfId="213">
      <pivotArea dataOnly="0" labelOnly="1" outline="0" fieldPosition="0">
        <references count="5">
          <reference field="1" count="1" selected="0">
            <x v="48"/>
          </reference>
          <reference field="2" count="1" selected="0">
            <x v="4"/>
          </reference>
          <reference field="5" count="1" selected="0">
            <x v="0"/>
          </reference>
          <reference field="6" count="1" selected="0">
            <x v="0"/>
          </reference>
          <reference field="8" count="1">
            <x v="38"/>
          </reference>
        </references>
      </pivotArea>
    </format>
    <format dxfId="214">
      <pivotArea dataOnly="0" labelOnly="1" outline="0" fieldPosition="0">
        <references count="5">
          <reference field="1" count="1" selected="0">
            <x v="52"/>
          </reference>
          <reference field="2" count="1" selected="0">
            <x v="4"/>
          </reference>
          <reference field="5" count="1" selected="0">
            <x v="3"/>
          </reference>
          <reference field="6" count="1" selected="0">
            <x v="1"/>
          </reference>
          <reference field="8" count="1">
            <x v="58"/>
          </reference>
        </references>
      </pivotArea>
    </format>
    <format dxfId="215">
      <pivotArea dataOnly="0" labelOnly="1" outline="0" fieldPosition="0">
        <references count="5">
          <reference field="1" count="1" selected="0">
            <x v="59"/>
          </reference>
          <reference field="2" count="1" selected="0">
            <x v="4"/>
          </reference>
          <reference field="5" count="1" selected="0">
            <x v="3"/>
          </reference>
          <reference field="6" count="1" selected="0">
            <x v="0"/>
          </reference>
          <reference field="8" count="1">
            <x v="72"/>
          </reference>
        </references>
      </pivotArea>
    </format>
    <format dxfId="216">
      <pivotArea dataOnly="0" labelOnly="1" outline="0" fieldPosition="0">
        <references count="5">
          <reference field="1" count="1" selected="0">
            <x v="59"/>
          </reference>
          <reference field="2" count="1" selected="0">
            <x v="4"/>
          </reference>
          <reference field="5" count="1" selected="0">
            <x v="3"/>
          </reference>
          <reference field="6" count="1" selected="0">
            <x v="1"/>
          </reference>
          <reference field="8" count="1">
            <x v="75"/>
          </reference>
        </references>
      </pivotArea>
    </format>
    <format dxfId="217">
      <pivotArea dataOnly="0" labelOnly="1" outline="0" fieldPosition="0">
        <references count="5">
          <reference field="1" count="1" selected="0">
            <x v="0"/>
          </reference>
          <reference field="2" count="1" selected="0">
            <x v="5"/>
          </reference>
          <reference field="5" count="1" selected="0">
            <x v="3"/>
          </reference>
          <reference field="6" count="1" selected="0">
            <x v="0"/>
          </reference>
          <reference field="8" count="1">
            <x v="33"/>
          </reference>
        </references>
      </pivotArea>
    </format>
    <format dxfId="218">
      <pivotArea dataOnly="0" labelOnly="1" outline="0" fieldPosition="0">
        <references count="5">
          <reference field="1" count="1" selected="0">
            <x v="7"/>
          </reference>
          <reference field="2" count="1" selected="0">
            <x v="5"/>
          </reference>
          <reference field="5" count="1" selected="0">
            <x v="3"/>
          </reference>
          <reference field="6" count="1" selected="0">
            <x v="0"/>
          </reference>
          <reference field="8" count="1">
            <x v="17"/>
          </reference>
        </references>
      </pivotArea>
    </format>
    <format dxfId="219">
      <pivotArea dataOnly="0" labelOnly="1" outline="0" fieldPosition="0">
        <references count="5">
          <reference field="1" count="1" selected="0">
            <x v="16"/>
          </reference>
          <reference field="2" count="1" selected="0">
            <x v="5"/>
          </reference>
          <reference field="5" count="1" selected="0">
            <x v="3"/>
          </reference>
          <reference field="6" count="1" selected="0">
            <x v="1"/>
          </reference>
          <reference field="8" count="1">
            <x v="1"/>
          </reference>
        </references>
      </pivotArea>
    </format>
    <format dxfId="220">
      <pivotArea dataOnly="0" labelOnly="1" outline="0" fieldPosition="0">
        <references count="5">
          <reference field="1" count="1" selected="0">
            <x v="19"/>
          </reference>
          <reference field="2" count="1" selected="0">
            <x v="5"/>
          </reference>
          <reference field="5" count="1" selected="0">
            <x v="3"/>
          </reference>
          <reference field="6" count="1" selected="0">
            <x v="0"/>
          </reference>
          <reference field="8" count="1">
            <x v="47"/>
          </reference>
        </references>
      </pivotArea>
    </format>
    <format dxfId="221">
      <pivotArea dataOnly="0" labelOnly="1" outline="0" fieldPosition="0">
        <references count="5">
          <reference field="1" count="1" selected="0">
            <x v="20"/>
          </reference>
          <reference field="2" count="1" selected="0">
            <x v="5"/>
          </reference>
          <reference field="5" count="1" selected="0">
            <x v="3"/>
          </reference>
          <reference field="6" count="1" selected="0">
            <x v="1"/>
          </reference>
          <reference field="8" count="1">
            <x v="80"/>
          </reference>
        </references>
      </pivotArea>
    </format>
    <format dxfId="222">
      <pivotArea dataOnly="0" labelOnly="1" outline="0" fieldPosition="0">
        <references count="5">
          <reference field="1" count="1" selected="0">
            <x v="28"/>
          </reference>
          <reference field="2" count="1" selected="0">
            <x v="5"/>
          </reference>
          <reference field="5" count="1" selected="0">
            <x v="3"/>
          </reference>
          <reference field="6" count="1" selected="0">
            <x v="1"/>
          </reference>
          <reference field="8" count="1">
            <x v="21"/>
          </reference>
        </references>
      </pivotArea>
    </format>
    <format dxfId="223">
      <pivotArea dataOnly="0" labelOnly="1" outline="0" fieldPosition="0">
        <references count="5">
          <reference field="1" count="1" selected="0">
            <x v="38"/>
          </reference>
          <reference field="2" count="1" selected="0">
            <x v="5"/>
          </reference>
          <reference field="5" count="1" selected="0">
            <x v="3"/>
          </reference>
          <reference field="6" count="1" selected="0">
            <x v="0"/>
          </reference>
          <reference field="8" count="1">
            <x v="8"/>
          </reference>
        </references>
      </pivotArea>
    </format>
    <format dxfId="224">
      <pivotArea dataOnly="0" labelOnly="1" outline="0" fieldPosition="0">
        <references count="5">
          <reference field="1" count="1" selected="0">
            <x v="39"/>
          </reference>
          <reference field="2" count="1" selected="0">
            <x v="5"/>
          </reference>
          <reference field="5" count="1" selected="0">
            <x v="3"/>
          </reference>
          <reference field="6" count="1" selected="0">
            <x v="1"/>
          </reference>
          <reference field="8" count="1">
            <x v="7"/>
          </reference>
        </references>
      </pivotArea>
    </format>
    <format dxfId="225">
      <pivotArea dataOnly="0" labelOnly="1" outline="0" fieldPosition="0">
        <references count="5">
          <reference field="1" count="1" selected="0">
            <x v="42"/>
          </reference>
          <reference field="2" count="1" selected="0">
            <x v="5"/>
          </reference>
          <reference field="5" count="1" selected="0">
            <x v="3"/>
          </reference>
          <reference field="6" count="1" selected="0">
            <x v="0"/>
          </reference>
          <reference field="8" count="1">
            <x v="48"/>
          </reference>
        </references>
      </pivotArea>
    </format>
    <format dxfId="226">
      <pivotArea dataOnly="0" labelOnly="1" outline="0" fieldPosition="0">
        <references count="5">
          <reference field="1" count="1" selected="0">
            <x v="43"/>
          </reference>
          <reference field="2" count="1" selected="0">
            <x v="5"/>
          </reference>
          <reference field="5" count="1" selected="0">
            <x v="3"/>
          </reference>
          <reference field="6" count="1" selected="0">
            <x v="0"/>
          </reference>
          <reference field="8" count="1">
            <x v="9"/>
          </reference>
        </references>
      </pivotArea>
    </format>
    <format dxfId="227">
      <pivotArea dataOnly="0" labelOnly="1" outline="0" fieldPosition="0">
        <references count="5">
          <reference field="1" count="1" selected="0">
            <x v="45"/>
          </reference>
          <reference field="2" count="1" selected="0">
            <x v="5"/>
          </reference>
          <reference field="5" count="1" selected="0">
            <x v="3"/>
          </reference>
          <reference field="6" count="1" selected="0">
            <x v="0"/>
          </reference>
          <reference field="8" count="1">
            <x v="25"/>
          </reference>
        </references>
      </pivotArea>
    </format>
    <format dxfId="228">
      <pivotArea dataOnly="0" labelOnly="1" outline="0" fieldPosition="0">
        <references count="5">
          <reference field="1" count="1" selected="0">
            <x v="49"/>
          </reference>
          <reference field="2" count="1" selected="0">
            <x v="5"/>
          </reference>
          <reference field="5" count="1" selected="0">
            <x v="3"/>
          </reference>
          <reference field="6" count="1" selected="0">
            <x v="1"/>
          </reference>
          <reference field="8" count="1">
            <x v="56"/>
          </reference>
        </references>
      </pivotArea>
    </format>
    <format dxfId="229">
      <pivotArea dataOnly="0" labelOnly="1" outline="0" fieldPosition="0">
        <references count="5">
          <reference field="1" count="1" selected="0">
            <x v="54"/>
          </reference>
          <reference field="2" count="1" selected="0">
            <x v="5"/>
          </reference>
          <reference field="5" count="1" selected="0">
            <x v="3"/>
          </reference>
          <reference field="6" count="1" selected="0">
            <x v="1"/>
          </reference>
          <reference field="8" count="1">
            <x v="14"/>
          </reference>
        </references>
      </pivotArea>
    </format>
    <format dxfId="230">
      <pivotArea dataOnly="0" labelOnly="1" outline="0" fieldPosition="0">
        <references count="5">
          <reference field="1" count="1" selected="0">
            <x v="56"/>
          </reference>
          <reference field="2" count="1" selected="0">
            <x v="5"/>
          </reference>
          <reference field="5" count="1" selected="0">
            <x v="3"/>
          </reference>
          <reference field="6" count="1" selected="0">
            <x v="1"/>
          </reference>
          <reference field="8" count="1">
            <x v="26"/>
          </reference>
        </references>
      </pivotArea>
    </format>
    <format dxfId="231">
      <pivotArea dataOnly="0" labelOnly="1" outline="0" fieldPosition="0">
        <references count="5">
          <reference field="1" count="1" selected="0">
            <x v="14"/>
          </reference>
          <reference field="2" count="1" selected="0">
            <x v="6"/>
          </reference>
          <reference field="5" count="1" selected="0">
            <x v="3"/>
          </reference>
          <reference field="6" count="1" selected="0">
            <x v="0"/>
          </reference>
          <reference field="8" count="1">
            <x v="45"/>
          </reference>
        </references>
      </pivotArea>
    </format>
    <format dxfId="232">
      <pivotArea dataOnly="0" labelOnly="1" outline="0" fieldPosition="0">
        <references count="5">
          <reference field="1" count="1" selected="0">
            <x v="17"/>
          </reference>
          <reference field="2" count="1" selected="0">
            <x v="6"/>
          </reference>
          <reference field="5" count="1" selected="0">
            <x v="3"/>
          </reference>
          <reference field="6" count="1" selected="0">
            <x v="1"/>
          </reference>
          <reference field="8" count="1">
            <x v="60"/>
          </reference>
        </references>
      </pivotArea>
    </format>
    <format dxfId="233">
      <pivotArea dataOnly="0" labelOnly="1" outline="0" fieldPosition="0">
        <references count="5">
          <reference field="1" count="1" selected="0">
            <x v="18"/>
          </reference>
          <reference field="2" count="1" selected="0">
            <x v="6"/>
          </reference>
          <reference field="5" count="1" selected="0">
            <x v="3"/>
          </reference>
          <reference field="6" count="1" selected="0">
            <x v="0"/>
          </reference>
          <reference field="8" count="1">
            <x v="81"/>
          </reference>
        </references>
      </pivotArea>
    </format>
    <format dxfId="234">
      <pivotArea dataOnly="0" labelOnly="1" outline="0" fieldPosition="0">
        <references count="5">
          <reference field="1" count="1" selected="0">
            <x v="26"/>
          </reference>
          <reference field="2" count="1" selected="0">
            <x v="6"/>
          </reference>
          <reference field="5" count="1" selected="0">
            <x v="3"/>
          </reference>
          <reference field="6" count="1" selected="0">
            <x v="0"/>
          </reference>
          <reference field="8" count="1">
            <x v="61"/>
          </reference>
        </references>
      </pivotArea>
    </format>
    <format dxfId="235">
      <pivotArea dataOnly="0" labelOnly="1" outline="0" fieldPosition="0">
        <references count="5">
          <reference field="1" count="1" selected="0">
            <x v="31"/>
          </reference>
          <reference field="2" count="1" selected="0">
            <x v="6"/>
          </reference>
          <reference field="5" count="1" selected="0">
            <x v="3"/>
          </reference>
          <reference field="6" count="1" selected="0">
            <x v="1"/>
          </reference>
          <reference field="8" count="1">
            <x v="0"/>
          </reference>
        </references>
      </pivotArea>
    </format>
    <format dxfId="236">
      <pivotArea dataOnly="0" labelOnly="1" outline="0" fieldPosition="0">
        <references count="5">
          <reference field="1" count="1" selected="0">
            <x v="35"/>
          </reference>
          <reference field="2" count="1" selected="0">
            <x v="6"/>
          </reference>
          <reference field="5" count="1" selected="0">
            <x v="3"/>
          </reference>
          <reference field="6" count="1" selected="0">
            <x v="1"/>
          </reference>
          <reference field="8" count="1">
            <x v="46"/>
          </reference>
        </references>
      </pivotArea>
    </format>
    <format dxfId="237">
      <pivotArea dataOnly="0" labelOnly="1" outline="0" fieldPosition="0">
        <references count="5">
          <reference field="1" count="1" selected="0">
            <x v="46"/>
          </reference>
          <reference field="2" count="1" selected="0">
            <x v="6"/>
          </reference>
          <reference field="5" count="1" selected="0">
            <x v="3"/>
          </reference>
          <reference field="6" count="1" selected="0">
            <x v="1"/>
          </reference>
          <reference field="8" count="1">
            <x v="16"/>
          </reference>
        </references>
      </pivotArea>
    </format>
    <format dxfId="238">
      <pivotArea dataOnly="0" labelOnly="1" outline="0" fieldPosition="0">
        <references count="5">
          <reference field="1" count="1" selected="0">
            <x v="51"/>
          </reference>
          <reference field="2" count="1" selected="0">
            <x v="6"/>
          </reference>
          <reference field="5" count="1" selected="0">
            <x v="3"/>
          </reference>
          <reference field="6" count="1" selected="0">
            <x v="1"/>
          </reference>
          <reference field="8" count="1">
            <x v="74"/>
          </reference>
        </references>
      </pivotArea>
    </format>
    <format dxfId="239">
      <pivotArea dataOnly="0" labelOnly="1" outline="0" fieldPosition="0">
        <references count="5">
          <reference field="1" count="1" selected="0">
            <x v="53"/>
          </reference>
          <reference field="2" count="1" selected="0">
            <x v="6"/>
          </reference>
          <reference field="5" count="1" selected="0">
            <x v="3"/>
          </reference>
          <reference field="6" count="1" selected="0">
            <x v="1"/>
          </reference>
          <reference field="8" count="1">
            <x v="85"/>
          </reference>
        </references>
      </pivotArea>
    </format>
    <format dxfId="240">
      <pivotArea dataOnly="0" labelOnly="1" outline="0" fieldPosition="0">
        <references count="5">
          <reference field="1" count="1" selected="0">
            <x v="59"/>
          </reference>
          <reference field="2" count="1" selected="0">
            <x v="6"/>
          </reference>
          <reference field="5" count="1" selected="0">
            <x v="3"/>
          </reference>
          <reference field="6" count="1" selected="0">
            <x v="0"/>
          </reference>
          <reference field="8" count="1">
            <x v="20"/>
          </reference>
        </references>
      </pivotArea>
    </format>
    <format dxfId="241">
      <pivotArea dataOnly="0" labelOnly="1" outline="0" fieldPosition="0">
        <references count="5">
          <reference field="1" count="1" selected="0">
            <x v="9"/>
          </reference>
          <reference field="2" count="1" selected="0">
            <x v="7"/>
          </reference>
          <reference field="5" count="1" selected="0">
            <x v="0"/>
          </reference>
          <reference field="6" count="1" selected="0">
            <x v="0"/>
          </reference>
          <reference field="8" count="1">
            <x v="10"/>
          </reference>
        </references>
      </pivotArea>
    </format>
    <format dxfId="242">
      <pivotArea dataOnly="0" labelOnly="1" outline="0" fieldPosition="0">
        <references count="5">
          <reference field="1" count="1" selected="0">
            <x v="12"/>
          </reference>
          <reference field="2" count="1" selected="0">
            <x v="7"/>
          </reference>
          <reference field="5" count="1" selected="0">
            <x v="3"/>
          </reference>
          <reference field="6" count="1" selected="0">
            <x v="0"/>
          </reference>
          <reference field="8" count="1">
            <x v="15"/>
          </reference>
        </references>
      </pivotArea>
    </format>
    <format dxfId="243">
      <pivotArea dataOnly="0" labelOnly="1" outline="0" fieldPosition="0">
        <references count="5">
          <reference field="1" count="1" selected="0">
            <x v="12"/>
          </reference>
          <reference field="2" count="1" selected="0">
            <x v="8"/>
          </reference>
          <reference field="5" count="1" selected="0">
            <x v="3"/>
          </reference>
          <reference field="6" count="1" selected="0">
            <x v="1"/>
          </reference>
          <reference field="8" count="1">
            <x v="19"/>
          </reference>
        </references>
      </pivotArea>
    </format>
    <format dxfId="244">
      <pivotArea dataOnly="0" labelOnly="1" outline="0" fieldPosition="0">
        <references count="5">
          <reference field="1" count="1" selected="0">
            <x v="48"/>
          </reference>
          <reference field="2" count="1" selected="0">
            <x v="8"/>
          </reference>
          <reference field="5" count="1" selected="0">
            <x v="3"/>
          </reference>
          <reference field="6" count="1" selected="0">
            <x v="1"/>
          </reference>
          <reference field="8" count="1">
            <x v="82"/>
          </reference>
        </references>
      </pivotArea>
    </format>
    <format dxfId="245">
      <pivotArea dataOnly="0" labelOnly="1" outline="0" fieldPosition="0">
        <references count="5">
          <reference field="1" count="1" selected="0">
            <x v="10"/>
          </reference>
          <reference field="2" count="1" selected="0">
            <x v="9"/>
          </reference>
          <reference field="5" count="1" selected="0">
            <x v="3"/>
          </reference>
          <reference field="6" count="1" selected="0">
            <x v="0"/>
          </reference>
          <reference field="8" count="1">
            <x v="73"/>
          </reference>
        </references>
      </pivotArea>
    </format>
    <format dxfId="246">
      <pivotArea dataOnly="0" labelOnly="1" outline="0" fieldPosition="0">
        <references count="5">
          <reference field="1" count="1" selected="0">
            <x v="13"/>
          </reference>
          <reference field="2" count="1" selected="0">
            <x v="9"/>
          </reference>
          <reference field="5" count="1" selected="0">
            <x v="3"/>
          </reference>
          <reference field="6" count="1" selected="0">
            <x v="0"/>
          </reference>
          <reference field="8" count="1">
            <x v="2"/>
          </reference>
        </references>
      </pivotArea>
    </format>
    <format dxfId="247">
      <pivotArea dataOnly="0" labelOnly="1" outline="0" fieldPosition="0">
        <references count="5">
          <reference field="1" count="1" selected="0">
            <x v="15"/>
          </reference>
          <reference field="2" count="1" selected="0">
            <x v="9"/>
          </reference>
          <reference field="5" count="1" selected="0">
            <x v="3"/>
          </reference>
          <reference field="6" count="1" selected="0">
            <x v="1"/>
          </reference>
          <reference field="8" count="1">
            <x v="4"/>
          </reference>
        </references>
      </pivotArea>
    </format>
    <format dxfId="248">
      <pivotArea dataOnly="0" labelOnly="1" outline="0" fieldPosition="0">
        <references count="5">
          <reference field="1" count="1" selected="0">
            <x v="32"/>
          </reference>
          <reference field="2" count="1" selected="0">
            <x v="9"/>
          </reference>
          <reference field="5" count="1" selected="0">
            <x v="3"/>
          </reference>
          <reference field="6" count="1" selected="0">
            <x v="0"/>
          </reference>
          <reference field="8" count="1">
            <x v="18"/>
          </reference>
        </references>
      </pivotArea>
    </format>
    <format dxfId="249">
      <pivotArea dataOnly="0" labelOnly="1" outline="0" fieldPosition="0">
        <references count="5">
          <reference field="1" count="1" selected="0">
            <x v="1"/>
          </reference>
          <reference field="2" count="1" selected="0">
            <x v="10"/>
          </reference>
          <reference field="5" count="1" selected="0">
            <x v="3"/>
          </reference>
          <reference field="6" count="1" selected="0">
            <x v="1"/>
          </reference>
          <reference field="8" count="1">
            <x v="53"/>
          </reference>
        </references>
      </pivotArea>
    </format>
    <format dxfId="250">
      <pivotArea dataOnly="0" labelOnly="1" outline="0" fieldPosition="0">
        <references count="5">
          <reference field="1" count="1" selected="0">
            <x v="1"/>
          </reference>
          <reference field="2" count="1" selected="0">
            <x v="10"/>
          </reference>
          <reference field="5" count="1" selected="0">
            <x v="3"/>
          </reference>
          <reference field="6" count="1" selected="0">
            <x v="2"/>
          </reference>
          <reference field="8" count="1">
            <x v="22"/>
          </reference>
        </references>
      </pivotArea>
    </format>
    <format dxfId="251">
      <pivotArea dataOnly="0" labelOnly="1" outline="0" fieldPosition="0">
        <references count="5">
          <reference field="1" count="1" selected="0">
            <x v="2"/>
          </reference>
          <reference field="2" count="1" selected="0">
            <x v="10"/>
          </reference>
          <reference field="5" count="1" selected="0">
            <x v="3"/>
          </reference>
          <reference field="6" count="1" selected="0">
            <x v="0"/>
          </reference>
          <reference field="8" count="1">
            <x v="63"/>
          </reference>
        </references>
      </pivotArea>
    </format>
    <format dxfId="252">
      <pivotArea dataOnly="0" labelOnly="1" outline="0" fieldPosition="0">
        <references count="5">
          <reference field="1" count="1" selected="0">
            <x v="5"/>
          </reference>
          <reference field="2" count="1" selected="0">
            <x v="10"/>
          </reference>
          <reference field="5" count="1" selected="0">
            <x v="3"/>
          </reference>
          <reference field="6" count="1" selected="0">
            <x v="1"/>
          </reference>
          <reference field="8" count="3">
            <x v="53"/>
            <x v="64"/>
            <x v="65"/>
          </reference>
        </references>
      </pivotArea>
    </format>
    <format dxfId="253">
      <pivotArea dataOnly="0" labelOnly="1" outline="0" fieldPosition="0">
        <references count="5">
          <reference field="1" count="1" selected="0">
            <x v="20"/>
          </reference>
          <reference field="2" count="1" selected="0">
            <x v="10"/>
          </reference>
          <reference field="5" count="1" selected="0">
            <x v="3"/>
          </reference>
          <reference field="6" count="1" selected="0">
            <x v="1"/>
          </reference>
          <reference field="8" count="1">
            <x v="66"/>
          </reference>
        </references>
      </pivotArea>
    </format>
    <format dxfId="254">
      <pivotArea dataOnly="0" labelOnly="1" outline="0" fieldPosition="0">
        <references count="5">
          <reference field="1" count="1" selected="0">
            <x v="21"/>
          </reference>
          <reference field="2" count="1" selected="0">
            <x v="10"/>
          </reference>
          <reference field="5" count="1" selected="0">
            <x v="0"/>
          </reference>
          <reference field="6" count="1" selected="0">
            <x v="1"/>
          </reference>
          <reference field="8" count="1">
            <x v="28"/>
          </reference>
        </references>
      </pivotArea>
    </format>
    <format dxfId="255">
      <pivotArea dataOnly="0" labelOnly="1" outline="0" fieldPosition="0">
        <references count="5">
          <reference field="1" count="1" selected="0">
            <x v="21"/>
          </reference>
          <reference field="2" count="1" selected="0">
            <x v="10"/>
          </reference>
          <reference field="5" count="1" selected="0">
            <x v="2"/>
          </reference>
          <reference field="6" count="1" selected="0">
            <x v="0"/>
          </reference>
          <reference field="8" count="1">
            <x v="31"/>
          </reference>
        </references>
      </pivotArea>
    </format>
    <format dxfId="256">
      <pivotArea dataOnly="0" labelOnly="1" outline="0" fieldPosition="0">
        <references count="5">
          <reference field="1" count="1" selected="0">
            <x v="21"/>
          </reference>
          <reference field="2" count="1" selected="0">
            <x v="10"/>
          </reference>
          <reference field="5" count="1" selected="0">
            <x v="3"/>
          </reference>
          <reference field="6" count="1" selected="0">
            <x v="0"/>
          </reference>
          <reference field="8" count="1">
            <x v="32"/>
          </reference>
        </references>
      </pivotArea>
    </format>
    <format dxfId="257">
      <pivotArea dataOnly="0" labelOnly="1" outline="0" fieldPosition="0">
        <references count="5">
          <reference field="1" count="1" selected="0">
            <x v="21"/>
          </reference>
          <reference field="2" count="1" selected="0">
            <x v="10"/>
          </reference>
          <reference field="5" count="1" selected="0">
            <x v="3"/>
          </reference>
          <reference field="6" count="1" selected="0">
            <x v="1"/>
          </reference>
          <reference field="8" count="2">
            <x v="29"/>
            <x v="30"/>
          </reference>
        </references>
      </pivotArea>
    </format>
    <format dxfId="258">
      <pivotArea dataOnly="0" labelOnly="1" outline="0" fieldPosition="0">
        <references count="5">
          <reference field="1" count="1" selected="0">
            <x v="22"/>
          </reference>
          <reference field="2" count="1" selected="0">
            <x v="10"/>
          </reference>
          <reference field="5" count="1" selected="0">
            <x v="3"/>
          </reference>
          <reference field="6" count="1" selected="0">
            <x v="0"/>
          </reference>
          <reference field="8" count="3">
            <x v="68"/>
            <x v="69"/>
            <x v="70"/>
          </reference>
        </references>
      </pivotArea>
    </format>
    <format dxfId="259">
      <pivotArea dataOnly="0" labelOnly="1" outline="0" fieldPosition="0">
        <references count="5">
          <reference field="1" count="1" selected="0">
            <x v="25"/>
          </reference>
          <reference field="2" count="1" selected="0">
            <x v="10"/>
          </reference>
          <reference field="5" count="1" selected="0">
            <x v="3"/>
          </reference>
          <reference field="6" count="1" selected="0">
            <x v="0"/>
          </reference>
          <reference field="8" count="1">
            <x v="55"/>
          </reference>
        </references>
      </pivotArea>
    </format>
    <format dxfId="260">
      <pivotArea dataOnly="0" labelOnly="1" outline="0" fieldPosition="0">
        <references count="5">
          <reference field="1" count="1" selected="0">
            <x v="30"/>
          </reference>
          <reference field="2" count="1" selected="0">
            <x v="10"/>
          </reference>
          <reference field="5" count="1" selected="0">
            <x v="3"/>
          </reference>
          <reference field="6" count="1" selected="0">
            <x v="1"/>
          </reference>
          <reference field="8" count="1">
            <x v="52"/>
          </reference>
        </references>
      </pivotArea>
    </format>
    <format dxfId="261">
      <pivotArea dataOnly="0" labelOnly="1" outline="0" fieldPosition="0">
        <references count="5">
          <reference field="1" count="1" selected="0">
            <x v="37"/>
          </reference>
          <reference field="2" count="1" selected="0">
            <x v="10"/>
          </reference>
          <reference field="5" count="1" selected="0">
            <x v="3"/>
          </reference>
          <reference field="6" count="1" selected="0">
            <x v="1"/>
          </reference>
          <reference field="8" count="2">
            <x v="54"/>
            <x v="67"/>
          </reference>
        </references>
      </pivotArea>
    </format>
    <format dxfId="262">
      <pivotArea dataOnly="0" labelOnly="1" outline="0" fieldPosition="0">
        <references count="5">
          <reference field="1" count="1" selected="0">
            <x v="40"/>
          </reference>
          <reference field="2" count="1" selected="0">
            <x v="10"/>
          </reference>
          <reference field="5" count="1" selected="0">
            <x v="3"/>
          </reference>
          <reference field="6" count="1" selected="0">
            <x v="1"/>
          </reference>
          <reference field="8" count="1">
            <x v="23"/>
          </reference>
        </references>
      </pivotArea>
    </format>
    <format dxfId="263">
      <pivotArea dataOnly="0" labelOnly="1" outline="0" fieldPosition="0">
        <references count="5">
          <reference field="1" count="1" selected="0">
            <x v="48"/>
          </reference>
          <reference field="2" count="1" selected="0">
            <x v="10"/>
          </reference>
          <reference field="5" count="1" selected="0">
            <x v="0"/>
          </reference>
          <reference field="6" count="1" selected="0">
            <x v="1"/>
          </reference>
          <reference field="8" count="1">
            <x v="36"/>
          </reference>
        </references>
      </pivotArea>
    </format>
    <format dxfId="264">
      <pivotArea dataOnly="0" labelOnly="1" outline="0" fieldPosition="0">
        <references count="5">
          <reference field="1" count="1" selected="0">
            <x v="55"/>
          </reference>
          <reference field="2" count="1" selected="0">
            <x v="10"/>
          </reference>
          <reference field="5" count="1" selected="0">
            <x v="0"/>
          </reference>
          <reference field="6" count="1" selected="0">
            <x v="0"/>
          </reference>
          <reference field="8" count="1">
            <x v="49"/>
          </reference>
        </references>
      </pivotArea>
    </format>
    <format dxfId="265">
      <pivotArea dataOnly="0" labelOnly="1" outline="0" fieldPosition="0">
        <references count="5">
          <reference field="1" count="1" selected="0">
            <x v="58"/>
          </reference>
          <reference field="2" count="1" selected="0">
            <x v="10"/>
          </reference>
          <reference field="5" count="1" selected="0">
            <x v="0"/>
          </reference>
          <reference field="6" count="1" selected="0">
            <x v="1"/>
          </reference>
          <reference field="8" count="1">
            <x v="41"/>
          </reference>
        </references>
      </pivotArea>
    </format>
    <format dxfId="266">
      <pivotArea dataOnly="0" labelOnly="1" outline="0" fieldPosition="0">
        <references count="5">
          <reference field="1" count="1" selected="0">
            <x v="61"/>
          </reference>
          <reference field="2" count="1" selected="0">
            <x v="10"/>
          </reference>
          <reference field="5" count="1" selected="0">
            <x v="3"/>
          </reference>
          <reference field="6" count="1" selected="0">
            <x v="1"/>
          </reference>
          <reference field="8" count="1">
            <x v="51"/>
          </reference>
        </references>
      </pivotArea>
    </format>
    <format dxfId="267">
      <pivotArea dataOnly="0" labelOnly="1" outline="0" fieldPosition="0">
        <references count="5">
          <reference field="1" count="1" selected="0">
            <x v="12"/>
          </reference>
          <reference field="2" count="1" selected="0">
            <x v="11"/>
          </reference>
          <reference field="5" count="1" selected="0">
            <x v="1"/>
          </reference>
          <reference field="6" count="1" selected="0">
            <x v="1"/>
          </reference>
          <reference field="8" count="1">
            <x v="42"/>
          </reference>
        </references>
      </pivotArea>
    </format>
    <format dxfId="268">
      <pivotArea dataOnly="0" labelOnly="1" outline="0" fieldPosition="0">
        <references count="5">
          <reference field="1" count="1" selected="0">
            <x v="12"/>
          </reference>
          <reference field="2" count="1" selected="0">
            <x v="11"/>
          </reference>
          <reference field="5" count="1" selected="0">
            <x v="3"/>
          </reference>
          <reference field="6" count="1" selected="0">
            <x v="0"/>
          </reference>
          <reference field="8" count="1">
            <x v="12"/>
          </reference>
        </references>
      </pivotArea>
    </format>
    <format dxfId="269">
      <pivotArea dataOnly="0" labelOnly="1" outline="0" fieldPosition="0">
        <references count="5">
          <reference field="1" count="1" selected="0">
            <x v="12"/>
          </reference>
          <reference field="2" count="1" selected="0">
            <x v="11"/>
          </reference>
          <reference field="5" count="1" selected="0">
            <x v="3"/>
          </reference>
          <reference field="6" count="1" selected="0">
            <x v="1"/>
          </reference>
          <reference field="8" count="1">
            <x v="15"/>
          </reference>
        </references>
      </pivotArea>
    </format>
    <format dxfId="270">
      <pivotArea dataOnly="0" labelOnly="1" outline="0" fieldPosition="0">
        <references count="5">
          <reference field="1" count="1" selected="0">
            <x v="23"/>
          </reference>
          <reference field="2" count="1" selected="0">
            <x v="11"/>
          </reference>
          <reference field="5" count="1" selected="0">
            <x v="3"/>
          </reference>
          <reference field="6" count="1" selected="0">
            <x v="0"/>
          </reference>
          <reference field="8" count="1">
            <x v="84"/>
          </reference>
        </references>
      </pivotArea>
    </format>
    <format dxfId="271">
      <pivotArea dataOnly="0" labelOnly="1" outline="0" fieldPosition="0">
        <references count="5">
          <reference field="1" count="1" selected="0">
            <x v="23"/>
          </reference>
          <reference field="2" count="1" selected="0">
            <x v="11"/>
          </reference>
          <reference field="5" count="1" selected="0">
            <x v="3"/>
          </reference>
          <reference field="6" count="1" selected="0">
            <x v="1"/>
          </reference>
          <reference field="8" count="1">
            <x v="79"/>
          </reference>
        </references>
      </pivotArea>
    </format>
    <format dxfId="272">
      <pivotArea dataOnly="0" labelOnly="1" outline="0" fieldPosition="0">
        <references count="5">
          <reference field="1" count="1" selected="0">
            <x v="40"/>
          </reference>
          <reference field="2" count="1" selected="0">
            <x v="11"/>
          </reference>
          <reference field="5" count="1" selected="0">
            <x v="3"/>
          </reference>
          <reference field="6" count="1" selected="0">
            <x v="0"/>
          </reference>
          <reference field="8" count="1">
            <x v="24"/>
          </reference>
        </references>
      </pivotArea>
    </format>
    <format dxfId="273">
      <pivotArea dataOnly="0" labelOnly="1" outline="0" fieldPosition="0">
        <references count="5">
          <reference field="1" count="1" selected="0">
            <x v="59"/>
          </reference>
          <reference field="2" count="1" selected="0">
            <x v="11"/>
          </reference>
          <reference field="5" count="1" selected="0">
            <x v="3"/>
          </reference>
          <reference field="6" count="1" selected="0">
            <x v="0"/>
          </reference>
          <reference field="8" count="1">
            <x v="62"/>
          </reference>
        </references>
      </pivotArea>
    </format>
    <format dxfId="274">
      <pivotArea dataOnly="0" labelOnly="1" outline="0" fieldPosition="0">
        <references count="5">
          <reference field="1" count="1" selected="0">
            <x v="12"/>
          </reference>
          <reference field="2" count="1" selected="0">
            <x v="12"/>
          </reference>
          <reference field="5" count="1" selected="0">
            <x v="3"/>
          </reference>
          <reference field="6" count="1" selected="0">
            <x v="0"/>
          </reference>
          <reference field="8" count="1">
            <x v="13"/>
          </reference>
        </references>
      </pivotArea>
    </format>
    <format dxfId="275">
      <pivotArea dataOnly="0" labelOnly="1" outline="0" fieldPosition="0">
        <references count="5">
          <reference field="1" count="1" selected="0">
            <x v="62"/>
          </reference>
          <reference field="2" count="1" selected="0">
            <x v="12"/>
          </reference>
          <reference field="5" count="1" selected="0">
            <x v="3"/>
          </reference>
          <reference field="6" count="1" selected="0">
            <x v="2"/>
          </reference>
          <reference field="8" count="1">
            <x v="89"/>
          </reference>
        </references>
      </pivotArea>
    </format>
    <format dxfId="276">
      <pivotArea field="8" type="button" dataOnly="0" labelOnly="1" outline="0" axis="axisRow" fieldPosition="5"/>
    </format>
    <format dxfId="277">
      <pivotArea dataOnly="0" labelOnly="1" grandRow="1" outline="0" fieldPosition="0"/>
    </format>
    <format dxfId="278">
      <pivotArea dataOnly="0" labelOnly="1" outline="0" fieldPosition="0">
        <references count="5">
          <reference field="1" count="1" selected="0">
            <x v="50"/>
          </reference>
          <reference field="2" count="1" selected="0">
            <x v="0"/>
          </reference>
          <reference field="5" count="1" selected="0">
            <x v="3"/>
          </reference>
          <reference field="6" count="1" selected="0">
            <x v="0"/>
          </reference>
          <reference field="8" count="1">
            <x v="77"/>
          </reference>
        </references>
      </pivotArea>
    </format>
    <format dxfId="279">
      <pivotArea dataOnly="0" labelOnly="1" outline="0" fieldPosition="0">
        <references count="5">
          <reference field="1" count="1" selected="0">
            <x v="29"/>
          </reference>
          <reference field="2" count="1" selected="0">
            <x v="1"/>
          </reference>
          <reference field="5" count="1" selected="0">
            <x v="3"/>
          </reference>
          <reference field="6" count="1" selected="0">
            <x v="0"/>
          </reference>
          <reference field="8" count="1">
            <x v="35"/>
          </reference>
        </references>
      </pivotArea>
    </format>
    <format dxfId="280">
      <pivotArea dataOnly="0" labelOnly="1" outline="0" fieldPosition="0">
        <references count="5">
          <reference field="1" count="1" selected="0">
            <x v="33"/>
          </reference>
          <reference field="2" count="1" selected="0">
            <x v="1"/>
          </reference>
          <reference field="5" count="1" selected="0">
            <x v="3"/>
          </reference>
          <reference field="6" count="1" selected="0">
            <x v="0"/>
          </reference>
          <reference field="8" count="2">
            <x v="39"/>
            <x v="40"/>
          </reference>
        </references>
      </pivotArea>
    </format>
    <format dxfId="281">
      <pivotArea dataOnly="0" labelOnly="1" outline="0" fieldPosition="0">
        <references count="5">
          <reference field="1" count="1" selected="0">
            <x v="44"/>
          </reference>
          <reference field="2" count="1" selected="0">
            <x v="1"/>
          </reference>
          <reference field="5" count="1" selected="0">
            <x v="3"/>
          </reference>
          <reference field="6" count="1" selected="0">
            <x v="0"/>
          </reference>
          <reference field="8" count="1">
            <x v="76"/>
          </reference>
        </references>
      </pivotArea>
    </format>
    <format dxfId="282">
      <pivotArea dataOnly="0" labelOnly="1" outline="0" fieldPosition="0">
        <references count="5">
          <reference field="1" count="1" selected="0">
            <x v="60"/>
          </reference>
          <reference field="2" count="1" selected="0">
            <x v="1"/>
          </reference>
          <reference field="5" count="1" selected="0">
            <x v="3"/>
          </reference>
          <reference field="6" count="1" selected="0">
            <x v="0"/>
          </reference>
          <reference field="8" count="1">
            <x v="88"/>
          </reference>
        </references>
      </pivotArea>
    </format>
    <format dxfId="283">
      <pivotArea dataOnly="0" labelOnly="1" outline="0" fieldPosition="0">
        <references count="5">
          <reference field="1" count="1" selected="0">
            <x v="60"/>
          </reference>
          <reference field="2" count="1" selected="0">
            <x v="1"/>
          </reference>
          <reference field="5" count="1" selected="0">
            <x v="3"/>
          </reference>
          <reference field="6" count="1" selected="0">
            <x v="1"/>
          </reference>
          <reference field="8" count="1">
            <x v="87"/>
          </reference>
        </references>
      </pivotArea>
    </format>
    <format dxfId="284">
      <pivotArea dataOnly="0" labelOnly="1" outline="0" fieldPosition="0">
        <references count="5">
          <reference field="1" count="1" selected="0">
            <x v="47"/>
          </reference>
          <reference field="2" count="1" selected="0">
            <x v="2"/>
          </reference>
          <reference field="5" count="1" selected="0">
            <x v="3"/>
          </reference>
          <reference field="6" count="1" selected="0">
            <x v="0"/>
          </reference>
          <reference field="8" count="1">
            <x v="37"/>
          </reference>
        </references>
      </pivotArea>
    </format>
    <format dxfId="285">
      <pivotArea dataOnly="0" labelOnly="1" outline="0" fieldPosition="0">
        <references count="5">
          <reference field="1" count="1" selected="0">
            <x v="24"/>
          </reference>
          <reference field="2" count="1" selected="0">
            <x v="3"/>
          </reference>
          <reference field="5" count="1" selected="0">
            <x v="0"/>
          </reference>
          <reference field="6" count="1" selected="0">
            <x v="0"/>
          </reference>
          <reference field="8" count="1">
            <x v="27"/>
          </reference>
        </references>
      </pivotArea>
    </format>
    <format dxfId="286">
      <pivotArea dataOnly="0" labelOnly="1" outline="0" fieldPosition="0">
        <references count="5">
          <reference field="1" count="1" selected="0">
            <x v="57"/>
          </reference>
          <reference field="2" count="1" selected="0">
            <x v="3"/>
          </reference>
          <reference field="5" count="1" selected="0">
            <x v="3"/>
          </reference>
          <reference field="6" count="1" selected="0">
            <x v="0"/>
          </reference>
          <reference field="8" count="1">
            <x v="86"/>
          </reference>
        </references>
      </pivotArea>
    </format>
    <format dxfId="287">
      <pivotArea dataOnly="0" labelOnly="1" outline="0" fieldPosition="0">
        <references count="5">
          <reference field="1" count="1" selected="0">
            <x v="3"/>
          </reference>
          <reference field="2" count="1" selected="0">
            <x v="4"/>
          </reference>
          <reference field="5" count="1" selected="0">
            <x v="3"/>
          </reference>
          <reference field="6" count="1" selected="0">
            <x v="0"/>
          </reference>
          <reference field="8" count="1">
            <x v="5"/>
          </reference>
        </references>
      </pivotArea>
    </format>
    <format dxfId="288">
      <pivotArea dataOnly="0" labelOnly="1" outline="0" fieldPosition="0">
        <references count="5">
          <reference field="1" count="1" selected="0">
            <x v="4"/>
          </reference>
          <reference field="2" count="1" selected="0">
            <x v="4"/>
          </reference>
          <reference field="5" count="1" selected="0">
            <x v="3"/>
          </reference>
          <reference field="6" count="1" selected="0">
            <x v="0"/>
          </reference>
          <reference field="8" count="1">
            <x v="44"/>
          </reference>
        </references>
      </pivotArea>
    </format>
    <format dxfId="289">
      <pivotArea dataOnly="0" labelOnly="1" outline="0" fieldPosition="0">
        <references count="5">
          <reference field="1" count="1" selected="0">
            <x v="6"/>
          </reference>
          <reference field="2" count="1" selected="0">
            <x v="4"/>
          </reference>
          <reference field="5" count="1" selected="0">
            <x v="3"/>
          </reference>
          <reference field="6" count="1" selected="0">
            <x v="0"/>
          </reference>
          <reference field="8" count="1">
            <x v="57"/>
          </reference>
        </references>
      </pivotArea>
    </format>
    <format dxfId="290">
      <pivotArea dataOnly="0" labelOnly="1" outline="0" fieldPosition="0">
        <references count="5">
          <reference field="1" count="1" selected="0">
            <x v="8"/>
          </reference>
          <reference field="2" count="1" selected="0">
            <x v="4"/>
          </reference>
          <reference field="5" count="1" selected="0">
            <x v="3"/>
          </reference>
          <reference field="6" count="1" selected="0">
            <x v="0"/>
          </reference>
          <reference field="8" count="2">
            <x v="6"/>
            <x v="71"/>
          </reference>
        </references>
      </pivotArea>
    </format>
    <format dxfId="291">
      <pivotArea dataOnly="0" labelOnly="1" outline="0" fieldPosition="0">
        <references count="5">
          <reference field="1" count="1" selected="0">
            <x v="11"/>
          </reference>
          <reference field="2" count="1" selected="0">
            <x v="4"/>
          </reference>
          <reference field="5" count="1" selected="0">
            <x v="3"/>
          </reference>
          <reference field="6" count="1" selected="0">
            <x v="0"/>
          </reference>
          <reference field="8" count="1">
            <x v="78"/>
          </reference>
        </references>
      </pivotArea>
    </format>
    <format dxfId="292">
      <pivotArea dataOnly="0" labelOnly="1" outline="0" fieldPosition="0">
        <references count="5">
          <reference field="1" count="1" selected="0">
            <x v="12"/>
          </reference>
          <reference field="2" count="1" selected="0">
            <x v="4"/>
          </reference>
          <reference field="5" count="1" selected="0">
            <x v="0"/>
          </reference>
          <reference field="6" count="1" selected="0">
            <x v="1"/>
          </reference>
          <reference field="8" count="1">
            <x v="43"/>
          </reference>
        </references>
      </pivotArea>
    </format>
    <format dxfId="293">
      <pivotArea dataOnly="0" labelOnly="1" outline="0" fieldPosition="0">
        <references count="5">
          <reference field="1" count="1" selected="0">
            <x v="12"/>
          </reference>
          <reference field="2" count="1" selected="0">
            <x v="4"/>
          </reference>
          <reference field="5" count="1" selected="0">
            <x v="3"/>
          </reference>
          <reference field="6" count="1" selected="0">
            <x v="0"/>
          </reference>
          <reference field="8" count="1">
            <x v="12"/>
          </reference>
        </references>
      </pivotArea>
    </format>
    <format dxfId="294">
      <pivotArea dataOnly="0" labelOnly="1" outline="0" fieldPosition="0">
        <references count="5">
          <reference field="1" count="1" selected="0">
            <x v="20"/>
          </reference>
          <reference field="2" count="1" selected="0">
            <x v="4"/>
          </reference>
          <reference field="5" count="1" selected="0">
            <x v="3"/>
          </reference>
          <reference field="6" count="1" selected="0">
            <x v="0"/>
          </reference>
          <reference field="8" count="1">
            <x v="83"/>
          </reference>
        </references>
      </pivotArea>
    </format>
    <format dxfId="295">
      <pivotArea dataOnly="0" labelOnly="1" outline="0" fieldPosition="0">
        <references count="5">
          <reference field="1" count="1" selected="0">
            <x v="22"/>
          </reference>
          <reference field="2" count="1" selected="0">
            <x v="4"/>
          </reference>
          <reference field="5" count="1" selected="0">
            <x v="3"/>
          </reference>
          <reference field="6" count="1" selected="0">
            <x v="1"/>
          </reference>
          <reference field="8" count="1">
            <x v="50"/>
          </reference>
        </references>
      </pivotArea>
    </format>
    <format dxfId="296">
      <pivotArea dataOnly="0" labelOnly="1" outline="0" fieldPosition="0">
        <references count="5">
          <reference field="1" count="1" selected="0">
            <x v="27"/>
          </reference>
          <reference field="2" count="1" selected="0">
            <x v="4"/>
          </reference>
          <reference field="5" count="1" selected="0">
            <x v="3"/>
          </reference>
          <reference field="6" count="1" selected="0">
            <x v="1"/>
          </reference>
          <reference field="8" count="2">
            <x v="3"/>
            <x v="59"/>
          </reference>
        </references>
      </pivotArea>
    </format>
    <format dxfId="297">
      <pivotArea dataOnly="0" labelOnly="1" outline="0" fieldPosition="0">
        <references count="5">
          <reference field="1" count="1" selected="0">
            <x v="34"/>
          </reference>
          <reference field="2" count="1" selected="0">
            <x v="4"/>
          </reference>
          <reference field="5" count="1" selected="0">
            <x v="3"/>
          </reference>
          <reference field="6" count="1" selected="0">
            <x v="0"/>
          </reference>
          <reference field="8" count="1">
            <x v="34"/>
          </reference>
        </references>
      </pivotArea>
    </format>
    <format dxfId="298">
      <pivotArea dataOnly="0" labelOnly="1" outline="0" fieldPosition="0">
        <references count="5">
          <reference field="1" count="1" selected="0">
            <x v="36"/>
          </reference>
          <reference field="2" count="1" selected="0">
            <x v="4"/>
          </reference>
          <reference field="5" count="1" selected="0">
            <x v="3"/>
          </reference>
          <reference field="6" count="1" selected="0">
            <x v="0"/>
          </reference>
          <reference field="8" count="1">
            <x v="90"/>
          </reference>
        </references>
      </pivotArea>
    </format>
    <format dxfId="299">
      <pivotArea dataOnly="0" labelOnly="1" outline="0" fieldPosition="0">
        <references count="5">
          <reference field="1" count="1" selected="0">
            <x v="41"/>
          </reference>
          <reference field="2" count="1" selected="0">
            <x v="4"/>
          </reference>
          <reference field="5" count="1" selected="0">
            <x v="3"/>
          </reference>
          <reference field="6" count="1" selected="0">
            <x v="1"/>
          </reference>
          <reference field="8" count="1">
            <x v="11"/>
          </reference>
        </references>
      </pivotArea>
    </format>
    <format dxfId="300">
      <pivotArea dataOnly="0" labelOnly="1" outline="0" fieldPosition="0">
        <references count="5">
          <reference field="1" count="1" selected="0">
            <x v="48"/>
          </reference>
          <reference field="2" count="1" selected="0">
            <x v="4"/>
          </reference>
          <reference field="5" count="1" selected="0">
            <x v="0"/>
          </reference>
          <reference field="6" count="1" selected="0">
            <x v="0"/>
          </reference>
          <reference field="8" count="1">
            <x v="38"/>
          </reference>
        </references>
      </pivotArea>
    </format>
    <format dxfId="301">
      <pivotArea dataOnly="0" labelOnly="1" outline="0" fieldPosition="0">
        <references count="5">
          <reference field="1" count="1" selected="0">
            <x v="52"/>
          </reference>
          <reference field="2" count="1" selected="0">
            <x v="4"/>
          </reference>
          <reference field="5" count="1" selected="0">
            <x v="3"/>
          </reference>
          <reference field="6" count="1" selected="0">
            <x v="1"/>
          </reference>
          <reference field="8" count="1">
            <x v="58"/>
          </reference>
        </references>
      </pivotArea>
    </format>
    <format dxfId="302">
      <pivotArea dataOnly="0" labelOnly="1" outline="0" fieldPosition="0">
        <references count="5">
          <reference field="1" count="1" selected="0">
            <x v="59"/>
          </reference>
          <reference field="2" count="1" selected="0">
            <x v="4"/>
          </reference>
          <reference field="5" count="1" selected="0">
            <x v="3"/>
          </reference>
          <reference field="6" count="1" selected="0">
            <x v="0"/>
          </reference>
          <reference field="8" count="1">
            <x v="72"/>
          </reference>
        </references>
      </pivotArea>
    </format>
    <format dxfId="303">
      <pivotArea dataOnly="0" labelOnly="1" outline="0" fieldPosition="0">
        <references count="5">
          <reference field="1" count="1" selected="0">
            <x v="59"/>
          </reference>
          <reference field="2" count="1" selected="0">
            <x v="4"/>
          </reference>
          <reference field="5" count="1" selected="0">
            <x v="3"/>
          </reference>
          <reference field="6" count="1" selected="0">
            <x v="1"/>
          </reference>
          <reference field="8" count="1">
            <x v="75"/>
          </reference>
        </references>
      </pivotArea>
    </format>
    <format dxfId="304">
      <pivotArea dataOnly="0" labelOnly="1" outline="0" fieldPosition="0">
        <references count="5">
          <reference field="1" count="1" selected="0">
            <x v="0"/>
          </reference>
          <reference field="2" count="1" selected="0">
            <x v="5"/>
          </reference>
          <reference field="5" count="1" selected="0">
            <x v="3"/>
          </reference>
          <reference field="6" count="1" selected="0">
            <x v="0"/>
          </reference>
          <reference field="8" count="1">
            <x v="33"/>
          </reference>
        </references>
      </pivotArea>
    </format>
    <format dxfId="305">
      <pivotArea dataOnly="0" labelOnly="1" outline="0" fieldPosition="0">
        <references count="5">
          <reference field="1" count="1" selected="0">
            <x v="7"/>
          </reference>
          <reference field="2" count="1" selected="0">
            <x v="5"/>
          </reference>
          <reference field="5" count="1" selected="0">
            <x v="3"/>
          </reference>
          <reference field="6" count="1" selected="0">
            <x v="0"/>
          </reference>
          <reference field="8" count="1">
            <x v="17"/>
          </reference>
        </references>
      </pivotArea>
    </format>
    <format dxfId="306">
      <pivotArea dataOnly="0" labelOnly="1" outline="0" fieldPosition="0">
        <references count="5">
          <reference field="1" count="1" selected="0">
            <x v="16"/>
          </reference>
          <reference field="2" count="1" selected="0">
            <x v="5"/>
          </reference>
          <reference field="5" count="1" selected="0">
            <x v="3"/>
          </reference>
          <reference field="6" count="1" selected="0">
            <x v="1"/>
          </reference>
          <reference field="8" count="1">
            <x v="1"/>
          </reference>
        </references>
      </pivotArea>
    </format>
    <format dxfId="307">
      <pivotArea dataOnly="0" labelOnly="1" outline="0" fieldPosition="0">
        <references count="5">
          <reference field="1" count="1" selected="0">
            <x v="19"/>
          </reference>
          <reference field="2" count="1" selected="0">
            <x v="5"/>
          </reference>
          <reference field="5" count="1" selected="0">
            <x v="3"/>
          </reference>
          <reference field="6" count="1" selected="0">
            <x v="0"/>
          </reference>
          <reference field="8" count="1">
            <x v="47"/>
          </reference>
        </references>
      </pivotArea>
    </format>
    <format dxfId="308">
      <pivotArea dataOnly="0" labelOnly="1" outline="0" fieldPosition="0">
        <references count="5">
          <reference field="1" count="1" selected="0">
            <x v="20"/>
          </reference>
          <reference field="2" count="1" selected="0">
            <x v="5"/>
          </reference>
          <reference field="5" count="1" selected="0">
            <x v="3"/>
          </reference>
          <reference field="6" count="1" selected="0">
            <x v="1"/>
          </reference>
          <reference field="8" count="1">
            <x v="80"/>
          </reference>
        </references>
      </pivotArea>
    </format>
    <format dxfId="309">
      <pivotArea dataOnly="0" labelOnly="1" outline="0" fieldPosition="0">
        <references count="5">
          <reference field="1" count="1" selected="0">
            <x v="28"/>
          </reference>
          <reference field="2" count="1" selected="0">
            <x v="5"/>
          </reference>
          <reference field="5" count="1" selected="0">
            <x v="3"/>
          </reference>
          <reference field="6" count="1" selected="0">
            <x v="1"/>
          </reference>
          <reference field="8" count="1">
            <x v="21"/>
          </reference>
        </references>
      </pivotArea>
    </format>
    <format dxfId="310">
      <pivotArea dataOnly="0" labelOnly="1" outline="0" fieldPosition="0">
        <references count="5">
          <reference field="1" count="1" selected="0">
            <x v="38"/>
          </reference>
          <reference field="2" count="1" selected="0">
            <x v="5"/>
          </reference>
          <reference field="5" count="1" selected="0">
            <x v="3"/>
          </reference>
          <reference field="6" count="1" selected="0">
            <x v="0"/>
          </reference>
          <reference field="8" count="1">
            <x v="8"/>
          </reference>
        </references>
      </pivotArea>
    </format>
    <format dxfId="311">
      <pivotArea dataOnly="0" labelOnly="1" outline="0" fieldPosition="0">
        <references count="5">
          <reference field="1" count="1" selected="0">
            <x v="39"/>
          </reference>
          <reference field="2" count="1" selected="0">
            <x v="5"/>
          </reference>
          <reference field="5" count="1" selected="0">
            <x v="3"/>
          </reference>
          <reference field="6" count="1" selected="0">
            <x v="1"/>
          </reference>
          <reference field="8" count="1">
            <x v="7"/>
          </reference>
        </references>
      </pivotArea>
    </format>
    <format dxfId="312">
      <pivotArea dataOnly="0" labelOnly="1" outline="0" fieldPosition="0">
        <references count="5">
          <reference field="1" count="1" selected="0">
            <x v="42"/>
          </reference>
          <reference field="2" count="1" selected="0">
            <x v="5"/>
          </reference>
          <reference field="5" count="1" selected="0">
            <x v="3"/>
          </reference>
          <reference field="6" count="1" selected="0">
            <x v="0"/>
          </reference>
          <reference field="8" count="1">
            <x v="48"/>
          </reference>
        </references>
      </pivotArea>
    </format>
    <format dxfId="313">
      <pivotArea dataOnly="0" labelOnly="1" outline="0" fieldPosition="0">
        <references count="5">
          <reference field="1" count="1" selected="0">
            <x v="43"/>
          </reference>
          <reference field="2" count="1" selected="0">
            <x v="5"/>
          </reference>
          <reference field="5" count="1" selected="0">
            <x v="3"/>
          </reference>
          <reference field="6" count="1" selected="0">
            <x v="0"/>
          </reference>
          <reference field="8" count="1">
            <x v="9"/>
          </reference>
        </references>
      </pivotArea>
    </format>
    <format dxfId="314">
      <pivotArea dataOnly="0" labelOnly="1" outline="0" fieldPosition="0">
        <references count="5">
          <reference field="1" count="1" selected="0">
            <x v="45"/>
          </reference>
          <reference field="2" count="1" selected="0">
            <x v="5"/>
          </reference>
          <reference field="5" count="1" selected="0">
            <x v="3"/>
          </reference>
          <reference field="6" count="1" selected="0">
            <x v="0"/>
          </reference>
          <reference field="8" count="1">
            <x v="25"/>
          </reference>
        </references>
      </pivotArea>
    </format>
    <format dxfId="315">
      <pivotArea dataOnly="0" labelOnly="1" outline="0" fieldPosition="0">
        <references count="5">
          <reference field="1" count="1" selected="0">
            <x v="49"/>
          </reference>
          <reference field="2" count="1" selected="0">
            <x v="5"/>
          </reference>
          <reference field="5" count="1" selected="0">
            <x v="3"/>
          </reference>
          <reference field="6" count="1" selected="0">
            <x v="1"/>
          </reference>
          <reference field="8" count="1">
            <x v="56"/>
          </reference>
        </references>
      </pivotArea>
    </format>
    <format dxfId="316">
      <pivotArea dataOnly="0" labelOnly="1" outline="0" fieldPosition="0">
        <references count="5">
          <reference field="1" count="1" selected="0">
            <x v="54"/>
          </reference>
          <reference field="2" count="1" selected="0">
            <x v="5"/>
          </reference>
          <reference field="5" count="1" selected="0">
            <x v="3"/>
          </reference>
          <reference field="6" count="1" selected="0">
            <x v="1"/>
          </reference>
          <reference field="8" count="1">
            <x v="14"/>
          </reference>
        </references>
      </pivotArea>
    </format>
    <format dxfId="317">
      <pivotArea dataOnly="0" labelOnly="1" outline="0" fieldPosition="0">
        <references count="5">
          <reference field="1" count="1" selected="0">
            <x v="56"/>
          </reference>
          <reference field="2" count="1" selected="0">
            <x v="5"/>
          </reference>
          <reference field="5" count="1" selected="0">
            <x v="3"/>
          </reference>
          <reference field="6" count="1" selected="0">
            <x v="1"/>
          </reference>
          <reference field="8" count="1">
            <x v="26"/>
          </reference>
        </references>
      </pivotArea>
    </format>
    <format dxfId="318">
      <pivotArea dataOnly="0" labelOnly="1" outline="0" fieldPosition="0">
        <references count="5">
          <reference field="1" count="1" selected="0">
            <x v="14"/>
          </reference>
          <reference field="2" count="1" selected="0">
            <x v="6"/>
          </reference>
          <reference field="5" count="1" selected="0">
            <x v="3"/>
          </reference>
          <reference field="6" count="1" selected="0">
            <x v="0"/>
          </reference>
          <reference field="8" count="1">
            <x v="45"/>
          </reference>
        </references>
      </pivotArea>
    </format>
    <format dxfId="319">
      <pivotArea dataOnly="0" labelOnly="1" outline="0" fieldPosition="0">
        <references count="5">
          <reference field="1" count="1" selected="0">
            <x v="17"/>
          </reference>
          <reference field="2" count="1" selected="0">
            <x v="6"/>
          </reference>
          <reference field="5" count="1" selected="0">
            <x v="3"/>
          </reference>
          <reference field="6" count="1" selected="0">
            <x v="1"/>
          </reference>
          <reference field="8" count="1">
            <x v="60"/>
          </reference>
        </references>
      </pivotArea>
    </format>
    <format dxfId="320">
      <pivotArea dataOnly="0" labelOnly="1" outline="0" fieldPosition="0">
        <references count="5">
          <reference field="1" count="1" selected="0">
            <x v="18"/>
          </reference>
          <reference field="2" count="1" selected="0">
            <x v="6"/>
          </reference>
          <reference field="5" count="1" selected="0">
            <x v="3"/>
          </reference>
          <reference field="6" count="1" selected="0">
            <x v="0"/>
          </reference>
          <reference field="8" count="1">
            <x v="81"/>
          </reference>
        </references>
      </pivotArea>
    </format>
    <format dxfId="321">
      <pivotArea dataOnly="0" labelOnly="1" outline="0" fieldPosition="0">
        <references count="5">
          <reference field="1" count="1" selected="0">
            <x v="26"/>
          </reference>
          <reference field="2" count="1" selected="0">
            <x v="6"/>
          </reference>
          <reference field="5" count="1" selected="0">
            <x v="3"/>
          </reference>
          <reference field="6" count="1" selected="0">
            <x v="0"/>
          </reference>
          <reference field="8" count="1">
            <x v="61"/>
          </reference>
        </references>
      </pivotArea>
    </format>
    <format dxfId="322">
      <pivotArea dataOnly="0" labelOnly="1" outline="0" fieldPosition="0">
        <references count="5">
          <reference field="1" count="1" selected="0">
            <x v="31"/>
          </reference>
          <reference field="2" count="1" selected="0">
            <x v="6"/>
          </reference>
          <reference field="5" count="1" selected="0">
            <x v="3"/>
          </reference>
          <reference field="6" count="1" selected="0">
            <x v="1"/>
          </reference>
          <reference field="8" count="1">
            <x v="0"/>
          </reference>
        </references>
      </pivotArea>
    </format>
    <format dxfId="323">
      <pivotArea dataOnly="0" labelOnly="1" outline="0" fieldPosition="0">
        <references count="5">
          <reference field="1" count="1" selected="0">
            <x v="35"/>
          </reference>
          <reference field="2" count="1" selected="0">
            <x v="6"/>
          </reference>
          <reference field="5" count="1" selected="0">
            <x v="3"/>
          </reference>
          <reference field="6" count="1" selected="0">
            <x v="1"/>
          </reference>
          <reference field="8" count="1">
            <x v="46"/>
          </reference>
        </references>
      </pivotArea>
    </format>
    <format dxfId="324">
      <pivotArea dataOnly="0" labelOnly="1" outline="0" fieldPosition="0">
        <references count="5">
          <reference field="1" count="1" selected="0">
            <x v="46"/>
          </reference>
          <reference field="2" count="1" selected="0">
            <x v="6"/>
          </reference>
          <reference field="5" count="1" selected="0">
            <x v="3"/>
          </reference>
          <reference field="6" count="1" selected="0">
            <x v="1"/>
          </reference>
          <reference field="8" count="1">
            <x v="16"/>
          </reference>
        </references>
      </pivotArea>
    </format>
    <format dxfId="325">
      <pivotArea dataOnly="0" labelOnly="1" outline="0" fieldPosition="0">
        <references count="5">
          <reference field="1" count="1" selected="0">
            <x v="51"/>
          </reference>
          <reference field="2" count="1" selected="0">
            <x v="6"/>
          </reference>
          <reference field="5" count="1" selected="0">
            <x v="3"/>
          </reference>
          <reference field="6" count="1" selected="0">
            <x v="1"/>
          </reference>
          <reference field="8" count="1">
            <x v="74"/>
          </reference>
        </references>
      </pivotArea>
    </format>
    <format dxfId="326">
      <pivotArea dataOnly="0" labelOnly="1" outline="0" fieldPosition="0">
        <references count="5">
          <reference field="1" count="1" selected="0">
            <x v="53"/>
          </reference>
          <reference field="2" count="1" selected="0">
            <x v="6"/>
          </reference>
          <reference field="5" count="1" selected="0">
            <x v="3"/>
          </reference>
          <reference field="6" count="1" selected="0">
            <x v="1"/>
          </reference>
          <reference field="8" count="1">
            <x v="85"/>
          </reference>
        </references>
      </pivotArea>
    </format>
    <format dxfId="327">
      <pivotArea dataOnly="0" labelOnly="1" outline="0" fieldPosition="0">
        <references count="5">
          <reference field="1" count="1" selected="0">
            <x v="59"/>
          </reference>
          <reference field="2" count="1" selected="0">
            <x v="6"/>
          </reference>
          <reference field="5" count="1" selected="0">
            <x v="3"/>
          </reference>
          <reference field="6" count="1" selected="0">
            <x v="0"/>
          </reference>
          <reference field="8" count="1">
            <x v="20"/>
          </reference>
        </references>
      </pivotArea>
    </format>
    <format dxfId="328">
      <pivotArea dataOnly="0" labelOnly="1" outline="0" fieldPosition="0">
        <references count="5">
          <reference field="1" count="1" selected="0">
            <x v="9"/>
          </reference>
          <reference field="2" count="1" selected="0">
            <x v="7"/>
          </reference>
          <reference field="5" count="1" selected="0">
            <x v="0"/>
          </reference>
          <reference field="6" count="1" selected="0">
            <x v="0"/>
          </reference>
          <reference field="8" count="1">
            <x v="10"/>
          </reference>
        </references>
      </pivotArea>
    </format>
    <format dxfId="329">
      <pivotArea dataOnly="0" labelOnly="1" outline="0" fieldPosition="0">
        <references count="5">
          <reference field="1" count="1" selected="0">
            <x v="12"/>
          </reference>
          <reference field="2" count="1" selected="0">
            <x v="7"/>
          </reference>
          <reference field="5" count="1" selected="0">
            <x v="3"/>
          </reference>
          <reference field="6" count="1" selected="0">
            <x v="0"/>
          </reference>
          <reference field="8" count="1">
            <x v="15"/>
          </reference>
        </references>
      </pivotArea>
    </format>
    <format dxfId="330">
      <pivotArea dataOnly="0" labelOnly="1" outline="0" fieldPosition="0">
        <references count="5">
          <reference field="1" count="1" selected="0">
            <x v="12"/>
          </reference>
          <reference field="2" count="1" selected="0">
            <x v="8"/>
          </reference>
          <reference field="5" count="1" selected="0">
            <x v="3"/>
          </reference>
          <reference field="6" count="1" selected="0">
            <x v="1"/>
          </reference>
          <reference field="8" count="1">
            <x v="19"/>
          </reference>
        </references>
      </pivotArea>
    </format>
    <format dxfId="331">
      <pivotArea dataOnly="0" labelOnly="1" outline="0" fieldPosition="0">
        <references count="5">
          <reference field="1" count="1" selected="0">
            <x v="48"/>
          </reference>
          <reference field="2" count="1" selected="0">
            <x v="8"/>
          </reference>
          <reference field="5" count="1" selected="0">
            <x v="3"/>
          </reference>
          <reference field="6" count="1" selected="0">
            <x v="1"/>
          </reference>
          <reference field="8" count="1">
            <x v="82"/>
          </reference>
        </references>
      </pivotArea>
    </format>
    <format dxfId="332">
      <pivotArea dataOnly="0" labelOnly="1" outline="0" fieldPosition="0">
        <references count="5">
          <reference field="1" count="1" selected="0">
            <x v="10"/>
          </reference>
          <reference field="2" count="1" selected="0">
            <x v="9"/>
          </reference>
          <reference field="5" count="1" selected="0">
            <x v="3"/>
          </reference>
          <reference field="6" count="1" selected="0">
            <x v="0"/>
          </reference>
          <reference field="8" count="1">
            <x v="73"/>
          </reference>
        </references>
      </pivotArea>
    </format>
    <format dxfId="333">
      <pivotArea dataOnly="0" labelOnly="1" outline="0" fieldPosition="0">
        <references count="5">
          <reference field="1" count="1" selected="0">
            <x v="13"/>
          </reference>
          <reference field="2" count="1" selected="0">
            <x v="9"/>
          </reference>
          <reference field="5" count="1" selected="0">
            <x v="3"/>
          </reference>
          <reference field="6" count="1" selected="0">
            <x v="0"/>
          </reference>
          <reference field="8" count="1">
            <x v="2"/>
          </reference>
        </references>
      </pivotArea>
    </format>
    <format dxfId="334">
      <pivotArea dataOnly="0" labelOnly="1" outline="0" fieldPosition="0">
        <references count="5">
          <reference field="1" count="1" selected="0">
            <x v="15"/>
          </reference>
          <reference field="2" count="1" selected="0">
            <x v="9"/>
          </reference>
          <reference field="5" count="1" selected="0">
            <x v="3"/>
          </reference>
          <reference field="6" count="1" selected="0">
            <x v="1"/>
          </reference>
          <reference field="8" count="1">
            <x v="4"/>
          </reference>
        </references>
      </pivotArea>
    </format>
    <format dxfId="335">
      <pivotArea dataOnly="0" labelOnly="1" outline="0" fieldPosition="0">
        <references count="5">
          <reference field="1" count="1" selected="0">
            <x v="32"/>
          </reference>
          <reference field="2" count="1" selected="0">
            <x v="9"/>
          </reference>
          <reference field="5" count="1" selected="0">
            <x v="3"/>
          </reference>
          <reference field="6" count="1" selected="0">
            <x v="0"/>
          </reference>
          <reference field="8" count="1">
            <x v="18"/>
          </reference>
        </references>
      </pivotArea>
    </format>
    <format dxfId="336">
      <pivotArea dataOnly="0" labelOnly="1" outline="0" fieldPosition="0">
        <references count="5">
          <reference field="1" count="1" selected="0">
            <x v="1"/>
          </reference>
          <reference field="2" count="1" selected="0">
            <x v="10"/>
          </reference>
          <reference field="5" count="1" selected="0">
            <x v="3"/>
          </reference>
          <reference field="6" count="1" selected="0">
            <x v="1"/>
          </reference>
          <reference field="8" count="1">
            <x v="53"/>
          </reference>
        </references>
      </pivotArea>
    </format>
    <format dxfId="337">
      <pivotArea dataOnly="0" labelOnly="1" outline="0" fieldPosition="0">
        <references count="5">
          <reference field="1" count="1" selected="0">
            <x v="1"/>
          </reference>
          <reference field="2" count="1" selected="0">
            <x v="10"/>
          </reference>
          <reference field="5" count="1" selected="0">
            <x v="3"/>
          </reference>
          <reference field="6" count="1" selected="0">
            <x v="2"/>
          </reference>
          <reference field="8" count="1">
            <x v="22"/>
          </reference>
        </references>
      </pivotArea>
    </format>
    <format dxfId="338">
      <pivotArea dataOnly="0" labelOnly="1" outline="0" fieldPosition="0">
        <references count="5">
          <reference field="1" count="1" selected="0">
            <x v="2"/>
          </reference>
          <reference field="2" count="1" selected="0">
            <x v="10"/>
          </reference>
          <reference field="5" count="1" selected="0">
            <x v="3"/>
          </reference>
          <reference field="6" count="1" selected="0">
            <x v="0"/>
          </reference>
          <reference field="8" count="1">
            <x v="63"/>
          </reference>
        </references>
      </pivotArea>
    </format>
    <format dxfId="339">
      <pivotArea dataOnly="0" labelOnly="1" outline="0" fieldPosition="0">
        <references count="5">
          <reference field="1" count="1" selected="0">
            <x v="5"/>
          </reference>
          <reference field="2" count="1" selected="0">
            <x v="10"/>
          </reference>
          <reference field="5" count="1" selected="0">
            <x v="3"/>
          </reference>
          <reference field="6" count="1" selected="0">
            <x v="1"/>
          </reference>
          <reference field="8" count="3">
            <x v="53"/>
            <x v="64"/>
            <x v="65"/>
          </reference>
        </references>
      </pivotArea>
    </format>
    <format dxfId="340">
      <pivotArea dataOnly="0" labelOnly="1" outline="0" fieldPosition="0">
        <references count="5">
          <reference field="1" count="1" selected="0">
            <x v="20"/>
          </reference>
          <reference field="2" count="1" selected="0">
            <x v="10"/>
          </reference>
          <reference field="5" count="1" selected="0">
            <x v="3"/>
          </reference>
          <reference field="6" count="1" selected="0">
            <x v="1"/>
          </reference>
          <reference field="8" count="1">
            <x v="66"/>
          </reference>
        </references>
      </pivotArea>
    </format>
    <format dxfId="341">
      <pivotArea dataOnly="0" labelOnly="1" outline="0" fieldPosition="0">
        <references count="5">
          <reference field="1" count="1" selected="0">
            <x v="21"/>
          </reference>
          <reference field="2" count="1" selected="0">
            <x v="10"/>
          </reference>
          <reference field="5" count="1" selected="0">
            <x v="0"/>
          </reference>
          <reference field="6" count="1" selected="0">
            <x v="1"/>
          </reference>
          <reference field="8" count="1">
            <x v="28"/>
          </reference>
        </references>
      </pivotArea>
    </format>
    <format dxfId="342">
      <pivotArea dataOnly="0" labelOnly="1" outline="0" fieldPosition="0">
        <references count="5">
          <reference field="1" count="1" selected="0">
            <x v="21"/>
          </reference>
          <reference field="2" count="1" selected="0">
            <x v="10"/>
          </reference>
          <reference field="5" count="1" selected="0">
            <x v="2"/>
          </reference>
          <reference field="6" count="1" selected="0">
            <x v="0"/>
          </reference>
          <reference field="8" count="1">
            <x v="31"/>
          </reference>
        </references>
      </pivotArea>
    </format>
    <format dxfId="343">
      <pivotArea dataOnly="0" labelOnly="1" outline="0" fieldPosition="0">
        <references count="5">
          <reference field="1" count="1" selected="0">
            <x v="21"/>
          </reference>
          <reference field="2" count="1" selected="0">
            <x v="10"/>
          </reference>
          <reference field="5" count="1" selected="0">
            <x v="3"/>
          </reference>
          <reference field="6" count="1" selected="0">
            <x v="0"/>
          </reference>
          <reference field="8" count="1">
            <x v="32"/>
          </reference>
        </references>
      </pivotArea>
    </format>
    <format dxfId="344">
      <pivotArea dataOnly="0" labelOnly="1" outline="0" fieldPosition="0">
        <references count="5">
          <reference field="1" count="1" selected="0">
            <x v="21"/>
          </reference>
          <reference field="2" count="1" selected="0">
            <x v="10"/>
          </reference>
          <reference field="5" count="1" selected="0">
            <x v="3"/>
          </reference>
          <reference field="6" count="1" selected="0">
            <x v="1"/>
          </reference>
          <reference field="8" count="2">
            <x v="29"/>
            <x v="30"/>
          </reference>
        </references>
      </pivotArea>
    </format>
    <format dxfId="345">
      <pivotArea dataOnly="0" labelOnly="1" outline="0" fieldPosition="0">
        <references count="5">
          <reference field="1" count="1" selected="0">
            <x v="22"/>
          </reference>
          <reference field="2" count="1" selected="0">
            <x v="10"/>
          </reference>
          <reference field="5" count="1" selected="0">
            <x v="3"/>
          </reference>
          <reference field="6" count="1" selected="0">
            <x v="0"/>
          </reference>
          <reference field="8" count="3">
            <x v="68"/>
            <x v="69"/>
            <x v="70"/>
          </reference>
        </references>
      </pivotArea>
    </format>
    <format dxfId="346">
      <pivotArea dataOnly="0" labelOnly="1" outline="0" fieldPosition="0">
        <references count="5">
          <reference field="1" count="1" selected="0">
            <x v="25"/>
          </reference>
          <reference field="2" count="1" selected="0">
            <x v="10"/>
          </reference>
          <reference field="5" count="1" selected="0">
            <x v="3"/>
          </reference>
          <reference field="6" count="1" selected="0">
            <x v="0"/>
          </reference>
          <reference field="8" count="1">
            <x v="55"/>
          </reference>
        </references>
      </pivotArea>
    </format>
    <format dxfId="347">
      <pivotArea dataOnly="0" labelOnly="1" outline="0" fieldPosition="0">
        <references count="5">
          <reference field="1" count="1" selected="0">
            <x v="30"/>
          </reference>
          <reference field="2" count="1" selected="0">
            <x v="10"/>
          </reference>
          <reference field="5" count="1" selected="0">
            <x v="3"/>
          </reference>
          <reference field="6" count="1" selected="0">
            <x v="1"/>
          </reference>
          <reference field="8" count="1">
            <x v="52"/>
          </reference>
        </references>
      </pivotArea>
    </format>
    <format dxfId="348">
      <pivotArea dataOnly="0" labelOnly="1" outline="0" fieldPosition="0">
        <references count="5">
          <reference field="1" count="1" selected="0">
            <x v="37"/>
          </reference>
          <reference field="2" count="1" selected="0">
            <x v="10"/>
          </reference>
          <reference field="5" count="1" selected="0">
            <x v="3"/>
          </reference>
          <reference field="6" count="1" selected="0">
            <x v="1"/>
          </reference>
          <reference field="8" count="2">
            <x v="54"/>
            <x v="67"/>
          </reference>
        </references>
      </pivotArea>
    </format>
    <format dxfId="349">
      <pivotArea dataOnly="0" labelOnly="1" outline="0" fieldPosition="0">
        <references count="5">
          <reference field="1" count="1" selected="0">
            <x v="40"/>
          </reference>
          <reference field="2" count="1" selected="0">
            <x v="10"/>
          </reference>
          <reference field="5" count="1" selected="0">
            <x v="3"/>
          </reference>
          <reference field="6" count="1" selected="0">
            <x v="1"/>
          </reference>
          <reference field="8" count="1">
            <x v="23"/>
          </reference>
        </references>
      </pivotArea>
    </format>
    <format dxfId="350">
      <pivotArea dataOnly="0" labelOnly="1" outline="0" fieldPosition="0">
        <references count="5">
          <reference field="1" count="1" selected="0">
            <x v="48"/>
          </reference>
          <reference field="2" count="1" selected="0">
            <x v="10"/>
          </reference>
          <reference field="5" count="1" selected="0">
            <x v="0"/>
          </reference>
          <reference field="6" count="1" selected="0">
            <x v="1"/>
          </reference>
          <reference field="8" count="1">
            <x v="36"/>
          </reference>
        </references>
      </pivotArea>
    </format>
    <format dxfId="351">
      <pivotArea dataOnly="0" labelOnly="1" outline="0" fieldPosition="0">
        <references count="5">
          <reference field="1" count="1" selected="0">
            <x v="55"/>
          </reference>
          <reference field="2" count="1" selected="0">
            <x v="10"/>
          </reference>
          <reference field="5" count="1" selected="0">
            <x v="0"/>
          </reference>
          <reference field="6" count="1" selected="0">
            <x v="0"/>
          </reference>
          <reference field="8" count="1">
            <x v="49"/>
          </reference>
        </references>
      </pivotArea>
    </format>
    <format dxfId="352">
      <pivotArea dataOnly="0" labelOnly="1" outline="0" fieldPosition="0">
        <references count="5">
          <reference field="1" count="1" selected="0">
            <x v="58"/>
          </reference>
          <reference field="2" count="1" selected="0">
            <x v="10"/>
          </reference>
          <reference field="5" count="1" selected="0">
            <x v="0"/>
          </reference>
          <reference field="6" count="1" selected="0">
            <x v="1"/>
          </reference>
          <reference field="8" count="1">
            <x v="41"/>
          </reference>
        </references>
      </pivotArea>
    </format>
    <format dxfId="353">
      <pivotArea dataOnly="0" labelOnly="1" outline="0" fieldPosition="0">
        <references count="5">
          <reference field="1" count="1" selected="0">
            <x v="61"/>
          </reference>
          <reference field="2" count="1" selected="0">
            <x v="10"/>
          </reference>
          <reference field="5" count="1" selected="0">
            <x v="3"/>
          </reference>
          <reference field="6" count="1" selected="0">
            <x v="1"/>
          </reference>
          <reference field="8" count="1">
            <x v="51"/>
          </reference>
        </references>
      </pivotArea>
    </format>
    <format dxfId="354">
      <pivotArea dataOnly="0" labelOnly="1" outline="0" fieldPosition="0">
        <references count="5">
          <reference field="1" count="1" selected="0">
            <x v="12"/>
          </reference>
          <reference field="2" count="1" selected="0">
            <x v="11"/>
          </reference>
          <reference field="5" count="1" selected="0">
            <x v="1"/>
          </reference>
          <reference field="6" count="1" selected="0">
            <x v="1"/>
          </reference>
          <reference field="8" count="1">
            <x v="42"/>
          </reference>
        </references>
      </pivotArea>
    </format>
    <format dxfId="355">
      <pivotArea dataOnly="0" labelOnly="1" outline="0" fieldPosition="0">
        <references count="5">
          <reference field="1" count="1" selected="0">
            <x v="12"/>
          </reference>
          <reference field="2" count="1" selected="0">
            <x v="11"/>
          </reference>
          <reference field="5" count="1" selected="0">
            <x v="3"/>
          </reference>
          <reference field="6" count="1" selected="0">
            <x v="0"/>
          </reference>
          <reference field="8" count="1">
            <x v="12"/>
          </reference>
        </references>
      </pivotArea>
    </format>
    <format dxfId="356">
      <pivotArea dataOnly="0" labelOnly="1" outline="0" fieldPosition="0">
        <references count="5">
          <reference field="1" count="1" selected="0">
            <x v="12"/>
          </reference>
          <reference field="2" count="1" selected="0">
            <x v="11"/>
          </reference>
          <reference field="5" count="1" selected="0">
            <x v="3"/>
          </reference>
          <reference field="6" count="1" selected="0">
            <x v="1"/>
          </reference>
          <reference field="8" count="1">
            <x v="15"/>
          </reference>
        </references>
      </pivotArea>
    </format>
    <format dxfId="357">
      <pivotArea dataOnly="0" labelOnly="1" outline="0" fieldPosition="0">
        <references count="5">
          <reference field="1" count="1" selected="0">
            <x v="23"/>
          </reference>
          <reference field="2" count="1" selected="0">
            <x v="11"/>
          </reference>
          <reference field="5" count="1" selected="0">
            <x v="3"/>
          </reference>
          <reference field="6" count="1" selected="0">
            <x v="0"/>
          </reference>
          <reference field="8" count="1">
            <x v="84"/>
          </reference>
        </references>
      </pivotArea>
    </format>
    <format dxfId="358">
      <pivotArea dataOnly="0" labelOnly="1" outline="0" fieldPosition="0">
        <references count="5">
          <reference field="1" count="1" selected="0">
            <x v="23"/>
          </reference>
          <reference field="2" count="1" selected="0">
            <x v="11"/>
          </reference>
          <reference field="5" count="1" selected="0">
            <x v="3"/>
          </reference>
          <reference field="6" count="1" selected="0">
            <x v="1"/>
          </reference>
          <reference field="8" count="1">
            <x v="79"/>
          </reference>
        </references>
      </pivotArea>
    </format>
    <format dxfId="359">
      <pivotArea dataOnly="0" labelOnly="1" outline="0" fieldPosition="0">
        <references count="5">
          <reference field="1" count="1" selected="0">
            <x v="40"/>
          </reference>
          <reference field="2" count="1" selected="0">
            <x v="11"/>
          </reference>
          <reference field="5" count="1" selected="0">
            <x v="3"/>
          </reference>
          <reference field="6" count="1" selected="0">
            <x v="0"/>
          </reference>
          <reference field="8" count="1">
            <x v="24"/>
          </reference>
        </references>
      </pivotArea>
    </format>
    <format dxfId="360">
      <pivotArea dataOnly="0" labelOnly="1" outline="0" fieldPosition="0">
        <references count="5">
          <reference field="1" count="1" selected="0">
            <x v="59"/>
          </reference>
          <reference field="2" count="1" selected="0">
            <x v="11"/>
          </reference>
          <reference field="5" count="1" selected="0">
            <x v="3"/>
          </reference>
          <reference field="6" count="1" selected="0">
            <x v="0"/>
          </reference>
          <reference field="8" count="1">
            <x v="62"/>
          </reference>
        </references>
      </pivotArea>
    </format>
    <format dxfId="361">
      <pivotArea dataOnly="0" labelOnly="1" outline="0" fieldPosition="0">
        <references count="5">
          <reference field="1" count="1" selected="0">
            <x v="12"/>
          </reference>
          <reference field="2" count="1" selected="0">
            <x v="12"/>
          </reference>
          <reference field="5" count="1" selected="0">
            <x v="3"/>
          </reference>
          <reference field="6" count="1" selected="0">
            <x v="0"/>
          </reference>
          <reference field="8" count="1">
            <x v="13"/>
          </reference>
        </references>
      </pivotArea>
    </format>
    <format dxfId="362">
      <pivotArea dataOnly="0" labelOnly="1" outline="0" fieldPosition="0">
        <references count="5">
          <reference field="1" count="1" selected="0">
            <x v="62"/>
          </reference>
          <reference field="2" count="1" selected="0">
            <x v="12"/>
          </reference>
          <reference field="5" count="1" selected="0">
            <x v="3"/>
          </reference>
          <reference field="6" count="1" selected="0">
            <x v="2"/>
          </reference>
          <reference field="8" count="1">
            <x v="89"/>
          </reference>
        </references>
      </pivotArea>
    </format>
    <format dxfId="363">
      <pivotArea field="2" type="button" dataOnly="0" labelOnly="1" outline="0" axis="axisRow" fieldPosition="0"/>
    </format>
    <format dxfId="364">
      <pivotArea field="1" type="button" dataOnly="0" labelOnly="1" outline="0" axis="axisRow" fieldPosition="2"/>
    </format>
    <format dxfId="365">
      <pivotArea field="5" type="button" dataOnly="0" labelOnly="1" outline="0" axis="axisRow" fieldPosition="3"/>
    </format>
    <format dxfId="366">
      <pivotArea field="6" type="button" dataOnly="0" labelOnly="1" outline="0" axis="axisRow" fieldPosition="4"/>
    </format>
    <format dxfId="367">
      <pivotArea field="8" type="button" dataOnly="0" labelOnly="1" outline="0" axis="axisRow" fieldPosition="5"/>
    </format>
    <format dxfId="368">
      <pivotArea dataOnly="0" labelOnly="1" outline="0" fieldPosition="0">
        <references count="1">
          <reference field="4294967294" count="2">
            <x v="0"/>
            <x v="1"/>
          </reference>
        </references>
      </pivotArea>
    </format>
    <format dxfId="369">
      <pivotArea dataOnly="0" labelOnly="1" outline="0" fieldPosition="0">
        <references count="3">
          <reference field="1" count="1" selected="0">
            <x v="24"/>
          </reference>
          <reference field="2" count="1" selected="0">
            <x v="3"/>
          </reference>
          <reference field="5" count="0"/>
        </references>
      </pivotArea>
    </format>
    <format dxfId="370">
      <pivotArea field="0" type="button" dataOnly="0" labelOnly="1" outline="0" axis="axisRow" fieldPosition="1"/>
    </format>
    <format dxfId="371">
      <pivotArea field="0" type="button" dataOnly="0" labelOnly="1" outline="0" axis="axisRow" fieldPosition="1"/>
    </format>
    <format dxfId="372">
      <pivotArea dataOnly="0" labelOnly="1" outline="0" fieldPosition="0">
        <references count="1">
          <reference field="4294967294" count="3">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F96113-EEE2-42C2-B4A4-9B607E3D3E85}" name="PivotTable1" cacheId="87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15:F59" firstHeaderRow="0" firstDataRow="1" firstDataCol="1"/>
  <pivotFields count="19">
    <pivotField compact="0" outline="0" showAll="0" defaultSubtotal="0">
      <items count="6">
        <item x="0"/>
        <item x="1"/>
        <item x="3"/>
        <item x="4"/>
        <item x="2"/>
        <item x="5"/>
      </items>
      <extLst>
        <ext xmlns:x14="http://schemas.microsoft.com/office/spreadsheetml/2009/9/main" uri="{2946ED86-A175-432a-8AC1-64E0C546D7DE}">
          <x14:pivotField fillDownLabels="1"/>
        </ext>
      </extLst>
    </pivotField>
    <pivotField axis="axisRow" compact="0" outline="0" showAll="0" defaultSubtotal="0">
      <items count="81">
        <item x="14"/>
        <item h="1" x="37"/>
        <item x="41"/>
        <item m="1" x="74"/>
        <item m="1" x="77"/>
        <item x="35"/>
        <item x="33"/>
        <item x="47"/>
        <item x="26"/>
        <item x="1"/>
        <item x="39"/>
        <item x="28"/>
        <item x="6"/>
        <item x="40"/>
        <item x="42"/>
        <item x="38"/>
        <item m="1" x="76"/>
        <item x="19"/>
        <item x="45"/>
        <item x="54"/>
        <item x="23"/>
        <item x="3"/>
        <item m="1" x="73"/>
        <item x="11"/>
        <item m="1" x="80"/>
        <item x="34"/>
        <item x="44"/>
        <item x="21"/>
        <item x="9"/>
        <item x="50"/>
        <item x="13"/>
        <item m="1" x="78"/>
        <item m="1" x="70"/>
        <item x="25"/>
        <item x="46"/>
        <item x="43"/>
        <item x="18"/>
        <item x="15"/>
        <item x="48"/>
        <item m="1" x="79"/>
        <item x="10"/>
        <item x="16"/>
        <item x="22"/>
        <item m="1" x="71"/>
        <item x="31"/>
        <item x="17"/>
        <item m="1" x="75"/>
        <item m="1" x="72"/>
        <item x="4"/>
        <item x="7"/>
        <item x="27"/>
        <item x="51"/>
        <item x="29"/>
        <item x="20"/>
        <item x="36"/>
        <item x="2"/>
        <item x="53"/>
        <item x="32"/>
        <item x="5"/>
        <item x="30"/>
        <item x="49"/>
        <item x="8"/>
        <item x="68"/>
        <item x="0"/>
        <item x="52"/>
        <item x="24"/>
        <item x="55"/>
        <item x="56"/>
        <item x="57"/>
        <item x="58"/>
        <item x="59"/>
        <item x="60"/>
        <item x="61"/>
        <item x="62"/>
        <item x="12"/>
        <item x="63"/>
        <item x="64"/>
        <item h="1" x="65"/>
        <item h="1" x="66"/>
        <item h="1" x="67"/>
        <item h="1" x="69"/>
      </items>
      <extLst>
        <ext xmlns:x14="http://schemas.microsoft.com/office/spreadsheetml/2009/9/main" uri="{2946ED86-A175-432a-8AC1-64E0C546D7DE}">
          <x14:pivotField fillDownLabels="1"/>
        </ext>
      </extLst>
    </pivotField>
    <pivotField compact="0" outline="0" showAll="0" defaultSubtotal="0">
      <items count="13">
        <item x="9"/>
        <item x="8"/>
        <item m="1" x="11"/>
        <item x="0"/>
        <item x="3"/>
        <item x="6"/>
        <item x="7"/>
        <item x="1"/>
        <item x="4"/>
        <item m="1" x="12"/>
        <item x="2"/>
        <item x="5"/>
        <item x="10"/>
      </items>
      <extLst>
        <ext xmlns:x14="http://schemas.microsoft.com/office/spreadsheetml/2009/9/main" uri="{2946ED86-A175-432a-8AC1-64E0C546D7DE}">
          <x14:pivotField fillDownLabels="1"/>
        </ext>
      </extLst>
    </pivotField>
    <pivotField compact="0" outline="0" showAll="0" defaultSubtotal="0">
      <items count="6">
        <item x="3"/>
        <item x="0"/>
        <item x="2"/>
        <item x="1"/>
        <item m="1" x="5"/>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items count="157">
        <item x="72"/>
        <item m="1" x="142"/>
        <item m="1" x="112"/>
        <item m="1" x="123"/>
        <item m="1" x="147"/>
        <item m="1" x="148"/>
        <item x="32"/>
        <item m="1" x="156"/>
        <item x="63"/>
        <item m="1" x="118"/>
        <item x="1"/>
        <item m="1" x="109"/>
        <item x="75"/>
        <item x="76"/>
        <item x="49"/>
        <item x="70"/>
        <item m="1" x="140"/>
        <item x="62"/>
        <item m="1" x="110"/>
        <item m="1" x="145"/>
        <item x="47"/>
        <item x="12"/>
        <item m="1" x="107"/>
        <item x="13"/>
        <item x="16"/>
        <item x="22"/>
        <item x="73"/>
        <item m="1" x="130"/>
        <item m="1" x="149"/>
        <item m="1" x="151"/>
        <item m="1" x="153"/>
        <item m="1" x="150"/>
        <item m="1" x="152"/>
        <item x="19"/>
        <item x="61"/>
        <item x="66"/>
        <item m="1" x="132"/>
        <item m="1" x="119"/>
        <item m="1" x="122"/>
        <item x="39"/>
        <item x="31"/>
        <item m="1" x="133"/>
        <item x="8"/>
        <item x="11"/>
        <item m="1" x="154"/>
        <item x="56"/>
        <item m="1" x="127"/>
        <item x="74"/>
        <item m="1" x="138"/>
        <item m="1" x="120"/>
        <item m="1" x="143"/>
        <item x="10"/>
        <item m="1" x="105"/>
        <item x="51"/>
        <item x="50"/>
        <item x="46"/>
        <item x="9"/>
        <item x="43"/>
        <item m="1" x="144"/>
        <item m="1" x="125"/>
        <item x="24"/>
        <item x="58"/>
        <item x="77"/>
        <item m="1" x="114"/>
        <item x="69"/>
        <item m="1" x="106"/>
        <item m="1" x="141"/>
        <item x="20"/>
        <item m="1" x="139"/>
        <item m="1" x="135"/>
        <item m="1" x="146"/>
        <item x="44"/>
        <item x="60"/>
        <item x="53"/>
        <item x="71"/>
        <item x="37"/>
        <item x="40"/>
        <item x="33"/>
        <item m="1" x="126"/>
        <item x="14"/>
        <item m="1" x="134"/>
        <item m="1" x="155"/>
        <item x="45"/>
        <item m="1" x="124"/>
        <item m="1" x="136"/>
        <item x="25"/>
        <item x="42"/>
        <item x="64"/>
        <item x="65"/>
        <item x="55"/>
        <item m="1" x="137"/>
        <item x="79"/>
        <item x="80"/>
        <item m="1" x="131"/>
        <item x="7"/>
        <item m="1" x="104"/>
        <item x="59"/>
        <item x="0"/>
        <item m="1" x="117"/>
        <item m="1" x="129"/>
        <item x="5"/>
        <item x="17"/>
        <item x="23"/>
        <item x="27"/>
        <item x="28"/>
        <item x="29"/>
        <item x="30"/>
        <item x="35"/>
        <item x="36"/>
        <item x="38"/>
        <item x="41"/>
        <item x="48"/>
        <item m="1" x="111"/>
        <item m="1" x="113"/>
        <item x="81"/>
        <item x="82"/>
        <item x="83"/>
        <item x="84"/>
        <item m="1" x="128"/>
        <item x="87"/>
        <item x="88"/>
        <item x="89"/>
        <item x="90"/>
        <item m="1" x="115"/>
        <item m="1" x="116"/>
        <item x="93"/>
        <item m="1" x="121"/>
        <item x="94"/>
        <item x="2"/>
        <item x="4"/>
        <item x="6"/>
        <item x="26"/>
        <item x="34"/>
        <item x="57"/>
        <item x="85"/>
        <item x="86"/>
        <item x="3"/>
        <item x="21"/>
        <item m="1" x="108"/>
        <item x="52"/>
        <item x="54"/>
        <item x="67"/>
        <item x="91"/>
        <item x="92"/>
        <item x="95"/>
        <item x="96"/>
        <item x="97"/>
        <item x="98"/>
        <item x="15"/>
        <item x="18"/>
        <item x="68"/>
        <item x="78"/>
        <item x="99"/>
        <item x="100"/>
        <item x="101"/>
        <item x="102"/>
        <item x="10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1"/>
        <item x="0"/>
        <item h="1" x="2"/>
        <item h="1"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
  </rowFields>
  <rowItems count="44">
    <i>
      <x v="2"/>
    </i>
    <i>
      <x v="5"/>
    </i>
    <i>
      <x v="6"/>
    </i>
    <i>
      <x v="8"/>
    </i>
    <i>
      <x v="9"/>
    </i>
    <i>
      <x v="12"/>
    </i>
    <i>
      <x v="13"/>
    </i>
    <i>
      <x v="15"/>
    </i>
    <i>
      <x v="17"/>
    </i>
    <i>
      <x v="18"/>
    </i>
    <i>
      <x v="21"/>
    </i>
    <i>
      <x v="23"/>
    </i>
    <i>
      <x v="27"/>
    </i>
    <i>
      <x v="28"/>
    </i>
    <i>
      <x v="29"/>
    </i>
    <i>
      <x v="30"/>
    </i>
    <i>
      <x v="33"/>
    </i>
    <i>
      <x v="34"/>
    </i>
    <i>
      <x v="35"/>
    </i>
    <i>
      <x v="36"/>
    </i>
    <i>
      <x v="37"/>
    </i>
    <i>
      <x v="40"/>
    </i>
    <i>
      <x v="42"/>
    </i>
    <i>
      <x v="48"/>
    </i>
    <i>
      <x v="49"/>
    </i>
    <i>
      <x v="50"/>
    </i>
    <i>
      <x v="51"/>
    </i>
    <i>
      <x v="52"/>
    </i>
    <i>
      <x v="53"/>
    </i>
    <i>
      <x v="55"/>
    </i>
    <i>
      <x v="58"/>
    </i>
    <i>
      <x v="59"/>
    </i>
    <i>
      <x v="60"/>
    </i>
    <i>
      <x v="61"/>
    </i>
    <i>
      <x v="63"/>
    </i>
    <i>
      <x v="64"/>
    </i>
    <i>
      <x v="65"/>
    </i>
    <i>
      <x v="67"/>
    </i>
    <i>
      <x v="68"/>
    </i>
    <i>
      <x v="70"/>
    </i>
    <i>
      <x v="71"/>
    </i>
    <i>
      <x v="74"/>
    </i>
    <i>
      <x v="75"/>
    </i>
    <i t="grand">
      <x/>
    </i>
  </rowItems>
  <colFields count="1">
    <field x="-2"/>
  </colFields>
  <colItems count="5">
    <i>
      <x/>
    </i>
    <i i="1">
      <x v="1"/>
    </i>
    <i i="2">
      <x v="2"/>
    </i>
    <i i="3">
      <x v="3"/>
    </i>
    <i i="4">
      <x v="4"/>
    </i>
  </colItems>
  <dataFields count="5">
    <dataField name="Sum of CRP Term Benefit £m" fld="13" baseField="0" baseItem="0"/>
    <dataField name="Sum of Profit 2026 £m" fld="14" baseField="1" baseItem="14"/>
    <dataField name="Sum of Profit 2027 £m" fld="15" baseField="8" baseItem="44"/>
    <dataField name="Sum of Profit 2028 £m" fld="16" baseField="8" baseItem="44"/>
    <dataField name="Sum of Profit 2029 £m" fld="17" baseField="8" baseItem="44"/>
  </dataFields>
  <formats count="44">
    <format dxfId="3">
      <pivotArea outline="0" collapsedLevelsAreSubtotals="1" fieldPosition="0"/>
    </format>
    <format dxfId="4">
      <pivotArea field="1" type="button" dataOnly="0" labelOnly="1" outline="0" axis="axisRow" fieldPosition="0"/>
    </format>
    <format dxfId="5">
      <pivotArea field="6" type="button" dataOnly="0" labelOnly="1" outline="0"/>
    </format>
    <format dxfId="6">
      <pivotArea dataOnly="0" labelOnly="1" outline="0" fieldPosition="0">
        <references count="1">
          <reference field="4294967294" count="2">
            <x v="0"/>
            <x v="1"/>
          </reference>
        </references>
      </pivotArea>
    </format>
    <format dxfId="7">
      <pivotArea field="2" type="button" dataOnly="0" labelOnly="1" outline="0"/>
    </format>
    <format dxfId="8">
      <pivotArea field="1" type="button" dataOnly="0" labelOnly="1" outline="0" axis="axisRow" fieldPosition="0"/>
    </format>
    <format dxfId="9">
      <pivotArea field="6" type="button" dataOnly="0" labelOnly="1" outline="0"/>
    </format>
    <format dxfId="10">
      <pivotArea dataOnly="0" labelOnly="1" outline="0" fieldPosition="0">
        <references count="1">
          <reference field="4294967294" count="2">
            <x v="0"/>
            <x v="1"/>
          </reference>
        </references>
      </pivotArea>
    </format>
    <format dxfId="11">
      <pivotArea field="2" type="button" dataOnly="0" labelOnly="1" outline="0"/>
    </format>
    <format dxfId="12">
      <pivotArea field="1" type="button" dataOnly="0" labelOnly="1" outline="0" axis="axisRow" fieldPosition="0"/>
    </format>
    <format dxfId="13">
      <pivotArea field="6" type="button" dataOnly="0" labelOnly="1" outline="0"/>
    </format>
    <format dxfId="14">
      <pivotArea dataOnly="0" labelOnly="1" outline="0" fieldPosition="0">
        <references count="1">
          <reference field="4294967294" count="2">
            <x v="0"/>
            <x v="1"/>
          </reference>
        </references>
      </pivotArea>
    </format>
    <format dxfId="15">
      <pivotArea grandRow="1" outline="0" collapsedLevelsAreSubtotals="1" fieldPosition="0"/>
    </format>
    <format dxfId="16">
      <pivotArea dataOnly="0" labelOnly="1" grandRow="1" outline="0" fieldPosition="0"/>
    </format>
    <format dxfId="17">
      <pivotArea grandRow="1" outline="0" collapsedLevelsAreSubtotals="1" fieldPosition="0"/>
    </format>
    <format dxfId="18">
      <pivotArea dataOnly="0" labelOnly="1" grandRow="1" outline="0" fieldPosition="0"/>
    </format>
    <format dxfId="19">
      <pivotArea field="2" type="button" dataOnly="0" labelOnly="1" outline="0"/>
    </format>
    <format dxfId="20">
      <pivotArea field="8" type="button" dataOnly="0" labelOnly="1" outline="0"/>
    </format>
    <format dxfId="21">
      <pivotArea field="8" type="button" dataOnly="0" labelOnly="1" outline="0"/>
    </format>
    <format dxfId="22">
      <pivotArea field="8" type="button" dataOnly="0" labelOnly="1" outline="0"/>
    </format>
    <format dxfId="23">
      <pivotArea dataOnly="0" labelOnly="1" grandRow="1" outline="0" fieldPosition="0"/>
    </format>
    <format dxfId="24">
      <pivotArea grandRow="1" outline="0" collapsedLevelsAreSubtotals="1" fieldPosition="0"/>
    </format>
    <format dxfId="25">
      <pivotArea outline="0" collapsedLevelsAreSubtotals="1" fieldPosition="0"/>
    </format>
    <format dxfId="26">
      <pivotArea dataOnly="0" labelOnly="1" outline="0" fieldPosition="0">
        <references count="1">
          <reference field="4294967294" count="2">
            <x v="0"/>
            <x v="1"/>
          </reference>
        </references>
      </pivotArea>
    </format>
    <format dxfId="27">
      <pivotArea field="1" type="button" dataOnly="0" labelOnly="1" outline="0" axis="axisRow" fieldPosition="0"/>
    </format>
    <format dxfId="28">
      <pivotArea field="5" type="button" dataOnly="0" labelOnly="1" outline="0"/>
    </format>
    <format dxfId="29">
      <pivotArea field="6" type="button" dataOnly="0" labelOnly="1" outline="0"/>
    </format>
    <format dxfId="30">
      <pivotArea field="1" type="button" dataOnly="0" labelOnly="1" outline="0" axis="axisRow" fieldPosition="0"/>
    </format>
    <format dxfId="31">
      <pivotArea field="5" type="button" dataOnly="0" labelOnly="1" outline="0"/>
    </format>
    <format dxfId="32">
      <pivotArea field="6" type="button" dataOnly="0" labelOnly="1" outline="0"/>
    </format>
    <format dxfId="33">
      <pivotArea field="2" type="button" dataOnly="0" labelOnly="1" outline="0"/>
    </format>
    <format dxfId="34">
      <pivotArea field="8" type="button" dataOnly="0" labelOnly="1" outline="0"/>
    </format>
    <format dxfId="35">
      <pivotArea field="2" type="button" dataOnly="0" labelOnly="1" outline="0"/>
    </format>
    <format dxfId="36">
      <pivotArea field="8" type="button" dataOnly="0" labelOnly="1" outline="0"/>
    </format>
    <format dxfId="37">
      <pivotArea dataOnly="0" labelOnly="1" grandRow="1" outline="0" fieldPosition="0"/>
    </format>
    <format dxfId="38">
      <pivotArea field="2" type="button" dataOnly="0" labelOnly="1" outline="0"/>
    </format>
    <format dxfId="39">
      <pivotArea field="1" type="button" dataOnly="0" labelOnly="1" outline="0" axis="axisRow" fieldPosition="0"/>
    </format>
    <format dxfId="40">
      <pivotArea field="5" type="button" dataOnly="0" labelOnly="1" outline="0"/>
    </format>
    <format dxfId="41">
      <pivotArea field="6" type="button" dataOnly="0" labelOnly="1" outline="0"/>
    </format>
    <format dxfId="42">
      <pivotArea field="8" type="button" dataOnly="0" labelOnly="1" outline="0"/>
    </format>
    <format dxfId="43">
      <pivotArea dataOnly="0" labelOnly="1" outline="0" fieldPosition="0">
        <references count="1">
          <reference field="4294967294" count="2">
            <x v="0"/>
            <x v="1"/>
          </reference>
        </references>
      </pivotArea>
    </format>
    <format dxfId="44">
      <pivotArea field="0" type="button" dataOnly="0" labelOnly="1" outline="0"/>
    </format>
    <format dxfId="45">
      <pivotArea field="0" type="button" dataOnly="0" labelOnly="1" outline="0"/>
    </format>
    <format dxfId="46">
      <pivotArea dataOnly="0" labelOnly="1" outline="0" fieldPosition="0">
        <references count="1">
          <reference field="4294967294" count="3">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3DEFE3-0456-49A1-967A-EB0CE3E8972D}" sourceName="Region">
  <pivotTables>
    <pivotTable tabId="11" name="PivotTable1"/>
  </pivotTables>
  <data>
    <tabular pivotCacheId="346340388">
      <items count="6">
        <i x="0" s="1"/>
        <i x="1" s="1"/>
        <i x="3" s="1"/>
        <i x="4" s="1"/>
        <i x="2"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ine_Value_Stream" xr10:uid="{B2BBB1E1-433D-4ADD-82EB-891DD5E4408A}" sourceName="Engine Value Stream">
  <pivotTables>
    <pivotTable tabId="11" name="PivotTable1"/>
  </pivotTables>
  <data>
    <tabular pivotCacheId="346340388">
      <items count="13">
        <i x="9" s="1"/>
        <i x="8" s="1"/>
        <i x="0" s="1"/>
        <i x="3" s="1"/>
        <i x="6" s="1"/>
        <i x="7" s="1"/>
        <i x="1" s="1"/>
        <i x="4" s="1"/>
        <i x="2" s="1"/>
        <i x="5" s="1"/>
        <i x="11" s="1" nd="1"/>
        <i x="12" s="1" nd="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erous_Non_Onerous" xr10:uid="{353AC546-4184-48F8-9593-DBABA432AF03}" sourceName="Onerous/Non Onerous">
  <pivotTables>
    <pivotTable tabId="11" name="PivotTable1"/>
  </pivotTables>
  <data>
    <tabular pivotCacheId="34634038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Level_EVS" xr10:uid="{FF7680E5-8B62-40FF-9D9C-B82BCCD12976}" sourceName="Top Level EVS">
  <pivotTables>
    <pivotTable tabId="11" name="PivotTable1"/>
  </pivotTables>
  <data>
    <tabular pivotCacheId="346340388">
      <items count="6">
        <i x="0" s="1"/>
        <i x="2" s="1"/>
        <i x="1" s="1"/>
        <i x="3" s="1" nd="1"/>
        <i x="5" s="1" nd="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18B98448-5363-4E75-A8AC-17A9F5B4099F}" sourceName="Customer ">
  <pivotTables>
    <pivotTable tabId="11" name="PivotTable1"/>
  </pivotTables>
  <data>
    <tabular pivotCacheId="346340388">
      <items count="81">
        <i x="14" s="1"/>
        <i x="41" s="1"/>
        <i x="33" s="1"/>
        <i x="47" s="1"/>
        <i x="26" s="1"/>
        <i x="1" s="1"/>
        <i x="39" s="1"/>
        <i x="28" s="1"/>
        <i x="6" s="1"/>
        <i x="40" s="1"/>
        <i x="42" s="1"/>
        <i x="38" s="1"/>
        <i x="24" s="1"/>
        <i x="19" s="1"/>
        <i x="57" s="1"/>
        <i x="45" s="1"/>
        <i x="3" s="1"/>
        <i x="12" s="1"/>
        <i x="11" s="1"/>
        <i x="0" s="1"/>
        <i x="44" s="1"/>
        <i x="21" s="1"/>
        <i x="9" s="1"/>
        <i x="50" s="1"/>
        <i x="52" s="1"/>
        <i x="60" s="1"/>
        <i x="25" s="1"/>
        <i x="46" s="1"/>
        <i x="43" s="1"/>
        <i x="18" s="1"/>
        <i x="15" s="1"/>
        <i x="48" s="1"/>
        <i x="10" s="1"/>
        <i x="16" s="1"/>
        <i x="22" s="1"/>
        <i x="31" s="1"/>
        <i x="17" s="1"/>
        <i x="4" s="1"/>
        <i x="7" s="1"/>
        <i x="27" s="1"/>
        <i x="29" s="1"/>
        <i x="20" s="1"/>
        <i x="36" s="1"/>
        <i x="2" s="1"/>
        <i x="32" s="1"/>
        <i x="5" s="1"/>
        <i x="30" s="1"/>
        <i x="56" s="1"/>
        <i x="49" s="1"/>
        <i x="37" s="1" nd="1"/>
        <i x="74" s="1" nd="1"/>
        <i x="77" s="1" nd="1"/>
        <i x="35" s="1" nd="1"/>
        <i x="61" s="1" nd="1"/>
        <i x="67" s="1" nd="1"/>
        <i x="55" s="1" nd="1"/>
        <i x="63" s="1" nd="1"/>
        <i x="64" s="1" nd="1"/>
        <i x="76" s="1" nd="1"/>
        <i x="54" s="1" nd="1"/>
        <i x="23" s="1" nd="1"/>
        <i x="73" s="1" nd="1"/>
        <i x="80" s="1" nd="1"/>
        <i x="34" s="1" nd="1"/>
        <i x="65" s="1" nd="1"/>
        <i x="13" s="1" nd="1"/>
        <i x="78" s="1" nd="1"/>
        <i x="70" s="1" nd="1"/>
        <i x="79" s="1" nd="1"/>
        <i x="58" s="1" nd="1"/>
        <i x="71" s="1" nd="1"/>
        <i x="62" s="1" nd="1"/>
        <i x="75" s="1" nd="1"/>
        <i x="72" s="1" nd="1"/>
        <i x="51" s="1" nd="1"/>
        <i x="66" s="1" nd="1"/>
        <i x="53" s="1" nd="1"/>
        <i x="69" s="1" nd="1"/>
        <i x="59" s="1" nd="1"/>
        <i x="8" s="1" nd="1"/>
        <i x="68"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ructure_Type" xr10:uid="{4EBF72F7-9B61-4464-9840-E97B1770FBFC}" sourceName="Restructure Type">
  <pivotTables>
    <pivotTable tabId="11" name="PivotTable1"/>
  </pivotTables>
  <data>
    <tabular pivotCacheId="346340388">
      <items count="4">
        <i x="0" s="1"/>
        <i x="1"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cted_year_of_signature" xr10:uid="{06623F92-C316-437B-86A8-8780D378FFB2}" sourceName="Expected year of signature">
  <pivotTables>
    <pivotTable tabId="11" name="PivotTable1"/>
  </pivotTables>
  <data>
    <tabular pivotCacheId="346340388">
      <items count="4">
        <i x="1" s="1"/>
        <i x="0" s="1"/>
        <i x="2"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90AF807-8120-4833-9907-83D24AEE1ECE}" sourceName="Region">
  <pivotTables>
    <pivotTable tabId="13" name="PivotTable1"/>
  </pivotTables>
  <data>
    <tabular pivotCacheId="346340388">
      <items count="6">
        <i x="0" s="1"/>
        <i x="1" s="1"/>
        <i x="3" s="1"/>
        <i x="4" s="1"/>
        <i x="2" s="1"/>
        <i x="5"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ine_Value_Stream1" xr10:uid="{2EE79A05-5498-41AA-93EF-27183BE3CD0D}" sourceName="Engine Value Stream">
  <pivotTables>
    <pivotTable tabId="13" name="PivotTable1"/>
  </pivotTables>
  <data>
    <tabular pivotCacheId="346340388">
      <items count="13">
        <i x="9" s="1"/>
        <i x="8" s="1"/>
        <i x="0" s="1"/>
        <i x="3" s="1"/>
        <i x="6" s="1"/>
        <i x="7" s="1"/>
        <i x="1" s="1"/>
        <i x="4" s="1"/>
        <i x="2" s="1"/>
        <i x="5" s="1"/>
        <i x="11" s="1" nd="1"/>
        <i x="12" s="1" nd="1"/>
        <i x="10"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erous_Non_Onerous1" xr10:uid="{A45045E0-DDBC-485B-871C-E7B1B0962928}" sourceName="Onerous/Non Onerous">
  <pivotTables>
    <pivotTable tabId="13" name="PivotTable1"/>
  </pivotTables>
  <data>
    <tabular pivotCacheId="346340388">
      <items count="3">
        <i x="0" s="1"/>
        <i x="1" s="1"/>
        <i x="2"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Level_EVS1" xr10:uid="{FB55B0F1-0B0F-429F-ABA5-05A3468A3E39}" sourceName="Top Level EVS">
  <pivotTables>
    <pivotTable tabId="13" name="PivotTable1"/>
  </pivotTables>
  <data>
    <tabular pivotCacheId="346340388">
      <items count="6">
        <i x="0" s="1"/>
        <i x="2" s="1"/>
        <i x="1" s="1"/>
        <i x="3" s="1" nd="1"/>
        <i x="5" s="1" nd="1"/>
        <i x="4"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ructure_Type1" xr10:uid="{01867EBE-111A-44E6-9AD2-F8A16FB1F327}" sourceName="Restructure Type">
  <pivotTables>
    <pivotTable tabId="13" name="PivotTable1"/>
  </pivotTables>
  <data>
    <tabular pivotCacheId="346340388">
      <items count="4">
        <i x="0" s="1"/>
        <i x="1" s="1"/>
        <i x="2" s="1"/>
        <i x="3"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cted_year_of_signature1" xr10:uid="{D2D92567-46BC-41CF-A123-C66D0D0E0B0B}" sourceName="Expected year of signature">
  <pivotTables>
    <pivotTable tabId="13" name="PivotTable1"/>
  </pivotTables>
  <data>
    <tabular pivotCacheId="346340388">
      <items count="4">
        <i x="1" s="1"/>
        <i x="0" s="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38C4559-2AE1-4EA4-933F-8B6F6CB7E4B5}" cache="Slicer_Region" caption="Region" rowHeight="241300"/>
  <slicer name="Engine Value Stream" xr10:uid="{C34A2FF9-3D65-4CAE-824A-00282FB85D02}" cache="Slicer_Engine_Value_Stream" caption="Engine Value Stream" startItem="7" rowHeight="241300"/>
  <slicer name="Onerous/Non Onerous" xr10:uid="{5819A334-93E3-42E5-8470-91F46FFF77E7}" cache="Slicer_Onerous_Non_Onerous" caption="Onerous/Non Onerous" rowHeight="241300"/>
  <slicer name="Top Level EVS" xr10:uid="{E9BA8327-28F8-4201-A536-0A3D81912D5D}" cache="Slicer_Top_Level_EVS" caption="Top Level EVS" rowHeight="241300"/>
  <slicer name="Customer " xr10:uid="{1623BC28-CD4B-4457-A174-A86C24FFC64D}" cache="Slicer_Customer" caption="Customer " rowHeight="241300"/>
  <slicer name="Restructure Type" xr10:uid="{605261EC-AF96-4014-BDB6-13E6F70266F3}" cache="Slicer_Restructure_Type" caption="Restructure Type" rowHeight="241300"/>
  <slicer name="Expected year of signature" xr10:uid="{67290918-9FCB-42D0-A05C-A751D5C17E4A}" cache="Slicer_Expected_year_of_signature" caption="Expected year of signatur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F485B0C-9EB3-4186-8658-5F9BD0CABD81}" cache="Slicer_Region1" caption="Region" rowHeight="241300"/>
  <slicer name="Engine Value Stream 1" xr10:uid="{B429C468-CF99-448C-8FBB-A727A59E95FF}" cache="Slicer_Engine_Value_Stream1" caption="Engine Value Stream" startItem="7" rowHeight="241300"/>
  <slicer name="Onerous/Non Onerous 1" xr10:uid="{73684FC2-5C3D-423D-BA11-CBA34CABC004}" cache="Slicer_Onerous_Non_Onerous1" caption="Onerous/Non Onerous" rowHeight="241300"/>
  <slicer name="Top Level EVS 1" xr10:uid="{7283DD78-D672-43F9-9D23-089343726E97}" cache="Slicer_Top_Level_EVS1" caption="Top Level EVS" rowHeight="241300"/>
  <slicer name="Restructure Type 1" xr10:uid="{13E99F04-5112-40B8-BADB-5A00259DDBEE}" cache="Slicer_Restructure_Type1" caption="Restructure Type" rowHeight="241300"/>
  <slicer name="Expected year of signature 1" xr10:uid="{4B6C08A4-785C-4EE9-BD0A-A32F8B02CA82}" cache="Slicer_Expected_year_of_signature1" caption="Expected year of signatur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8" dT="2026-03-04T02:54:24.74" personId="{9EEE8DD6-B09D-44A0-A2D8-52E8980866FE}" id="{3928F214-0E46-4BEF-A64C-E997E7FF6714}">
    <text xml:space="preserve">Possible that this could be stop-start therefore IYM contribution may not apply. </text>
  </threadedComment>
  <threadedComment ref="L9" dT="2026-03-03T11:37:37.19" personId="{30B5D05C-9BCE-4381-B451-35D44C5739E2}" id="{0182C47B-8DA6-4811-920F-C76696C33387}">
    <text>Not required. Already contracted.</text>
  </threadedComment>
  <threadedComment ref="Q11" dT="2026-03-04T00:16:48.71" personId="{2D0E042C-2622-4689-81CE-FCE7E61B1474}" id="{0D0D11B0-E02A-4CB8-B545-860CFC3DC8B9}">
    <text>File received by Ryan Marshall 3rd March. £10m at risk in 2026 driven by timing of contract signature and ability to prospectively take profit in future shop visits vs expected end of 2025</text>
  </threadedComment>
  <threadedComment ref="P13" dT="2026-03-02T10:19:10.63" personId="{30B5D05C-9BCE-4381-B451-35D44C5739E2}" id="{7E477737-1CBA-4F29-8B93-3741C8546EB9}">
    <text>ROM benefit - to be validated by Service Business</text>
  </threadedComment>
  <threadedComment ref="Q14" dT="2026-02-18T16:37:27.65" personId="{218709F9-F745-4D76-B042-F7C0BD29AF53}" id="{3AEF3CFF-5E16-4121-ADAF-FD8B0117CB55}">
    <text>Contract will be Stop/Started. Profit in year TBC.</text>
  </threadedComment>
  <threadedComment ref="Q16" dT="2026-02-18T17:11:28.01" personId="{218709F9-F745-4D76-B042-F7C0BD29AF53}" id="{5B7F8B53-18CE-42F3-926A-E93324BC986B}">
    <text>Stop/Start. VS to confirm</text>
  </threadedComment>
  <threadedComment ref="P17" dT="2026-01-30T14:59:03.75" personId="{218709F9-F745-4D76-B042-F7C0BD29AF53}" id="{AA05DC41-4521-4C9D-975F-9DF69AFC85C4}">
    <text>September IC</text>
  </threadedComment>
  <threadedComment ref="Q17" dT="2026-01-30T14:59:16.47" personId="{218709F9-F745-4D76-B042-F7C0BD29AF53}" id="{EF32EF9F-21D5-4CD1-90FD-810014718601}">
    <text>Onerous release - as per 2026 Budget</text>
  </threadedComment>
  <threadedComment ref="Q17" dT="2026-02-18T16:43:26.70" personId="{218709F9-F745-4D76-B042-F7C0BD29AF53}" id="{036F3047-3C5A-476B-B7DB-6D1906293060}" parentId="{EF32EF9F-21D5-4CD1-90FD-810014718601}">
    <text>Onerous provision at YE 25 was £59m</text>
  </threadedComment>
  <threadedComment ref="Q17" dT="2026-03-26T09:37:48.09" personId="{218709F9-F745-4D76-B042-F7C0BD29AF53}" id="{66AEED8F-81CB-4B2E-8012-3ED6A5672237}" parentId="{EF32EF9F-21D5-4CD1-90FD-810014718601}">
    <text>Onerous provision at AP2 2026 was £57m</text>
  </threadedComment>
  <threadedComment ref="R17" dT="2026-02-18T16:37:27.65" personId="{218709F9-F745-4D76-B042-F7C0BD29AF53}" id="{3B1AB80D-BC7D-4A1D-B162-BD80BAA9F656}">
    <text>Contract will be Stop/Started. Profit in year TBC.</text>
  </threadedComment>
  <threadedComment ref="P21" dT="2026-03-02T10:20:07.95" personId="{30B5D05C-9BCE-4381-B451-35D44C5739E2}" id="{F8CE8B06-CFD5-4A3D-A136-187B938B5BB0}">
    <text xml:space="preserve">ROM benefit - to be validated by Service Business </text>
  </threadedComment>
  <threadedComment ref="P24" dT="2026-02-18T16:41:57.13" personId="{218709F9-F745-4D76-B042-F7C0BD29AF53}" id="{753BDD9B-F5B4-4808-ABE0-54B626D7257D}">
    <text>TBC by Value Stream at W1 2026</text>
  </threadedComment>
  <threadedComment ref="P26" dT="2025-06-05T08:40:42.83" personId="{218709F9-F745-4D76-B042-F7C0BD29AF53}" id="{9502F691-9099-4969-9C9C-CF09E3E83DDA}">
    <text xml:space="preserve">$15 x 5000 EFHs x 15 yrs x 18 a/c x 2 engines = $40m / 1.4 long term FX = £29m of incremental revenue.
Reduce Revenue by 20% for RRSPs = £(6)m
Costs will be slightly higher, so assumed 1/3 ~£(9)m incremental cost, so net £14m term improvement
</text>
  </threadedComment>
  <threadedComment ref="P29" dT="2025-07-31T09:57:52.55" personId="{218709F9-F745-4D76-B042-F7C0BD29AF53}" id="{9326BA05-7467-48B6-9F5A-470A121EB68D}">
    <text>Placeholder as a must do strategically. Nothing yet evalauted</text>
  </threadedComment>
  <threadedComment ref="P30" dT="2025-07-18T15:00:02.10" personId="{218709F9-F745-4D76-B042-F7C0BD29AF53}" id="{777CC61E-197A-46C4-A187-7FBB8C12D9EA}">
    <text>$12.9m saving on NDSES through early SPE sale</text>
  </threadedComment>
  <threadedComment ref="P30" dT="2025-07-25T09:27:17.74" personId="{218709F9-F745-4D76-B042-F7C0BD29AF53}" id="{3073043F-2BF0-4B14-92E8-847B841420D1}" parentId="{777CC61E-197A-46C4-A187-7FBB8C12D9EA}">
    <text>New a/c will also be added in at the same time for the new deal (value TBC) but likely to cause a stop/start</text>
  </threadedComment>
  <threadedComment ref="Q30" dT="2026-02-18T17:09:42.76" personId="{218709F9-F745-4D76-B042-F7C0BD29AF53}" id="{BD6BD47A-5724-4C54-8058-CA21234D4FA5}">
    <text>Contract will be Stop/Started. VS to confirm.</text>
  </threadedComment>
  <threadedComment ref="P31" dT="2025-06-05T08:45:59.04" personId="{218709F9-F745-4D76-B042-F7C0BD29AF53}" id="{F5C4DF8B-FFAD-49B5-BA2F-3AE637F64E3F}">
    <text>Incremental SPE NDSES saving = £6m term benefit</text>
  </threadedComment>
  <threadedComment ref="Q31" dT="2026-02-18T17:09:42.76" personId="{218709F9-F745-4D76-B042-F7C0BD29AF53}" id="{9297F5F5-F340-4A38-9B40-2B986B437837}">
    <text>Contract will be Stop/Started. VS to confirm.</text>
  </threadedComment>
  <threadedComment ref="P32" dT="2026-03-02T12:14:14.14" personId="{30B5D05C-9BCE-4381-B451-35D44C5739E2}" id="{A4A5F6A9-69E5-4477-8517-4F7382929D96}">
    <text>CRP only impact</text>
  </threadedComment>
  <threadedComment ref="Q32" dT="2026-03-02T12:14:07.29" personId="{30B5D05C-9BCE-4381-B451-35D44C5739E2}" id="{03F0A485-2AE9-4C5E-A385-DAE063E1BA22}">
    <text>Profit by year includes CRP, T&amp;M and OE impacts</text>
  </threadedComment>
  <threadedComment ref="P40" dT="2026-03-02T11:38:02.81" personId="{30B5D05C-9BCE-4381-B451-35D44C5739E2}" id="{141ED26A-485A-44B3-9CD7-A56529D28DD7}">
    <text>ROM benefit - not validated</text>
  </threadedComment>
  <threadedComment ref="P43" dT="2025-06-03T12:32:56.37" personId="{218709F9-F745-4D76-B042-F7C0BD29AF53}" id="{3D30A95F-E1EC-4EF3-BDAE-B5388DA92B53}">
    <text xml:space="preserve">As per L3 approval:
£m
NDSES cost saving	10.0
Incremental SVs                    (5.0)
EoCL @ 50% life                    (3.0)
CRP improvement                 2.0
</text>
  </threadedComment>
  <threadedComment ref="P43" dT="2025-07-18T14:13:00.35" personId="{218709F9-F745-4D76-B042-F7C0BD29AF53}" id="{280B71D4-6948-42A7-8C63-6AF8CA6C32EA}" parentId="{3D30A95F-E1EC-4EF3-BDAE-B5388DA92B53}">
    <text>Plus sale of a used asset at 70% discount generating £3.4m profit</text>
  </threadedComment>
  <threadedComment ref="Q43" dT="2025-07-18T14:17:15.29" personId="{218709F9-F745-4D76-B042-F7C0BD29AF53}" id="{8F4004F4-C146-46C1-9DE0-9C22C8EE267E}">
    <text>Onerous so improvement in year</text>
  </threadedComment>
  <threadedComment ref="P44" dT="2025-07-18T14:17:40.30" personId="{218709F9-F745-4D76-B042-F7C0BD29AF53}" id="{57FFBAB1-BCEE-4805-AD24-AA238BE2C74E}">
    <text>Per L1</text>
  </threadedComment>
  <threadedComment ref="Q52" dT="2026-02-18T17:09:42.76" personId="{218709F9-F745-4D76-B042-F7C0BD29AF53}" id="{10C5739A-C80A-4501-ADA2-26860236DD3B}">
    <text>Contract will be Stop/Started. VS to confirm.</text>
  </threadedComment>
  <threadedComment ref="Q53" dT="2026-02-18T17:09:42.76" personId="{218709F9-F745-4D76-B042-F7C0BD29AF53}" id="{73F9F8A7-E0AE-4CA9-B88D-A8B6B1B7EE67}">
    <text>Contract will be Stop/Started. VS to confirm.</text>
  </threadedComment>
  <threadedComment ref="Q54" dT="2026-02-18T17:09:42.76" personId="{218709F9-F745-4D76-B042-F7C0BD29AF53}" id="{2F579B9F-A4AA-4744-B28A-F337006963B8}">
    <text>Contract will be Stop/Started. VS to confirm.</text>
  </threadedComment>
  <threadedComment ref="Q56" dT="2026-02-18T17:09:42.76" personId="{218709F9-F745-4D76-B042-F7C0BD29AF53}" id="{2AA38B28-2F78-4643-9122-1844113E5534}">
    <text>Contract will be Stop/Started. VS to confirm.</text>
  </threadedComment>
  <threadedComment ref="Q57" dT="2026-02-18T17:09:42.76" personId="{218709F9-F745-4D76-B042-F7C0BD29AF53}" id="{F2DE2870-D8F5-4457-9B3B-F6E52371F9E6}">
    <text>Contract will be Stop/Started. VS to confirm.</text>
  </threadedComment>
  <threadedComment ref="P59" dT="2026-03-03T11:54:33.61" personId="{2D0E042C-2622-4689-81CE-FCE7E61B1474}" id="{1B4DEF73-BA57-4775-BB1C-1EDDB1C835E8}">
    <text>Initial input to be &gt; £10m and trigger need for a pack</text>
  </threadedComment>
  <threadedComment ref="R61" dT="2026-03-02T05:58:53.87" personId="{6C53D347-041B-42DA-A623-C9D980E63A51}" id="{1B4D5966-1985-402F-8A12-0DC3F777BF16}">
    <text>in 5YP is 34m GBP. 30m is a conservative forecast.</text>
  </threadedComment>
  <threadedComment ref="Q63" dT="2026-03-03T12:23:20.02" personId="{2D0E042C-2622-4689-81CE-FCE7E61B1474}" id="{8432B38A-0056-4F99-BAE6-0ADE763883BA}">
    <text>Cited in the Approval pack linked to extension</text>
  </threadedComment>
  <threadedComment ref="Q63" dT="2026-03-16T09:54:37.13" personId="{2D0E042C-2622-4689-81CE-FCE7E61B1474}" id="{BB63E464-C492-4F46-B553-F27E8086C002}" parentId="{8432B38A-0056-4F99-BAE6-0ADE763883BA}">
    <text>Feb 2026 - This has been revisited and conclusion was that the judgement applied at Level 2 generating £11m is no longer applicable because previously expected to be retrospective due to primarily being a min term extension. However, there are additional elements to the contract amendment which causes this to be a stop start (escalation, NDSES remedy etc)</text>
  </threadedComment>
  <threadedComment ref="Q63" dT="2026-03-16T09:55:17.88" personId="{2D0E042C-2622-4689-81CE-FCE7E61B1474}" id="{DCE54E72-9248-433D-9392-E4938252ED9C}" parentId="{8432B38A-0056-4F99-BAE6-0ADE763883BA}">
    <text>Sam Saxton will be reviewing this calculation and we agreed 2m as an initial placeholder</text>
  </threadedComment>
  <threadedComment ref="Q63" dT="2026-03-16T16:57:50.96" personId="{2D0E042C-2622-4689-81CE-FCE7E61B1474}" id="{C92A498C-49F0-4DE0-823A-13FDCA58AB66}" parentId="{8432B38A-0056-4F99-BAE6-0ADE763883BA}">
    <text> 16th March - Sam Saxton checked the stop/start impact and the in-year core profit benefit is coming through at £8.5m for LionAir </text>
  </threadedComment>
  <threadedComment ref="P67" dT="2026-03-16T11:31:19.64" personId="{3C09C00B-05B8-481A-8E64-05408D65637F}" id="{3F8126C1-1C74-4E0E-B09C-1E11A0563E91}">
    <text>Expected onerous release (Tim F)</text>
  </threadedComment>
  <threadedComment ref="P67" dT="2026-04-14T13:13:07.14" personId="{3C09C00B-05B8-481A-8E64-05408D65637F}" id="{D3D08E27-B565-4E1F-8CA7-7084D62AB894}" parentId="{3F8126C1-1C74-4E0E-B09C-1E11A0563E91}">
    <text>Upgraded expected onerous release from Andy D to £50m</text>
  </threadedComment>
  <threadedComment ref="P73" dT="2026-03-02T05:56:21.37" personId="{6C53D347-041B-42DA-A623-C9D980E63A51}" id="{AF2ADF31-E96E-4C61-8AB7-B9C2BF1A2831}">
    <text>$16.5m+$12.7m CRP improvement</text>
  </threadedComment>
  <threadedComment ref="Q73" dT="2026-03-02T05:56:57.57" personId="{6C53D347-041B-42DA-A623-C9D980E63A51}" id="{F3FA4120-EA9A-4EE0-89C8-AA58E0AAF588}">
    <text>CRP improvement only. Didn't count OE profit</text>
  </threadedComment>
  <threadedComment ref="Q87" dT="2026-02-18T17:14:23.77" personId="{218709F9-F745-4D76-B042-F7C0BD29AF53}" id="{68DA8A47-4F9B-45B5-BB2D-5723C360F608}">
    <text>C%C needs calculating</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file:///C:\Users\u612844\Documents\Commercial%20Optimisation%20Governance%20-%20Guidance%20v4.docx" TargetMode="External"/><Relationship Id="rId1" Type="http://schemas.openxmlformats.org/officeDocument/2006/relationships/hyperlink" Target="Project%20Packs/Commercial%20Optimisation%20-%20Working%20Documents.pptx" TargetMode="External"/><Relationship Id="rId4"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2.bin"/><Relationship Id="rId1" Type="http://schemas.openxmlformats.org/officeDocument/2006/relationships/printerSettings" Target="../printerSettings/printerSettings2.bin"/><Relationship Id="rId6" Type="http://schemas.microsoft.com/office/2019/04/relationships/namedSheetView" Target="../namedSheetViews/namedSheetView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printerSettings" Target="../printerSettings/printerSettings4.bin"/><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6F776-2855-4178-8FD6-3C026EC8A495}">
  <sheetPr codeName="Sheet1">
    <tabColor rgb="FF00B0F0"/>
  </sheetPr>
  <dimension ref="B2:W52"/>
  <sheetViews>
    <sheetView showGridLines="0" zoomScale="70" zoomScaleNormal="70" workbookViewId="0">
      <selection activeCell="P50" sqref="P50"/>
    </sheetView>
  </sheetViews>
  <sheetFormatPr defaultColWidth="8.7109375" defaultRowHeight="13.9"/>
  <cols>
    <col min="1" max="1" width="20.28515625" style="4" customWidth="1"/>
    <col min="2" max="2" width="1.5703125" style="4" customWidth="1"/>
    <col min="3" max="3" width="17.5703125" style="5" customWidth="1"/>
    <col min="4" max="4" width="17.5703125" style="4" customWidth="1"/>
    <col min="5" max="5" width="19.42578125" style="5" bestFit="1" customWidth="1"/>
    <col min="6" max="7" width="17.5703125" style="4" customWidth="1"/>
    <col min="8" max="8" width="17.5703125" style="4" bestFit="1" customWidth="1"/>
    <col min="9" max="10" width="17.5703125" style="4" customWidth="1"/>
    <col min="11" max="11" width="18" style="4" bestFit="1" customWidth="1"/>
    <col min="12" max="12" width="18.28515625" style="4" bestFit="1" customWidth="1"/>
    <col min="13" max="13" width="29.42578125" style="4" customWidth="1"/>
    <col min="14" max="14" width="17.5703125" style="4" customWidth="1"/>
    <col min="15" max="15" width="30.42578125" style="4" bestFit="1" customWidth="1"/>
    <col min="16" max="16" width="16.7109375" style="4" bestFit="1" customWidth="1"/>
    <col min="17" max="17" width="22.42578125" style="4" bestFit="1" customWidth="1"/>
    <col min="18" max="18" width="19.5703125" style="4" customWidth="1"/>
    <col min="19" max="19" width="16.42578125" style="4" customWidth="1"/>
    <col min="20" max="20" width="27" style="4" bestFit="1" customWidth="1"/>
    <col min="21" max="21" width="1.5703125" style="4" customWidth="1"/>
    <col min="22" max="22" width="8.7109375" style="4"/>
    <col min="23" max="23" width="1.5703125" style="4" customWidth="1"/>
    <col min="24" max="16384" width="8.7109375" style="4"/>
  </cols>
  <sheetData>
    <row r="2" spans="2:23">
      <c r="B2" s="6"/>
      <c r="C2" s="7"/>
      <c r="D2" s="6"/>
      <c r="E2" s="7"/>
      <c r="F2" s="6"/>
      <c r="G2" s="6"/>
      <c r="H2" s="6"/>
      <c r="I2" s="6"/>
      <c r="J2" s="6"/>
      <c r="K2" s="6"/>
      <c r="L2" s="6"/>
      <c r="M2" s="6"/>
      <c r="N2" s="6"/>
      <c r="O2" s="6"/>
      <c r="P2" s="6"/>
      <c r="Q2" s="6"/>
      <c r="R2" s="6"/>
      <c r="S2" s="6"/>
      <c r="T2" s="6"/>
      <c r="U2" s="6"/>
      <c r="V2" s="6"/>
      <c r="W2" s="6"/>
    </row>
    <row r="3" spans="2:23" ht="14.65" customHeight="1">
      <c r="B3" s="6"/>
      <c r="C3" s="190" t="s">
        <v>0</v>
      </c>
      <c r="D3" s="190"/>
      <c r="E3" s="190"/>
      <c r="F3" s="190"/>
      <c r="G3" s="190"/>
      <c r="H3" s="190"/>
      <c r="I3" s="190"/>
      <c r="J3" s="190"/>
      <c r="K3" s="190"/>
      <c r="L3" s="190"/>
      <c r="M3" s="190"/>
      <c r="N3" s="190"/>
      <c r="O3" s="190"/>
      <c r="P3" s="190"/>
      <c r="Q3" s="190"/>
      <c r="R3" s="190"/>
      <c r="S3" s="190"/>
      <c r="T3" s="190"/>
      <c r="U3" s="190"/>
      <c r="V3" s="190"/>
      <c r="W3" s="6"/>
    </row>
    <row r="4" spans="2:23" ht="14.65" customHeight="1">
      <c r="B4" s="6"/>
      <c r="C4" s="190"/>
      <c r="D4" s="190"/>
      <c r="E4" s="190"/>
      <c r="F4" s="190"/>
      <c r="G4" s="190"/>
      <c r="H4" s="190"/>
      <c r="I4" s="190"/>
      <c r="J4" s="190"/>
      <c r="K4" s="190"/>
      <c r="L4" s="190"/>
      <c r="M4" s="190"/>
      <c r="N4" s="190"/>
      <c r="O4" s="190"/>
      <c r="P4" s="190"/>
      <c r="Q4" s="190"/>
      <c r="R4" s="190"/>
      <c r="S4" s="190"/>
      <c r="T4" s="190"/>
      <c r="U4" s="190"/>
      <c r="V4" s="190"/>
      <c r="W4" s="6"/>
    </row>
    <row r="5" spans="2:23" ht="13.15" customHeight="1">
      <c r="B5" s="6"/>
      <c r="C5" s="190"/>
      <c r="D5" s="190"/>
      <c r="E5" s="190"/>
      <c r="F5" s="190"/>
      <c r="G5" s="190"/>
      <c r="H5" s="190"/>
      <c r="I5" s="190"/>
      <c r="J5" s="190"/>
      <c r="K5" s="190"/>
      <c r="L5" s="190"/>
      <c r="M5" s="190"/>
      <c r="N5" s="190"/>
      <c r="O5" s="190"/>
      <c r="P5" s="190"/>
      <c r="Q5" s="190"/>
      <c r="R5" s="190"/>
      <c r="S5" s="190"/>
      <c r="T5" s="190"/>
      <c r="U5" s="190"/>
      <c r="V5" s="190"/>
      <c r="W5" s="6"/>
    </row>
    <row r="6" spans="2:23" ht="13.5" customHeight="1">
      <c r="B6" s="6"/>
      <c r="C6" s="190"/>
      <c r="D6" s="190"/>
      <c r="E6" s="190"/>
      <c r="F6" s="190"/>
      <c r="G6" s="190"/>
      <c r="H6" s="190"/>
      <c r="I6" s="190"/>
      <c r="J6" s="190"/>
      <c r="K6" s="190"/>
      <c r="L6" s="190"/>
      <c r="M6" s="190"/>
      <c r="N6" s="190"/>
      <c r="O6" s="190"/>
      <c r="P6" s="190"/>
      <c r="Q6" s="190"/>
      <c r="R6" s="190"/>
      <c r="S6" s="190"/>
      <c r="T6" s="190"/>
      <c r="U6" s="190"/>
      <c r="V6" s="190"/>
      <c r="W6" s="6"/>
    </row>
    <row r="7" spans="2:23" ht="13.5" customHeight="1">
      <c r="B7" s="6"/>
      <c r="C7" s="8"/>
      <c r="D7" s="8"/>
      <c r="E7" s="8"/>
      <c r="F7" s="9"/>
      <c r="G7" s="8"/>
      <c r="H7" s="8"/>
      <c r="I7" s="8"/>
      <c r="J7" s="8"/>
      <c r="K7" s="8"/>
      <c r="L7" s="8"/>
      <c r="M7" s="8"/>
      <c r="N7" s="8"/>
      <c r="O7" s="8"/>
      <c r="P7" s="8"/>
      <c r="Q7" s="8"/>
      <c r="R7" s="8"/>
      <c r="S7" s="8"/>
      <c r="T7" s="8"/>
      <c r="U7" s="6"/>
      <c r="V7" s="6"/>
      <c r="W7" s="6"/>
    </row>
    <row r="8" spans="2:23" ht="13.5" customHeight="1">
      <c r="B8" s="6"/>
      <c r="C8" s="8"/>
      <c r="D8" s="8"/>
      <c r="E8" s="8"/>
      <c r="F8" s="9"/>
      <c r="G8" s="8"/>
      <c r="H8" s="8"/>
      <c r="I8" s="8"/>
      <c r="J8" s="8"/>
      <c r="K8" s="8"/>
      <c r="L8" s="8"/>
      <c r="M8" s="8"/>
      <c r="N8" s="8"/>
      <c r="O8" s="8"/>
      <c r="P8" s="8"/>
      <c r="Q8" s="8"/>
      <c r="R8" s="8"/>
      <c r="S8" s="8"/>
      <c r="T8" s="8"/>
      <c r="U8" s="6"/>
      <c r="V8" s="6"/>
      <c r="W8" s="6"/>
    </row>
    <row r="9" spans="2:23" ht="13.5" customHeight="1">
      <c r="B9" s="6"/>
      <c r="C9" s="8"/>
      <c r="D9" s="8"/>
      <c r="E9" s="8"/>
      <c r="F9" s="9"/>
      <c r="G9" s="8"/>
      <c r="H9" s="8"/>
      <c r="I9" s="8"/>
      <c r="J9" s="8"/>
      <c r="K9" s="8"/>
      <c r="L9" s="8"/>
      <c r="M9" s="8"/>
      <c r="N9" s="8"/>
      <c r="O9" s="8"/>
      <c r="P9" s="8"/>
      <c r="Q9" s="8"/>
      <c r="R9" s="8"/>
      <c r="S9" s="8"/>
      <c r="T9" s="8"/>
      <c r="U9" s="6"/>
      <c r="V9" s="6"/>
      <c r="W9" s="6"/>
    </row>
    <row r="10" spans="2:23" ht="13.5" customHeight="1">
      <c r="B10" s="6"/>
      <c r="C10" s="8"/>
      <c r="D10" s="188" t="s">
        <v>1</v>
      </c>
      <c r="E10" s="188"/>
      <c r="F10" s="188"/>
      <c r="G10" s="8"/>
      <c r="H10" s="191" t="s">
        <v>2</v>
      </c>
      <c r="I10" s="192"/>
      <c r="J10" s="192"/>
      <c r="K10" s="192"/>
      <c r="L10" s="192"/>
      <c r="M10" s="192"/>
      <c r="N10" s="191" t="s">
        <v>3</v>
      </c>
      <c r="O10" s="192"/>
      <c r="P10" s="192"/>
      <c r="Q10" s="192"/>
      <c r="R10" s="192"/>
      <c r="S10" s="204"/>
      <c r="T10" s="8"/>
      <c r="U10" s="6"/>
      <c r="V10" s="6"/>
      <c r="W10" s="6"/>
    </row>
    <row r="11" spans="2:23" ht="24" customHeight="1">
      <c r="B11" s="6"/>
      <c r="C11" s="8"/>
      <c r="D11" s="188"/>
      <c r="E11" s="188"/>
      <c r="F11" s="188"/>
      <c r="G11" s="8"/>
      <c r="H11" s="193"/>
      <c r="I11" s="194"/>
      <c r="J11" s="194"/>
      <c r="K11" s="194"/>
      <c r="L11" s="194"/>
      <c r="M11" s="194"/>
      <c r="N11" s="193"/>
      <c r="O11" s="194"/>
      <c r="P11" s="194"/>
      <c r="Q11" s="194"/>
      <c r="R11" s="194"/>
      <c r="S11" s="205"/>
      <c r="T11" s="8"/>
      <c r="U11" s="6"/>
      <c r="V11" s="6"/>
      <c r="W11" s="6"/>
    </row>
    <row r="12" spans="2:23" ht="13.5" customHeight="1">
      <c r="B12" s="6"/>
      <c r="C12" s="8"/>
      <c r="D12" s="188"/>
      <c r="E12" s="188"/>
      <c r="F12" s="188"/>
      <c r="G12" s="8"/>
      <c r="H12" s="193"/>
      <c r="I12" s="194"/>
      <c r="J12" s="194"/>
      <c r="K12" s="194"/>
      <c r="L12" s="194"/>
      <c r="M12" s="194"/>
      <c r="N12" s="193"/>
      <c r="O12" s="194"/>
      <c r="P12" s="194"/>
      <c r="Q12" s="194"/>
      <c r="R12" s="194"/>
      <c r="S12" s="205"/>
      <c r="T12" s="8"/>
      <c r="U12" s="6"/>
      <c r="V12" s="6"/>
      <c r="W12" s="6"/>
    </row>
    <row r="13" spans="2:23" ht="13.5" customHeight="1">
      <c r="B13" s="6"/>
      <c r="C13" s="8"/>
      <c r="D13" s="188"/>
      <c r="E13" s="188"/>
      <c r="F13" s="188"/>
      <c r="G13" s="8"/>
      <c r="H13" s="195" t="s">
        <v>4</v>
      </c>
      <c r="I13" s="196"/>
      <c r="J13" s="196"/>
      <c r="K13" s="196"/>
      <c r="L13" s="196"/>
      <c r="M13" s="197"/>
      <c r="N13" s="196" t="s">
        <v>5</v>
      </c>
      <c r="O13" s="196"/>
      <c r="P13" s="196"/>
      <c r="Q13" s="196"/>
      <c r="R13" s="196"/>
      <c r="S13" s="197"/>
      <c r="T13" s="8"/>
      <c r="U13" s="6"/>
      <c r="V13" s="6"/>
      <c r="W13" s="6"/>
    </row>
    <row r="14" spans="2:23" ht="13.5" customHeight="1">
      <c r="B14" s="6"/>
      <c r="C14" s="8"/>
      <c r="D14" s="188"/>
      <c r="E14" s="188"/>
      <c r="F14" s="188"/>
      <c r="G14" s="8"/>
      <c r="H14" s="198"/>
      <c r="I14" s="199"/>
      <c r="J14" s="199"/>
      <c r="K14" s="199"/>
      <c r="L14" s="199"/>
      <c r="M14" s="200"/>
      <c r="N14" s="199"/>
      <c r="O14" s="199"/>
      <c r="P14" s="199"/>
      <c r="Q14" s="199"/>
      <c r="R14" s="199"/>
      <c r="S14" s="200"/>
      <c r="T14" s="8"/>
      <c r="U14" s="6"/>
      <c r="V14" s="6"/>
      <c r="W14" s="6"/>
    </row>
    <row r="15" spans="2:23" ht="13.5" customHeight="1">
      <c r="B15" s="6"/>
      <c r="C15" s="8"/>
      <c r="D15" s="188"/>
      <c r="E15" s="188"/>
      <c r="F15" s="188"/>
      <c r="G15" s="8"/>
      <c r="H15" s="198"/>
      <c r="I15" s="199"/>
      <c r="J15" s="199"/>
      <c r="K15" s="199"/>
      <c r="L15" s="199"/>
      <c r="M15" s="200"/>
      <c r="N15" s="199"/>
      <c r="O15" s="199"/>
      <c r="P15" s="199"/>
      <c r="Q15" s="199"/>
      <c r="R15" s="199"/>
      <c r="S15" s="200"/>
      <c r="T15" s="8"/>
      <c r="U15" s="6"/>
      <c r="V15" s="6"/>
      <c r="W15" s="6"/>
    </row>
    <row r="16" spans="2:23" ht="13.5" customHeight="1">
      <c r="B16" s="6"/>
      <c r="C16" s="8"/>
      <c r="D16" s="29"/>
      <c r="E16" s="29"/>
      <c r="F16" s="30"/>
      <c r="G16" s="8"/>
      <c r="H16" s="198"/>
      <c r="I16" s="199"/>
      <c r="J16" s="199"/>
      <c r="K16" s="199"/>
      <c r="L16" s="199"/>
      <c r="M16" s="200"/>
      <c r="N16" s="199"/>
      <c r="O16" s="199"/>
      <c r="P16" s="199"/>
      <c r="Q16" s="199"/>
      <c r="R16" s="199"/>
      <c r="S16" s="200"/>
      <c r="T16" s="8"/>
      <c r="U16" s="6"/>
      <c r="V16" s="6"/>
      <c r="W16" s="6"/>
    </row>
    <row r="17" spans="2:23" ht="13.5" customHeight="1">
      <c r="B17" s="6"/>
      <c r="C17" s="8"/>
      <c r="D17" s="29"/>
      <c r="E17" s="29"/>
      <c r="F17" s="30"/>
      <c r="G17" s="8"/>
      <c r="H17" s="198"/>
      <c r="I17" s="199"/>
      <c r="J17" s="199"/>
      <c r="K17" s="199"/>
      <c r="L17" s="199"/>
      <c r="M17" s="200"/>
      <c r="N17" s="199"/>
      <c r="O17" s="199"/>
      <c r="P17" s="199"/>
      <c r="Q17" s="199"/>
      <c r="R17" s="199"/>
      <c r="S17" s="200"/>
      <c r="T17" s="8"/>
      <c r="U17" s="6"/>
      <c r="V17" s="6"/>
      <c r="W17" s="6"/>
    </row>
    <row r="18" spans="2:23" ht="13.5" customHeight="1">
      <c r="B18" s="6"/>
      <c r="C18" s="8"/>
      <c r="D18" s="29"/>
      <c r="E18" s="29"/>
      <c r="F18" s="30"/>
      <c r="G18" s="8"/>
      <c r="H18" s="198"/>
      <c r="I18" s="199"/>
      <c r="J18" s="199"/>
      <c r="K18" s="199"/>
      <c r="L18" s="199"/>
      <c r="M18" s="200"/>
      <c r="N18" s="199"/>
      <c r="O18" s="199"/>
      <c r="P18" s="199"/>
      <c r="Q18" s="199"/>
      <c r="R18" s="199"/>
      <c r="S18" s="200"/>
      <c r="T18" s="8"/>
      <c r="U18" s="6"/>
      <c r="V18" s="6"/>
      <c r="W18" s="6"/>
    </row>
    <row r="19" spans="2:23" ht="13.5" customHeight="1">
      <c r="B19" s="6"/>
      <c r="C19" s="8"/>
      <c r="D19" s="189"/>
      <c r="E19" s="189"/>
      <c r="F19" s="189"/>
      <c r="G19" s="8"/>
      <c r="H19" s="198"/>
      <c r="I19" s="199"/>
      <c r="J19" s="199"/>
      <c r="K19" s="199"/>
      <c r="L19" s="199"/>
      <c r="M19" s="200"/>
      <c r="N19" s="199"/>
      <c r="O19" s="199"/>
      <c r="P19" s="199"/>
      <c r="Q19" s="199"/>
      <c r="R19" s="199"/>
      <c r="S19" s="200"/>
      <c r="T19" s="8"/>
      <c r="U19" s="6"/>
      <c r="V19" s="6"/>
      <c r="W19" s="6"/>
    </row>
    <row r="20" spans="2:23" ht="13.5" customHeight="1">
      <c r="B20" s="6"/>
      <c r="C20" s="8"/>
      <c r="D20" s="189"/>
      <c r="E20" s="189"/>
      <c r="F20" s="189"/>
      <c r="G20" s="8"/>
      <c r="H20" s="198"/>
      <c r="I20" s="199"/>
      <c r="J20" s="199"/>
      <c r="K20" s="199"/>
      <c r="L20" s="199"/>
      <c r="M20" s="200"/>
      <c r="N20" s="199"/>
      <c r="O20" s="199"/>
      <c r="P20" s="199"/>
      <c r="Q20" s="199"/>
      <c r="R20" s="199"/>
      <c r="S20" s="200"/>
      <c r="T20" s="8"/>
      <c r="U20" s="6"/>
      <c r="V20" s="6"/>
      <c r="W20" s="6"/>
    </row>
    <row r="21" spans="2:23" ht="13.5" customHeight="1">
      <c r="B21" s="6"/>
      <c r="C21" s="8"/>
      <c r="D21" s="189"/>
      <c r="E21" s="189"/>
      <c r="F21" s="189"/>
      <c r="G21" s="8"/>
      <c r="H21" s="198"/>
      <c r="I21" s="199"/>
      <c r="J21" s="199"/>
      <c r="K21" s="199"/>
      <c r="L21" s="199"/>
      <c r="M21" s="200"/>
      <c r="N21" s="199"/>
      <c r="O21" s="199"/>
      <c r="P21" s="199"/>
      <c r="Q21" s="199"/>
      <c r="R21" s="199"/>
      <c r="S21" s="200"/>
      <c r="T21" s="8"/>
      <c r="U21" s="6"/>
      <c r="V21" s="6"/>
      <c r="W21" s="6"/>
    </row>
    <row r="22" spans="2:23" ht="13.5" customHeight="1">
      <c r="B22" s="6"/>
      <c r="C22" s="8"/>
      <c r="D22" s="189"/>
      <c r="E22" s="189"/>
      <c r="F22" s="189"/>
      <c r="G22" s="8"/>
      <c r="H22" s="198"/>
      <c r="I22" s="199"/>
      <c r="J22" s="199"/>
      <c r="K22" s="199"/>
      <c r="L22" s="199"/>
      <c r="M22" s="200"/>
      <c r="N22" s="199"/>
      <c r="O22" s="199"/>
      <c r="P22" s="199"/>
      <c r="Q22" s="199"/>
      <c r="R22" s="199"/>
      <c r="S22" s="200"/>
      <c r="T22" s="8"/>
      <c r="U22" s="6"/>
      <c r="V22" s="6"/>
      <c r="W22" s="6"/>
    </row>
    <row r="23" spans="2:23" ht="13.5" customHeight="1">
      <c r="B23" s="6"/>
      <c r="C23" s="8"/>
      <c r="D23" s="189"/>
      <c r="E23" s="189"/>
      <c r="F23" s="189"/>
      <c r="G23" s="8"/>
      <c r="H23" s="198"/>
      <c r="I23" s="199"/>
      <c r="J23" s="199"/>
      <c r="K23" s="199"/>
      <c r="L23" s="199"/>
      <c r="M23" s="200"/>
      <c r="N23" s="199"/>
      <c r="O23" s="199"/>
      <c r="P23" s="199"/>
      <c r="Q23" s="199"/>
      <c r="R23" s="199"/>
      <c r="S23" s="200"/>
      <c r="T23" s="8"/>
      <c r="U23" s="6"/>
      <c r="V23" s="6"/>
      <c r="W23" s="6"/>
    </row>
    <row r="24" spans="2:23" ht="13.5" customHeight="1">
      <c r="B24" s="6"/>
      <c r="C24" s="8"/>
      <c r="D24" s="189"/>
      <c r="E24" s="189"/>
      <c r="F24" s="189"/>
      <c r="G24" s="8"/>
      <c r="H24" s="198"/>
      <c r="I24" s="199"/>
      <c r="J24" s="199"/>
      <c r="K24" s="199"/>
      <c r="L24" s="199"/>
      <c r="M24" s="200"/>
      <c r="N24" s="199"/>
      <c r="O24" s="199"/>
      <c r="P24" s="199"/>
      <c r="Q24" s="199"/>
      <c r="R24" s="199"/>
      <c r="S24" s="200"/>
      <c r="T24" s="8"/>
      <c r="U24" s="6"/>
      <c r="V24" s="6"/>
      <c r="W24" s="6"/>
    </row>
    <row r="25" spans="2:23" ht="13.5" customHeight="1">
      <c r="B25" s="6"/>
      <c r="C25" s="8"/>
      <c r="D25" s="8"/>
      <c r="E25" s="8"/>
      <c r="F25" s="9"/>
      <c r="G25" s="8"/>
      <c r="H25" s="198"/>
      <c r="I25" s="199"/>
      <c r="J25" s="199"/>
      <c r="K25" s="199"/>
      <c r="L25" s="199"/>
      <c r="M25" s="200"/>
      <c r="N25" s="199"/>
      <c r="O25" s="199"/>
      <c r="P25" s="199"/>
      <c r="Q25" s="199"/>
      <c r="R25" s="199"/>
      <c r="S25" s="200"/>
      <c r="T25" s="8"/>
      <c r="U25" s="6"/>
      <c r="V25" s="6"/>
      <c r="W25" s="6"/>
    </row>
    <row r="26" spans="2:23" ht="13.5" customHeight="1">
      <c r="B26" s="6"/>
      <c r="C26" s="8"/>
      <c r="D26" s="8"/>
      <c r="E26" s="8"/>
      <c r="F26" s="9"/>
      <c r="G26" s="8"/>
      <c r="H26" s="198"/>
      <c r="I26" s="199"/>
      <c r="J26" s="199"/>
      <c r="K26" s="199"/>
      <c r="L26" s="199"/>
      <c r="M26" s="200"/>
      <c r="N26" s="199"/>
      <c r="O26" s="199"/>
      <c r="P26" s="199"/>
      <c r="Q26" s="199"/>
      <c r="R26" s="199"/>
      <c r="S26" s="200"/>
      <c r="T26" s="8"/>
      <c r="U26" s="6"/>
      <c r="V26" s="6"/>
      <c r="W26" s="6"/>
    </row>
    <row r="27" spans="2:23" ht="13.5" customHeight="1">
      <c r="B27" s="6"/>
      <c r="C27" s="8"/>
      <c r="D27" s="8"/>
      <c r="E27" s="8"/>
      <c r="F27" s="9"/>
      <c r="G27" s="8"/>
      <c r="H27" s="198"/>
      <c r="I27" s="199"/>
      <c r="J27" s="199"/>
      <c r="K27" s="199"/>
      <c r="L27" s="199"/>
      <c r="M27" s="200"/>
      <c r="N27" s="199"/>
      <c r="O27" s="199"/>
      <c r="P27" s="199"/>
      <c r="Q27" s="199"/>
      <c r="R27" s="199"/>
      <c r="S27" s="200"/>
      <c r="T27" s="8"/>
      <c r="U27" s="6"/>
      <c r="V27" s="6"/>
      <c r="W27" s="6"/>
    </row>
    <row r="28" spans="2:23" ht="13.5" customHeight="1">
      <c r="B28" s="6"/>
      <c r="C28" s="8"/>
      <c r="D28" s="188" t="s">
        <v>6</v>
      </c>
      <c r="E28" s="188"/>
      <c r="F28" s="188"/>
      <c r="G28" s="8"/>
      <c r="H28" s="198"/>
      <c r="I28" s="199"/>
      <c r="J28" s="199"/>
      <c r="K28" s="199"/>
      <c r="L28" s="199"/>
      <c r="M28" s="200"/>
      <c r="N28" s="199"/>
      <c r="O28" s="199"/>
      <c r="P28" s="199"/>
      <c r="Q28" s="199"/>
      <c r="R28" s="199"/>
      <c r="S28" s="200"/>
      <c r="T28" s="8"/>
      <c r="U28" s="6"/>
      <c r="V28" s="6"/>
      <c r="W28" s="6"/>
    </row>
    <row r="29" spans="2:23" ht="14.65" customHeight="1">
      <c r="B29" s="6"/>
      <c r="C29" s="10"/>
      <c r="D29" s="188"/>
      <c r="E29" s="188"/>
      <c r="F29" s="188"/>
      <c r="G29" s="7"/>
      <c r="H29" s="198"/>
      <c r="I29" s="199"/>
      <c r="J29" s="199"/>
      <c r="K29" s="199"/>
      <c r="L29" s="199"/>
      <c r="M29" s="200"/>
      <c r="N29" s="199"/>
      <c r="O29" s="199"/>
      <c r="P29" s="199"/>
      <c r="Q29" s="199"/>
      <c r="R29" s="199"/>
      <c r="S29" s="200"/>
      <c r="T29" s="7"/>
      <c r="U29" s="6"/>
      <c r="V29" s="6"/>
      <c r="W29" s="6"/>
    </row>
    <row r="30" spans="2:23" ht="14.65" customHeight="1">
      <c r="B30" s="6"/>
      <c r="C30" s="10"/>
      <c r="D30" s="188"/>
      <c r="E30" s="188"/>
      <c r="F30" s="188"/>
      <c r="G30" s="7"/>
      <c r="H30" s="198"/>
      <c r="I30" s="199"/>
      <c r="J30" s="199"/>
      <c r="K30" s="199"/>
      <c r="L30" s="199"/>
      <c r="M30" s="200"/>
      <c r="N30" s="199"/>
      <c r="O30" s="199"/>
      <c r="P30" s="199"/>
      <c r="Q30" s="199"/>
      <c r="R30" s="199"/>
      <c r="S30" s="200"/>
      <c r="T30" s="7"/>
      <c r="U30" s="6"/>
      <c r="V30" s="6"/>
      <c r="W30" s="6"/>
    </row>
    <row r="31" spans="2:23" ht="14.65" customHeight="1">
      <c r="B31" s="6"/>
      <c r="C31" s="10"/>
      <c r="D31" s="188"/>
      <c r="E31" s="188"/>
      <c r="F31" s="188"/>
      <c r="G31" s="7"/>
      <c r="H31" s="198"/>
      <c r="I31" s="199"/>
      <c r="J31" s="199"/>
      <c r="K31" s="199"/>
      <c r="L31" s="199"/>
      <c r="M31" s="200"/>
      <c r="N31" s="199"/>
      <c r="O31" s="199"/>
      <c r="P31" s="199"/>
      <c r="Q31" s="199"/>
      <c r="R31" s="199"/>
      <c r="S31" s="200"/>
      <c r="T31" s="7"/>
      <c r="U31" s="6"/>
      <c r="V31" s="6"/>
      <c r="W31" s="6"/>
    </row>
    <row r="32" spans="2:23" ht="14.65" customHeight="1">
      <c r="B32" s="6"/>
      <c r="C32" s="10"/>
      <c r="D32" s="188"/>
      <c r="E32" s="188"/>
      <c r="F32" s="188"/>
      <c r="G32" s="7"/>
      <c r="H32" s="198"/>
      <c r="I32" s="199"/>
      <c r="J32" s="199"/>
      <c r="K32" s="199"/>
      <c r="L32" s="199"/>
      <c r="M32" s="200"/>
      <c r="N32" s="199"/>
      <c r="O32" s="199"/>
      <c r="P32" s="199"/>
      <c r="Q32" s="199"/>
      <c r="R32" s="199"/>
      <c r="S32" s="200"/>
      <c r="T32" s="7"/>
      <c r="U32" s="6"/>
      <c r="V32" s="6"/>
      <c r="W32" s="6"/>
    </row>
    <row r="33" spans="2:23" ht="14.65" customHeight="1">
      <c r="B33" s="6"/>
      <c r="C33" s="10"/>
      <c r="D33" s="188"/>
      <c r="E33" s="188"/>
      <c r="F33" s="188"/>
      <c r="G33" s="7"/>
      <c r="H33" s="198"/>
      <c r="I33" s="199"/>
      <c r="J33" s="199"/>
      <c r="K33" s="199"/>
      <c r="L33" s="199"/>
      <c r="M33" s="200"/>
      <c r="N33" s="199"/>
      <c r="O33" s="199"/>
      <c r="P33" s="199"/>
      <c r="Q33" s="199"/>
      <c r="R33" s="199"/>
      <c r="S33" s="200"/>
      <c r="T33" s="7"/>
      <c r="U33" s="6"/>
      <c r="V33" s="6"/>
      <c r="W33" s="6"/>
    </row>
    <row r="34" spans="2:23" ht="14.65" customHeight="1">
      <c r="B34" s="6"/>
      <c r="C34" s="10"/>
      <c r="D34" s="7"/>
      <c r="E34" s="7"/>
      <c r="F34" s="7"/>
      <c r="G34" s="7"/>
      <c r="H34" s="198"/>
      <c r="I34" s="199"/>
      <c r="J34" s="199"/>
      <c r="K34" s="199"/>
      <c r="L34" s="199"/>
      <c r="M34" s="200"/>
      <c r="N34" s="199"/>
      <c r="O34" s="199"/>
      <c r="P34" s="199"/>
      <c r="Q34" s="199"/>
      <c r="R34" s="199"/>
      <c r="S34" s="200"/>
      <c r="T34" s="7"/>
      <c r="U34" s="6"/>
      <c r="V34" s="6"/>
      <c r="W34" s="6"/>
    </row>
    <row r="35" spans="2:23" ht="14.65" customHeight="1">
      <c r="B35" s="6"/>
      <c r="C35" s="10"/>
      <c r="D35" s="7"/>
      <c r="E35" s="7"/>
      <c r="F35" s="7"/>
      <c r="G35" s="7"/>
      <c r="H35" s="198"/>
      <c r="I35" s="199"/>
      <c r="J35" s="199"/>
      <c r="K35" s="199"/>
      <c r="L35" s="199"/>
      <c r="M35" s="200"/>
      <c r="N35" s="199"/>
      <c r="O35" s="199"/>
      <c r="P35" s="199"/>
      <c r="Q35" s="199"/>
      <c r="R35" s="199"/>
      <c r="S35" s="200"/>
      <c r="T35" s="7"/>
      <c r="U35" s="6"/>
      <c r="V35" s="6"/>
      <c r="W35" s="6"/>
    </row>
    <row r="36" spans="2:23" ht="14.65" customHeight="1">
      <c r="B36" s="6"/>
      <c r="C36" s="10"/>
      <c r="D36" s="7"/>
      <c r="E36" s="7"/>
      <c r="F36" s="7"/>
      <c r="G36" s="7"/>
      <c r="H36" s="198"/>
      <c r="I36" s="199"/>
      <c r="J36" s="199"/>
      <c r="K36" s="199"/>
      <c r="L36" s="199"/>
      <c r="M36" s="200"/>
      <c r="N36" s="199"/>
      <c r="O36" s="199"/>
      <c r="P36" s="199"/>
      <c r="Q36" s="199"/>
      <c r="R36" s="199"/>
      <c r="S36" s="200"/>
      <c r="T36" s="7"/>
      <c r="U36" s="6"/>
      <c r="V36" s="6"/>
      <c r="W36" s="6"/>
    </row>
    <row r="37" spans="2:23" ht="14.65" customHeight="1">
      <c r="B37" s="6"/>
      <c r="C37" s="10"/>
      <c r="D37" s="7"/>
      <c r="E37" s="7"/>
      <c r="F37" s="7"/>
      <c r="G37" s="7"/>
      <c r="H37" s="198"/>
      <c r="I37" s="199"/>
      <c r="J37" s="199"/>
      <c r="K37" s="199"/>
      <c r="L37" s="199"/>
      <c r="M37" s="200"/>
      <c r="N37" s="199"/>
      <c r="O37" s="199"/>
      <c r="P37" s="199"/>
      <c r="Q37" s="199"/>
      <c r="R37" s="199"/>
      <c r="S37" s="200"/>
      <c r="T37" s="7"/>
      <c r="U37" s="6"/>
      <c r="V37" s="6"/>
      <c r="W37" s="6"/>
    </row>
    <row r="38" spans="2:23" ht="14.65" customHeight="1">
      <c r="B38" s="6"/>
      <c r="C38" s="10"/>
      <c r="D38" s="7"/>
      <c r="E38" s="7"/>
      <c r="F38" s="7"/>
      <c r="G38" s="7"/>
      <c r="H38" s="198"/>
      <c r="I38" s="199"/>
      <c r="J38" s="199"/>
      <c r="K38" s="199"/>
      <c r="L38" s="199"/>
      <c r="M38" s="200"/>
      <c r="N38" s="199"/>
      <c r="O38" s="199"/>
      <c r="P38" s="199"/>
      <c r="Q38" s="199"/>
      <c r="R38" s="199"/>
      <c r="S38" s="200"/>
      <c r="T38" s="7"/>
      <c r="U38" s="6"/>
      <c r="V38" s="6"/>
      <c r="W38" s="6"/>
    </row>
    <row r="39" spans="2:23" ht="14.65" customHeight="1">
      <c r="B39" s="6"/>
      <c r="C39" s="10"/>
      <c r="D39" s="7"/>
      <c r="E39" s="7"/>
      <c r="F39" s="7"/>
      <c r="G39" s="7"/>
      <c r="H39" s="198"/>
      <c r="I39" s="199"/>
      <c r="J39" s="199"/>
      <c r="K39" s="199"/>
      <c r="L39" s="199"/>
      <c r="M39" s="200"/>
      <c r="N39" s="199"/>
      <c r="O39" s="199"/>
      <c r="P39" s="199"/>
      <c r="Q39" s="199"/>
      <c r="R39" s="199"/>
      <c r="S39" s="200"/>
      <c r="T39" s="7"/>
      <c r="U39" s="6"/>
      <c r="V39" s="6"/>
      <c r="W39" s="6"/>
    </row>
    <row r="40" spans="2:23" ht="14.65" customHeight="1">
      <c r="B40" s="6"/>
      <c r="C40" s="10"/>
      <c r="D40" s="7"/>
      <c r="E40" s="7"/>
      <c r="F40" s="7"/>
      <c r="G40" s="7"/>
      <c r="H40" s="198"/>
      <c r="I40" s="199"/>
      <c r="J40" s="199"/>
      <c r="K40" s="199"/>
      <c r="L40" s="199"/>
      <c r="M40" s="200"/>
      <c r="N40" s="199"/>
      <c r="O40" s="199"/>
      <c r="P40" s="199"/>
      <c r="Q40" s="199"/>
      <c r="R40" s="199"/>
      <c r="S40" s="200"/>
      <c r="T40" s="7"/>
      <c r="U40" s="6"/>
      <c r="V40" s="6"/>
      <c r="W40" s="6"/>
    </row>
    <row r="41" spans="2:23" ht="14.65" customHeight="1">
      <c r="B41" s="6"/>
      <c r="C41" s="10"/>
      <c r="D41" s="7"/>
      <c r="E41" s="7"/>
      <c r="F41" s="7"/>
      <c r="G41" s="7"/>
      <c r="H41" s="198"/>
      <c r="I41" s="199"/>
      <c r="J41" s="199"/>
      <c r="K41" s="199"/>
      <c r="L41" s="199"/>
      <c r="M41" s="200"/>
      <c r="N41" s="199"/>
      <c r="O41" s="199"/>
      <c r="P41" s="199"/>
      <c r="Q41" s="199"/>
      <c r="R41" s="199"/>
      <c r="S41" s="200"/>
      <c r="T41" s="7"/>
      <c r="U41" s="6"/>
      <c r="V41" s="6"/>
      <c r="W41" s="6"/>
    </row>
    <row r="42" spans="2:23" ht="14.65" customHeight="1">
      <c r="B42" s="6"/>
      <c r="C42" s="10"/>
      <c r="D42" s="7"/>
      <c r="E42" s="7"/>
      <c r="F42" s="7"/>
      <c r="G42" s="7"/>
      <c r="H42" s="198"/>
      <c r="I42" s="199"/>
      <c r="J42" s="199"/>
      <c r="K42" s="199"/>
      <c r="L42" s="199"/>
      <c r="M42" s="200"/>
      <c r="N42" s="199"/>
      <c r="O42" s="199"/>
      <c r="P42" s="199"/>
      <c r="Q42" s="199"/>
      <c r="R42" s="199"/>
      <c r="S42" s="200"/>
      <c r="T42" s="7"/>
      <c r="U42" s="6"/>
      <c r="V42" s="6"/>
      <c r="W42" s="6"/>
    </row>
    <row r="43" spans="2:23" ht="14.65" customHeight="1">
      <c r="B43" s="6"/>
      <c r="C43" s="10"/>
      <c r="D43" s="7"/>
      <c r="E43" s="7"/>
      <c r="F43" s="7"/>
      <c r="G43" s="7"/>
      <c r="H43" s="198"/>
      <c r="I43" s="199"/>
      <c r="J43" s="199"/>
      <c r="K43" s="199"/>
      <c r="L43" s="199"/>
      <c r="M43" s="200"/>
      <c r="N43" s="199"/>
      <c r="O43" s="199"/>
      <c r="P43" s="199"/>
      <c r="Q43" s="199"/>
      <c r="R43" s="199"/>
      <c r="S43" s="200"/>
      <c r="T43" s="7"/>
      <c r="U43" s="6"/>
      <c r="V43" s="6"/>
      <c r="W43" s="6"/>
    </row>
    <row r="44" spans="2:23" ht="14.65" customHeight="1">
      <c r="B44" s="6"/>
      <c r="C44" s="10"/>
      <c r="D44" s="7"/>
      <c r="E44" s="7"/>
      <c r="F44" s="7"/>
      <c r="G44" s="7"/>
      <c r="H44" s="198"/>
      <c r="I44" s="199"/>
      <c r="J44" s="199"/>
      <c r="K44" s="199"/>
      <c r="L44" s="199"/>
      <c r="M44" s="200"/>
      <c r="N44" s="199"/>
      <c r="O44" s="199"/>
      <c r="P44" s="199"/>
      <c r="Q44" s="199"/>
      <c r="R44" s="199"/>
      <c r="S44" s="200"/>
      <c r="T44" s="7"/>
      <c r="U44" s="6"/>
      <c r="V44" s="6"/>
      <c r="W44" s="6"/>
    </row>
    <row r="45" spans="2:23" ht="14.65" customHeight="1">
      <c r="B45" s="6"/>
      <c r="C45" s="10"/>
      <c r="D45" s="7"/>
      <c r="E45" s="7"/>
      <c r="F45" s="7"/>
      <c r="G45" s="7"/>
      <c r="H45" s="201"/>
      <c r="I45" s="202"/>
      <c r="J45" s="202"/>
      <c r="K45" s="202"/>
      <c r="L45" s="202"/>
      <c r="M45" s="203"/>
      <c r="N45" s="202"/>
      <c r="O45" s="202"/>
      <c r="P45" s="202"/>
      <c r="Q45" s="202"/>
      <c r="R45" s="202"/>
      <c r="S45" s="203"/>
      <c r="T45" s="7"/>
      <c r="U45" s="6"/>
      <c r="V45" s="6"/>
      <c r="W45" s="6"/>
    </row>
    <row r="46" spans="2:23" ht="14.65" customHeight="1">
      <c r="B46" s="6"/>
      <c r="C46" s="10"/>
      <c r="D46" s="7"/>
      <c r="E46" s="7"/>
      <c r="F46" s="7"/>
      <c r="G46" s="7"/>
      <c r="H46" s="7"/>
      <c r="I46" s="7"/>
      <c r="J46" s="7"/>
      <c r="K46" s="7"/>
      <c r="L46" s="7"/>
      <c r="M46" s="7"/>
      <c r="N46" s="7"/>
      <c r="O46" s="7"/>
      <c r="P46" s="7"/>
      <c r="Q46" s="7"/>
      <c r="R46" s="7"/>
      <c r="S46" s="7"/>
      <c r="T46" s="7"/>
      <c r="U46" s="6"/>
      <c r="V46" s="6"/>
      <c r="W46" s="6"/>
    </row>
    <row r="47" spans="2:23" ht="14.65" customHeight="1">
      <c r="B47" s="6"/>
      <c r="C47" s="10"/>
      <c r="D47" s="7"/>
      <c r="E47" s="7"/>
      <c r="F47" s="7"/>
      <c r="G47" s="7"/>
      <c r="H47" s="7"/>
      <c r="I47" s="7"/>
      <c r="J47" s="7"/>
      <c r="K47" s="7"/>
      <c r="L47" s="7"/>
      <c r="M47" s="7"/>
      <c r="N47" s="7"/>
      <c r="O47" s="7"/>
      <c r="P47" s="7"/>
      <c r="Q47" s="7"/>
      <c r="R47" s="7"/>
      <c r="S47" s="7"/>
      <c r="T47" s="7"/>
      <c r="U47" s="6"/>
      <c r="V47" s="6"/>
      <c r="W47" s="6"/>
    </row>
    <row r="48" spans="2:23" ht="14.65" customHeight="1">
      <c r="B48" s="6"/>
      <c r="C48" s="10"/>
      <c r="D48" s="7"/>
      <c r="E48" s="7"/>
      <c r="F48" s="7"/>
      <c r="G48" s="7"/>
      <c r="H48" s="7"/>
      <c r="I48" s="7"/>
      <c r="J48" s="7"/>
      <c r="K48" s="7"/>
      <c r="L48" s="7"/>
      <c r="M48" s="7"/>
      <c r="N48" s="7"/>
      <c r="O48" s="7"/>
      <c r="P48" s="7"/>
      <c r="Q48" s="7"/>
      <c r="R48" s="7"/>
      <c r="S48" s="7"/>
      <c r="T48" s="7"/>
      <c r="U48" s="6"/>
      <c r="V48" s="6"/>
      <c r="W48" s="6"/>
    </row>
    <row r="49" spans="2:23" ht="14.65" customHeight="1">
      <c r="B49" s="6"/>
      <c r="C49" s="10"/>
      <c r="D49" s="7"/>
      <c r="E49" s="7"/>
      <c r="F49" s="7"/>
      <c r="G49" s="7"/>
      <c r="H49" s="7"/>
      <c r="I49" s="7"/>
      <c r="J49" s="7"/>
      <c r="K49" s="7"/>
      <c r="L49" s="7"/>
      <c r="M49" s="7"/>
      <c r="N49" s="7"/>
      <c r="O49" s="7"/>
      <c r="P49" s="7"/>
      <c r="Q49" s="7"/>
      <c r="R49" s="7"/>
      <c r="S49" s="7"/>
      <c r="T49" s="7"/>
      <c r="U49" s="6"/>
      <c r="V49" s="6"/>
      <c r="W49" s="6"/>
    </row>
    <row r="50" spans="2:23" ht="14.65" customHeight="1">
      <c r="B50" s="6"/>
      <c r="C50" s="10"/>
      <c r="D50" s="7"/>
      <c r="E50" s="7"/>
      <c r="F50" s="7"/>
      <c r="G50" s="7"/>
      <c r="H50" s="7"/>
      <c r="I50" s="7"/>
      <c r="J50" s="7"/>
      <c r="K50" s="7"/>
      <c r="L50" s="7"/>
      <c r="M50" s="7"/>
      <c r="N50" s="7"/>
      <c r="O50" s="7"/>
      <c r="P50" s="7"/>
      <c r="Q50" s="7"/>
      <c r="R50" s="7"/>
      <c r="S50" s="7"/>
      <c r="T50" s="7"/>
      <c r="U50" s="6"/>
      <c r="V50" s="6"/>
      <c r="W50" s="6"/>
    </row>
    <row r="51" spans="2:23" ht="14.65" customHeight="1">
      <c r="B51" s="6"/>
      <c r="C51" s="10"/>
      <c r="D51" s="7"/>
      <c r="E51" s="7"/>
      <c r="F51" s="7"/>
      <c r="G51" s="7"/>
      <c r="H51" s="7"/>
      <c r="I51" s="7"/>
      <c r="J51" s="7"/>
      <c r="K51" s="7"/>
      <c r="L51" s="7"/>
      <c r="M51" s="7"/>
      <c r="N51" s="7"/>
      <c r="O51" s="7"/>
      <c r="P51" s="7"/>
      <c r="Q51" s="7"/>
      <c r="R51" s="7"/>
      <c r="S51" s="7"/>
      <c r="T51" s="7"/>
      <c r="U51" s="6"/>
      <c r="V51" s="6"/>
      <c r="W51" s="6"/>
    </row>
    <row r="52" spans="2:23" ht="14.65" customHeight="1">
      <c r="B52" s="6"/>
      <c r="C52" s="10"/>
      <c r="D52" s="7"/>
      <c r="E52" s="7"/>
      <c r="F52" s="7"/>
      <c r="G52" s="7"/>
      <c r="H52" s="7"/>
      <c r="I52" s="7"/>
      <c r="J52" s="7"/>
      <c r="K52" s="7"/>
      <c r="L52" s="7"/>
      <c r="M52" s="7"/>
      <c r="N52" s="7"/>
      <c r="O52" s="7"/>
      <c r="P52" s="7"/>
      <c r="Q52" s="7"/>
      <c r="R52" s="7"/>
      <c r="S52" s="7"/>
      <c r="T52" s="7"/>
      <c r="U52" s="6"/>
      <c r="V52" s="6"/>
      <c r="W52" s="6"/>
    </row>
  </sheetData>
  <mergeCells count="8">
    <mergeCell ref="D10:F15"/>
    <mergeCell ref="D19:F24"/>
    <mergeCell ref="D28:F33"/>
    <mergeCell ref="C3:V6"/>
    <mergeCell ref="H10:M12"/>
    <mergeCell ref="H13:M45"/>
    <mergeCell ref="N10:S12"/>
    <mergeCell ref="N13:S45"/>
  </mergeCells>
  <hyperlinks>
    <hyperlink ref="D28:F33" r:id="rId1" display="Link to Project Document" xr:uid="{74AE16C4-2058-4B4C-A629-0A009CA26312}"/>
    <hyperlink ref="D10:F15" r:id="rId2" display="Link to Guidance Document" xr:uid="{571444A0-7144-4505-B5CF-E68236A3761C}"/>
  </hyperlinks>
  <pageMargins left="0.7" right="0.7" top="0.75" bottom="0.75" header="0.3" footer="0.3"/>
  <pageSetup paperSize="9" orientation="portrait" r:id="rId3"/>
  <customProperties>
    <customPr name="_pios_id" r:id="rId4"/>
  </customPropertie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77DFC-D7B4-4BF3-8979-066A2FD1821B}">
  <sheetPr codeName="Sheet2">
    <tabColor theme="9" tint="0.59999389629810485"/>
    <pageSetUpPr fitToPage="1"/>
  </sheetPr>
  <dimension ref="B1:W129"/>
  <sheetViews>
    <sheetView showGridLines="0" tabSelected="1" zoomScale="70" zoomScaleNormal="70" workbookViewId="0">
      <pane xSplit="2" ySplit="5" topLeftCell="C80" activePane="bottomRight" state="frozen"/>
      <selection pane="bottomRight" activeCell="F135" sqref="F135"/>
      <selection pane="bottomLeft" activeCell="A6" sqref="A6"/>
      <selection pane="topRight" activeCell="C1" sqref="C1"/>
    </sheetView>
  </sheetViews>
  <sheetFormatPr defaultColWidth="8.7109375" defaultRowHeight="15.6"/>
  <cols>
    <col min="1" max="1" width="1.42578125" style="40" customWidth="1"/>
    <col min="2" max="2" width="1.5703125" style="40" customWidth="1"/>
    <col min="3" max="3" width="14.7109375" style="66" customWidth="1"/>
    <col min="4" max="4" width="14.7109375" style="67" customWidth="1"/>
    <col min="5" max="5" width="17.42578125" style="67" customWidth="1"/>
    <col min="6" max="6" width="16.5703125" style="67" customWidth="1"/>
    <col min="7" max="7" width="14.7109375" style="67" customWidth="1"/>
    <col min="8" max="8" width="20" style="67" customWidth="1"/>
    <col min="9" max="9" width="17.5703125" style="66" customWidth="1"/>
    <col min="10" max="10" width="17.7109375" style="67" customWidth="1"/>
    <col min="11" max="11" width="50.42578125" style="68" customWidth="1"/>
    <col min="12" max="12" width="14.7109375" style="69" customWidth="1"/>
    <col min="13" max="13" width="14.7109375" style="75" customWidth="1"/>
    <col min="14" max="16" width="14.7109375" style="69" customWidth="1"/>
    <col min="17" max="21" width="11.28515625" style="70" customWidth="1"/>
    <col min="22" max="22" width="1.5703125" style="40" customWidth="1"/>
    <col min="23" max="16384" width="8.7109375" style="40"/>
  </cols>
  <sheetData>
    <row r="1" spans="2:23" ht="13.9">
      <c r="C1" s="41"/>
      <c r="D1" s="42"/>
      <c r="E1" s="42"/>
      <c r="F1" s="42"/>
      <c r="G1" s="42"/>
      <c r="H1" s="42"/>
      <c r="I1" s="40"/>
      <c r="J1" s="42"/>
      <c r="K1" s="43"/>
      <c r="L1" s="44"/>
      <c r="M1" s="43"/>
      <c r="N1" s="44"/>
      <c r="O1" s="44"/>
      <c r="P1" s="44"/>
      <c r="Q1" s="45"/>
      <c r="R1" s="45"/>
      <c r="S1" s="45"/>
      <c r="T1" s="45"/>
      <c r="U1" s="45"/>
    </row>
    <row r="2" spans="2:23" ht="13.9">
      <c r="B2" s="46"/>
      <c r="C2" s="47"/>
      <c r="D2" s="48"/>
      <c r="E2" s="48"/>
      <c r="F2" s="48"/>
      <c r="G2" s="48"/>
      <c r="H2" s="48"/>
      <c r="I2" s="46"/>
      <c r="J2" s="48"/>
      <c r="K2" s="49"/>
      <c r="L2" s="50"/>
      <c r="M2" s="49"/>
      <c r="N2" s="50"/>
      <c r="O2" s="50"/>
      <c r="P2" s="50"/>
      <c r="Q2" s="51"/>
      <c r="R2" s="51"/>
      <c r="S2" s="51"/>
      <c r="T2" s="51"/>
      <c r="U2" s="51"/>
      <c r="V2" s="46"/>
    </row>
    <row r="3" spans="2:23" ht="31.15">
      <c r="B3" s="46"/>
      <c r="C3" s="187" t="s">
        <v>7</v>
      </c>
      <c r="D3" s="187"/>
      <c r="E3" s="187"/>
      <c r="F3" s="187"/>
      <c r="G3" s="187"/>
      <c r="H3" s="187"/>
      <c r="I3" s="187"/>
      <c r="J3" s="187"/>
      <c r="K3" s="187"/>
      <c r="L3" s="187"/>
      <c r="M3" s="187"/>
      <c r="N3" s="187"/>
      <c r="O3" s="187"/>
      <c r="P3" s="187"/>
      <c r="Q3" s="187"/>
      <c r="R3" s="187"/>
      <c r="S3" s="187"/>
      <c r="T3" s="187"/>
      <c r="U3" s="187"/>
      <c r="V3" s="46"/>
    </row>
    <row r="4" spans="2:23" ht="13.9">
      <c r="B4" s="46"/>
      <c r="C4" s="52"/>
      <c r="D4" s="48"/>
      <c r="E4" s="48"/>
      <c r="F4" s="48"/>
      <c r="G4" s="48"/>
      <c r="H4" s="53"/>
      <c r="I4" s="54"/>
      <c r="J4" s="54"/>
      <c r="K4" s="48"/>
      <c r="L4" s="53"/>
      <c r="M4" s="53"/>
      <c r="N4" s="53"/>
      <c r="O4" s="53"/>
      <c r="P4" s="53"/>
      <c r="Q4" s="51"/>
      <c r="R4" s="51"/>
      <c r="S4" s="51"/>
      <c r="T4" s="51"/>
      <c r="U4" s="51"/>
      <c r="V4" s="46"/>
    </row>
    <row r="5" spans="2:23" s="43" customFormat="1" ht="45" customHeight="1">
      <c r="B5" s="49"/>
      <c r="C5" s="55" t="s">
        <v>8</v>
      </c>
      <c r="D5" s="55" t="s">
        <v>9</v>
      </c>
      <c r="E5" s="55" t="s">
        <v>10</v>
      </c>
      <c r="F5" s="73" t="s">
        <v>11</v>
      </c>
      <c r="G5" s="55" t="s">
        <v>12</v>
      </c>
      <c r="H5" s="56" t="s">
        <v>13</v>
      </c>
      <c r="I5" s="55" t="s">
        <v>14</v>
      </c>
      <c r="J5" s="55" t="s">
        <v>15</v>
      </c>
      <c r="K5" s="55" t="s">
        <v>16</v>
      </c>
      <c r="L5" s="71" t="s">
        <v>17</v>
      </c>
      <c r="M5" s="56" t="s">
        <v>18</v>
      </c>
      <c r="N5" s="56" t="s">
        <v>19</v>
      </c>
      <c r="O5" s="56" t="s">
        <v>20</v>
      </c>
      <c r="P5" s="57" t="s">
        <v>21</v>
      </c>
      <c r="Q5" s="57" t="s">
        <v>22</v>
      </c>
      <c r="R5" s="57" t="s">
        <v>23</v>
      </c>
      <c r="S5" s="57" t="s">
        <v>24</v>
      </c>
      <c r="T5" s="57" t="s">
        <v>25</v>
      </c>
      <c r="U5" s="57" t="s">
        <v>26</v>
      </c>
      <c r="V5" s="49"/>
      <c r="W5" s="58"/>
    </row>
    <row r="6" spans="2:23" ht="50.1" customHeight="1">
      <c r="B6" s="46"/>
      <c r="C6" s="59" t="s">
        <v>27</v>
      </c>
      <c r="D6" s="60" t="s">
        <v>28</v>
      </c>
      <c r="E6" s="60" t="s">
        <v>29</v>
      </c>
      <c r="F6" s="74" t="str">
        <f>IFERROR(VLOOKUP(E6,'Data Validations'!$A$2:$B$13,2,0),"")</f>
        <v>TFAME</v>
      </c>
      <c r="G6" s="60" t="s">
        <v>30</v>
      </c>
      <c r="H6" s="60" t="s">
        <v>31</v>
      </c>
      <c r="I6" s="59" t="s">
        <v>32</v>
      </c>
      <c r="J6" s="60" t="s">
        <v>33</v>
      </c>
      <c r="K6" s="61" t="s">
        <v>34</v>
      </c>
      <c r="L6" s="72" t="str">
        <f t="shared" ref="L6:L32" si="0">IF(C6="","",IF(AND(OR(H6="Full Contract Restructure"),P6&gt;9.9),"Required","Not Required"))</f>
        <v>Required</v>
      </c>
      <c r="M6" s="62" t="s">
        <v>35</v>
      </c>
      <c r="N6" s="62">
        <v>2026</v>
      </c>
      <c r="O6" s="62" t="s">
        <v>36</v>
      </c>
      <c r="P6" s="63">
        <v>21.15</v>
      </c>
      <c r="Q6" s="63">
        <v>6.43</v>
      </c>
      <c r="R6" s="63">
        <v>6.96</v>
      </c>
      <c r="S6" s="63">
        <v>7.77</v>
      </c>
      <c r="T6" s="63"/>
      <c r="U6" s="63"/>
      <c r="V6" s="46"/>
    </row>
    <row r="7" spans="2:23" ht="50.1" customHeight="1">
      <c r="B7" s="46"/>
      <c r="C7" s="59" t="s">
        <v>27</v>
      </c>
      <c r="D7" s="60" t="s">
        <v>37</v>
      </c>
      <c r="E7" s="60" t="s">
        <v>38</v>
      </c>
      <c r="F7" s="74" t="str">
        <f>IFERROR(VLOOKUP(E7,'Data Validations'!$A$2:$B$13,2,0),"")</f>
        <v>TFAME</v>
      </c>
      <c r="G7" s="60" t="s">
        <v>39</v>
      </c>
      <c r="H7" s="60" t="s">
        <v>31</v>
      </c>
      <c r="I7" s="59" t="s">
        <v>32</v>
      </c>
      <c r="J7" s="60" t="s">
        <v>33</v>
      </c>
      <c r="K7" s="61" t="s">
        <v>40</v>
      </c>
      <c r="L7" s="72" t="str">
        <f t="shared" si="0"/>
        <v>Required</v>
      </c>
      <c r="M7" s="62" t="s">
        <v>41</v>
      </c>
      <c r="N7" s="62">
        <v>2026</v>
      </c>
      <c r="O7" s="62" t="s">
        <v>42</v>
      </c>
      <c r="P7" s="63">
        <v>318</v>
      </c>
      <c r="Q7" s="63">
        <v>0</v>
      </c>
      <c r="R7" s="63"/>
      <c r="S7" s="63"/>
      <c r="T7" s="63"/>
      <c r="U7" s="63"/>
      <c r="V7" s="46"/>
    </row>
    <row r="8" spans="2:23" ht="50.1" customHeight="1">
      <c r="B8" s="46"/>
      <c r="C8" s="59" t="s">
        <v>43</v>
      </c>
      <c r="D8" s="60" t="s">
        <v>44</v>
      </c>
      <c r="E8" s="60" t="s">
        <v>45</v>
      </c>
      <c r="F8" s="74" t="str">
        <f>IFERROR(VLOOKUP(E8,'Data Validations'!$A$2:$B$13,2,0),"")</f>
        <v>Trent XWB</v>
      </c>
      <c r="G8" s="60" t="s">
        <v>46</v>
      </c>
      <c r="H8" s="60" t="s">
        <v>31</v>
      </c>
      <c r="I8" s="59" t="s">
        <v>32</v>
      </c>
      <c r="J8" s="60" t="s">
        <v>33</v>
      </c>
      <c r="K8" s="61" t="s">
        <v>47</v>
      </c>
      <c r="L8" s="72" t="str">
        <f t="shared" si="0"/>
        <v>Required</v>
      </c>
      <c r="M8" s="62" t="s">
        <v>35</v>
      </c>
      <c r="N8" s="62">
        <v>2026</v>
      </c>
      <c r="O8" s="62" t="s">
        <v>42</v>
      </c>
      <c r="P8" s="63">
        <v>294.10000000000002</v>
      </c>
      <c r="Q8" s="63" t="s">
        <v>48</v>
      </c>
      <c r="R8" s="63" t="s">
        <v>49</v>
      </c>
      <c r="S8" s="63" t="s">
        <v>49</v>
      </c>
      <c r="T8" s="63" t="s">
        <v>49</v>
      </c>
      <c r="U8" s="63" t="s">
        <v>49</v>
      </c>
      <c r="V8" s="46"/>
    </row>
    <row r="9" spans="2:23" ht="50.1" customHeight="1">
      <c r="B9" s="46"/>
      <c r="C9" s="59" t="s">
        <v>50</v>
      </c>
      <c r="D9" s="60" t="s">
        <v>51</v>
      </c>
      <c r="E9" s="60" t="s">
        <v>45</v>
      </c>
      <c r="F9" s="74" t="str">
        <f>IFERROR(VLOOKUP(E9,'Data Validations'!$A$2:$B$13,2,0),"")</f>
        <v>Trent XWB</v>
      </c>
      <c r="G9" s="60" t="s">
        <v>52</v>
      </c>
      <c r="H9" s="60" t="s">
        <v>31</v>
      </c>
      <c r="I9" s="59" t="s">
        <v>32</v>
      </c>
      <c r="J9" s="60" t="s">
        <v>33</v>
      </c>
      <c r="K9" s="61" t="s">
        <v>53</v>
      </c>
      <c r="L9" s="72" t="str">
        <f t="shared" si="0"/>
        <v>Required</v>
      </c>
      <c r="M9" s="62" t="s">
        <v>54</v>
      </c>
      <c r="N9" s="62">
        <v>2025</v>
      </c>
      <c r="O9" s="62"/>
      <c r="P9" s="63">
        <v>193</v>
      </c>
      <c r="Q9" s="79">
        <v>0</v>
      </c>
      <c r="R9" s="79" t="s">
        <v>55</v>
      </c>
      <c r="S9" s="79"/>
      <c r="T9" s="79"/>
      <c r="U9" s="79"/>
      <c r="V9" s="46"/>
    </row>
    <row r="10" spans="2:23" ht="50.1" customHeight="1">
      <c r="B10" s="46"/>
      <c r="C10" s="59" t="s">
        <v>43</v>
      </c>
      <c r="D10" s="60" t="s">
        <v>56</v>
      </c>
      <c r="E10" s="60" t="s">
        <v>45</v>
      </c>
      <c r="F10" s="74" t="str">
        <f>IFERROR(VLOOKUP(E10,'Data Validations'!$A$2:$B$13,2,0),"")</f>
        <v>Trent XWB</v>
      </c>
      <c r="G10" s="60" t="s">
        <v>57</v>
      </c>
      <c r="H10" s="60" t="s">
        <v>31</v>
      </c>
      <c r="I10" s="59" t="s">
        <v>32</v>
      </c>
      <c r="J10" s="60" t="s">
        <v>58</v>
      </c>
      <c r="K10" s="61" t="s">
        <v>59</v>
      </c>
      <c r="L10" s="72" t="str">
        <f t="shared" si="0"/>
        <v>Required</v>
      </c>
      <c r="M10" s="62" t="s">
        <v>60</v>
      </c>
      <c r="N10" s="62">
        <v>2026</v>
      </c>
      <c r="O10" s="62" t="s">
        <v>61</v>
      </c>
      <c r="P10" s="63">
        <f>236-5</f>
        <v>231</v>
      </c>
      <c r="Q10" s="63">
        <v>24</v>
      </c>
      <c r="R10" s="63" t="s">
        <v>49</v>
      </c>
      <c r="S10" s="63" t="s">
        <v>49</v>
      </c>
      <c r="T10" s="63" t="s">
        <v>49</v>
      </c>
      <c r="U10" s="63" t="s">
        <v>49</v>
      </c>
      <c r="V10" s="46"/>
    </row>
    <row r="11" spans="2:23" ht="50.1" customHeight="1">
      <c r="B11" s="46"/>
      <c r="C11" s="59" t="s">
        <v>43</v>
      </c>
      <c r="D11" s="60" t="s">
        <v>62</v>
      </c>
      <c r="E11" s="60" t="s">
        <v>45</v>
      </c>
      <c r="F11" s="74" t="str">
        <f>IFERROR(VLOOKUP(E11,'Data Validations'!$A$2:$B$13,2,0),"")</f>
        <v>Trent XWB</v>
      </c>
      <c r="G11" s="60" t="s">
        <v>57</v>
      </c>
      <c r="H11" s="60" t="s">
        <v>31</v>
      </c>
      <c r="I11" s="59" t="s">
        <v>32</v>
      </c>
      <c r="J11" s="60" t="s">
        <v>33</v>
      </c>
      <c r="K11" s="61" t="s">
        <v>63</v>
      </c>
      <c r="L11" s="72" t="str">
        <f t="shared" si="0"/>
        <v>Required</v>
      </c>
      <c r="M11" s="62" t="s">
        <v>35</v>
      </c>
      <c r="N11" s="62">
        <v>2026</v>
      </c>
      <c r="O11" s="62" t="s">
        <v>36</v>
      </c>
      <c r="P11" s="63">
        <v>186</v>
      </c>
      <c r="Q11" s="76">
        <v>10</v>
      </c>
      <c r="R11" s="76">
        <v>6</v>
      </c>
      <c r="S11" s="76">
        <v>7</v>
      </c>
      <c r="T11" s="76">
        <v>20</v>
      </c>
      <c r="U11" s="76">
        <v>9</v>
      </c>
      <c r="V11" s="46"/>
    </row>
    <row r="12" spans="2:23" ht="50.1" customHeight="1">
      <c r="B12" s="46"/>
      <c r="C12" s="59" t="s">
        <v>43</v>
      </c>
      <c r="D12" s="60" t="s">
        <v>56</v>
      </c>
      <c r="E12" s="60" t="s">
        <v>64</v>
      </c>
      <c r="F12" s="74" t="str">
        <f>IFERROR(VLOOKUP(E12,'Data Validations'!$A$2:$B$13,2,0),"")</f>
        <v>TFAME</v>
      </c>
      <c r="G12" s="60" t="s">
        <v>57</v>
      </c>
      <c r="H12" s="60" t="s">
        <v>31</v>
      </c>
      <c r="I12" s="59" t="s">
        <v>65</v>
      </c>
      <c r="J12" s="60" t="s">
        <v>58</v>
      </c>
      <c r="K12" s="61" t="s">
        <v>66</v>
      </c>
      <c r="L12" s="72" t="str">
        <f t="shared" si="0"/>
        <v>Required</v>
      </c>
      <c r="M12" s="62" t="s">
        <v>67</v>
      </c>
      <c r="N12" s="62">
        <v>2026</v>
      </c>
      <c r="O12" s="62" t="s">
        <v>42</v>
      </c>
      <c r="P12" s="63">
        <v>80</v>
      </c>
      <c r="Q12" s="63">
        <v>80</v>
      </c>
      <c r="R12" s="63" t="s">
        <v>68</v>
      </c>
      <c r="S12" s="63" t="s">
        <v>68</v>
      </c>
      <c r="T12" s="63" t="s">
        <v>68</v>
      </c>
      <c r="U12" s="63" t="s">
        <v>68</v>
      </c>
      <c r="V12" s="46"/>
    </row>
    <row r="13" spans="2:23" ht="50.1" customHeight="1">
      <c r="B13" s="46"/>
      <c r="C13" s="59" t="s">
        <v>50</v>
      </c>
      <c r="D13" s="60" t="s">
        <v>51</v>
      </c>
      <c r="E13" s="60" t="s">
        <v>69</v>
      </c>
      <c r="F13" s="74" t="s">
        <v>69</v>
      </c>
      <c r="G13" s="60" t="s">
        <v>52</v>
      </c>
      <c r="H13" s="60" t="s">
        <v>31</v>
      </c>
      <c r="I13" s="59" t="s">
        <v>32</v>
      </c>
      <c r="J13" s="60" t="s">
        <v>33</v>
      </c>
      <c r="K13" s="61" t="s">
        <v>70</v>
      </c>
      <c r="L13" s="72" t="str">
        <f t="shared" si="0"/>
        <v>Required</v>
      </c>
      <c r="M13" s="62" t="s">
        <v>71</v>
      </c>
      <c r="N13" s="62">
        <v>2026</v>
      </c>
      <c r="O13" s="62" t="s">
        <v>72</v>
      </c>
      <c r="P13" s="63">
        <v>73</v>
      </c>
      <c r="Q13" s="63">
        <v>0</v>
      </c>
      <c r="R13" s="63" t="s">
        <v>55</v>
      </c>
      <c r="S13" s="63"/>
      <c r="T13" s="63"/>
      <c r="U13" s="63"/>
      <c r="V13" s="46"/>
    </row>
    <row r="14" spans="2:23" ht="50.1" customHeight="1">
      <c r="B14" s="46"/>
      <c r="C14" s="59" t="s">
        <v>73</v>
      </c>
      <c r="D14" s="60" t="s">
        <v>74</v>
      </c>
      <c r="E14" s="60" t="s">
        <v>75</v>
      </c>
      <c r="F14" s="74" t="str">
        <f>IFERROR(VLOOKUP(E14,'Data Validations'!$A$2:$B$13,2,0),"")</f>
        <v>Trent XWB</v>
      </c>
      <c r="G14" s="60" t="s">
        <v>76</v>
      </c>
      <c r="H14" s="60" t="s">
        <v>31</v>
      </c>
      <c r="I14" s="59" t="s">
        <v>32</v>
      </c>
      <c r="J14" s="60" t="s">
        <v>33</v>
      </c>
      <c r="K14" s="61" t="s">
        <v>77</v>
      </c>
      <c r="L14" s="72" t="str">
        <f t="shared" si="0"/>
        <v>Required</v>
      </c>
      <c r="M14" s="62" t="s">
        <v>35</v>
      </c>
      <c r="N14" s="62">
        <v>2026</v>
      </c>
      <c r="O14" s="62" t="s">
        <v>36</v>
      </c>
      <c r="P14" s="63">
        <v>330</v>
      </c>
      <c r="Q14" s="63"/>
      <c r="R14" s="63"/>
      <c r="S14" s="63"/>
      <c r="T14" s="63"/>
      <c r="U14" s="63"/>
      <c r="V14" s="46"/>
    </row>
    <row r="15" spans="2:23" ht="50.1" customHeight="1">
      <c r="B15" s="46"/>
      <c r="C15" s="59" t="s">
        <v>43</v>
      </c>
      <c r="D15" s="60" t="s">
        <v>78</v>
      </c>
      <c r="E15" s="60" t="s">
        <v>79</v>
      </c>
      <c r="F15" s="74" t="str">
        <f>IFERROR(VLOOKUP(E15,'Data Validations'!$A$2:$B$13,2,0),"")</f>
        <v>TFAME</v>
      </c>
      <c r="G15" s="60" t="s">
        <v>80</v>
      </c>
      <c r="H15" s="60" t="s">
        <v>31</v>
      </c>
      <c r="I15" s="59" t="s">
        <v>32</v>
      </c>
      <c r="J15" s="60" t="s">
        <v>33</v>
      </c>
      <c r="K15" s="61" t="s">
        <v>81</v>
      </c>
      <c r="L15" s="72" t="str">
        <f>IF(C15="","",IF(AND(OR(H15="Full Contract Restructure"),P15&gt;9.9),"Required","Not Required"))</f>
        <v>Required</v>
      </c>
      <c r="M15" s="62" t="s">
        <v>35</v>
      </c>
      <c r="N15" s="62">
        <v>2026</v>
      </c>
      <c r="O15" s="62" t="s">
        <v>36</v>
      </c>
      <c r="P15" s="63">
        <f>150/1.44</f>
        <v>104.16666666666667</v>
      </c>
      <c r="Q15" s="63">
        <v>20</v>
      </c>
      <c r="R15" s="63">
        <v>2</v>
      </c>
      <c r="S15" s="63">
        <v>1</v>
      </c>
      <c r="T15" s="63">
        <v>8</v>
      </c>
      <c r="U15" s="63">
        <v>15</v>
      </c>
      <c r="V15" s="46"/>
    </row>
    <row r="16" spans="2:23" ht="50.1" customHeight="1">
      <c r="B16" s="46"/>
      <c r="C16" s="59" t="s">
        <v>73</v>
      </c>
      <c r="D16" s="60" t="s">
        <v>82</v>
      </c>
      <c r="E16" s="60" t="s">
        <v>45</v>
      </c>
      <c r="F16" s="74" t="str">
        <f>IFERROR(VLOOKUP(E16,'Data Validations'!$A$2:$B$13,2,0),"")</f>
        <v>Trent XWB</v>
      </c>
      <c r="G16" s="60" t="s">
        <v>83</v>
      </c>
      <c r="H16" s="60" t="s">
        <v>84</v>
      </c>
      <c r="I16" s="59" t="s">
        <v>32</v>
      </c>
      <c r="J16" s="60" t="s">
        <v>33</v>
      </c>
      <c r="K16" s="61" t="s">
        <v>85</v>
      </c>
      <c r="L16" s="72" t="str">
        <f t="shared" si="0"/>
        <v>Not Required</v>
      </c>
      <c r="M16" s="62" t="s">
        <v>67</v>
      </c>
      <c r="N16" s="62">
        <v>2026</v>
      </c>
      <c r="O16" s="62"/>
      <c r="P16" s="63"/>
      <c r="Q16" s="63"/>
      <c r="R16" s="63"/>
      <c r="S16" s="63"/>
      <c r="T16" s="63"/>
      <c r="U16" s="63"/>
      <c r="V16" s="46"/>
    </row>
    <row r="17" spans="2:22" ht="50.1" customHeight="1">
      <c r="B17" s="46"/>
      <c r="C17" s="59" t="s">
        <v>73</v>
      </c>
      <c r="D17" s="60" t="s">
        <v>74</v>
      </c>
      <c r="E17" s="60" t="s">
        <v>64</v>
      </c>
      <c r="F17" s="74" t="str">
        <f>IFERROR(VLOOKUP(E17,'Data Validations'!$A$2:$B$13,2,0),"")</f>
        <v>TFAME</v>
      </c>
      <c r="G17" s="60" t="s">
        <v>76</v>
      </c>
      <c r="H17" s="60" t="s">
        <v>31</v>
      </c>
      <c r="I17" s="59" t="s">
        <v>32</v>
      </c>
      <c r="J17" s="60" t="s">
        <v>58</v>
      </c>
      <c r="K17" s="61" t="s">
        <v>86</v>
      </c>
      <c r="L17" s="72" t="str">
        <f t="shared" si="0"/>
        <v>Required</v>
      </c>
      <c r="M17" s="62" t="s">
        <v>35</v>
      </c>
      <c r="N17" s="62">
        <v>2026</v>
      </c>
      <c r="O17" s="62" t="s">
        <v>36</v>
      </c>
      <c r="P17" s="63">
        <v>303</v>
      </c>
      <c r="Q17" s="63">
        <v>35</v>
      </c>
      <c r="R17" s="63"/>
      <c r="S17" s="63"/>
      <c r="T17" s="63"/>
      <c r="U17" s="63"/>
      <c r="V17" s="46"/>
    </row>
    <row r="18" spans="2:22" ht="50.1" customHeight="1">
      <c r="B18" s="46"/>
      <c r="C18" s="59" t="s">
        <v>27</v>
      </c>
      <c r="D18" s="60" t="s">
        <v>87</v>
      </c>
      <c r="E18" s="60" t="s">
        <v>79</v>
      </c>
      <c r="F18" s="74" t="str">
        <f>IFERROR(VLOOKUP(E18,'Data Validations'!$A$2:$B$13,2,0),"")</f>
        <v>TFAME</v>
      </c>
      <c r="G18" s="60" t="s">
        <v>88</v>
      </c>
      <c r="H18" s="60" t="s">
        <v>31</v>
      </c>
      <c r="I18" s="59" t="s">
        <v>32</v>
      </c>
      <c r="J18" s="60" t="s">
        <v>33</v>
      </c>
      <c r="K18" s="61" t="s">
        <v>89</v>
      </c>
      <c r="L18" s="72" t="str">
        <f t="shared" si="0"/>
        <v>Required</v>
      </c>
      <c r="M18" s="62" t="s">
        <v>54</v>
      </c>
      <c r="N18" s="62">
        <v>2025</v>
      </c>
      <c r="O18" s="62" t="s">
        <v>90</v>
      </c>
      <c r="P18" s="63">
        <v>53.2</v>
      </c>
      <c r="Q18" s="63">
        <v>7.6</v>
      </c>
      <c r="R18" s="63">
        <v>7.6</v>
      </c>
      <c r="S18" s="63">
        <v>7.6</v>
      </c>
      <c r="T18" s="63">
        <v>7.6</v>
      </c>
      <c r="U18" s="63">
        <v>7.6</v>
      </c>
      <c r="V18" s="46"/>
    </row>
    <row r="19" spans="2:22" ht="50.1" customHeight="1">
      <c r="B19" s="46"/>
      <c r="C19" s="59" t="s">
        <v>50</v>
      </c>
      <c r="D19" s="60" t="s">
        <v>91</v>
      </c>
      <c r="E19" s="60" t="s">
        <v>45</v>
      </c>
      <c r="F19" s="74" t="str">
        <f>IFERROR(VLOOKUP(E19,'Data Validations'!$A$2:$B$13,2,0),"")</f>
        <v>Trent XWB</v>
      </c>
      <c r="G19" s="60" t="s">
        <v>92</v>
      </c>
      <c r="H19" s="60" t="s">
        <v>31</v>
      </c>
      <c r="I19" s="59" t="s">
        <v>32</v>
      </c>
      <c r="J19" s="60" t="s">
        <v>33</v>
      </c>
      <c r="K19" s="61" t="s">
        <v>93</v>
      </c>
      <c r="L19" s="72" t="str">
        <f t="shared" si="0"/>
        <v>Not Required</v>
      </c>
      <c r="M19" s="62" t="s">
        <v>60</v>
      </c>
      <c r="N19" s="62">
        <v>2026</v>
      </c>
      <c r="O19" s="62" t="s">
        <v>94</v>
      </c>
      <c r="P19" s="63"/>
      <c r="Q19" s="63">
        <v>15</v>
      </c>
      <c r="R19" s="63">
        <v>39</v>
      </c>
      <c r="S19" s="63">
        <v>16</v>
      </c>
      <c r="T19" s="63">
        <v>16</v>
      </c>
      <c r="U19" s="63">
        <v>11</v>
      </c>
      <c r="V19" s="46"/>
    </row>
    <row r="20" spans="2:22" ht="50.1" customHeight="1">
      <c r="B20" s="46"/>
      <c r="C20" s="59" t="s">
        <v>50</v>
      </c>
      <c r="D20" s="60" t="s">
        <v>95</v>
      </c>
      <c r="E20" s="60" t="s">
        <v>75</v>
      </c>
      <c r="F20" s="74" t="str">
        <f>IFERROR(VLOOKUP(E20,'Data Validations'!$A$2:$B$13,2,0),"")</f>
        <v>Trent XWB</v>
      </c>
      <c r="G20" s="60" t="s">
        <v>96</v>
      </c>
      <c r="H20" s="60" t="s">
        <v>97</v>
      </c>
      <c r="I20" s="59" t="s">
        <v>32</v>
      </c>
      <c r="J20" s="60" t="s">
        <v>33</v>
      </c>
      <c r="K20" s="61" t="s">
        <v>98</v>
      </c>
      <c r="L20" s="72" t="str">
        <f t="shared" si="0"/>
        <v>Not Required</v>
      </c>
      <c r="M20" s="62" t="s">
        <v>54</v>
      </c>
      <c r="N20" s="62">
        <v>2025</v>
      </c>
      <c r="O20" s="62"/>
      <c r="P20" s="63">
        <f>3.2/1.38</f>
        <v>2.3188405797101455</v>
      </c>
      <c r="Q20" s="63">
        <v>2.3199999999999998</v>
      </c>
      <c r="R20" s="63"/>
      <c r="S20" s="63"/>
      <c r="T20" s="63"/>
      <c r="U20" s="63"/>
      <c r="V20" s="46"/>
    </row>
    <row r="21" spans="2:22" ht="50.1" customHeight="1">
      <c r="B21" s="46"/>
      <c r="C21" s="59" t="s">
        <v>50</v>
      </c>
      <c r="D21" s="60" t="s">
        <v>51</v>
      </c>
      <c r="E21" s="60" t="s">
        <v>45</v>
      </c>
      <c r="F21" s="74" t="str">
        <f>IFERROR(VLOOKUP(E21,'Data Validations'!$A$2:$B$13,2,0),"")</f>
        <v>Trent XWB</v>
      </c>
      <c r="G21" s="60" t="s">
        <v>52</v>
      </c>
      <c r="H21" s="60" t="s">
        <v>97</v>
      </c>
      <c r="I21" s="59" t="s">
        <v>65</v>
      </c>
      <c r="J21" s="60" t="s">
        <v>33</v>
      </c>
      <c r="K21" s="61" t="s">
        <v>99</v>
      </c>
      <c r="L21" s="72" t="str">
        <f t="shared" si="0"/>
        <v>Not Required</v>
      </c>
      <c r="M21" s="62" t="s">
        <v>100</v>
      </c>
      <c r="N21" s="62">
        <v>2027</v>
      </c>
      <c r="O21" s="62"/>
      <c r="P21" s="63">
        <v>33</v>
      </c>
      <c r="Q21" s="63">
        <v>0</v>
      </c>
      <c r="R21" s="63" t="s">
        <v>55</v>
      </c>
      <c r="S21" s="63"/>
      <c r="T21" s="63"/>
      <c r="U21" s="63"/>
      <c r="V21" s="46"/>
    </row>
    <row r="22" spans="2:22" ht="50.1" customHeight="1">
      <c r="B22" s="46"/>
      <c r="C22" s="59" t="s">
        <v>50</v>
      </c>
      <c r="D22" s="60" t="s">
        <v>91</v>
      </c>
      <c r="E22" s="60" t="s">
        <v>75</v>
      </c>
      <c r="F22" s="74" t="str">
        <f>IFERROR(VLOOKUP(E22,'Data Validations'!$A$2:$B$13,2,0),"")</f>
        <v>Trent XWB</v>
      </c>
      <c r="G22" s="60" t="s">
        <v>92</v>
      </c>
      <c r="H22" s="60" t="s">
        <v>31</v>
      </c>
      <c r="I22" s="59" t="s">
        <v>65</v>
      </c>
      <c r="J22" s="60" t="s">
        <v>33</v>
      </c>
      <c r="K22" s="61" t="s">
        <v>101</v>
      </c>
      <c r="L22" s="72" t="str">
        <f>IF(C22="","",IF(AND(OR(H22="Full Contract Restructure"),P22&gt;9.9),"Required","Not Required"))</f>
        <v>Not Required</v>
      </c>
      <c r="M22" s="62" t="s">
        <v>100</v>
      </c>
      <c r="N22" s="62">
        <v>2027</v>
      </c>
      <c r="O22" s="62"/>
      <c r="P22" s="63"/>
      <c r="Q22" s="63"/>
      <c r="R22" s="63"/>
      <c r="S22" s="63"/>
      <c r="T22" s="63"/>
      <c r="U22" s="63"/>
      <c r="V22" s="46"/>
    </row>
    <row r="23" spans="2:22" ht="50.1" customHeight="1">
      <c r="B23" s="46"/>
      <c r="C23" s="59" t="s">
        <v>50</v>
      </c>
      <c r="D23" s="60" t="s">
        <v>102</v>
      </c>
      <c r="E23" s="60" t="s">
        <v>45</v>
      </c>
      <c r="F23" s="74" t="str">
        <f>IFERROR(VLOOKUP(E23,'Data Validations'!$A$2:$B$13,2,0),"")</f>
        <v>Trent XWB</v>
      </c>
      <c r="G23" s="60" t="s">
        <v>96</v>
      </c>
      <c r="H23" s="60" t="s">
        <v>97</v>
      </c>
      <c r="I23" s="59" t="s">
        <v>32</v>
      </c>
      <c r="J23" s="60" t="s">
        <v>33</v>
      </c>
      <c r="K23" s="61" t="s">
        <v>103</v>
      </c>
      <c r="L23" s="72" t="str">
        <f>IF(C23="","",IF(AND(OR(H23="Full Contract Restructure"),P23&gt;9.9),"Required","Not Required"))</f>
        <v>Not Required</v>
      </c>
      <c r="M23" s="62" t="s">
        <v>67</v>
      </c>
      <c r="N23" s="62">
        <v>2026</v>
      </c>
      <c r="O23" s="62"/>
      <c r="P23" s="63"/>
      <c r="Q23" s="63">
        <v>0</v>
      </c>
      <c r="R23" s="63"/>
      <c r="S23" s="63"/>
      <c r="T23" s="63"/>
      <c r="U23" s="63"/>
      <c r="V23" s="46"/>
    </row>
    <row r="24" spans="2:22" ht="50.1" customHeight="1">
      <c r="B24" s="46"/>
      <c r="C24" s="59" t="s">
        <v>73</v>
      </c>
      <c r="D24" s="60" t="s">
        <v>104</v>
      </c>
      <c r="E24" s="60" t="s">
        <v>45</v>
      </c>
      <c r="F24" s="74" t="str">
        <f>IFERROR(VLOOKUP(E24,'Data Validations'!$A$2:$B$13,2,0),"")</f>
        <v>Trent XWB</v>
      </c>
      <c r="G24" s="60" t="s">
        <v>83</v>
      </c>
      <c r="H24" s="60" t="s">
        <v>97</v>
      </c>
      <c r="I24" s="59" t="s">
        <v>32</v>
      </c>
      <c r="J24" s="60" t="s">
        <v>33</v>
      </c>
      <c r="K24" s="61" t="s">
        <v>105</v>
      </c>
      <c r="L24" s="72" t="str">
        <f t="shared" si="0"/>
        <v>Not Required</v>
      </c>
      <c r="M24" s="62" t="s">
        <v>54</v>
      </c>
      <c r="N24" s="62">
        <v>2025</v>
      </c>
      <c r="O24" s="62"/>
      <c r="P24" s="63"/>
      <c r="Q24" s="63"/>
      <c r="R24" s="63"/>
      <c r="S24" s="63"/>
      <c r="T24" s="63"/>
      <c r="U24" s="63"/>
      <c r="V24" s="46"/>
    </row>
    <row r="25" spans="2:22" ht="50.1" customHeight="1">
      <c r="B25" s="46"/>
      <c r="C25" s="59" t="s">
        <v>27</v>
      </c>
      <c r="D25" s="60" t="s">
        <v>106</v>
      </c>
      <c r="E25" s="60" t="s">
        <v>79</v>
      </c>
      <c r="F25" s="74" t="str">
        <f>IFERROR(VLOOKUP(E25,'Data Validations'!$A$2:$B$13,2,0),"")</f>
        <v>TFAME</v>
      </c>
      <c r="G25" s="60" t="s">
        <v>39</v>
      </c>
      <c r="H25" s="60"/>
      <c r="I25" s="59" t="s">
        <v>65</v>
      </c>
      <c r="J25" s="60" t="s">
        <v>33</v>
      </c>
      <c r="K25" s="61" t="s">
        <v>107</v>
      </c>
      <c r="L25" s="72" t="str">
        <f t="shared" si="0"/>
        <v>Not Required</v>
      </c>
      <c r="M25" s="62"/>
      <c r="N25" s="62"/>
      <c r="O25" s="62"/>
      <c r="P25" s="63">
        <v>15</v>
      </c>
      <c r="Q25" s="63">
        <f>0.001</f>
        <v>1E-3</v>
      </c>
      <c r="R25" s="63">
        <f>0.001</f>
        <v>1E-3</v>
      </c>
      <c r="S25" s="63">
        <v>5</v>
      </c>
      <c r="T25" s="63">
        <v>5</v>
      </c>
      <c r="U25" s="63">
        <v>5</v>
      </c>
      <c r="V25" s="46"/>
    </row>
    <row r="26" spans="2:22" ht="50.1" customHeight="1">
      <c r="B26" s="46"/>
      <c r="C26" s="59" t="s">
        <v>73</v>
      </c>
      <c r="D26" s="60" t="s">
        <v>108</v>
      </c>
      <c r="E26" s="60" t="s">
        <v>45</v>
      </c>
      <c r="F26" s="74" t="str">
        <f>IFERROR(VLOOKUP(E26,'Data Validations'!$A$2:$B$13,2,0),"")</f>
        <v>Trent XWB</v>
      </c>
      <c r="G26" s="60" t="s">
        <v>109</v>
      </c>
      <c r="H26" s="60" t="s">
        <v>97</v>
      </c>
      <c r="I26" s="59" t="s">
        <v>32</v>
      </c>
      <c r="J26" s="60" t="s">
        <v>33</v>
      </c>
      <c r="K26" s="61" t="s">
        <v>110</v>
      </c>
      <c r="L26" s="72" t="str">
        <f t="shared" si="0"/>
        <v>Not Required</v>
      </c>
      <c r="M26" s="62" t="s">
        <v>111</v>
      </c>
      <c r="N26" s="62">
        <v>2026</v>
      </c>
      <c r="O26" s="62" t="s">
        <v>61</v>
      </c>
      <c r="P26" s="63">
        <v>14</v>
      </c>
      <c r="Q26" s="63"/>
      <c r="R26" s="63"/>
      <c r="S26" s="63"/>
      <c r="T26" s="63"/>
      <c r="U26" s="63"/>
      <c r="V26" s="46"/>
    </row>
    <row r="27" spans="2:22" ht="50.1" customHeight="1">
      <c r="B27" s="46"/>
      <c r="C27" s="59" t="s">
        <v>43</v>
      </c>
      <c r="D27" s="60" t="s">
        <v>112</v>
      </c>
      <c r="E27" s="60" t="s">
        <v>64</v>
      </c>
      <c r="F27" s="74" t="str">
        <f>IFERROR(VLOOKUP(E27,'Data Validations'!$A$2:$B$13,2,0),"")</f>
        <v>TFAME</v>
      </c>
      <c r="G27" s="60" t="s">
        <v>80</v>
      </c>
      <c r="H27" s="60"/>
      <c r="I27" s="59" t="s">
        <v>32</v>
      </c>
      <c r="J27" s="60" t="s">
        <v>58</v>
      </c>
      <c r="K27" s="61" t="s">
        <v>113</v>
      </c>
      <c r="L27" s="72" t="str">
        <f t="shared" si="0"/>
        <v>Not Required</v>
      </c>
      <c r="M27" s="62" t="s">
        <v>67</v>
      </c>
      <c r="N27" s="62"/>
      <c r="O27" s="62"/>
      <c r="P27" s="63">
        <v>13</v>
      </c>
      <c r="Q27" s="63">
        <v>4</v>
      </c>
      <c r="R27" s="63" t="s">
        <v>68</v>
      </c>
      <c r="S27" s="63" t="s">
        <v>68</v>
      </c>
      <c r="T27" s="63" t="s">
        <v>68</v>
      </c>
      <c r="U27" s="63" t="s">
        <v>68</v>
      </c>
      <c r="V27" s="46"/>
    </row>
    <row r="28" spans="2:22" ht="50.1" customHeight="1">
      <c r="B28" s="46"/>
      <c r="C28" s="59" t="s">
        <v>50</v>
      </c>
      <c r="D28" s="60" t="s">
        <v>114</v>
      </c>
      <c r="E28" s="60" t="s">
        <v>79</v>
      </c>
      <c r="F28" s="74" t="str">
        <f>IFERROR(VLOOKUP(E28,'Data Validations'!$A$2:$B$13,2,0),"")</f>
        <v>TFAME</v>
      </c>
      <c r="G28" s="60" t="s">
        <v>115</v>
      </c>
      <c r="H28" s="60" t="s">
        <v>31</v>
      </c>
      <c r="I28" s="59" t="s">
        <v>65</v>
      </c>
      <c r="J28" s="60" t="s">
        <v>33</v>
      </c>
      <c r="K28" s="61" t="s">
        <v>116</v>
      </c>
      <c r="L28" s="72" t="str">
        <f t="shared" si="0"/>
        <v>Not Required</v>
      </c>
      <c r="M28" s="62" t="s">
        <v>100</v>
      </c>
      <c r="N28" s="62">
        <v>2027</v>
      </c>
      <c r="O28" s="62"/>
      <c r="P28" s="63"/>
      <c r="Q28" s="63">
        <v>0</v>
      </c>
      <c r="R28" s="63">
        <v>0</v>
      </c>
      <c r="S28" s="63"/>
      <c r="T28" s="63"/>
      <c r="U28" s="63"/>
      <c r="V28" s="46"/>
    </row>
    <row r="29" spans="2:22" ht="50.1" customHeight="1">
      <c r="B29" s="46"/>
      <c r="C29" s="59" t="s">
        <v>73</v>
      </c>
      <c r="D29" s="60" t="s">
        <v>117</v>
      </c>
      <c r="E29" s="60" t="s">
        <v>64</v>
      </c>
      <c r="F29" s="74" t="str">
        <f>IFERROR(VLOOKUP(E29,'Data Validations'!$A$2:$B$13,2,0),"")</f>
        <v>TFAME</v>
      </c>
      <c r="G29" s="60" t="s">
        <v>118</v>
      </c>
      <c r="H29" s="60" t="s">
        <v>84</v>
      </c>
      <c r="I29" s="59" t="s">
        <v>65</v>
      </c>
      <c r="J29" s="60" t="s">
        <v>33</v>
      </c>
      <c r="K29" s="61" t="s">
        <v>119</v>
      </c>
      <c r="L29" s="72" t="str">
        <f t="shared" si="0"/>
        <v>Not Required</v>
      </c>
      <c r="M29" s="62" t="s">
        <v>35</v>
      </c>
      <c r="N29" s="62">
        <v>2026</v>
      </c>
      <c r="O29" s="62" t="s">
        <v>36</v>
      </c>
      <c r="P29" s="64">
        <v>10</v>
      </c>
      <c r="Q29" s="63"/>
      <c r="R29" s="63"/>
      <c r="S29" s="63"/>
      <c r="T29" s="63"/>
      <c r="U29" s="63"/>
      <c r="V29" s="46"/>
    </row>
    <row r="30" spans="2:22" ht="50.1" customHeight="1">
      <c r="B30" s="46"/>
      <c r="C30" s="59" t="s">
        <v>73</v>
      </c>
      <c r="D30" s="60" t="s">
        <v>120</v>
      </c>
      <c r="E30" s="60" t="s">
        <v>121</v>
      </c>
      <c r="F30" s="74" t="str">
        <f>IFERROR(VLOOKUP(E30,'Data Validations'!$A$2:$B$13,2,0),"")</f>
        <v>TFAME</v>
      </c>
      <c r="G30" s="60" t="s">
        <v>122</v>
      </c>
      <c r="H30" s="60" t="s">
        <v>84</v>
      </c>
      <c r="I30" s="59" t="s">
        <v>32</v>
      </c>
      <c r="J30" s="60" t="s">
        <v>33</v>
      </c>
      <c r="K30" s="61" t="s">
        <v>123</v>
      </c>
      <c r="L30" s="72" t="str">
        <f t="shared" si="0"/>
        <v>Not Required</v>
      </c>
      <c r="M30" s="62" t="s">
        <v>60</v>
      </c>
      <c r="N30" s="62">
        <v>2026</v>
      </c>
      <c r="O30" s="62"/>
      <c r="P30" s="63">
        <f>12.9/1.38</f>
        <v>9.3478260869565233</v>
      </c>
      <c r="Q30" s="63"/>
      <c r="R30" s="63"/>
      <c r="S30" s="63"/>
      <c r="T30" s="63"/>
      <c r="U30" s="63"/>
      <c r="V30" s="46"/>
    </row>
    <row r="31" spans="2:22" ht="50.1" customHeight="1">
      <c r="B31" s="46"/>
      <c r="C31" s="59" t="s">
        <v>73</v>
      </c>
      <c r="D31" s="60" t="s">
        <v>124</v>
      </c>
      <c r="E31" s="60" t="s">
        <v>121</v>
      </c>
      <c r="F31" s="74" t="str">
        <f>IFERROR(VLOOKUP(E31,'Data Validations'!$A$2:$B$13,2,0),"")</f>
        <v>TFAME</v>
      </c>
      <c r="G31" s="60" t="s">
        <v>125</v>
      </c>
      <c r="H31" s="60" t="s">
        <v>84</v>
      </c>
      <c r="I31" s="59" t="s">
        <v>32</v>
      </c>
      <c r="J31" s="60" t="s">
        <v>33</v>
      </c>
      <c r="K31" s="61" t="s">
        <v>126</v>
      </c>
      <c r="L31" s="72" t="str">
        <f t="shared" si="0"/>
        <v>Not Required</v>
      </c>
      <c r="M31" s="62" t="s">
        <v>111</v>
      </c>
      <c r="N31" s="62">
        <v>2026</v>
      </c>
      <c r="O31" s="62"/>
      <c r="P31" s="63">
        <v>6</v>
      </c>
      <c r="Q31" s="63"/>
      <c r="R31" s="63"/>
      <c r="S31" s="63"/>
      <c r="T31" s="63"/>
      <c r="U31" s="63"/>
      <c r="V31" s="46"/>
    </row>
    <row r="32" spans="2:22" ht="50.1" customHeight="1">
      <c r="B32" s="46"/>
      <c r="C32" s="59" t="s">
        <v>50</v>
      </c>
      <c r="D32" s="60" t="s">
        <v>127</v>
      </c>
      <c r="E32" s="60" t="s">
        <v>64</v>
      </c>
      <c r="F32" s="74" t="str">
        <f>IFERROR(VLOOKUP(E32,'Data Validations'!$A$2:$B$13,2,0),"")</f>
        <v>TFAME</v>
      </c>
      <c r="G32" s="60" t="s">
        <v>128</v>
      </c>
      <c r="H32" s="60" t="s">
        <v>31</v>
      </c>
      <c r="I32" s="59" t="s">
        <v>32</v>
      </c>
      <c r="J32" s="60" t="s">
        <v>33</v>
      </c>
      <c r="K32" s="61" t="s">
        <v>129</v>
      </c>
      <c r="L32" s="72" t="str">
        <f t="shared" si="0"/>
        <v>Required</v>
      </c>
      <c r="M32" s="62" t="s">
        <v>35</v>
      </c>
      <c r="N32" s="62">
        <v>2026</v>
      </c>
      <c r="O32" s="62" t="s">
        <v>36</v>
      </c>
      <c r="P32" s="63">
        <v>32.299999999999997</v>
      </c>
      <c r="Q32" s="63">
        <v>-7.4</v>
      </c>
      <c r="R32" s="63">
        <v>2.5</v>
      </c>
      <c r="S32" s="63">
        <v>3.4</v>
      </c>
      <c r="T32" s="63">
        <v>4.5999999999999996</v>
      </c>
      <c r="U32" s="63">
        <v>4.0999999999999996</v>
      </c>
      <c r="V32" s="46"/>
    </row>
    <row r="33" spans="2:22" ht="50.1" customHeight="1">
      <c r="B33" s="46"/>
      <c r="C33" s="59" t="s">
        <v>50</v>
      </c>
      <c r="D33" s="60" t="s">
        <v>130</v>
      </c>
      <c r="E33" s="60" t="s">
        <v>79</v>
      </c>
      <c r="F33" s="74" t="str">
        <f>IFERROR(VLOOKUP(E33,'Data Validations'!$A$2:$B$13,2,0),"")</f>
        <v>TFAME</v>
      </c>
      <c r="G33" s="60" t="s">
        <v>96</v>
      </c>
      <c r="H33" s="60" t="s">
        <v>31</v>
      </c>
      <c r="I33" s="59" t="s">
        <v>65</v>
      </c>
      <c r="J33" s="60" t="s">
        <v>33</v>
      </c>
      <c r="K33" s="61" t="s">
        <v>131</v>
      </c>
      <c r="L33" s="72" t="str">
        <f t="shared" ref="L33:L58" si="1">IF(C33="","",IF(AND(OR(H33="Full Contract Restructure"),P33&gt;9.9),"Required","Not Required"))</f>
        <v>Not Required</v>
      </c>
      <c r="M33" s="62" t="s">
        <v>100</v>
      </c>
      <c r="N33" s="62">
        <v>2026</v>
      </c>
      <c r="O33" s="62"/>
      <c r="P33" s="63">
        <v>8.879999999999999</v>
      </c>
      <c r="Q33" s="63">
        <v>0</v>
      </c>
      <c r="R33" s="63">
        <v>0</v>
      </c>
      <c r="S33" s="63"/>
      <c r="T33" s="63"/>
      <c r="U33" s="63"/>
      <c r="V33" s="46"/>
    </row>
    <row r="34" spans="2:22" ht="50.1" customHeight="1">
      <c r="B34" s="46"/>
      <c r="C34" s="59" t="s">
        <v>50</v>
      </c>
      <c r="D34" s="60" t="s">
        <v>102</v>
      </c>
      <c r="E34" s="60" t="s">
        <v>45</v>
      </c>
      <c r="F34" s="74" t="str">
        <f>IFERROR(VLOOKUP(E34,'Data Validations'!$A$2:$B$13,2,0),"")</f>
        <v>Trent XWB</v>
      </c>
      <c r="G34" s="60" t="s">
        <v>96</v>
      </c>
      <c r="H34" s="60" t="s">
        <v>31</v>
      </c>
      <c r="I34" s="59" t="s">
        <v>32</v>
      </c>
      <c r="J34" s="60" t="s">
        <v>33</v>
      </c>
      <c r="K34" s="61" t="s">
        <v>132</v>
      </c>
      <c r="L34" s="72" t="str">
        <f>IF(C34="","",IF(AND(OR(H34="Full Contract Restructure"),P34&gt;9.9),"Required","Not Required"))</f>
        <v>Not Required</v>
      </c>
      <c r="M34" s="62" t="s">
        <v>67</v>
      </c>
      <c r="N34" s="62">
        <v>2026</v>
      </c>
      <c r="O34" s="62"/>
      <c r="P34" s="63"/>
      <c r="Q34" s="63">
        <v>0</v>
      </c>
      <c r="R34" s="63"/>
      <c r="S34" s="63"/>
      <c r="T34" s="63"/>
      <c r="U34" s="63"/>
      <c r="V34" s="46"/>
    </row>
    <row r="35" spans="2:22" ht="50.1" customHeight="1">
      <c r="B35" s="46"/>
      <c r="C35" s="59" t="s">
        <v>50</v>
      </c>
      <c r="D35" s="60" t="s">
        <v>133</v>
      </c>
      <c r="E35" s="60" t="s">
        <v>45</v>
      </c>
      <c r="F35" s="74" t="str">
        <f>IFERROR(VLOOKUP(E35,'Data Validations'!$A$2:$B$13,2,0),"")</f>
        <v>Trent XWB</v>
      </c>
      <c r="G35" s="60" t="s">
        <v>115</v>
      </c>
      <c r="H35" s="60" t="s">
        <v>31</v>
      </c>
      <c r="I35" s="59" t="s">
        <v>65</v>
      </c>
      <c r="J35" s="60" t="s">
        <v>33</v>
      </c>
      <c r="K35" s="61" t="s">
        <v>134</v>
      </c>
      <c r="L35" s="72" t="str">
        <f t="shared" si="1"/>
        <v>Not Required</v>
      </c>
      <c r="M35" s="62" t="s">
        <v>100</v>
      </c>
      <c r="N35" s="62">
        <v>2027</v>
      </c>
      <c r="O35" s="62"/>
      <c r="P35" s="63"/>
      <c r="Q35" s="63"/>
      <c r="R35" s="63"/>
      <c r="S35" s="63"/>
      <c r="T35" s="63"/>
      <c r="U35" s="63"/>
      <c r="V35" s="46"/>
    </row>
    <row r="36" spans="2:22" ht="50.1" customHeight="1">
      <c r="B36" s="46"/>
      <c r="C36" s="59" t="s">
        <v>135</v>
      </c>
      <c r="D36" s="60" t="s">
        <v>136</v>
      </c>
      <c r="E36" s="60" t="s">
        <v>79</v>
      </c>
      <c r="F36" s="74" t="str">
        <f>IFERROR(VLOOKUP(E36,'Data Validations'!$A$2:$B$13,2,0),"")</f>
        <v>TFAME</v>
      </c>
      <c r="G36" s="60" t="s">
        <v>137</v>
      </c>
      <c r="H36" s="60" t="s">
        <v>97</v>
      </c>
      <c r="I36" s="59" t="s">
        <v>32</v>
      </c>
      <c r="J36" s="60" t="s">
        <v>33</v>
      </c>
      <c r="K36" s="61" t="s">
        <v>138</v>
      </c>
      <c r="L36" s="72" t="str">
        <f t="shared" si="1"/>
        <v>Not Required</v>
      </c>
      <c r="M36" s="62" t="s">
        <v>35</v>
      </c>
      <c r="N36" s="62">
        <v>2026</v>
      </c>
      <c r="O36" s="62"/>
      <c r="P36" s="63">
        <v>5</v>
      </c>
      <c r="Q36" s="63">
        <v>5</v>
      </c>
      <c r="R36" s="63"/>
      <c r="S36" s="63"/>
      <c r="T36" s="63"/>
      <c r="U36" s="63"/>
      <c r="V36" s="46"/>
    </row>
    <row r="37" spans="2:22" ht="50.1" customHeight="1">
      <c r="B37" s="46"/>
      <c r="C37" s="59" t="s">
        <v>27</v>
      </c>
      <c r="D37" s="60" t="s">
        <v>139</v>
      </c>
      <c r="E37" s="60" t="s">
        <v>140</v>
      </c>
      <c r="F37" s="74" t="str">
        <f>IFERROR(VLOOKUP(E37,'Data Validations'!$A$2:$B$13,2,0),"")</f>
        <v>TFAME</v>
      </c>
      <c r="G37" s="60" t="s">
        <v>141</v>
      </c>
      <c r="H37" s="60" t="s">
        <v>97</v>
      </c>
      <c r="I37" s="59" t="s">
        <v>32</v>
      </c>
      <c r="J37" s="60" t="s">
        <v>33</v>
      </c>
      <c r="K37" s="61" t="s">
        <v>142</v>
      </c>
      <c r="L37" s="72" t="str">
        <f t="shared" si="1"/>
        <v>Not Required</v>
      </c>
      <c r="M37" s="62" t="s">
        <v>54</v>
      </c>
      <c r="N37" s="62">
        <v>2025</v>
      </c>
      <c r="O37" s="62"/>
      <c r="P37" s="63">
        <v>5</v>
      </c>
      <c r="Q37" s="63">
        <v>0</v>
      </c>
      <c r="R37" s="63"/>
      <c r="S37" s="63"/>
      <c r="T37" s="63"/>
      <c r="U37" s="63"/>
      <c r="V37" s="46"/>
    </row>
    <row r="38" spans="2:22" ht="50.1" customHeight="1">
      <c r="B38" s="46"/>
      <c r="C38" s="83" t="s">
        <v>43</v>
      </c>
      <c r="D38" s="84" t="s">
        <v>143</v>
      </c>
      <c r="E38" s="84" t="s">
        <v>64</v>
      </c>
      <c r="F38" s="85" t="str">
        <f>IFERROR(VLOOKUP(E38,'Data Validations'!$A$2:$B$13,2,0),"")</f>
        <v>TFAME</v>
      </c>
      <c r="G38" s="84" t="s">
        <v>144</v>
      </c>
      <c r="H38" s="84" t="s">
        <v>84</v>
      </c>
      <c r="I38" s="83" t="s">
        <v>65</v>
      </c>
      <c r="J38" s="84"/>
      <c r="K38" s="86" t="s">
        <v>145</v>
      </c>
      <c r="L38" s="87" t="str">
        <f t="shared" si="1"/>
        <v>Not Required</v>
      </c>
      <c r="M38" s="88" t="s">
        <v>54</v>
      </c>
      <c r="N38" s="88">
        <v>2025</v>
      </c>
      <c r="O38" s="88"/>
      <c r="P38" s="89">
        <v>4.9000000000000004</v>
      </c>
      <c r="Q38" s="89">
        <f>4.9*0.42</f>
        <v>2.0580000000000003</v>
      </c>
      <c r="R38" s="89"/>
      <c r="S38" s="89"/>
      <c r="T38" s="89"/>
      <c r="U38" s="89"/>
      <c r="V38" s="46"/>
    </row>
    <row r="39" spans="2:22" ht="50.1" customHeight="1">
      <c r="B39" s="46"/>
      <c r="C39" s="59" t="s">
        <v>27</v>
      </c>
      <c r="D39" s="60" t="s">
        <v>146</v>
      </c>
      <c r="E39" s="60" t="s">
        <v>147</v>
      </c>
      <c r="F39" s="74" t="str">
        <f>IFERROR(VLOOKUP(E39,'Data Validations'!$A$2:$B$13,2,0),"")</f>
        <v>TFAME</v>
      </c>
      <c r="G39" s="60" t="s">
        <v>141</v>
      </c>
      <c r="H39" s="60" t="s">
        <v>31</v>
      </c>
      <c r="I39" s="59" t="s">
        <v>32</v>
      </c>
      <c r="J39" s="60" t="s">
        <v>33</v>
      </c>
      <c r="K39" s="61" t="s">
        <v>148</v>
      </c>
      <c r="L39" s="72" t="str">
        <f t="shared" si="1"/>
        <v>Not Required</v>
      </c>
      <c r="M39" s="62" t="s">
        <v>41</v>
      </c>
      <c r="N39" s="62">
        <v>2026</v>
      </c>
      <c r="O39" s="62"/>
      <c r="P39" s="63">
        <v>3.87</v>
      </c>
      <c r="Q39" s="63">
        <v>0</v>
      </c>
      <c r="R39" s="63"/>
      <c r="S39" s="63"/>
      <c r="T39" s="63"/>
      <c r="U39" s="63"/>
      <c r="V39" s="46"/>
    </row>
    <row r="40" spans="2:22" ht="50.1" customHeight="1">
      <c r="B40" s="46"/>
      <c r="C40" s="59" t="s">
        <v>50</v>
      </c>
      <c r="D40" s="60" t="s">
        <v>149</v>
      </c>
      <c r="E40" s="60" t="s">
        <v>64</v>
      </c>
      <c r="F40" s="74" t="str">
        <f>IFERROR(VLOOKUP(E40,'Data Validations'!$A$2:$B$13,2,0),"")</f>
        <v>TFAME</v>
      </c>
      <c r="G40" s="60" t="s">
        <v>128</v>
      </c>
      <c r="H40" s="60" t="s">
        <v>31</v>
      </c>
      <c r="I40" s="59" t="s">
        <v>65</v>
      </c>
      <c r="J40" s="60" t="s">
        <v>33</v>
      </c>
      <c r="K40" s="61" t="s">
        <v>150</v>
      </c>
      <c r="L40" s="72" t="str">
        <f t="shared" si="1"/>
        <v>Not Required</v>
      </c>
      <c r="M40" s="62" t="s">
        <v>100</v>
      </c>
      <c r="N40" s="62"/>
      <c r="O40" s="62"/>
      <c r="P40" s="63">
        <v>3.552</v>
      </c>
      <c r="Q40" s="63">
        <v>0</v>
      </c>
      <c r="R40" s="63"/>
      <c r="S40" s="63"/>
      <c r="T40" s="63"/>
      <c r="U40" s="63"/>
      <c r="V40" s="46"/>
    </row>
    <row r="41" spans="2:22" ht="50.1" customHeight="1">
      <c r="B41" s="46"/>
      <c r="C41" s="59" t="s">
        <v>50</v>
      </c>
      <c r="D41" s="60" t="s">
        <v>102</v>
      </c>
      <c r="E41" s="60" t="s">
        <v>64</v>
      </c>
      <c r="F41" s="74" t="str">
        <f>IFERROR(VLOOKUP(E41,'Data Validations'!$A$2:$B$13,2,0),"")</f>
        <v>TFAME</v>
      </c>
      <c r="G41" s="60" t="s">
        <v>96</v>
      </c>
      <c r="H41" s="60" t="s">
        <v>31</v>
      </c>
      <c r="I41" s="59" t="s">
        <v>32</v>
      </c>
      <c r="J41" s="60" t="s">
        <v>58</v>
      </c>
      <c r="K41" s="61" t="s">
        <v>151</v>
      </c>
      <c r="L41" s="72" t="str">
        <f t="shared" si="1"/>
        <v>Not Required</v>
      </c>
      <c r="M41" s="62" t="s">
        <v>67</v>
      </c>
      <c r="N41" s="62">
        <v>2026</v>
      </c>
      <c r="O41" s="62"/>
      <c r="P41" s="63"/>
      <c r="Q41" s="63">
        <v>23</v>
      </c>
      <c r="R41" s="63"/>
      <c r="S41" s="63"/>
      <c r="T41" s="63"/>
      <c r="U41" s="63"/>
      <c r="V41" s="46"/>
    </row>
    <row r="42" spans="2:22" ht="50.1" customHeight="1">
      <c r="B42" s="46"/>
      <c r="C42" s="59" t="s">
        <v>50</v>
      </c>
      <c r="D42" s="60" t="s">
        <v>152</v>
      </c>
      <c r="E42" s="60" t="s">
        <v>64</v>
      </c>
      <c r="F42" s="74" t="str">
        <f>IFERROR(VLOOKUP(E42,'Data Validations'!$A$2:$B$13,2,0),"")</f>
        <v>TFAME</v>
      </c>
      <c r="G42" s="60" t="s">
        <v>96</v>
      </c>
      <c r="H42" s="60" t="s">
        <v>84</v>
      </c>
      <c r="I42" s="59" t="s">
        <v>32</v>
      </c>
      <c r="J42" s="60" t="s">
        <v>33</v>
      </c>
      <c r="K42" s="61" t="s">
        <v>153</v>
      </c>
      <c r="L42" s="72" t="str">
        <f t="shared" si="1"/>
        <v>Not Required</v>
      </c>
      <c r="M42" s="62" t="s">
        <v>54</v>
      </c>
      <c r="N42" s="62">
        <v>2026</v>
      </c>
      <c r="O42" s="62" t="s">
        <v>154</v>
      </c>
      <c r="P42" s="63">
        <v>2.6284800000000001</v>
      </c>
      <c r="Q42" s="63">
        <v>0.52569600000000005</v>
      </c>
      <c r="R42" s="63">
        <v>0.52569600000000005</v>
      </c>
      <c r="S42" s="63"/>
      <c r="T42" s="63"/>
      <c r="U42" s="63"/>
      <c r="V42" s="46"/>
    </row>
    <row r="43" spans="2:22" ht="50.1" customHeight="1">
      <c r="B43" s="46"/>
      <c r="C43" s="59" t="s">
        <v>73</v>
      </c>
      <c r="D43" s="60" t="s">
        <v>155</v>
      </c>
      <c r="E43" s="60" t="s">
        <v>64</v>
      </c>
      <c r="F43" s="74" t="str">
        <f>IFERROR(VLOOKUP(E43,'Data Validations'!$A$2:$B$13,2,0),"")</f>
        <v>TFAME</v>
      </c>
      <c r="G43" s="60" t="s">
        <v>109</v>
      </c>
      <c r="H43" s="60" t="s">
        <v>84</v>
      </c>
      <c r="I43" s="59" t="s">
        <v>32</v>
      </c>
      <c r="J43" s="60" t="s">
        <v>58</v>
      </c>
      <c r="K43" s="61" t="s">
        <v>156</v>
      </c>
      <c r="L43" s="72" t="str">
        <f t="shared" si="1"/>
        <v>Not Required</v>
      </c>
      <c r="M43" s="62" t="s">
        <v>35</v>
      </c>
      <c r="N43" s="62">
        <v>2026</v>
      </c>
      <c r="O43" s="62" t="s">
        <v>36</v>
      </c>
      <c r="P43" s="63">
        <v>2</v>
      </c>
      <c r="Q43" s="63">
        <v>2</v>
      </c>
      <c r="R43" s="63"/>
      <c r="S43" s="63"/>
      <c r="T43" s="63"/>
      <c r="U43" s="63"/>
      <c r="V43" s="46"/>
    </row>
    <row r="44" spans="2:22" ht="50.1" customHeight="1">
      <c r="B44" s="46"/>
      <c r="C44" s="59" t="s">
        <v>73</v>
      </c>
      <c r="D44" s="60" t="s">
        <v>74</v>
      </c>
      <c r="E44" s="60" t="s">
        <v>69</v>
      </c>
      <c r="F44" s="74" t="str">
        <f>IFERROR(VLOOKUP(E44,'Data Validations'!$A$2:$B$13,2,0),"")</f>
        <v>TFAME</v>
      </c>
      <c r="G44" s="60" t="s">
        <v>76</v>
      </c>
      <c r="H44" s="60" t="s">
        <v>31</v>
      </c>
      <c r="I44" s="59" t="s">
        <v>32</v>
      </c>
      <c r="J44" s="60" t="s">
        <v>33</v>
      </c>
      <c r="K44" s="61" t="s">
        <v>157</v>
      </c>
      <c r="L44" s="72" t="str">
        <f t="shared" si="1"/>
        <v>Not Required</v>
      </c>
      <c r="M44" s="62" t="s">
        <v>67</v>
      </c>
      <c r="N44" s="62">
        <v>2026</v>
      </c>
      <c r="O44" s="62"/>
      <c r="P44" s="63">
        <v>1.1000000000000001</v>
      </c>
      <c r="Q44" s="63">
        <v>0.5</v>
      </c>
      <c r="R44" s="63">
        <v>0</v>
      </c>
      <c r="S44" s="63"/>
      <c r="T44" s="63"/>
      <c r="U44" s="63"/>
      <c r="V44" s="46"/>
    </row>
    <row r="45" spans="2:22" ht="50.1" customHeight="1">
      <c r="B45" s="46"/>
      <c r="C45" s="59" t="s">
        <v>27</v>
      </c>
      <c r="D45" s="60" t="s">
        <v>139</v>
      </c>
      <c r="E45" s="60" t="s">
        <v>140</v>
      </c>
      <c r="F45" s="74" t="str">
        <f>IFERROR(VLOOKUP(E45,'Data Validations'!$A$2:$B$13,2,0),"")</f>
        <v>TFAME</v>
      </c>
      <c r="G45" s="60" t="s">
        <v>141</v>
      </c>
      <c r="H45" s="60" t="s">
        <v>97</v>
      </c>
      <c r="I45" s="59" t="s">
        <v>32</v>
      </c>
      <c r="J45" s="60" t="s">
        <v>33</v>
      </c>
      <c r="K45" s="61" t="s">
        <v>158</v>
      </c>
      <c r="L45" s="72" t="str">
        <f t="shared" si="1"/>
        <v>Not Required</v>
      </c>
      <c r="M45" s="62" t="s">
        <v>60</v>
      </c>
      <c r="N45" s="62">
        <v>2026</v>
      </c>
      <c r="O45" s="62"/>
      <c r="P45" s="63">
        <v>1</v>
      </c>
      <c r="Q45" s="63">
        <v>0</v>
      </c>
      <c r="R45" s="63"/>
      <c r="S45" s="63"/>
      <c r="T45" s="63"/>
      <c r="U45" s="63"/>
      <c r="V45" s="46"/>
    </row>
    <row r="46" spans="2:22" ht="50.1" customHeight="1">
      <c r="B46" s="46"/>
      <c r="C46" s="59" t="s">
        <v>27</v>
      </c>
      <c r="D46" s="60" t="s">
        <v>159</v>
      </c>
      <c r="E46" s="60" t="s">
        <v>140</v>
      </c>
      <c r="F46" s="74" t="str">
        <f>IFERROR(VLOOKUP(E46,'Data Validations'!$A$2:$B$13,2,0),"")</f>
        <v>TFAME</v>
      </c>
      <c r="G46" s="60" t="s">
        <v>141</v>
      </c>
      <c r="H46" s="60" t="s">
        <v>97</v>
      </c>
      <c r="I46" s="59" t="s">
        <v>65</v>
      </c>
      <c r="J46" s="60" t="s">
        <v>33</v>
      </c>
      <c r="K46" s="61" t="s">
        <v>160</v>
      </c>
      <c r="L46" s="72" t="str">
        <f t="shared" si="1"/>
        <v>Not Required</v>
      </c>
      <c r="M46" s="62"/>
      <c r="N46" s="62"/>
      <c r="O46" s="62"/>
      <c r="P46" s="63">
        <v>1</v>
      </c>
      <c r="Q46" s="63">
        <v>0</v>
      </c>
      <c r="R46" s="63"/>
      <c r="S46" s="63"/>
      <c r="T46" s="63"/>
      <c r="U46" s="63"/>
      <c r="V46" s="46"/>
    </row>
    <row r="47" spans="2:22" ht="50.1" customHeight="1">
      <c r="B47" s="46"/>
      <c r="C47" s="59" t="s">
        <v>50</v>
      </c>
      <c r="D47" s="60" t="s">
        <v>102</v>
      </c>
      <c r="E47" s="60" t="s">
        <v>45</v>
      </c>
      <c r="F47" s="74" t="str">
        <f>IFERROR(VLOOKUP(E47,'Data Validations'!$A$2:$B$13,2,0),"")</f>
        <v>Trent XWB</v>
      </c>
      <c r="G47" s="60" t="s">
        <v>96</v>
      </c>
      <c r="H47" s="60" t="s">
        <v>97</v>
      </c>
      <c r="I47" s="59" t="s">
        <v>65</v>
      </c>
      <c r="J47" s="60" t="s">
        <v>33</v>
      </c>
      <c r="K47" s="61" t="s">
        <v>161</v>
      </c>
      <c r="L47" s="72" t="str">
        <f>IF(C47="","",IF(AND(OR(H47="Full Contract Restructure"),P47&gt;9.9),"Required","Not Required"))</f>
        <v>Not Required</v>
      </c>
      <c r="M47" s="62" t="s">
        <v>67</v>
      </c>
      <c r="N47" s="62">
        <v>2027</v>
      </c>
      <c r="O47" s="62"/>
      <c r="P47" s="63">
        <v>0</v>
      </c>
      <c r="Q47" s="63">
        <v>0</v>
      </c>
      <c r="R47" s="63"/>
      <c r="S47" s="63"/>
      <c r="T47" s="63"/>
      <c r="U47" s="63"/>
      <c r="V47" s="46"/>
    </row>
    <row r="48" spans="2:22" ht="50.1" customHeight="1">
      <c r="B48" s="46"/>
      <c r="C48" s="59" t="s">
        <v>27</v>
      </c>
      <c r="D48" s="60" t="s">
        <v>162</v>
      </c>
      <c r="E48" s="60" t="s">
        <v>29</v>
      </c>
      <c r="F48" s="74" t="str">
        <f>IFERROR(VLOOKUP(E48,'Data Validations'!$A$2:$B$13,2,0),"")</f>
        <v>TFAME</v>
      </c>
      <c r="G48" s="60" t="s">
        <v>30</v>
      </c>
      <c r="H48" s="60"/>
      <c r="I48" s="59" t="s">
        <v>65</v>
      </c>
      <c r="J48" s="60" t="s">
        <v>33</v>
      </c>
      <c r="K48" s="61" t="s">
        <v>163</v>
      </c>
      <c r="L48" s="72" t="str">
        <f t="shared" si="1"/>
        <v>Not Required</v>
      </c>
      <c r="M48" s="62"/>
      <c r="N48" s="62"/>
      <c r="O48" s="62"/>
      <c r="P48" s="63">
        <v>0</v>
      </c>
      <c r="Q48" s="63">
        <v>0</v>
      </c>
      <c r="R48" s="63">
        <v>0</v>
      </c>
      <c r="S48" s="63">
        <v>0</v>
      </c>
      <c r="T48" s="63">
        <v>0</v>
      </c>
      <c r="U48" s="63">
        <v>0</v>
      </c>
      <c r="V48" s="46"/>
    </row>
    <row r="49" spans="2:23" ht="50.1" customHeight="1">
      <c r="B49" s="46"/>
      <c r="C49" s="59" t="s">
        <v>43</v>
      </c>
      <c r="D49" s="60" t="s">
        <v>164</v>
      </c>
      <c r="E49" s="60" t="s">
        <v>64</v>
      </c>
      <c r="F49" s="74" t="str">
        <f>IFERROR(VLOOKUP(E49,'Data Validations'!$A$2:$B$13,2,0),"")</f>
        <v>TFAME</v>
      </c>
      <c r="G49" s="60" t="s">
        <v>80</v>
      </c>
      <c r="H49" s="60" t="s">
        <v>97</v>
      </c>
      <c r="I49" s="59" t="s">
        <v>65</v>
      </c>
      <c r="J49" s="60" t="s">
        <v>58</v>
      </c>
      <c r="K49" s="61" t="s">
        <v>165</v>
      </c>
      <c r="L49" s="72" t="str">
        <f t="shared" si="1"/>
        <v>Not Required</v>
      </c>
      <c r="M49" s="62" t="s">
        <v>35</v>
      </c>
      <c r="N49" s="62">
        <v>2026</v>
      </c>
      <c r="O49" s="62" t="s">
        <v>36</v>
      </c>
      <c r="P49" s="63">
        <v>14</v>
      </c>
      <c r="Q49" s="63">
        <v>14</v>
      </c>
      <c r="R49" s="63" t="s">
        <v>68</v>
      </c>
      <c r="S49" s="63" t="s">
        <v>68</v>
      </c>
      <c r="T49" s="63" t="s">
        <v>68</v>
      </c>
      <c r="U49" s="63" t="s">
        <v>68</v>
      </c>
      <c r="V49" s="46"/>
    </row>
    <row r="50" spans="2:23" ht="50.1" customHeight="1">
      <c r="B50" s="46"/>
      <c r="C50" s="59" t="s">
        <v>43</v>
      </c>
      <c r="D50" s="60" t="s">
        <v>143</v>
      </c>
      <c r="E50" s="60" t="s">
        <v>64</v>
      </c>
      <c r="F50" s="74" t="str">
        <f>IFERROR(VLOOKUP(E50,'Data Validations'!$A$2:$B$13,2,0),"")</f>
        <v>TFAME</v>
      </c>
      <c r="G50" s="60" t="s">
        <v>144</v>
      </c>
      <c r="H50" s="60"/>
      <c r="I50" s="59" t="s">
        <v>65</v>
      </c>
      <c r="J50" s="60"/>
      <c r="K50" s="61" t="s">
        <v>166</v>
      </c>
      <c r="L50" s="72" t="str">
        <f t="shared" si="1"/>
        <v>Not Required</v>
      </c>
      <c r="M50" s="62"/>
      <c r="N50" s="62">
        <v>2026</v>
      </c>
      <c r="O50" s="62"/>
      <c r="P50" s="63"/>
      <c r="Q50" s="63">
        <v>0</v>
      </c>
      <c r="R50" s="63"/>
      <c r="S50" s="63"/>
      <c r="T50" s="63"/>
      <c r="U50" s="63"/>
      <c r="V50" s="46"/>
    </row>
    <row r="51" spans="2:23" ht="50.1" customHeight="1">
      <c r="B51" s="46"/>
      <c r="C51" s="59" t="s">
        <v>43</v>
      </c>
      <c r="D51" s="60" t="s">
        <v>56</v>
      </c>
      <c r="E51" s="60" t="s">
        <v>69</v>
      </c>
      <c r="F51" s="74" t="str">
        <f>IFERROR(VLOOKUP(E51,'Data Validations'!$A$2:$B$13,2,0),"")</f>
        <v>TFAME</v>
      </c>
      <c r="G51" s="60" t="s">
        <v>57</v>
      </c>
      <c r="H51" s="60"/>
      <c r="I51" s="59" t="s">
        <v>32</v>
      </c>
      <c r="J51" s="60"/>
      <c r="K51" s="61" t="s">
        <v>167</v>
      </c>
      <c r="L51" s="72" t="str">
        <f t="shared" si="1"/>
        <v>Not Required</v>
      </c>
      <c r="M51" s="62"/>
      <c r="N51" s="62"/>
      <c r="O51" s="62"/>
      <c r="P51" s="63"/>
      <c r="Q51" s="63">
        <v>0</v>
      </c>
      <c r="R51" s="63"/>
      <c r="S51" s="63"/>
      <c r="T51" s="63"/>
      <c r="U51" s="63"/>
      <c r="V51" s="46"/>
    </row>
    <row r="52" spans="2:23" ht="50.1" customHeight="1">
      <c r="B52" s="46"/>
      <c r="C52" s="59" t="s">
        <v>73</v>
      </c>
      <c r="D52" s="60" t="s">
        <v>168</v>
      </c>
      <c r="E52" s="60" t="s">
        <v>45</v>
      </c>
      <c r="F52" s="74" t="str">
        <f>IFERROR(VLOOKUP(E52,'Data Validations'!$A$2:$B$13,2,0),"")</f>
        <v>Trent XWB</v>
      </c>
      <c r="G52" s="60" t="s">
        <v>169</v>
      </c>
      <c r="H52" s="60" t="s">
        <v>31</v>
      </c>
      <c r="I52" s="59" t="s">
        <v>65</v>
      </c>
      <c r="J52" s="60" t="s">
        <v>33</v>
      </c>
      <c r="K52" s="61" t="s">
        <v>170</v>
      </c>
      <c r="L52" s="72" t="str">
        <f t="shared" si="1"/>
        <v>Not Required</v>
      </c>
      <c r="M52" s="62" t="s">
        <v>100</v>
      </c>
      <c r="N52" s="62">
        <v>2027</v>
      </c>
      <c r="O52" s="62"/>
      <c r="P52" s="63"/>
      <c r="Q52" s="63"/>
      <c r="R52" s="63"/>
      <c r="S52" s="63"/>
      <c r="T52" s="63"/>
      <c r="U52" s="63"/>
      <c r="V52" s="46"/>
    </row>
    <row r="53" spans="2:23" ht="50.1" customHeight="1">
      <c r="B53" s="46"/>
      <c r="C53" s="59" t="s">
        <v>73</v>
      </c>
      <c r="D53" s="60" t="s">
        <v>155</v>
      </c>
      <c r="E53" s="60" t="s">
        <v>121</v>
      </c>
      <c r="F53" s="74" t="str">
        <f>IFERROR(VLOOKUP(E53,'Data Validations'!$A$2:$B$13,2,0),"")</f>
        <v>TFAME</v>
      </c>
      <c r="G53" s="60" t="s">
        <v>109</v>
      </c>
      <c r="H53" s="60" t="s">
        <v>31</v>
      </c>
      <c r="I53" s="59" t="s">
        <v>65</v>
      </c>
      <c r="J53" s="60" t="s">
        <v>33</v>
      </c>
      <c r="K53" s="61" t="s">
        <v>171</v>
      </c>
      <c r="L53" s="72" t="str">
        <f t="shared" si="1"/>
        <v>Not Required</v>
      </c>
      <c r="M53" s="62" t="s">
        <v>35</v>
      </c>
      <c r="N53" s="62"/>
      <c r="O53" s="62"/>
      <c r="P53" s="63"/>
      <c r="Q53" s="63"/>
      <c r="R53" s="63"/>
      <c r="S53" s="63"/>
      <c r="T53" s="63"/>
      <c r="U53" s="63"/>
      <c r="V53" s="46"/>
    </row>
    <row r="54" spans="2:23" ht="50.1" customHeight="1">
      <c r="B54" s="46"/>
      <c r="C54" s="59" t="s">
        <v>73</v>
      </c>
      <c r="D54" s="60" t="s">
        <v>172</v>
      </c>
      <c r="E54" s="60" t="s">
        <v>45</v>
      </c>
      <c r="F54" s="74" t="str">
        <f>IFERROR(VLOOKUP(E54,'Data Validations'!$A$2:$B$13,2,0),"")</f>
        <v>Trent XWB</v>
      </c>
      <c r="G54" s="60" t="s">
        <v>125</v>
      </c>
      <c r="H54" s="60" t="s">
        <v>31</v>
      </c>
      <c r="I54" s="59" t="s">
        <v>32</v>
      </c>
      <c r="J54" s="60" t="s">
        <v>33</v>
      </c>
      <c r="K54" s="61" t="s">
        <v>173</v>
      </c>
      <c r="L54" s="72" t="str">
        <f t="shared" si="1"/>
        <v>Not Required</v>
      </c>
      <c r="M54" s="62" t="s">
        <v>100</v>
      </c>
      <c r="N54" s="62">
        <v>2027</v>
      </c>
      <c r="O54" s="62"/>
      <c r="P54" s="63"/>
      <c r="Q54" s="63"/>
      <c r="R54" s="63"/>
      <c r="S54" s="63"/>
      <c r="T54" s="63"/>
      <c r="U54" s="63"/>
      <c r="V54" s="46"/>
    </row>
    <row r="55" spans="2:23" ht="50.1" customHeight="1">
      <c r="B55" s="46"/>
      <c r="C55" s="59" t="s">
        <v>43</v>
      </c>
      <c r="D55" s="60" t="s">
        <v>174</v>
      </c>
      <c r="E55" s="60" t="s">
        <v>79</v>
      </c>
      <c r="F55" s="74" t="str">
        <f>IFERROR(VLOOKUP(E55,'Data Validations'!$A$2:$B$13,2,0),"")</f>
        <v>TFAME</v>
      </c>
      <c r="G55" s="60" t="s">
        <v>175</v>
      </c>
      <c r="H55" s="60"/>
      <c r="I55" s="59" t="s">
        <v>32</v>
      </c>
      <c r="J55" s="60"/>
      <c r="K55" s="61" t="s">
        <v>176</v>
      </c>
      <c r="L55" s="72" t="str">
        <f t="shared" si="1"/>
        <v>Not Required</v>
      </c>
      <c r="M55" s="62"/>
      <c r="N55" s="62"/>
      <c r="O55" s="62"/>
      <c r="P55" s="63"/>
      <c r="Q55" s="63">
        <v>0</v>
      </c>
      <c r="R55" s="63" t="s">
        <v>177</v>
      </c>
      <c r="S55" s="63" t="s">
        <v>177</v>
      </c>
      <c r="T55" s="63" t="s">
        <v>177</v>
      </c>
      <c r="U55" s="63" t="s">
        <v>177</v>
      </c>
      <c r="V55" s="46"/>
    </row>
    <row r="56" spans="2:23" ht="50.1" customHeight="1">
      <c r="B56" s="46"/>
      <c r="C56" s="59" t="s">
        <v>73</v>
      </c>
      <c r="D56" s="60" t="s">
        <v>108</v>
      </c>
      <c r="E56" s="60" t="s">
        <v>45</v>
      </c>
      <c r="F56" s="74" t="str">
        <f>IFERROR(VLOOKUP(E56,'Data Validations'!$A$2:$B$13,2,0),"")</f>
        <v>Trent XWB</v>
      </c>
      <c r="G56" s="60" t="s">
        <v>109</v>
      </c>
      <c r="H56" s="60" t="s">
        <v>31</v>
      </c>
      <c r="I56" s="59" t="s">
        <v>32</v>
      </c>
      <c r="J56" s="60" t="s">
        <v>33</v>
      </c>
      <c r="K56" s="61" t="s">
        <v>178</v>
      </c>
      <c r="L56" s="72" t="str">
        <f t="shared" si="1"/>
        <v>Not Required</v>
      </c>
      <c r="M56" s="62" t="s">
        <v>100</v>
      </c>
      <c r="N56" s="62">
        <v>2027</v>
      </c>
      <c r="O56" s="62"/>
      <c r="P56" s="63"/>
      <c r="Q56" s="63"/>
      <c r="R56" s="63"/>
      <c r="S56" s="63"/>
      <c r="T56" s="63"/>
      <c r="U56" s="63"/>
      <c r="V56" s="46"/>
    </row>
    <row r="57" spans="2:23" ht="50.1" customHeight="1">
      <c r="B57" s="46"/>
      <c r="C57" s="59" t="s">
        <v>73</v>
      </c>
      <c r="D57" s="60" t="s">
        <v>179</v>
      </c>
      <c r="E57" s="60" t="s">
        <v>45</v>
      </c>
      <c r="F57" s="74" t="str">
        <f>IFERROR(VLOOKUP(E57,'Data Validations'!$A$2:$B$13,2,0),"")</f>
        <v>Trent XWB</v>
      </c>
      <c r="G57" s="60" t="s">
        <v>125</v>
      </c>
      <c r="H57" s="60" t="s">
        <v>31</v>
      </c>
      <c r="I57" s="59" t="s">
        <v>32</v>
      </c>
      <c r="J57" s="60" t="s">
        <v>33</v>
      </c>
      <c r="K57" s="61" t="s">
        <v>180</v>
      </c>
      <c r="L57" s="72" t="str">
        <f t="shared" si="1"/>
        <v>Not Required</v>
      </c>
      <c r="M57" s="62" t="s">
        <v>100</v>
      </c>
      <c r="N57" s="62">
        <v>2027</v>
      </c>
      <c r="O57" s="62"/>
      <c r="P57" s="63"/>
      <c r="Q57" s="63"/>
      <c r="R57" s="63"/>
      <c r="S57" s="63"/>
      <c r="T57" s="63"/>
      <c r="U57" s="63"/>
      <c r="V57" s="46"/>
    </row>
    <row r="58" spans="2:23" ht="50.1" customHeight="1">
      <c r="B58" s="46"/>
      <c r="C58" s="59" t="s">
        <v>135</v>
      </c>
      <c r="D58" s="60" t="s">
        <v>181</v>
      </c>
      <c r="E58" s="60" t="s">
        <v>45</v>
      </c>
      <c r="F58" s="74" t="str">
        <f>IFERROR(VLOOKUP(E58,'Data Validations'!$A$2:$B$13,2,0),"")</f>
        <v>Trent XWB</v>
      </c>
      <c r="G58" s="60" t="s">
        <v>137</v>
      </c>
      <c r="H58" s="60" t="s">
        <v>97</v>
      </c>
      <c r="I58" s="59" t="s">
        <v>32</v>
      </c>
      <c r="J58" s="60" t="s">
        <v>33</v>
      </c>
      <c r="K58" s="80" t="s">
        <v>182</v>
      </c>
      <c r="L58" s="72" t="str">
        <f t="shared" si="1"/>
        <v>Not Required</v>
      </c>
      <c r="M58" s="62" t="s">
        <v>60</v>
      </c>
      <c r="N58" s="62">
        <v>2026</v>
      </c>
      <c r="O58" s="62" t="s">
        <v>42</v>
      </c>
      <c r="P58" s="63">
        <f>SUM(Q58:U58)</f>
        <v>23</v>
      </c>
      <c r="Q58" s="63">
        <v>9</v>
      </c>
      <c r="R58" s="63">
        <v>4</v>
      </c>
      <c r="S58" s="63">
        <v>3</v>
      </c>
      <c r="T58" s="63">
        <v>4</v>
      </c>
      <c r="U58" s="63">
        <v>3</v>
      </c>
      <c r="V58" s="46"/>
    </row>
    <row r="59" spans="2:23" ht="50.1" customHeight="1">
      <c r="B59" s="46"/>
      <c r="C59" s="59" t="s">
        <v>43</v>
      </c>
      <c r="D59" s="60" t="s">
        <v>183</v>
      </c>
      <c r="E59" s="60" t="s">
        <v>45</v>
      </c>
      <c r="F59" s="74" t="str">
        <f>IFERROR(VLOOKUP(E59,'Data Validations'!$A$2:$B$13,2,0),"")</f>
        <v>Trent XWB</v>
      </c>
      <c r="G59" s="60" t="s">
        <v>144</v>
      </c>
      <c r="H59" s="60" t="s">
        <v>31</v>
      </c>
      <c r="I59" s="59" t="s">
        <v>65</v>
      </c>
      <c r="J59" s="60" t="s">
        <v>33</v>
      </c>
      <c r="K59" s="61" t="s">
        <v>184</v>
      </c>
      <c r="L59" s="72" t="str">
        <f t="shared" ref="L59:L89" si="2">IF(C59="","",IF(AND(OR(H59="Full Contract Restructure"),P59&gt;9.9),"Required","Not Required"))</f>
        <v>Required</v>
      </c>
      <c r="M59" s="62" t="s">
        <v>100</v>
      </c>
      <c r="N59" s="62"/>
      <c r="O59" s="62"/>
      <c r="P59" s="63" t="s">
        <v>185</v>
      </c>
      <c r="Q59" s="63">
        <v>0</v>
      </c>
      <c r="R59" s="63"/>
      <c r="S59" s="63"/>
      <c r="T59" s="63"/>
      <c r="U59" s="63"/>
      <c r="V59" s="46"/>
    </row>
    <row r="60" spans="2:23" ht="50.1" customHeight="1">
      <c r="B60" s="46"/>
      <c r="C60" s="59" t="s">
        <v>135</v>
      </c>
      <c r="D60" s="60" t="s">
        <v>186</v>
      </c>
      <c r="E60" s="60" t="s">
        <v>45</v>
      </c>
      <c r="F60" s="74" t="str">
        <f>IFERROR(VLOOKUP(E60,'Data Validations'!$A$2:$B$13,2,0),"")</f>
        <v>Trent XWB</v>
      </c>
      <c r="G60" s="60" t="s">
        <v>137</v>
      </c>
      <c r="H60" s="60" t="s">
        <v>97</v>
      </c>
      <c r="I60" s="59" t="s">
        <v>32</v>
      </c>
      <c r="J60" s="60" t="s">
        <v>33</v>
      </c>
      <c r="K60" s="81" t="s">
        <v>187</v>
      </c>
      <c r="L60" s="72" t="str">
        <f t="shared" si="2"/>
        <v>Not Required</v>
      </c>
      <c r="M60" s="62" t="s">
        <v>67</v>
      </c>
      <c r="N60" s="62">
        <v>2026</v>
      </c>
      <c r="O60" s="62" t="s">
        <v>72</v>
      </c>
      <c r="P60" s="63">
        <v>30</v>
      </c>
      <c r="Q60" s="63">
        <v>12</v>
      </c>
      <c r="R60" s="63"/>
      <c r="S60" s="63"/>
      <c r="T60" s="63"/>
      <c r="U60" s="63"/>
      <c r="V60" s="50"/>
      <c r="W60" s="44"/>
    </row>
    <row r="61" spans="2:23" ht="50.1" customHeight="1">
      <c r="B61" s="46"/>
      <c r="C61" s="59" t="s">
        <v>135</v>
      </c>
      <c r="D61" s="60" t="s">
        <v>188</v>
      </c>
      <c r="E61" s="60" t="s">
        <v>64</v>
      </c>
      <c r="F61" s="74" t="str">
        <f>IFERROR(VLOOKUP(E61,'Data Validations'!$A$2:$B$13,2,0),"")</f>
        <v>TFAME</v>
      </c>
      <c r="G61" s="60" t="s">
        <v>189</v>
      </c>
      <c r="H61" s="60" t="s">
        <v>31</v>
      </c>
      <c r="I61" s="59" t="s">
        <v>65</v>
      </c>
      <c r="J61" s="60" t="s">
        <v>58</v>
      </c>
      <c r="K61" s="61"/>
      <c r="L61" s="72" t="str">
        <f t="shared" si="2"/>
        <v>Required</v>
      </c>
      <c r="M61" s="62" t="s">
        <v>190</v>
      </c>
      <c r="N61" s="62">
        <v>2027</v>
      </c>
      <c r="O61" s="62"/>
      <c r="P61" s="63">
        <v>30</v>
      </c>
      <c r="Q61" s="63"/>
      <c r="R61" s="63">
        <v>30</v>
      </c>
      <c r="S61" s="63"/>
      <c r="T61" s="63"/>
      <c r="U61" s="63"/>
      <c r="V61" s="46"/>
    </row>
    <row r="62" spans="2:23" ht="50.1" customHeight="1">
      <c r="B62" s="46"/>
      <c r="C62" s="59" t="s">
        <v>43</v>
      </c>
      <c r="D62" s="60" t="s">
        <v>191</v>
      </c>
      <c r="E62" s="60" t="s">
        <v>121</v>
      </c>
      <c r="F62" s="74" t="str">
        <f>IFERROR(VLOOKUP(E62,'Data Validations'!$A$2:$B$13,2,0),"")</f>
        <v>TFAME</v>
      </c>
      <c r="G62" s="60" t="s">
        <v>80</v>
      </c>
      <c r="H62" s="60"/>
      <c r="I62" s="59" t="s">
        <v>65</v>
      </c>
      <c r="J62" s="60" t="s">
        <v>33</v>
      </c>
      <c r="K62" s="61" t="s">
        <v>192</v>
      </c>
      <c r="L62" s="72" t="str">
        <f t="shared" si="2"/>
        <v>Not Required</v>
      </c>
      <c r="M62" s="62" t="s">
        <v>100</v>
      </c>
      <c r="N62" s="62"/>
      <c r="O62" s="62"/>
      <c r="P62" s="63"/>
      <c r="Q62" s="63">
        <v>0</v>
      </c>
      <c r="R62" s="63"/>
      <c r="S62" s="63"/>
      <c r="T62" s="63"/>
      <c r="U62" s="63"/>
      <c r="V62" s="46"/>
    </row>
    <row r="63" spans="2:23" ht="50.1" customHeight="1">
      <c r="B63" s="46"/>
      <c r="C63" s="59" t="s">
        <v>43</v>
      </c>
      <c r="D63" s="60" t="s">
        <v>193</v>
      </c>
      <c r="E63" s="60" t="s">
        <v>121</v>
      </c>
      <c r="F63" s="74" t="str">
        <f>IFERROR(VLOOKUP(E63,'Data Validations'!$A$2:$B$13,2,0),"")</f>
        <v>TFAME</v>
      </c>
      <c r="G63" s="60" t="s">
        <v>57</v>
      </c>
      <c r="H63" s="60" t="s">
        <v>31</v>
      </c>
      <c r="I63" s="59" t="s">
        <v>32</v>
      </c>
      <c r="J63" s="60" t="s">
        <v>33</v>
      </c>
      <c r="K63" s="61" t="s">
        <v>194</v>
      </c>
      <c r="L63" s="72" t="str">
        <f>IF(C63="","",IF(AND(OR(H63="Full Contract Restructure"),P63&gt;9.9),"Required","Not Required"))</f>
        <v>Required</v>
      </c>
      <c r="M63" s="62" t="s">
        <v>54</v>
      </c>
      <c r="N63" s="62">
        <v>2026</v>
      </c>
      <c r="O63" s="62" t="s">
        <v>61</v>
      </c>
      <c r="P63" s="63">
        <v>30</v>
      </c>
      <c r="Q63" s="63">
        <v>8.5</v>
      </c>
      <c r="R63" s="63" t="s">
        <v>195</v>
      </c>
      <c r="S63" s="63" t="s">
        <v>195</v>
      </c>
      <c r="T63" s="63" t="s">
        <v>195</v>
      </c>
      <c r="U63" s="63" t="s">
        <v>195</v>
      </c>
      <c r="V63" s="46"/>
    </row>
    <row r="64" spans="2:23" ht="50.1" customHeight="1">
      <c r="B64" s="46"/>
      <c r="C64" s="59" t="s">
        <v>43</v>
      </c>
      <c r="D64" s="60" t="s">
        <v>196</v>
      </c>
      <c r="E64" s="60" t="s">
        <v>121</v>
      </c>
      <c r="F64" s="74" t="str">
        <f>IFERROR(VLOOKUP(E64,'Data Validations'!$A$2:$B$13,2,0),"")</f>
        <v>TFAME</v>
      </c>
      <c r="G64" s="60" t="s">
        <v>57</v>
      </c>
      <c r="H64" s="60"/>
      <c r="I64" s="59" t="s">
        <v>65</v>
      </c>
      <c r="J64" s="60"/>
      <c r="K64" s="61" t="s">
        <v>197</v>
      </c>
      <c r="L64" s="72" t="str">
        <f t="shared" si="2"/>
        <v>Not Required</v>
      </c>
      <c r="M64" s="62"/>
      <c r="N64" s="62"/>
      <c r="O64" s="62"/>
      <c r="P64" s="63"/>
      <c r="Q64" s="63">
        <v>0</v>
      </c>
      <c r="R64" s="63"/>
      <c r="S64" s="63"/>
      <c r="T64" s="63"/>
      <c r="U64" s="63"/>
      <c r="V64" s="46"/>
    </row>
    <row r="65" spans="2:22" ht="50.1" customHeight="1">
      <c r="B65" s="46"/>
      <c r="C65" s="59" t="s">
        <v>27</v>
      </c>
      <c r="D65" s="60" t="s">
        <v>198</v>
      </c>
      <c r="E65" s="60" t="s">
        <v>121</v>
      </c>
      <c r="F65" s="74" t="str">
        <f>IFERROR(VLOOKUP(E65,'Data Validations'!$A$2:$B$13,2,0),"")</f>
        <v>TFAME</v>
      </c>
      <c r="G65" s="60" t="s">
        <v>30</v>
      </c>
      <c r="H65" s="60" t="s">
        <v>84</v>
      </c>
      <c r="I65" s="59" t="s">
        <v>65</v>
      </c>
      <c r="J65" s="60" t="s">
        <v>58</v>
      </c>
      <c r="K65" s="61" t="s">
        <v>199</v>
      </c>
      <c r="L65" s="72" t="str">
        <f t="shared" si="2"/>
        <v>Not Required</v>
      </c>
      <c r="M65" s="62" t="s">
        <v>100</v>
      </c>
      <c r="N65" s="62">
        <v>2026</v>
      </c>
      <c r="O65" s="62"/>
      <c r="P65" s="63"/>
      <c r="Q65" s="63">
        <v>0</v>
      </c>
      <c r="R65" s="63"/>
      <c r="S65" s="63"/>
      <c r="T65" s="63"/>
      <c r="U65" s="63"/>
      <c r="V65" s="46"/>
    </row>
    <row r="66" spans="2:22" ht="50.1" customHeight="1">
      <c r="B66" s="46"/>
      <c r="C66" s="59" t="s">
        <v>73</v>
      </c>
      <c r="D66" s="60" t="s">
        <v>155</v>
      </c>
      <c r="E66" s="60" t="s">
        <v>64</v>
      </c>
      <c r="F66" s="74" t="str">
        <f>IFERROR(VLOOKUP(E66,'Data Validations'!$A$2:$B$13,2,0),"")</f>
        <v>TFAME</v>
      </c>
      <c r="G66" s="60" t="s">
        <v>109</v>
      </c>
      <c r="H66" s="60" t="s">
        <v>97</v>
      </c>
      <c r="I66" s="59" t="s">
        <v>65</v>
      </c>
      <c r="J66" s="60" t="s">
        <v>58</v>
      </c>
      <c r="K66" s="61" t="s">
        <v>200</v>
      </c>
      <c r="L66" s="72" t="str">
        <f t="shared" si="2"/>
        <v>Not Required</v>
      </c>
      <c r="M66" s="62" t="s">
        <v>100</v>
      </c>
      <c r="N66" s="62"/>
      <c r="O66" s="62"/>
      <c r="P66" s="65"/>
      <c r="Q66" s="63"/>
      <c r="R66" s="63"/>
      <c r="S66" s="63"/>
      <c r="T66" s="63"/>
      <c r="U66" s="63"/>
      <c r="V66" s="46"/>
    </row>
    <row r="67" spans="2:22" ht="50.1" customHeight="1">
      <c r="B67" s="46"/>
      <c r="C67" s="59" t="s">
        <v>27</v>
      </c>
      <c r="D67" s="60" t="s">
        <v>201</v>
      </c>
      <c r="E67" s="60" t="s">
        <v>64</v>
      </c>
      <c r="F67" s="74" t="str">
        <f>IFERROR(VLOOKUP(E67,'Data Validations'!$A$2:$B$13,2,0),"")</f>
        <v>TFAME</v>
      </c>
      <c r="G67" s="60" t="s">
        <v>39</v>
      </c>
      <c r="H67" s="60" t="s">
        <v>31</v>
      </c>
      <c r="I67" s="59" t="s">
        <v>65</v>
      </c>
      <c r="J67" s="60" t="s">
        <v>58</v>
      </c>
      <c r="K67" s="61" t="s">
        <v>202</v>
      </c>
      <c r="L67" s="72" t="str">
        <f t="shared" si="2"/>
        <v>Required</v>
      </c>
      <c r="M67" s="62" t="s">
        <v>60</v>
      </c>
      <c r="N67" s="62">
        <v>2026</v>
      </c>
      <c r="O67" s="62" t="s">
        <v>42</v>
      </c>
      <c r="P67" s="63">
        <v>50</v>
      </c>
      <c r="Q67" s="63">
        <v>50</v>
      </c>
      <c r="R67" s="63"/>
      <c r="S67" s="63"/>
      <c r="T67" s="63"/>
      <c r="U67" s="63"/>
      <c r="V67" s="46"/>
    </row>
    <row r="68" spans="2:22" ht="50.1" customHeight="1">
      <c r="B68" s="46"/>
      <c r="C68" s="59" t="s">
        <v>27</v>
      </c>
      <c r="D68" s="60" t="s">
        <v>203</v>
      </c>
      <c r="E68" s="60" t="s">
        <v>79</v>
      </c>
      <c r="F68" s="74" t="str">
        <f>IFERROR(VLOOKUP(E68,'Data Validations'!$A$2:$B$13,2,0),"")</f>
        <v>TFAME</v>
      </c>
      <c r="G68" s="60" t="s">
        <v>204</v>
      </c>
      <c r="H68" s="60"/>
      <c r="I68" s="59" t="s">
        <v>65</v>
      </c>
      <c r="J68" s="60" t="s">
        <v>33</v>
      </c>
      <c r="K68" s="61" t="s">
        <v>205</v>
      </c>
      <c r="L68" s="72" t="str">
        <f t="shared" si="2"/>
        <v>Not Required</v>
      </c>
      <c r="M68" s="62"/>
      <c r="N68" s="62"/>
      <c r="O68" s="62"/>
      <c r="P68" s="63"/>
      <c r="Q68" s="63">
        <v>0</v>
      </c>
      <c r="R68" s="63"/>
      <c r="S68" s="63"/>
      <c r="T68" s="63"/>
      <c r="U68" s="63"/>
      <c r="V68" s="46"/>
    </row>
    <row r="69" spans="2:22" ht="50.1" customHeight="1">
      <c r="B69" s="46"/>
      <c r="C69" s="59" t="s">
        <v>27</v>
      </c>
      <c r="D69" s="60" t="s">
        <v>206</v>
      </c>
      <c r="E69" s="60" t="s">
        <v>79</v>
      </c>
      <c r="F69" s="74" t="str">
        <f>IFERROR(VLOOKUP(E69,'Data Validations'!$A$2:$B$13,2,0),"")</f>
        <v>TFAME</v>
      </c>
      <c r="G69" s="60" t="s">
        <v>141</v>
      </c>
      <c r="H69" s="60" t="s">
        <v>97</v>
      </c>
      <c r="I69" s="59" t="s">
        <v>65</v>
      </c>
      <c r="J69" s="60" t="s">
        <v>33</v>
      </c>
      <c r="K69" s="61" t="s">
        <v>207</v>
      </c>
      <c r="L69" s="72" t="str">
        <f t="shared" si="2"/>
        <v>Not Required</v>
      </c>
      <c r="M69" s="62" t="s">
        <v>100</v>
      </c>
      <c r="N69" s="62"/>
      <c r="O69" s="62"/>
      <c r="P69" s="63"/>
      <c r="Q69" s="63">
        <v>0</v>
      </c>
      <c r="R69" s="63"/>
      <c r="S69" s="63"/>
      <c r="T69" s="63"/>
      <c r="U69" s="63"/>
      <c r="V69" s="46"/>
    </row>
    <row r="70" spans="2:22" ht="50.1" customHeight="1">
      <c r="B70" s="46"/>
      <c r="C70" s="59" t="s">
        <v>27</v>
      </c>
      <c r="D70" s="60" t="s">
        <v>208</v>
      </c>
      <c r="E70" s="60" t="s">
        <v>140</v>
      </c>
      <c r="F70" s="74" t="str">
        <f>IFERROR(VLOOKUP(E70,'Data Validations'!$A$2:$B$13,2,0),"")</f>
        <v>TFAME</v>
      </c>
      <c r="G70" s="60" t="s">
        <v>141</v>
      </c>
      <c r="H70" s="60" t="s">
        <v>97</v>
      </c>
      <c r="I70" s="59" t="s">
        <v>32</v>
      </c>
      <c r="J70" s="60" t="s">
        <v>33</v>
      </c>
      <c r="K70" s="61" t="s">
        <v>209</v>
      </c>
      <c r="L70" s="72" t="str">
        <f t="shared" si="2"/>
        <v>Not Required</v>
      </c>
      <c r="M70" s="62" t="s">
        <v>111</v>
      </c>
      <c r="N70" s="62">
        <v>2026</v>
      </c>
      <c r="O70" s="62"/>
      <c r="P70" s="63"/>
      <c r="Q70" s="63">
        <v>0</v>
      </c>
      <c r="R70" s="63"/>
      <c r="S70" s="63"/>
      <c r="T70" s="63"/>
      <c r="U70" s="63"/>
      <c r="V70" s="46"/>
    </row>
    <row r="71" spans="2:22" ht="50.1" customHeight="1">
      <c r="B71" s="46"/>
      <c r="C71" s="59" t="s">
        <v>27</v>
      </c>
      <c r="D71" s="60" t="s">
        <v>208</v>
      </c>
      <c r="E71" s="60" t="s">
        <v>140</v>
      </c>
      <c r="F71" s="74" t="str">
        <f>IFERROR(VLOOKUP(E71,'Data Validations'!$A$2:$B$13,2,0),"")</f>
        <v>TFAME</v>
      </c>
      <c r="G71" s="60" t="s">
        <v>141</v>
      </c>
      <c r="H71" s="60" t="s">
        <v>97</v>
      </c>
      <c r="I71" s="59" t="s">
        <v>65</v>
      </c>
      <c r="J71" s="60" t="s">
        <v>33</v>
      </c>
      <c r="K71" s="61" t="s">
        <v>210</v>
      </c>
      <c r="L71" s="72" t="str">
        <f t="shared" si="2"/>
        <v>Not Required</v>
      </c>
      <c r="M71" s="62" t="s">
        <v>100</v>
      </c>
      <c r="N71" s="62"/>
      <c r="O71" s="62"/>
      <c r="P71" s="63"/>
      <c r="Q71" s="63">
        <v>0</v>
      </c>
      <c r="R71" s="63"/>
      <c r="S71" s="63"/>
      <c r="T71" s="63"/>
      <c r="U71" s="63"/>
      <c r="V71" s="46"/>
    </row>
    <row r="72" spans="2:22" ht="50.1" customHeight="1">
      <c r="B72" s="46"/>
      <c r="C72" s="59" t="s">
        <v>27</v>
      </c>
      <c r="D72" s="60" t="s">
        <v>211</v>
      </c>
      <c r="E72" s="60" t="s">
        <v>140</v>
      </c>
      <c r="F72" s="74" t="str">
        <f>IFERROR(VLOOKUP(E72,'Data Validations'!$A$2:$B$13,2,0),"")</f>
        <v>TFAME</v>
      </c>
      <c r="G72" s="60" t="s">
        <v>141</v>
      </c>
      <c r="H72" s="60" t="s">
        <v>97</v>
      </c>
      <c r="I72" s="59" t="s">
        <v>32</v>
      </c>
      <c r="J72" s="60" t="s">
        <v>33</v>
      </c>
      <c r="K72" s="61" t="s">
        <v>212</v>
      </c>
      <c r="L72" s="72" t="str">
        <f t="shared" si="2"/>
        <v>Not Required</v>
      </c>
      <c r="M72" s="62" t="s">
        <v>54</v>
      </c>
      <c r="N72" s="62">
        <v>2025</v>
      </c>
      <c r="O72" s="62"/>
      <c r="P72" s="63"/>
      <c r="Q72" s="63">
        <v>0</v>
      </c>
      <c r="R72" s="63"/>
      <c r="S72" s="63"/>
      <c r="T72" s="63"/>
      <c r="U72" s="63"/>
      <c r="V72" s="46"/>
    </row>
    <row r="73" spans="2:22" ht="50.1" customHeight="1">
      <c r="B73" s="46"/>
      <c r="C73" s="59" t="s">
        <v>135</v>
      </c>
      <c r="D73" s="60" t="s">
        <v>188</v>
      </c>
      <c r="E73" s="60" t="s">
        <v>45</v>
      </c>
      <c r="F73" s="74" t="str">
        <f>IFERROR(VLOOKUP(E73,'Data Validations'!$A$2:$B$13,2,0),"")</f>
        <v>Trent XWB</v>
      </c>
      <c r="G73" s="60" t="s">
        <v>189</v>
      </c>
      <c r="H73" s="60" t="s">
        <v>84</v>
      </c>
      <c r="I73" s="59" t="s">
        <v>65</v>
      </c>
      <c r="J73" s="60" t="s">
        <v>33</v>
      </c>
      <c r="K73" s="61" t="s">
        <v>213</v>
      </c>
      <c r="L73" s="72" t="str">
        <f t="shared" si="2"/>
        <v>Not Required</v>
      </c>
      <c r="M73" s="62" t="s">
        <v>190</v>
      </c>
      <c r="N73" s="62">
        <v>2026</v>
      </c>
      <c r="O73" s="62" t="s">
        <v>36</v>
      </c>
      <c r="P73" s="63">
        <v>19.3</v>
      </c>
      <c r="Q73" s="63">
        <v>5.3</v>
      </c>
      <c r="R73" s="63">
        <v>3.6</v>
      </c>
      <c r="S73" s="63">
        <v>2</v>
      </c>
      <c r="T73" s="63">
        <v>1.3</v>
      </c>
      <c r="U73" s="63">
        <v>1.3</v>
      </c>
      <c r="V73" s="46"/>
    </row>
    <row r="74" spans="2:22" ht="50.1" customHeight="1">
      <c r="B74" s="46"/>
      <c r="C74" s="59" t="s">
        <v>73</v>
      </c>
      <c r="D74" s="60" t="s">
        <v>172</v>
      </c>
      <c r="E74" s="60" t="s">
        <v>45</v>
      </c>
      <c r="F74" s="74" t="str">
        <f>IFERROR(VLOOKUP(E74,'Data Validations'!$A$2:$B$13,2,0),"")</f>
        <v>Trent XWB</v>
      </c>
      <c r="G74" s="60" t="s">
        <v>125</v>
      </c>
      <c r="H74" s="60" t="s">
        <v>31</v>
      </c>
      <c r="I74" s="59" t="s">
        <v>32</v>
      </c>
      <c r="J74" s="60" t="s">
        <v>33</v>
      </c>
      <c r="K74" s="61" t="s">
        <v>214</v>
      </c>
      <c r="L74" s="72" t="str">
        <f t="shared" si="2"/>
        <v>Not Required</v>
      </c>
      <c r="M74" s="62" t="s">
        <v>60</v>
      </c>
      <c r="N74" s="62">
        <v>2026</v>
      </c>
      <c r="O74" s="62"/>
      <c r="P74" s="63"/>
      <c r="Q74" s="63"/>
      <c r="R74" s="63"/>
      <c r="S74" s="63"/>
      <c r="T74" s="63"/>
      <c r="U74" s="63"/>
      <c r="V74" s="46"/>
    </row>
    <row r="75" spans="2:22" ht="50.1" customHeight="1">
      <c r="B75" s="46"/>
      <c r="C75" s="59" t="s">
        <v>73</v>
      </c>
      <c r="D75" s="60" t="s">
        <v>172</v>
      </c>
      <c r="E75" s="60" t="s">
        <v>45</v>
      </c>
      <c r="F75" s="74" t="str">
        <f>IFERROR(VLOOKUP(E75,'Data Validations'!$A$2:$B$13,2,0),"")</f>
        <v>Trent XWB</v>
      </c>
      <c r="G75" s="60" t="s">
        <v>125</v>
      </c>
      <c r="H75" s="60" t="s">
        <v>31</v>
      </c>
      <c r="I75" s="59" t="s">
        <v>32</v>
      </c>
      <c r="J75" s="60" t="s">
        <v>33</v>
      </c>
      <c r="K75" s="61" t="s">
        <v>215</v>
      </c>
      <c r="L75" s="72" t="str">
        <f t="shared" si="2"/>
        <v>Not Required</v>
      </c>
      <c r="M75" s="62" t="s">
        <v>60</v>
      </c>
      <c r="N75" s="62">
        <v>2026</v>
      </c>
      <c r="O75" s="62"/>
      <c r="P75" s="63"/>
      <c r="Q75" s="63"/>
      <c r="R75" s="63"/>
      <c r="S75" s="63"/>
      <c r="T75" s="63"/>
      <c r="U75" s="63"/>
      <c r="V75" s="46"/>
    </row>
    <row r="76" spans="2:22" ht="50.1" customHeight="1">
      <c r="B76" s="46"/>
      <c r="C76" s="59" t="s">
        <v>73</v>
      </c>
      <c r="D76" s="60" t="s">
        <v>74</v>
      </c>
      <c r="E76" s="60" t="s">
        <v>75</v>
      </c>
      <c r="F76" s="74" t="str">
        <f>IFERROR(VLOOKUP(E76,'Data Validations'!$A$2:$B$13,2,0),"")</f>
        <v>Trent XWB</v>
      </c>
      <c r="G76" s="60" t="s">
        <v>76</v>
      </c>
      <c r="H76" s="60" t="s">
        <v>97</v>
      </c>
      <c r="I76" s="59" t="s">
        <v>32</v>
      </c>
      <c r="J76" s="60" t="s">
        <v>33</v>
      </c>
      <c r="K76" s="61" t="s">
        <v>216</v>
      </c>
      <c r="L76" s="72" t="str">
        <f t="shared" si="2"/>
        <v>Not Required</v>
      </c>
      <c r="M76" s="62" t="s">
        <v>100</v>
      </c>
      <c r="N76" s="62"/>
      <c r="O76" s="62"/>
      <c r="P76" s="63"/>
      <c r="Q76" s="63"/>
      <c r="R76" s="63"/>
      <c r="S76" s="63"/>
      <c r="T76" s="63"/>
      <c r="U76" s="63"/>
      <c r="V76" s="46"/>
    </row>
    <row r="77" spans="2:22" ht="50.1" customHeight="1">
      <c r="B77" s="46"/>
      <c r="C77" s="59" t="s">
        <v>73</v>
      </c>
      <c r="D77" s="60" t="s">
        <v>74</v>
      </c>
      <c r="E77" s="60" t="s">
        <v>38</v>
      </c>
      <c r="F77" s="74" t="str">
        <f>IFERROR(VLOOKUP(E77,'Data Validations'!$A$2:$B$13,2,0),"")</f>
        <v>TFAME</v>
      </c>
      <c r="G77" s="60" t="s">
        <v>76</v>
      </c>
      <c r="H77" s="60" t="s">
        <v>97</v>
      </c>
      <c r="I77" s="59" t="s">
        <v>65</v>
      </c>
      <c r="J77" s="60" t="s">
        <v>33</v>
      </c>
      <c r="K77" s="61" t="s">
        <v>216</v>
      </c>
      <c r="L77" s="72" t="str">
        <f t="shared" si="2"/>
        <v>Not Required</v>
      </c>
      <c r="M77" s="62" t="s">
        <v>100</v>
      </c>
      <c r="N77" s="62"/>
      <c r="O77" s="62"/>
      <c r="P77" s="63"/>
      <c r="Q77" s="63"/>
      <c r="R77" s="63"/>
      <c r="S77" s="63"/>
      <c r="T77" s="63"/>
      <c r="U77" s="63"/>
      <c r="V77" s="46"/>
    </row>
    <row r="78" spans="2:22" ht="50.1" customHeight="1">
      <c r="B78" s="46"/>
      <c r="C78" s="59" t="s">
        <v>73</v>
      </c>
      <c r="D78" s="60" t="s">
        <v>217</v>
      </c>
      <c r="E78" s="60" t="s">
        <v>121</v>
      </c>
      <c r="F78" s="74" t="str">
        <f>IFERROR(VLOOKUP(E78,'Data Validations'!$A$2:$B$13,2,0),"")</f>
        <v>TFAME</v>
      </c>
      <c r="G78" s="60" t="s">
        <v>169</v>
      </c>
      <c r="H78" s="60" t="s">
        <v>84</v>
      </c>
      <c r="I78" s="59" t="s">
        <v>32</v>
      </c>
      <c r="J78" s="60" t="s">
        <v>33</v>
      </c>
      <c r="K78" s="61" t="s">
        <v>218</v>
      </c>
      <c r="L78" s="72" t="str">
        <f t="shared" si="2"/>
        <v>Not Required</v>
      </c>
      <c r="M78" s="62" t="s">
        <v>100</v>
      </c>
      <c r="N78" s="62">
        <v>2026</v>
      </c>
      <c r="O78" s="62"/>
      <c r="P78" s="63"/>
      <c r="Q78" s="63"/>
      <c r="R78" s="63"/>
      <c r="S78" s="63"/>
      <c r="T78" s="63"/>
      <c r="U78" s="63"/>
      <c r="V78" s="46"/>
    </row>
    <row r="79" spans="2:22" ht="50.1" customHeight="1">
      <c r="B79" s="46"/>
      <c r="C79" s="59" t="s">
        <v>73</v>
      </c>
      <c r="D79" s="60" t="s">
        <v>219</v>
      </c>
      <c r="E79" s="60" t="s">
        <v>121</v>
      </c>
      <c r="F79" s="74" t="str">
        <f>IFERROR(VLOOKUP(E79,'Data Validations'!$A$2:$B$13,2,0),"")</f>
        <v>TFAME</v>
      </c>
      <c r="G79" s="60" t="s">
        <v>122</v>
      </c>
      <c r="H79" s="60" t="s">
        <v>84</v>
      </c>
      <c r="I79" s="59" t="s">
        <v>32</v>
      </c>
      <c r="J79" s="60" t="s">
        <v>33</v>
      </c>
      <c r="K79" s="61" t="s">
        <v>220</v>
      </c>
      <c r="L79" s="72" t="str">
        <f t="shared" si="2"/>
        <v>Not Required</v>
      </c>
      <c r="M79" s="62" t="s">
        <v>67</v>
      </c>
      <c r="N79" s="62"/>
      <c r="O79" s="62"/>
      <c r="P79" s="63"/>
      <c r="Q79" s="63"/>
      <c r="R79" s="63"/>
      <c r="S79" s="63"/>
      <c r="T79" s="63"/>
      <c r="U79" s="63"/>
      <c r="V79" s="46"/>
    </row>
    <row r="80" spans="2:22" ht="50.1" customHeight="1">
      <c r="B80" s="46"/>
      <c r="C80" s="59" t="s">
        <v>73</v>
      </c>
      <c r="D80" s="60" t="s">
        <v>221</v>
      </c>
      <c r="E80" s="60" t="s">
        <v>79</v>
      </c>
      <c r="F80" s="74" t="str">
        <f>IFERROR(VLOOKUP(E80,'Data Validations'!$A$2:$B$13,2,0),"")</f>
        <v>TFAME</v>
      </c>
      <c r="G80" s="60" t="s">
        <v>76</v>
      </c>
      <c r="H80" s="60" t="s">
        <v>31</v>
      </c>
      <c r="I80" s="59" t="s">
        <v>32</v>
      </c>
      <c r="J80" s="60" t="s">
        <v>33</v>
      </c>
      <c r="K80" s="61" t="s">
        <v>222</v>
      </c>
      <c r="L80" s="72" t="str">
        <f t="shared" si="2"/>
        <v>Not Required</v>
      </c>
      <c r="M80" s="62" t="s">
        <v>100</v>
      </c>
      <c r="N80" s="62"/>
      <c r="O80" s="62"/>
      <c r="P80" s="63"/>
      <c r="Q80" s="63"/>
      <c r="R80" s="63"/>
      <c r="S80" s="63"/>
      <c r="T80" s="63"/>
      <c r="U80" s="63"/>
      <c r="V80" s="46"/>
    </row>
    <row r="81" spans="2:22" ht="50.1" customHeight="1">
      <c r="B81" s="46"/>
      <c r="C81" s="59" t="s">
        <v>73</v>
      </c>
      <c r="D81" s="60" t="s">
        <v>223</v>
      </c>
      <c r="E81" s="60" t="s">
        <v>79</v>
      </c>
      <c r="F81" s="74" t="str">
        <f>IFERROR(VLOOKUP(E81,'Data Validations'!$A$2:$B$13,2,0),"")</f>
        <v>TFAME</v>
      </c>
      <c r="G81" s="60" t="s">
        <v>122</v>
      </c>
      <c r="H81" s="60" t="s">
        <v>97</v>
      </c>
      <c r="I81" s="59" t="s">
        <v>65</v>
      </c>
      <c r="J81" s="60" t="s">
        <v>33</v>
      </c>
      <c r="K81" s="61" t="s">
        <v>224</v>
      </c>
      <c r="L81" s="72" t="str">
        <f t="shared" si="2"/>
        <v>Not Required</v>
      </c>
      <c r="M81" s="62" t="s">
        <v>100</v>
      </c>
      <c r="N81" s="62"/>
      <c r="O81" s="62"/>
      <c r="P81" s="63"/>
      <c r="Q81" s="63"/>
      <c r="R81" s="63"/>
      <c r="S81" s="63"/>
      <c r="T81" s="63"/>
      <c r="U81" s="63"/>
      <c r="V81" s="46"/>
    </row>
    <row r="82" spans="2:22" ht="50.1" customHeight="1">
      <c r="B82" s="46"/>
      <c r="C82" s="59" t="s">
        <v>73</v>
      </c>
      <c r="D82" s="60" t="s">
        <v>74</v>
      </c>
      <c r="E82" s="60" t="s">
        <v>75</v>
      </c>
      <c r="F82" s="74" t="str">
        <f>IFERROR(VLOOKUP(E82,'Data Validations'!$A$2:$B$13,2,0),"")</f>
        <v>Trent XWB</v>
      </c>
      <c r="G82" s="60" t="s">
        <v>76</v>
      </c>
      <c r="H82" s="60" t="s">
        <v>31</v>
      </c>
      <c r="I82" s="59" t="s">
        <v>65</v>
      </c>
      <c r="J82" s="60" t="s">
        <v>33</v>
      </c>
      <c r="K82" s="61" t="s">
        <v>225</v>
      </c>
      <c r="L82" s="72" t="str">
        <f t="shared" si="2"/>
        <v>Not Required</v>
      </c>
      <c r="M82" s="62" t="s">
        <v>67</v>
      </c>
      <c r="N82" s="62"/>
      <c r="O82" s="62"/>
      <c r="P82" s="63"/>
      <c r="Q82" s="63"/>
      <c r="R82" s="63"/>
      <c r="S82" s="63"/>
      <c r="T82" s="63"/>
      <c r="U82" s="63"/>
      <c r="V82" s="46"/>
    </row>
    <row r="83" spans="2:22" ht="50.1" customHeight="1">
      <c r="B83" s="46"/>
      <c r="C83" s="59" t="s">
        <v>73</v>
      </c>
      <c r="D83" s="60" t="s">
        <v>74</v>
      </c>
      <c r="E83" s="60" t="s">
        <v>64</v>
      </c>
      <c r="F83" s="74" t="str">
        <f>IFERROR(VLOOKUP(E83,'Data Validations'!$A$2:$B$13,2,0),"")</f>
        <v>TFAME</v>
      </c>
      <c r="G83" s="60" t="s">
        <v>76</v>
      </c>
      <c r="H83" s="60" t="s">
        <v>31</v>
      </c>
      <c r="I83" s="59" t="s">
        <v>65</v>
      </c>
      <c r="J83" s="60" t="s">
        <v>58</v>
      </c>
      <c r="K83" s="61" t="s">
        <v>225</v>
      </c>
      <c r="L83" s="72" t="str">
        <f t="shared" si="2"/>
        <v>Not Required</v>
      </c>
      <c r="M83" s="62" t="s">
        <v>67</v>
      </c>
      <c r="N83" s="62"/>
      <c r="O83" s="62"/>
      <c r="P83" s="63"/>
      <c r="Q83" s="63"/>
      <c r="R83" s="63"/>
      <c r="S83" s="63"/>
      <c r="T83" s="63"/>
      <c r="U83" s="63"/>
      <c r="V83" s="46"/>
    </row>
    <row r="84" spans="2:22" ht="50.1" customHeight="1">
      <c r="B84" s="46"/>
      <c r="C84" s="59" t="s">
        <v>73</v>
      </c>
      <c r="D84" s="60" t="s">
        <v>74</v>
      </c>
      <c r="E84" s="60" t="s">
        <v>69</v>
      </c>
      <c r="F84" s="74" t="str">
        <f>IFERROR(VLOOKUP(E84,'Data Validations'!$A$2:$B$13,2,0),"")</f>
        <v>TFAME</v>
      </c>
      <c r="G84" s="60" t="s">
        <v>76</v>
      </c>
      <c r="H84" s="60" t="s">
        <v>31</v>
      </c>
      <c r="I84" s="59" t="s">
        <v>65</v>
      </c>
      <c r="J84" s="60" t="s">
        <v>33</v>
      </c>
      <c r="K84" s="61" t="s">
        <v>226</v>
      </c>
      <c r="L84" s="72" t="str">
        <f t="shared" si="2"/>
        <v>Not Required</v>
      </c>
      <c r="M84" s="62" t="s">
        <v>67</v>
      </c>
      <c r="N84" s="62"/>
      <c r="O84" s="62"/>
      <c r="P84" s="63"/>
      <c r="Q84" s="63"/>
      <c r="R84" s="63"/>
      <c r="S84" s="63"/>
      <c r="T84" s="63"/>
      <c r="U84" s="63"/>
      <c r="V84" s="46"/>
    </row>
    <row r="85" spans="2:22" ht="50.1" customHeight="1">
      <c r="B85" s="46"/>
      <c r="C85" s="59" t="s">
        <v>73</v>
      </c>
      <c r="D85" s="60" t="s">
        <v>155</v>
      </c>
      <c r="E85" s="60" t="s">
        <v>75</v>
      </c>
      <c r="F85" s="74" t="str">
        <f>IFERROR(VLOOKUP(E85,'Data Validations'!$A$2:$B$13,2,0),"")</f>
        <v>Trent XWB</v>
      </c>
      <c r="G85" s="60" t="s">
        <v>109</v>
      </c>
      <c r="H85" s="60" t="s">
        <v>31</v>
      </c>
      <c r="I85" s="59" t="s">
        <v>65</v>
      </c>
      <c r="J85" s="60" t="s">
        <v>58</v>
      </c>
      <c r="K85" s="61" t="s">
        <v>227</v>
      </c>
      <c r="L85" s="72" t="str">
        <f t="shared" si="2"/>
        <v>Not Required</v>
      </c>
      <c r="M85" s="62" t="s">
        <v>100</v>
      </c>
      <c r="N85" s="62"/>
      <c r="O85" s="62"/>
      <c r="P85" s="63"/>
      <c r="Q85" s="63"/>
      <c r="R85" s="63"/>
      <c r="S85" s="63"/>
      <c r="T85" s="63"/>
      <c r="U85" s="63"/>
      <c r="V85" s="46"/>
    </row>
    <row r="86" spans="2:22" ht="50.1" customHeight="1">
      <c r="B86" s="46"/>
      <c r="C86" s="59" t="s">
        <v>73</v>
      </c>
      <c r="D86" s="60" t="s">
        <v>179</v>
      </c>
      <c r="E86" s="60" t="s">
        <v>45</v>
      </c>
      <c r="F86" s="74" t="str">
        <f>IFERROR(VLOOKUP(E86,'Data Validations'!$A$2:$B$13,2,0),"")</f>
        <v>Trent XWB</v>
      </c>
      <c r="G86" s="60" t="s">
        <v>228</v>
      </c>
      <c r="H86" s="60" t="s">
        <v>31</v>
      </c>
      <c r="I86" s="59" t="s">
        <v>65</v>
      </c>
      <c r="J86" s="60" t="s">
        <v>33</v>
      </c>
      <c r="K86" s="61" t="s">
        <v>229</v>
      </c>
      <c r="L86" s="72" t="str">
        <f t="shared" si="2"/>
        <v>Not Required</v>
      </c>
      <c r="M86" s="62" t="s">
        <v>100</v>
      </c>
      <c r="N86" s="62">
        <v>2027</v>
      </c>
      <c r="O86" s="62"/>
      <c r="P86" s="63"/>
      <c r="Q86" s="63"/>
      <c r="R86" s="63"/>
      <c r="S86" s="63"/>
      <c r="T86" s="63"/>
      <c r="U86" s="63"/>
      <c r="V86" s="46"/>
    </row>
    <row r="87" spans="2:22" ht="50.1" customHeight="1">
      <c r="B87" s="46"/>
      <c r="C87" s="59" t="s">
        <v>73</v>
      </c>
      <c r="D87" s="60" t="s">
        <v>219</v>
      </c>
      <c r="E87" s="60" t="s">
        <v>121</v>
      </c>
      <c r="F87" s="74" t="str">
        <f>IFERROR(VLOOKUP(E87,'Data Validations'!$A$2:$B$13,2,0),"")</f>
        <v>TFAME</v>
      </c>
      <c r="G87" s="60" t="s">
        <v>122</v>
      </c>
      <c r="H87" s="60" t="s">
        <v>84</v>
      </c>
      <c r="I87" s="59" t="s">
        <v>32</v>
      </c>
      <c r="J87" s="60" t="s">
        <v>33</v>
      </c>
      <c r="K87" s="61" t="s">
        <v>230</v>
      </c>
      <c r="L87" s="72" t="str">
        <f t="shared" si="2"/>
        <v>Not Required</v>
      </c>
      <c r="M87" s="62" t="s">
        <v>60</v>
      </c>
      <c r="N87" s="62">
        <v>2026</v>
      </c>
      <c r="O87" s="62"/>
      <c r="P87" s="63">
        <v>1.9</v>
      </c>
      <c r="Q87" s="63"/>
      <c r="R87" s="63"/>
      <c r="S87" s="63"/>
      <c r="T87" s="63"/>
      <c r="U87" s="63"/>
      <c r="V87" s="46"/>
    </row>
    <row r="88" spans="2:22" ht="50.1" customHeight="1">
      <c r="B88" s="46"/>
      <c r="C88" s="59" t="s">
        <v>73</v>
      </c>
      <c r="D88" s="60" t="s">
        <v>219</v>
      </c>
      <c r="E88" s="60" t="s">
        <v>45</v>
      </c>
      <c r="F88" s="74" t="str">
        <f>IFERROR(VLOOKUP(E88,'Data Validations'!$A$2:$B$13,2,0),"")</f>
        <v>Trent XWB</v>
      </c>
      <c r="G88" s="60" t="s">
        <v>122</v>
      </c>
      <c r="H88" s="60" t="s">
        <v>97</v>
      </c>
      <c r="I88" s="59" t="s">
        <v>65</v>
      </c>
      <c r="J88" s="60" t="s">
        <v>33</v>
      </c>
      <c r="K88" s="61" t="s">
        <v>231</v>
      </c>
      <c r="L88" s="72" t="str">
        <f t="shared" si="2"/>
        <v>Not Required</v>
      </c>
      <c r="M88" s="62" t="s">
        <v>100</v>
      </c>
      <c r="N88" s="62"/>
      <c r="O88" s="62"/>
      <c r="P88" s="65"/>
      <c r="Q88" s="63"/>
      <c r="R88" s="63"/>
      <c r="S88" s="63"/>
      <c r="T88" s="63"/>
      <c r="U88" s="63"/>
      <c r="V88" s="46"/>
    </row>
    <row r="89" spans="2:22" ht="50.1" customHeight="1">
      <c r="B89" s="46"/>
      <c r="C89" s="59" t="s">
        <v>73</v>
      </c>
      <c r="D89" s="60" t="s">
        <v>232</v>
      </c>
      <c r="E89" s="60" t="s">
        <v>69</v>
      </c>
      <c r="F89" s="74" t="str">
        <f>IFERROR(VLOOKUP(E89,'Data Validations'!$A$2:$B$13,2,0),"")</f>
        <v>TFAME</v>
      </c>
      <c r="G89" s="60" t="s">
        <v>233</v>
      </c>
      <c r="H89" s="60" t="s">
        <v>97</v>
      </c>
      <c r="I89" s="59" t="s">
        <v>32</v>
      </c>
      <c r="J89" s="60" t="s">
        <v>33</v>
      </c>
      <c r="K89" s="61" t="s">
        <v>234</v>
      </c>
      <c r="L89" s="72" t="str">
        <f t="shared" si="2"/>
        <v>Not Required</v>
      </c>
      <c r="M89" s="62" t="s">
        <v>100</v>
      </c>
      <c r="N89" s="62"/>
      <c r="O89" s="62"/>
      <c r="P89" s="65"/>
      <c r="Q89" s="63"/>
      <c r="R89" s="63"/>
      <c r="S89" s="63"/>
      <c r="T89" s="63"/>
      <c r="U89" s="63"/>
      <c r="V89" s="46"/>
    </row>
    <row r="90" spans="2:22" ht="50.1" customHeight="1">
      <c r="B90" s="46"/>
      <c r="C90" s="59" t="s">
        <v>73</v>
      </c>
      <c r="D90" s="60" t="s">
        <v>235</v>
      </c>
      <c r="E90" s="60" t="s">
        <v>121</v>
      </c>
      <c r="F90" s="74" t="str">
        <f>IFERROR(VLOOKUP(E90,'Data Validations'!$A$2:$B$13,2,0),"")</f>
        <v>TFAME</v>
      </c>
      <c r="G90" s="60" t="s">
        <v>109</v>
      </c>
      <c r="H90" s="60" t="s">
        <v>84</v>
      </c>
      <c r="I90" s="59" t="s">
        <v>65</v>
      </c>
      <c r="J90" s="60" t="s">
        <v>33</v>
      </c>
      <c r="K90" s="61" t="s">
        <v>236</v>
      </c>
      <c r="L90" s="72" t="str">
        <f t="shared" ref="L90:L121" si="3">IF(C90="","",IF(AND(OR(H90="Full Contract Restructure"),P90&gt;9.9),"Required","Not Required"))</f>
        <v>Not Required</v>
      </c>
      <c r="M90" s="62" t="s">
        <v>100</v>
      </c>
      <c r="N90" s="62">
        <v>2026</v>
      </c>
      <c r="O90" s="62"/>
      <c r="P90" s="65">
        <v>2.5</v>
      </c>
      <c r="Q90" s="63"/>
      <c r="R90" s="63"/>
      <c r="S90" s="63"/>
      <c r="T90" s="63"/>
      <c r="U90" s="63"/>
      <c r="V90" s="46"/>
    </row>
    <row r="91" spans="2:22" ht="50.1" customHeight="1">
      <c r="B91" s="46"/>
      <c r="C91" s="59" t="s">
        <v>27</v>
      </c>
      <c r="D91" s="60" t="s">
        <v>237</v>
      </c>
      <c r="E91" s="60" t="s">
        <v>45</v>
      </c>
      <c r="F91" s="74" t="str">
        <f>IFERROR(VLOOKUP(E91,'Data Validations'!$A$2:$B$13,2,0),"")</f>
        <v>Trent XWB</v>
      </c>
      <c r="G91" s="60" t="s">
        <v>30</v>
      </c>
      <c r="H91" s="60" t="s">
        <v>84</v>
      </c>
      <c r="I91" s="59" t="s">
        <v>65</v>
      </c>
      <c r="J91" s="60" t="s">
        <v>33</v>
      </c>
      <c r="K91" s="61" t="s">
        <v>238</v>
      </c>
      <c r="L91" s="72" t="str">
        <f t="shared" si="3"/>
        <v>Not Required</v>
      </c>
      <c r="M91" s="62" t="s">
        <v>100</v>
      </c>
      <c r="N91" s="62"/>
      <c r="O91" s="62"/>
      <c r="P91" s="65"/>
      <c r="Q91" s="63"/>
      <c r="R91" s="63"/>
      <c r="S91" s="63"/>
      <c r="T91" s="63"/>
      <c r="U91" s="63"/>
      <c r="V91" s="46"/>
    </row>
    <row r="92" spans="2:22" ht="50.1" customHeight="1">
      <c r="B92" s="46"/>
      <c r="C92" s="59" t="s">
        <v>27</v>
      </c>
      <c r="D92" s="60" t="s">
        <v>237</v>
      </c>
      <c r="E92" s="60" t="s">
        <v>45</v>
      </c>
      <c r="F92" s="74" t="str">
        <f>IFERROR(VLOOKUP(E92,'Data Validations'!$A$2:$B$13,2,0),"")</f>
        <v>Trent XWB</v>
      </c>
      <c r="G92" s="60" t="s">
        <v>30</v>
      </c>
      <c r="H92" s="60" t="s">
        <v>97</v>
      </c>
      <c r="I92" s="59" t="s">
        <v>65</v>
      </c>
      <c r="J92" s="60" t="s">
        <v>33</v>
      </c>
      <c r="K92" s="61" t="s">
        <v>239</v>
      </c>
      <c r="L92" s="72" t="str">
        <f t="shared" si="3"/>
        <v>Not Required</v>
      </c>
      <c r="M92" s="62"/>
      <c r="N92" s="62"/>
      <c r="O92" s="62"/>
      <c r="P92" s="65"/>
      <c r="Q92" s="63"/>
      <c r="R92" s="63"/>
      <c r="S92" s="63"/>
      <c r="T92" s="63"/>
      <c r="U92" s="63"/>
      <c r="V92" s="46"/>
    </row>
    <row r="93" spans="2:22" ht="50.1" customHeight="1">
      <c r="B93" s="46"/>
      <c r="C93" s="59" t="s">
        <v>43</v>
      </c>
      <c r="D93" s="60" t="s">
        <v>240</v>
      </c>
      <c r="E93" s="60" t="s">
        <v>45</v>
      </c>
      <c r="F93" s="74" t="str">
        <f>IFERROR(VLOOKUP(E93,'Data Validations'!$A$2:$B$13,2,0),"")</f>
        <v>Trent XWB</v>
      </c>
      <c r="G93" s="60" t="s">
        <v>80</v>
      </c>
      <c r="H93" s="60" t="s">
        <v>31</v>
      </c>
      <c r="I93" s="59" t="s">
        <v>65</v>
      </c>
      <c r="J93" s="60" t="s">
        <v>33</v>
      </c>
      <c r="K93" s="61" t="s">
        <v>241</v>
      </c>
      <c r="L93" s="72" t="str">
        <f t="shared" si="3"/>
        <v>Not Required</v>
      </c>
      <c r="M93" s="62"/>
      <c r="N93" s="62"/>
      <c r="O93" s="62"/>
      <c r="P93" s="65"/>
      <c r="Q93" s="63"/>
      <c r="R93" s="63"/>
      <c r="S93" s="63"/>
      <c r="T93" s="63"/>
      <c r="U93" s="63"/>
      <c r="V93" s="46"/>
    </row>
    <row r="94" spans="2:22" ht="50.1" customHeight="1">
      <c r="B94" s="46"/>
      <c r="C94" s="59" t="s">
        <v>43</v>
      </c>
      <c r="D94" s="60" t="s">
        <v>240</v>
      </c>
      <c r="E94" s="60" t="s">
        <v>75</v>
      </c>
      <c r="F94" s="74" t="str">
        <f>IFERROR(VLOOKUP(E94,'Data Validations'!$A$2:$B$13,2,0),"")</f>
        <v>Trent XWB</v>
      </c>
      <c r="G94" s="60" t="s">
        <v>80</v>
      </c>
      <c r="H94" s="60" t="s">
        <v>31</v>
      </c>
      <c r="I94" s="59" t="s">
        <v>65</v>
      </c>
      <c r="J94" s="60" t="s">
        <v>33</v>
      </c>
      <c r="K94" s="61" t="s">
        <v>242</v>
      </c>
      <c r="L94" s="72" t="str">
        <f t="shared" si="3"/>
        <v>Not Required</v>
      </c>
      <c r="M94" s="62"/>
      <c r="N94" s="62"/>
      <c r="O94" s="62"/>
      <c r="P94" s="65"/>
      <c r="Q94" s="63"/>
      <c r="R94" s="63"/>
      <c r="S94" s="63"/>
      <c r="T94" s="63"/>
      <c r="U94" s="63"/>
      <c r="V94" s="46"/>
    </row>
    <row r="95" spans="2:22" ht="50.1" customHeight="1">
      <c r="B95" s="46"/>
      <c r="C95" s="59" t="s">
        <v>43</v>
      </c>
      <c r="D95" s="60" t="s">
        <v>56</v>
      </c>
      <c r="E95" s="60" t="s">
        <v>45</v>
      </c>
      <c r="F95" s="74" t="str">
        <f>IFERROR(VLOOKUP(E95,'Data Validations'!$A$2:$B$13,2,0),"")</f>
        <v>Trent XWB</v>
      </c>
      <c r="G95" s="60" t="s">
        <v>57</v>
      </c>
      <c r="H95" s="60" t="s">
        <v>31</v>
      </c>
      <c r="I95" s="59" t="s">
        <v>65</v>
      </c>
      <c r="J95" s="60" t="s">
        <v>33</v>
      </c>
      <c r="K95" s="61" t="s">
        <v>243</v>
      </c>
      <c r="L95" s="72" t="str">
        <f t="shared" si="3"/>
        <v>Not Required</v>
      </c>
      <c r="M95" s="62" t="s">
        <v>100</v>
      </c>
      <c r="N95" s="62"/>
      <c r="O95" s="62"/>
      <c r="P95" s="65"/>
      <c r="Q95" s="63"/>
      <c r="R95" s="63"/>
      <c r="S95" s="63"/>
      <c r="T95" s="63"/>
      <c r="U95" s="63"/>
      <c r="V95" s="46"/>
    </row>
    <row r="96" spans="2:22" ht="50.1" customHeight="1">
      <c r="B96" s="46"/>
      <c r="C96" s="59" t="s">
        <v>43</v>
      </c>
      <c r="D96" s="60" t="s">
        <v>244</v>
      </c>
      <c r="E96" s="60" t="s">
        <v>45</v>
      </c>
      <c r="F96" s="74" t="str">
        <f>IFERROR(VLOOKUP(E96,'Data Validations'!$A$2:$B$13,2,0),"")</f>
        <v>Trent XWB</v>
      </c>
      <c r="G96" s="60" t="s">
        <v>57</v>
      </c>
      <c r="H96" s="60" t="s">
        <v>31</v>
      </c>
      <c r="I96" s="59" t="s">
        <v>32</v>
      </c>
      <c r="J96" s="60" t="s">
        <v>33</v>
      </c>
      <c r="K96" s="61" t="s">
        <v>245</v>
      </c>
      <c r="L96" s="72" t="str">
        <f t="shared" si="3"/>
        <v>Not Required</v>
      </c>
      <c r="M96" s="62" t="s">
        <v>246</v>
      </c>
      <c r="N96" s="62">
        <v>2026</v>
      </c>
      <c r="O96" s="62"/>
      <c r="P96" s="65"/>
      <c r="Q96" s="63"/>
      <c r="R96" s="63"/>
      <c r="S96" s="63"/>
      <c r="T96" s="63"/>
      <c r="U96" s="63"/>
      <c r="V96" s="46"/>
    </row>
    <row r="97" spans="2:22" ht="50.1" customHeight="1">
      <c r="B97" s="46"/>
      <c r="C97" s="59" t="s">
        <v>43</v>
      </c>
      <c r="D97" s="60" t="s">
        <v>247</v>
      </c>
      <c r="E97" s="60" t="s">
        <v>75</v>
      </c>
      <c r="F97" s="74" t="str">
        <f>IFERROR(VLOOKUP(E97,'Data Validations'!$A$2:$B$13,2,0),"")</f>
        <v>Trent XWB</v>
      </c>
      <c r="G97" s="60" t="s">
        <v>248</v>
      </c>
      <c r="H97" s="60" t="s">
        <v>84</v>
      </c>
      <c r="I97" s="59" t="s">
        <v>32</v>
      </c>
      <c r="J97" s="60" t="s">
        <v>33</v>
      </c>
      <c r="K97" s="61" t="s">
        <v>249</v>
      </c>
      <c r="L97" s="72" t="str">
        <f t="shared" si="3"/>
        <v>Not Required</v>
      </c>
      <c r="M97" s="62" t="s">
        <v>246</v>
      </c>
      <c r="N97" s="62">
        <v>2026</v>
      </c>
      <c r="O97" s="62" t="s">
        <v>36</v>
      </c>
      <c r="P97" s="65">
        <v>7</v>
      </c>
      <c r="Q97" s="63"/>
      <c r="R97" s="63"/>
      <c r="S97" s="63"/>
      <c r="T97" s="63"/>
      <c r="U97" s="63"/>
      <c r="V97" s="46"/>
    </row>
    <row r="98" spans="2:22" ht="50.1" customHeight="1">
      <c r="B98" s="46"/>
      <c r="C98" s="59" t="s">
        <v>43</v>
      </c>
      <c r="D98" s="60" t="s">
        <v>247</v>
      </c>
      <c r="E98" s="60" t="s">
        <v>75</v>
      </c>
      <c r="F98" s="74" t="str">
        <f>IFERROR(VLOOKUP(E98,'Data Validations'!$A$2:$B$13,2,0),"")</f>
        <v>Trent XWB</v>
      </c>
      <c r="G98" s="60" t="s">
        <v>248</v>
      </c>
      <c r="H98" s="60" t="s">
        <v>84</v>
      </c>
      <c r="I98" s="59" t="s">
        <v>65</v>
      </c>
      <c r="J98" s="60" t="s">
        <v>33</v>
      </c>
      <c r="K98" s="61" t="s">
        <v>250</v>
      </c>
      <c r="L98" s="72" t="str">
        <f t="shared" si="3"/>
        <v>Not Required</v>
      </c>
      <c r="M98" s="62" t="s">
        <v>246</v>
      </c>
      <c r="N98" s="62"/>
      <c r="O98" s="62"/>
      <c r="P98" s="65"/>
      <c r="Q98" s="63"/>
      <c r="R98" s="63"/>
      <c r="S98" s="63"/>
      <c r="T98" s="63"/>
      <c r="U98" s="63"/>
      <c r="V98" s="46"/>
    </row>
    <row r="99" spans="2:22" ht="50.1" customHeight="1">
      <c r="B99" s="46"/>
      <c r="C99" s="59" t="s">
        <v>43</v>
      </c>
      <c r="D99" s="60" t="s">
        <v>247</v>
      </c>
      <c r="E99" s="60" t="s">
        <v>45</v>
      </c>
      <c r="F99" s="74" t="str">
        <f>IFERROR(VLOOKUP(E99,'Data Validations'!$A$2:$B$13,2,0),"")</f>
        <v>Trent XWB</v>
      </c>
      <c r="G99" s="60" t="s">
        <v>248</v>
      </c>
      <c r="H99" s="60" t="s">
        <v>97</v>
      </c>
      <c r="I99" s="59" t="s">
        <v>32</v>
      </c>
      <c r="J99" s="60" t="s">
        <v>33</v>
      </c>
      <c r="K99" s="61" t="s">
        <v>251</v>
      </c>
      <c r="L99" s="72" t="str">
        <f t="shared" si="3"/>
        <v>Not Required</v>
      </c>
      <c r="M99" s="62" t="s">
        <v>100</v>
      </c>
      <c r="N99" s="62">
        <v>2026</v>
      </c>
      <c r="O99" s="82"/>
      <c r="P99" s="77">
        <v>442</v>
      </c>
      <c r="Q99" s="63">
        <v>3.2</v>
      </c>
      <c r="R99" s="63" t="s">
        <v>252</v>
      </c>
      <c r="S99" s="63" t="s">
        <v>252</v>
      </c>
      <c r="T99" s="63" t="s">
        <v>252</v>
      </c>
      <c r="U99" s="63" t="s">
        <v>252</v>
      </c>
      <c r="V99" s="46"/>
    </row>
    <row r="100" spans="2:22" ht="50.1" customHeight="1">
      <c r="B100" s="46"/>
      <c r="C100" s="59" t="s">
        <v>43</v>
      </c>
      <c r="D100" s="60" t="s">
        <v>253</v>
      </c>
      <c r="E100" s="60" t="s">
        <v>45</v>
      </c>
      <c r="F100" s="74" t="str">
        <f>IFERROR(VLOOKUP(E100,'Data Validations'!$A$2:$B$13,2,0),"")</f>
        <v>Trent XWB</v>
      </c>
      <c r="G100" s="60" t="s">
        <v>46</v>
      </c>
      <c r="H100" s="60" t="s">
        <v>97</v>
      </c>
      <c r="I100" s="59" t="s">
        <v>65</v>
      </c>
      <c r="J100" s="60" t="s">
        <v>33</v>
      </c>
      <c r="K100" s="61" t="s">
        <v>254</v>
      </c>
      <c r="L100" s="72" t="str">
        <f>IF(C100="","",IF(AND(OR(H100="Full Contract Restructure"),P100&gt;9.9),"Required","Not Required"))</f>
        <v>Not Required</v>
      </c>
      <c r="M100" s="62" t="s">
        <v>100</v>
      </c>
      <c r="N100" s="62"/>
      <c r="O100" s="62"/>
      <c r="P100" s="65"/>
      <c r="Q100" s="63"/>
      <c r="R100" s="63"/>
      <c r="S100" s="63"/>
      <c r="T100" s="63"/>
      <c r="U100" s="63"/>
      <c r="V100" s="46"/>
    </row>
    <row r="101" spans="2:22" ht="50.1" customHeight="1">
      <c r="B101" s="46"/>
      <c r="C101" s="59" t="s">
        <v>43</v>
      </c>
      <c r="D101" s="60" t="s">
        <v>253</v>
      </c>
      <c r="E101" s="60" t="s">
        <v>45</v>
      </c>
      <c r="F101" s="74" t="str">
        <f>IFERROR(VLOOKUP(E101,'Data Validations'!$A$2:$B$13,2,0),"")</f>
        <v>Trent XWB</v>
      </c>
      <c r="G101" s="60" t="s">
        <v>46</v>
      </c>
      <c r="H101" s="60" t="s">
        <v>97</v>
      </c>
      <c r="I101" s="59" t="s">
        <v>65</v>
      </c>
      <c r="J101" s="60" t="s">
        <v>33</v>
      </c>
      <c r="K101" s="61" t="s">
        <v>255</v>
      </c>
      <c r="L101" s="72" t="str">
        <f t="shared" si="3"/>
        <v>Not Required</v>
      </c>
      <c r="M101" s="62" t="s">
        <v>100</v>
      </c>
      <c r="N101" s="62"/>
      <c r="O101" s="62"/>
      <c r="P101" s="65"/>
      <c r="Q101" s="63"/>
      <c r="R101" s="63"/>
      <c r="S101" s="63"/>
      <c r="T101" s="63"/>
      <c r="U101" s="63"/>
      <c r="V101" s="46"/>
    </row>
    <row r="102" spans="2:22" ht="50.1" customHeight="1">
      <c r="B102" s="46"/>
      <c r="C102" s="59" t="s">
        <v>73</v>
      </c>
      <c r="D102" s="60" t="s">
        <v>256</v>
      </c>
      <c r="E102" s="60" t="s">
        <v>45</v>
      </c>
      <c r="F102" s="74" t="str">
        <f>IFERROR(VLOOKUP(E102,'Data Validations'!$A$2:$B$13,2,0),"")</f>
        <v>Trent XWB</v>
      </c>
      <c r="G102" s="60" t="s">
        <v>257</v>
      </c>
      <c r="H102" s="60" t="s">
        <v>31</v>
      </c>
      <c r="I102" s="59" t="s">
        <v>65</v>
      </c>
      <c r="J102" s="60" t="s">
        <v>33</v>
      </c>
      <c r="K102" s="61" t="s">
        <v>258</v>
      </c>
      <c r="L102" s="72" t="str">
        <f t="shared" si="3"/>
        <v>Not Required</v>
      </c>
      <c r="M102" s="62" t="s">
        <v>100</v>
      </c>
      <c r="N102" s="62">
        <v>2027</v>
      </c>
      <c r="O102" s="62"/>
      <c r="P102" s="65"/>
      <c r="Q102" s="63"/>
      <c r="R102" s="63"/>
      <c r="S102" s="63"/>
      <c r="T102" s="63"/>
      <c r="U102" s="63"/>
      <c r="V102" s="46"/>
    </row>
    <row r="103" spans="2:22" ht="50.1" customHeight="1">
      <c r="B103" s="46"/>
      <c r="C103" s="59" t="s">
        <v>135</v>
      </c>
      <c r="D103" s="60" t="s">
        <v>259</v>
      </c>
      <c r="E103" s="60" t="s">
        <v>45</v>
      </c>
      <c r="F103" s="74" t="str">
        <f>IFERROR(VLOOKUP(E103,'Data Validations'!$A$2:$B$13,2,0),"")</f>
        <v>Trent XWB</v>
      </c>
      <c r="G103" s="60" t="s">
        <v>137</v>
      </c>
      <c r="H103" s="60" t="s">
        <v>97</v>
      </c>
      <c r="I103" s="59" t="s">
        <v>32</v>
      </c>
      <c r="J103" s="60" t="s">
        <v>33</v>
      </c>
      <c r="K103" s="61" t="s">
        <v>260</v>
      </c>
      <c r="L103" s="72" t="str">
        <f t="shared" si="3"/>
        <v>Not Required</v>
      </c>
      <c r="M103" s="62" t="s">
        <v>54</v>
      </c>
      <c r="N103" s="62">
        <v>2026</v>
      </c>
      <c r="O103" s="62"/>
      <c r="P103" s="65"/>
      <c r="Q103" s="63"/>
      <c r="R103" s="63"/>
      <c r="S103" s="63"/>
      <c r="T103" s="63"/>
      <c r="U103" s="63"/>
      <c r="V103" s="46"/>
    </row>
    <row r="104" spans="2:22" ht="50.1" customHeight="1">
      <c r="B104" s="46"/>
      <c r="C104" s="59" t="s">
        <v>135</v>
      </c>
      <c r="D104" s="60" t="s">
        <v>259</v>
      </c>
      <c r="E104" s="60" t="s">
        <v>45</v>
      </c>
      <c r="F104" s="74" t="str">
        <f>IFERROR(VLOOKUP(E104,'Data Validations'!$A$2:$B$13,2,0),"")</f>
        <v>Trent XWB</v>
      </c>
      <c r="G104" s="60" t="s">
        <v>261</v>
      </c>
      <c r="H104" s="60" t="s">
        <v>31</v>
      </c>
      <c r="I104" s="59" t="s">
        <v>65</v>
      </c>
      <c r="J104" s="60" t="s">
        <v>33</v>
      </c>
      <c r="K104" s="61" t="s">
        <v>262</v>
      </c>
      <c r="L104" s="72" t="str">
        <f t="shared" si="3"/>
        <v>Not Required</v>
      </c>
      <c r="M104" s="62" t="s">
        <v>100</v>
      </c>
      <c r="N104" s="62">
        <v>2027</v>
      </c>
      <c r="O104" s="62"/>
      <c r="P104" s="65"/>
      <c r="Q104" s="63"/>
      <c r="R104" s="63"/>
      <c r="S104" s="63"/>
      <c r="T104" s="63"/>
      <c r="U104" s="63"/>
      <c r="V104" s="46"/>
    </row>
    <row r="105" spans="2:22" ht="50.1" customHeight="1">
      <c r="B105" s="46"/>
      <c r="C105" s="59" t="s">
        <v>135</v>
      </c>
      <c r="D105" s="60" t="s">
        <v>136</v>
      </c>
      <c r="E105" s="60" t="s">
        <v>45</v>
      </c>
      <c r="F105" s="74" t="str">
        <f>IFERROR(VLOOKUP(E105,'Data Validations'!$A$2:$B$13,2,0),"")</f>
        <v>Trent XWB</v>
      </c>
      <c r="G105" s="60" t="s">
        <v>261</v>
      </c>
      <c r="H105" s="60" t="s">
        <v>84</v>
      </c>
      <c r="I105" s="59" t="s">
        <v>65</v>
      </c>
      <c r="J105" s="60" t="s">
        <v>33</v>
      </c>
      <c r="K105" s="61" t="s">
        <v>263</v>
      </c>
      <c r="L105" s="72" t="str">
        <f t="shared" si="3"/>
        <v>Not Required</v>
      </c>
      <c r="M105" s="62" t="s">
        <v>67</v>
      </c>
      <c r="N105" s="62">
        <v>2026</v>
      </c>
      <c r="O105" s="62"/>
      <c r="P105" s="65"/>
      <c r="Q105" s="63"/>
      <c r="R105" s="63"/>
      <c r="S105" s="63"/>
      <c r="T105" s="63"/>
      <c r="U105" s="63"/>
      <c r="V105" s="46"/>
    </row>
    <row r="106" spans="2:22" ht="50.1" customHeight="1">
      <c r="B106" s="46"/>
      <c r="C106" s="59" t="s">
        <v>135</v>
      </c>
      <c r="D106" s="60" t="s">
        <v>264</v>
      </c>
      <c r="E106" s="60" t="s">
        <v>45</v>
      </c>
      <c r="F106" s="74" t="str">
        <f>IFERROR(VLOOKUP(E106,'Data Validations'!$A$2:$B$13,2,0),"")</f>
        <v>Trent XWB</v>
      </c>
      <c r="G106" s="60" t="s">
        <v>189</v>
      </c>
      <c r="H106" s="60" t="s">
        <v>84</v>
      </c>
      <c r="I106" s="59" t="s">
        <v>32</v>
      </c>
      <c r="J106" s="60" t="s">
        <v>33</v>
      </c>
      <c r="K106" s="61"/>
      <c r="L106" s="72" t="str">
        <f t="shared" si="3"/>
        <v>Not Required</v>
      </c>
      <c r="M106" s="62"/>
      <c r="N106" s="62"/>
      <c r="O106" s="62"/>
      <c r="P106" s="65"/>
      <c r="Q106" s="63"/>
      <c r="R106" s="63"/>
      <c r="S106" s="63"/>
      <c r="T106" s="63"/>
      <c r="U106" s="63"/>
      <c r="V106" s="46"/>
    </row>
    <row r="107" spans="2:22" ht="50.1" customHeight="1">
      <c r="B107" s="46"/>
      <c r="C107" s="59" t="s">
        <v>135</v>
      </c>
      <c r="D107" s="60" t="s">
        <v>188</v>
      </c>
      <c r="E107" s="60" t="s">
        <v>45</v>
      </c>
      <c r="F107" s="74" t="str">
        <f>IFERROR(VLOOKUP(E107,'Data Validations'!$A$2:$B$13,2,0),"")</f>
        <v>Trent XWB</v>
      </c>
      <c r="G107" s="60"/>
      <c r="H107" s="60"/>
      <c r="I107" s="59"/>
      <c r="J107" s="60"/>
      <c r="K107" s="61"/>
      <c r="L107" s="72" t="str">
        <f t="shared" si="3"/>
        <v>Not Required</v>
      </c>
      <c r="M107" s="62"/>
      <c r="N107" s="62"/>
      <c r="O107" s="62"/>
      <c r="P107" s="65"/>
      <c r="Q107" s="63"/>
      <c r="R107" s="63"/>
      <c r="S107" s="63"/>
      <c r="T107" s="63"/>
      <c r="U107" s="63"/>
      <c r="V107" s="46"/>
    </row>
    <row r="108" spans="2:22" ht="50.1" customHeight="1">
      <c r="B108" s="46"/>
      <c r="C108" s="59" t="s">
        <v>73</v>
      </c>
      <c r="D108" s="60" t="s">
        <v>235</v>
      </c>
      <c r="E108" s="60" t="s">
        <v>75</v>
      </c>
      <c r="F108" s="74" t="str">
        <f>IFERROR(VLOOKUP(E108,'Data Validations'!$A$2:$B$13,2,0),"")</f>
        <v>Trent XWB</v>
      </c>
      <c r="G108" s="60" t="s">
        <v>109</v>
      </c>
      <c r="H108" s="60" t="s">
        <v>31</v>
      </c>
      <c r="I108" s="59" t="s">
        <v>65</v>
      </c>
      <c r="J108" s="60" t="s">
        <v>58</v>
      </c>
      <c r="K108" s="61" t="s">
        <v>265</v>
      </c>
      <c r="L108" s="72" t="str">
        <f t="shared" si="3"/>
        <v>Not Required</v>
      </c>
      <c r="M108" s="62" t="s">
        <v>100</v>
      </c>
      <c r="N108" s="62">
        <v>2026</v>
      </c>
      <c r="O108" s="62"/>
      <c r="P108" s="65"/>
      <c r="Q108" s="63"/>
      <c r="R108" s="63"/>
      <c r="S108" s="63"/>
      <c r="T108" s="63"/>
      <c r="U108" s="63"/>
      <c r="V108" s="46"/>
    </row>
    <row r="109" spans="2:22" ht="50.1" customHeight="1">
      <c r="B109" s="46"/>
      <c r="C109" s="59" t="s">
        <v>73</v>
      </c>
      <c r="D109" s="60" t="s">
        <v>266</v>
      </c>
      <c r="E109" s="60" t="s">
        <v>45</v>
      </c>
      <c r="F109" s="74" t="str">
        <f>IFERROR(VLOOKUP(E109,'Data Validations'!$A$2:$B$13,2,0),"")</f>
        <v>Trent XWB</v>
      </c>
      <c r="G109" s="60" t="s">
        <v>83</v>
      </c>
      <c r="H109" s="60" t="s">
        <v>31</v>
      </c>
      <c r="I109" s="59" t="s">
        <v>32</v>
      </c>
      <c r="J109" s="60" t="s">
        <v>33</v>
      </c>
      <c r="K109" s="61" t="s">
        <v>267</v>
      </c>
      <c r="L109" s="72" t="str">
        <f t="shared" si="3"/>
        <v>Not Required</v>
      </c>
      <c r="M109" s="62" t="s">
        <v>67</v>
      </c>
      <c r="N109" s="62">
        <v>2026</v>
      </c>
      <c r="O109" s="62"/>
      <c r="P109" s="65"/>
      <c r="Q109" s="63"/>
      <c r="R109" s="63"/>
      <c r="S109" s="63"/>
      <c r="T109" s="63"/>
      <c r="U109" s="63"/>
      <c r="V109" s="46"/>
    </row>
    <row r="110" spans="2:22" ht="50.1" customHeight="1">
      <c r="B110" s="46"/>
      <c r="C110" s="59" t="s">
        <v>73</v>
      </c>
      <c r="D110" s="60" t="s">
        <v>266</v>
      </c>
      <c r="E110" s="60" t="s">
        <v>45</v>
      </c>
      <c r="F110" s="74" t="str">
        <f>IFERROR(VLOOKUP(E110,'Data Validations'!$A$2:$B$13,2,0),"")</f>
        <v>Trent XWB</v>
      </c>
      <c r="G110" s="60" t="s">
        <v>83</v>
      </c>
      <c r="H110" s="60" t="s">
        <v>97</v>
      </c>
      <c r="I110" s="59" t="s">
        <v>32</v>
      </c>
      <c r="J110" s="60" t="s">
        <v>33</v>
      </c>
      <c r="K110" s="61" t="s">
        <v>268</v>
      </c>
      <c r="L110" s="72" t="str">
        <f t="shared" si="3"/>
        <v>Not Required</v>
      </c>
      <c r="M110" s="62" t="s">
        <v>67</v>
      </c>
      <c r="N110" s="62">
        <v>2026</v>
      </c>
      <c r="O110" s="62"/>
      <c r="P110" s="65"/>
      <c r="Q110" s="63"/>
      <c r="R110" s="63"/>
      <c r="S110" s="63"/>
      <c r="T110" s="63"/>
      <c r="U110" s="63"/>
      <c r="V110" s="46"/>
    </row>
    <row r="111" spans="2:22" ht="50.1" customHeight="1">
      <c r="B111" s="46"/>
      <c r="C111" s="59" t="s">
        <v>73</v>
      </c>
      <c r="D111" s="60" t="s">
        <v>269</v>
      </c>
      <c r="E111" s="60" t="s">
        <v>79</v>
      </c>
      <c r="F111" s="74" t="str">
        <f>IFERROR(VLOOKUP(E111,'Data Validations'!$A$2:$B$13,2,0),"")</f>
        <v>TFAME</v>
      </c>
      <c r="G111" s="60" t="s">
        <v>233</v>
      </c>
      <c r="H111" s="60" t="s">
        <v>97</v>
      </c>
      <c r="I111" s="59" t="s">
        <v>32</v>
      </c>
      <c r="J111" s="60" t="s">
        <v>33</v>
      </c>
      <c r="K111" s="61" t="s">
        <v>270</v>
      </c>
      <c r="L111" s="72" t="str">
        <f t="shared" si="3"/>
        <v>Not Required</v>
      </c>
      <c r="M111" s="62" t="s">
        <v>100</v>
      </c>
      <c r="N111" s="62">
        <v>2026</v>
      </c>
      <c r="O111" s="62"/>
      <c r="P111" s="65"/>
      <c r="Q111" s="63"/>
      <c r="R111" s="63"/>
      <c r="S111" s="63"/>
      <c r="T111" s="63"/>
      <c r="U111" s="63"/>
      <c r="V111" s="46"/>
    </row>
    <row r="112" spans="2:22" ht="50.1" customHeight="1">
      <c r="B112" s="46"/>
      <c r="C112" s="59" t="s">
        <v>50</v>
      </c>
      <c r="D112" s="60" t="s">
        <v>271</v>
      </c>
      <c r="E112" s="60" t="s">
        <v>45</v>
      </c>
      <c r="F112" s="74" t="str">
        <f>IFERROR(VLOOKUP(E112,'Data Validations'!$A$2:$B$13,2,0),"")</f>
        <v>Trent XWB</v>
      </c>
      <c r="G112" s="60" t="s">
        <v>128</v>
      </c>
      <c r="H112" s="60" t="s">
        <v>97</v>
      </c>
      <c r="I112" s="59" t="s">
        <v>65</v>
      </c>
      <c r="J112" s="60" t="s">
        <v>33</v>
      </c>
      <c r="K112" s="61" t="s">
        <v>272</v>
      </c>
      <c r="L112" s="72" t="str">
        <f t="shared" si="3"/>
        <v>Not Required</v>
      </c>
      <c r="M112" s="62" t="s">
        <v>100</v>
      </c>
      <c r="N112" s="62">
        <v>2026</v>
      </c>
      <c r="O112" s="62"/>
      <c r="P112" s="65"/>
      <c r="Q112" s="63"/>
      <c r="R112" s="63"/>
      <c r="S112" s="63"/>
      <c r="T112" s="63"/>
      <c r="U112" s="63"/>
      <c r="V112" s="46"/>
    </row>
    <row r="113" spans="2:22" ht="50.1" customHeight="1">
      <c r="B113" s="46"/>
      <c r="C113" s="59" t="s">
        <v>27</v>
      </c>
      <c r="D113" s="60" t="s">
        <v>237</v>
      </c>
      <c r="E113" s="60" t="s">
        <v>121</v>
      </c>
      <c r="F113" s="74" t="str">
        <f>IFERROR(VLOOKUP(E113,'Data Validations'!$A$2:$B$13,2,0),"")</f>
        <v>TFAME</v>
      </c>
      <c r="G113" s="60" t="s">
        <v>30</v>
      </c>
      <c r="H113" s="60" t="s">
        <v>31</v>
      </c>
      <c r="I113" s="59" t="s">
        <v>32</v>
      </c>
      <c r="J113" s="60" t="s">
        <v>58</v>
      </c>
      <c r="K113" s="61" t="s">
        <v>273</v>
      </c>
      <c r="L113" s="72" t="str">
        <f t="shared" si="3"/>
        <v>Required</v>
      </c>
      <c r="M113" s="62" t="s">
        <v>54</v>
      </c>
      <c r="N113" s="62">
        <v>2026</v>
      </c>
      <c r="O113" s="62" t="s">
        <v>36</v>
      </c>
      <c r="P113" s="65">
        <v>59</v>
      </c>
      <c r="Q113" s="63">
        <v>59</v>
      </c>
      <c r="R113" s="63"/>
      <c r="S113" s="63"/>
      <c r="T113" s="63"/>
      <c r="U113" s="63"/>
      <c r="V113" s="46"/>
    </row>
    <row r="114" spans="2:22" ht="50.1" customHeight="1">
      <c r="B114" s="46"/>
      <c r="C114" s="59"/>
      <c r="D114" s="60"/>
      <c r="E114" s="60"/>
      <c r="F114" s="74" t="str">
        <f>IFERROR(VLOOKUP(E114,'Data Validations'!$A$2:$B$13,2,0),"")</f>
        <v/>
      </c>
      <c r="G114" s="60"/>
      <c r="H114" s="60"/>
      <c r="I114" s="59"/>
      <c r="J114" s="60"/>
      <c r="K114" s="61"/>
      <c r="L114" s="72" t="str">
        <f t="shared" si="3"/>
        <v/>
      </c>
      <c r="M114" s="62"/>
      <c r="N114" s="62"/>
      <c r="O114" s="62"/>
      <c r="P114" s="65"/>
      <c r="Q114" s="63"/>
      <c r="R114" s="63"/>
      <c r="S114" s="63"/>
      <c r="T114" s="63"/>
      <c r="U114" s="63"/>
      <c r="V114" s="46"/>
    </row>
    <row r="115" spans="2:22" ht="50.1" customHeight="1">
      <c r="B115" s="46"/>
      <c r="C115" s="59"/>
      <c r="D115" s="60"/>
      <c r="E115" s="60"/>
      <c r="F115" s="74" t="str">
        <f>IFERROR(VLOOKUP(E115,'Data Validations'!$A$2:$B$13,2,0),"")</f>
        <v/>
      </c>
      <c r="G115" s="60"/>
      <c r="H115" s="60"/>
      <c r="I115" s="59"/>
      <c r="J115" s="60"/>
      <c r="K115" s="61"/>
      <c r="L115" s="72" t="str">
        <f t="shared" si="3"/>
        <v/>
      </c>
      <c r="M115" s="62"/>
      <c r="N115" s="62"/>
      <c r="O115" s="62"/>
      <c r="P115" s="65"/>
      <c r="Q115" s="63"/>
      <c r="R115" s="63"/>
      <c r="S115" s="63"/>
      <c r="T115" s="63"/>
      <c r="U115" s="63"/>
      <c r="V115" s="46"/>
    </row>
    <row r="116" spans="2:22" ht="50.1" customHeight="1">
      <c r="B116" s="46"/>
      <c r="C116" s="59"/>
      <c r="D116" s="60"/>
      <c r="E116" s="60"/>
      <c r="F116" s="74" t="str">
        <f>IFERROR(VLOOKUP(E116,'Data Validations'!$A$2:$B$13,2,0),"")</f>
        <v/>
      </c>
      <c r="G116" s="60"/>
      <c r="H116" s="60"/>
      <c r="I116" s="59"/>
      <c r="J116" s="60"/>
      <c r="K116" s="61"/>
      <c r="L116" s="72" t="str">
        <f t="shared" si="3"/>
        <v/>
      </c>
      <c r="M116" s="62"/>
      <c r="N116" s="62"/>
      <c r="O116" s="62"/>
      <c r="P116" s="65"/>
      <c r="Q116" s="63"/>
      <c r="R116" s="63"/>
      <c r="S116" s="63"/>
      <c r="T116" s="63"/>
      <c r="U116" s="63"/>
      <c r="V116" s="46"/>
    </row>
    <row r="117" spans="2:22" ht="50.1" customHeight="1">
      <c r="B117" s="46"/>
      <c r="C117" s="59"/>
      <c r="D117" s="60"/>
      <c r="E117" s="60"/>
      <c r="F117" s="74" t="str">
        <f>IFERROR(VLOOKUP(E117,'Data Validations'!$A$2:$B$13,2,0),"")</f>
        <v/>
      </c>
      <c r="G117" s="60"/>
      <c r="H117" s="60"/>
      <c r="I117" s="59"/>
      <c r="J117" s="60"/>
      <c r="K117" s="61"/>
      <c r="L117" s="72" t="str">
        <f t="shared" si="3"/>
        <v/>
      </c>
      <c r="M117" s="62"/>
      <c r="N117" s="62"/>
      <c r="O117" s="62"/>
      <c r="P117" s="65"/>
      <c r="Q117" s="63"/>
      <c r="R117" s="63"/>
      <c r="S117" s="63"/>
      <c r="T117" s="63"/>
      <c r="U117" s="63"/>
      <c r="V117" s="46"/>
    </row>
    <row r="118" spans="2:22" ht="50.1" customHeight="1">
      <c r="B118" s="46"/>
      <c r="C118" s="59"/>
      <c r="D118" s="60"/>
      <c r="E118" s="60"/>
      <c r="F118" s="74" t="str">
        <f>IFERROR(VLOOKUP(E118,'Data Validations'!$A$2:$B$13,2,0),"")</f>
        <v/>
      </c>
      <c r="G118" s="60"/>
      <c r="H118" s="60"/>
      <c r="I118" s="59"/>
      <c r="J118" s="60"/>
      <c r="K118" s="61"/>
      <c r="L118" s="72" t="str">
        <f t="shared" si="3"/>
        <v/>
      </c>
      <c r="M118" s="62"/>
      <c r="N118" s="62"/>
      <c r="O118" s="62"/>
      <c r="P118" s="65"/>
      <c r="Q118" s="63"/>
      <c r="R118" s="63"/>
      <c r="S118" s="63"/>
      <c r="T118" s="63"/>
      <c r="U118" s="63"/>
      <c r="V118" s="46"/>
    </row>
    <row r="119" spans="2:22" ht="50.1" customHeight="1">
      <c r="B119" s="46"/>
      <c r="C119" s="59"/>
      <c r="D119" s="60"/>
      <c r="E119" s="60"/>
      <c r="F119" s="74" t="str">
        <f>IFERROR(VLOOKUP(E119,'Data Validations'!$A$2:$B$13,2,0),"")</f>
        <v/>
      </c>
      <c r="G119" s="60"/>
      <c r="H119" s="60"/>
      <c r="I119" s="59"/>
      <c r="J119" s="60"/>
      <c r="K119" s="61"/>
      <c r="L119" s="72" t="str">
        <f t="shared" si="3"/>
        <v/>
      </c>
      <c r="M119" s="62"/>
      <c r="N119" s="62"/>
      <c r="O119" s="62"/>
      <c r="P119" s="65"/>
      <c r="Q119" s="63"/>
      <c r="R119" s="63"/>
      <c r="S119" s="63"/>
      <c r="T119" s="63"/>
      <c r="U119" s="63"/>
      <c r="V119" s="46"/>
    </row>
    <row r="120" spans="2:22" ht="50.1" customHeight="1">
      <c r="B120" s="46"/>
      <c r="C120" s="59"/>
      <c r="D120" s="60"/>
      <c r="E120" s="60"/>
      <c r="F120" s="74" t="str">
        <f>IFERROR(VLOOKUP(E120,'Data Validations'!$A$2:$B$13,2,0),"")</f>
        <v/>
      </c>
      <c r="G120" s="60"/>
      <c r="H120" s="60"/>
      <c r="I120" s="59"/>
      <c r="J120" s="60"/>
      <c r="K120" s="61"/>
      <c r="L120" s="72" t="str">
        <f t="shared" si="3"/>
        <v/>
      </c>
      <c r="M120" s="62"/>
      <c r="N120" s="62"/>
      <c r="O120" s="62"/>
      <c r="P120" s="65"/>
      <c r="Q120" s="63"/>
      <c r="R120" s="63"/>
      <c r="S120" s="63"/>
      <c r="T120" s="63"/>
      <c r="U120" s="63"/>
      <c r="V120" s="46"/>
    </row>
    <row r="121" spans="2:22" ht="50.1" customHeight="1">
      <c r="B121" s="46"/>
      <c r="C121" s="59"/>
      <c r="D121" s="60"/>
      <c r="E121" s="60"/>
      <c r="F121" s="74" t="str">
        <f>IFERROR(VLOOKUP(E121,'Data Validations'!$A$2:$B$13,2,0),"")</f>
        <v/>
      </c>
      <c r="G121" s="60"/>
      <c r="H121" s="60"/>
      <c r="I121" s="59"/>
      <c r="J121" s="60"/>
      <c r="K121" s="61"/>
      <c r="L121" s="72" t="str">
        <f t="shared" si="3"/>
        <v/>
      </c>
      <c r="M121" s="62"/>
      <c r="N121" s="62"/>
      <c r="O121" s="62"/>
      <c r="P121" s="65"/>
      <c r="Q121" s="63"/>
      <c r="R121" s="63"/>
      <c r="S121" s="63"/>
      <c r="T121" s="63"/>
      <c r="U121" s="63"/>
      <c r="V121" s="46"/>
    </row>
    <row r="122" spans="2:22" ht="50.1" customHeight="1">
      <c r="B122" s="46"/>
      <c r="C122" s="59"/>
      <c r="D122" s="60"/>
      <c r="E122" s="60"/>
      <c r="F122" s="74" t="str">
        <f>IFERROR(VLOOKUP(E122,'Data Validations'!$A$2:$B$13,2,0),"")</f>
        <v/>
      </c>
      <c r="G122" s="60"/>
      <c r="H122" s="60"/>
      <c r="I122" s="59"/>
      <c r="J122" s="60"/>
      <c r="K122" s="61"/>
      <c r="L122" s="72" t="str">
        <f t="shared" ref="L122:L128" si="4">IF(C122="","",IF(AND(OR(H122="Full Contract Restructure"),P122&gt;9.9),"Required","Not Required"))</f>
        <v/>
      </c>
      <c r="M122" s="62"/>
      <c r="N122" s="62"/>
      <c r="O122" s="62"/>
      <c r="P122" s="65"/>
      <c r="Q122" s="63"/>
      <c r="R122" s="63"/>
      <c r="S122" s="63"/>
      <c r="T122" s="63"/>
      <c r="U122" s="63"/>
      <c r="V122" s="46"/>
    </row>
    <row r="123" spans="2:22" ht="50.1" customHeight="1">
      <c r="B123" s="46"/>
      <c r="C123" s="59"/>
      <c r="D123" s="60"/>
      <c r="E123" s="60"/>
      <c r="F123" s="74" t="str">
        <f>IFERROR(VLOOKUP(E123,'Data Validations'!$A$2:$B$13,2,0),"")</f>
        <v/>
      </c>
      <c r="G123" s="60"/>
      <c r="H123" s="60"/>
      <c r="I123" s="59"/>
      <c r="J123" s="60"/>
      <c r="K123" s="61"/>
      <c r="L123" s="72" t="str">
        <f t="shared" si="4"/>
        <v/>
      </c>
      <c r="M123" s="62"/>
      <c r="N123" s="62"/>
      <c r="O123" s="62"/>
      <c r="P123" s="65"/>
      <c r="Q123" s="63"/>
      <c r="R123" s="63"/>
      <c r="S123" s="63"/>
      <c r="T123" s="63"/>
      <c r="U123" s="63"/>
      <c r="V123" s="46"/>
    </row>
    <row r="124" spans="2:22" ht="50.1" customHeight="1">
      <c r="B124" s="46"/>
      <c r="C124" s="59"/>
      <c r="D124" s="60"/>
      <c r="E124" s="60"/>
      <c r="F124" s="74" t="str">
        <f>IFERROR(VLOOKUP(E124,'Data Validations'!$A$2:$B$13,2,0),"")</f>
        <v/>
      </c>
      <c r="G124" s="60"/>
      <c r="H124" s="60"/>
      <c r="I124" s="59"/>
      <c r="J124" s="60"/>
      <c r="K124" s="61"/>
      <c r="L124" s="72" t="str">
        <f t="shared" si="4"/>
        <v/>
      </c>
      <c r="M124" s="62"/>
      <c r="N124" s="62"/>
      <c r="O124" s="62"/>
      <c r="P124" s="65"/>
      <c r="Q124" s="63"/>
      <c r="R124" s="63"/>
      <c r="S124" s="63"/>
      <c r="T124" s="63"/>
      <c r="U124" s="63"/>
      <c r="V124" s="46"/>
    </row>
    <row r="125" spans="2:22" ht="50.1" customHeight="1">
      <c r="B125" s="46"/>
      <c r="C125" s="59"/>
      <c r="D125" s="60"/>
      <c r="E125" s="60"/>
      <c r="F125" s="74" t="str">
        <f>IFERROR(VLOOKUP(E125,'Data Validations'!$A$2:$B$13,2,0),"")</f>
        <v/>
      </c>
      <c r="G125" s="60"/>
      <c r="H125" s="60"/>
      <c r="I125" s="59"/>
      <c r="J125" s="60"/>
      <c r="K125" s="61"/>
      <c r="L125" s="72" t="str">
        <f t="shared" si="4"/>
        <v/>
      </c>
      <c r="M125" s="62"/>
      <c r="N125" s="62"/>
      <c r="O125" s="62"/>
      <c r="P125" s="65"/>
      <c r="Q125" s="63"/>
      <c r="R125" s="63"/>
      <c r="S125" s="63"/>
      <c r="T125" s="63"/>
      <c r="U125" s="63"/>
      <c r="V125" s="46"/>
    </row>
    <row r="126" spans="2:22" ht="50.1" customHeight="1">
      <c r="B126" s="46"/>
      <c r="C126" s="59"/>
      <c r="D126" s="60"/>
      <c r="E126" s="60"/>
      <c r="F126" s="74" t="str">
        <f>IFERROR(VLOOKUP(E126,'Data Validations'!$A$2:$B$13,2,0),"")</f>
        <v/>
      </c>
      <c r="G126" s="60"/>
      <c r="H126" s="60"/>
      <c r="I126" s="59"/>
      <c r="J126" s="60"/>
      <c r="K126" s="61"/>
      <c r="L126" s="72" t="str">
        <f t="shared" si="4"/>
        <v/>
      </c>
      <c r="M126" s="62"/>
      <c r="N126" s="62"/>
      <c r="O126" s="62"/>
      <c r="P126" s="65"/>
      <c r="Q126" s="63"/>
      <c r="R126" s="63"/>
      <c r="S126" s="63"/>
      <c r="T126" s="63"/>
      <c r="U126" s="63"/>
      <c r="V126" s="46"/>
    </row>
    <row r="127" spans="2:22" ht="50.1" customHeight="1">
      <c r="B127" s="46"/>
      <c r="C127" s="59"/>
      <c r="D127" s="60"/>
      <c r="E127" s="60"/>
      <c r="F127" s="74" t="str">
        <f>IFERROR(VLOOKUP(E127,'Data Validations'!$A$2:$B$13,2,0),"")</f>
        <v/>
      </c>
      <c r="G127" s="60"/>
      <c r="H127" s="60"/>
      <c r="I127" s="59"/>
      <c r="J127" s="60"/>
      <c r="K127" s="61"/>
      <c r="L127" s="72" t="str">
        <f t="shared" si="4"/>
        <v/>
      </c>
      <c r="M127" s="62"/>
      <c r="N127" s="62"/>
      <c r="O127" s="62"/>
      <c r="P127" s="65"/>
      <c r="Q127" s="63"/>
      <c r="R127" s="63"/>
      <c r="S127" s="63"/>
      <c r="T127" s="63"/>
      <c r="U127" s="63"/>
      <c r="V127" s="46"/>
    </row>
    <row r="128" spans="2:22" ht="50.1" customHeight="1">
      <c r="B128" s="46"/>
      <c r="C128" s="59"/>
      <c r="D128" s="60"/>
      <c r="E128" s="60"/>
      <c r="F128" s="74" t="str">
        <f>IFERROR(VLOOKUP(E128,'Data Validations'!$A$2:$B$13,2,0),"")</f>
        <v/>
      </c>
      <c r="G128" s="60"/>
      <c r="H128" s="60"/>
      <c r="I128" s="59"/>
      <c r="J128" s="60"/>
      <c r="K128" s="61"/>
      <c r="L128" s="72" t="str">
        <f t="shared" si="4"/>
        <v/>
      </c>
      <c r="M128" s="62"/>
      <c r="N128" s="62"/>
      <c r="O128" s="62"/>
      <c r="P128" s="65"/>
      <c r="Q128" s="63"/>
      <c r="R128" s="63"/>
      <c r="S128" s="63"/>
      <c r="T128" s="63"/>
      <c r="U128" s="63"/>
      <c r="V128" s="46"/>
    </row>
    <row r="129" spans="3:15" ht="31.15">
      <c r="C129" s="66" t="s">
        <v>50</v>
      </c>
      <c r="D129" s="67" t="s">
        <v>274</v>
      </c>
      <c r="E129" s="67" t="s">
        <v>121</v>
      </c>
      <c r="F129" s="67" t="s">
        <v>121</v>
      </c>
      <c r="G129" s="67" t="s">
        <v>96</v>
      </c>
      <c r="H129" s="67" t="s">
        <v>97</v>
      </c>
      <c r="I129" s="66" t="s">
        <v>32</v>
      </c>
      <c r="J129" s="67" t="s">
        <v>33</v>
      </c>
      <c r="K129" s="68" t="s">
        <v>275</v>
      </c>
      <c r="M129" s="75" t="s">
        <v>35</v>
      </c>
      <c r="N129" s="69">
        <v>2026</v>
      </c>
      <c r="O129" s="69" t="s">
        <v>94</v>
      </c>
    </row>
  </sheetData>
  <sheetProtection algorithmName="SHA-512" hashValue="050DCCD7UCXJ90puZBARWBKqfOmDmI8TKTK7kEz6dNeroL25hkPXVYGC9EevOLJfgSI08h9Mu1xQuSUuAyqAJQ==" saltValue="X6k1mO9s2WSA2Vd8MMoRFQ==" spinCount="100000" sheet="1" sort="0" autoFilter="0" pivotTables="0"/>
  <autoFilter ref="C5:U129" xr:uid="{43C77DFC-D7B4-4BF3-8979-066A2FD1821B}"/>
  <mergeCells count="1">
    <mergeCell ref="C3:U3"/>
  </mergeCells>
  <conditionalFormatting sqref="L6:L128">
    <cfRule type="expression" dxfId="2" priority="32">
      <formula>$L6="Required"</formula>
    </cfRule>
  </conditionalFormatting>
  <conditionalFormatting sqref="M6:M128">
    <cfRule type="containsText" dxfId="1" priority="1" operator="containsText" text="Contracting Concluded">
      <formula>NOT(ISERROR(SEARCH("Contracting Concluded",M6)))</formula>
    </cfRule>
  </conditionalFormatting>
  <dataValidations count="1">
    <dataValidation allowBlank="1" showInputMessage="1" showErrorMessage="1" sqref="P6:U128" xr:uid="{30E9AC0A-A1ED-4C48-9943-E7BDE534E1ED}"/>
  </dataValidations>
  <pageMargins left="0.25" right="0.25" top="0.75" bottom="0.75" header="0.3" footer="0.3"/>
  <pageSetup paperSize="9" scale="65" orientation="landscape" r:id="rId1"/>
  <customProperties>
    <customPr name="_pios_id" r:id="rId2"/>
  </customProperties>
  <legacyDrawing r:id="rId3"/>
  <extLst>
    <ext xmlns:x14="http://schemas.microsoft.com/office/spreadsheetml/2009/9/main" uri="{CCE6A557-97BC-4b89-ADB6-D9C93CAAB3DF}">
      <x14:dataValidations xmlns:xm="http://schemas.microsoft.com/office/excel/2006/main" count="10">
        <x14:dataValidation type="list" allowBlank="1" showInputMessage="1" showErrorMessage="1" xr:uid="{CDF133F3-BB45-4B06-BED2-75BC5B1DBC69}">
          <x14:formula1>
            <xm:f>'Data Validations'!$C$2:$C$153</xm:f>
          </x14:formula1>
          <xm:sqref>D129:D1048576</xm:sqref>
        </x14:dataValidation>
        <x14:dataValidation type="list" allowBlank="1" showInputMessage="1" showErrorMessage="1" xr:uid="{4EDBD526-1A7D-47F7-A16B-BFD92191576B}">
          <x14:formula1>
            <xm:f>'Data Validations'!$K$2:$K$11</xm:f>
          </x14:formula1>
          <xm:sqref>M6:M128</xm:sqref>
        </x14:dataValidation>
        <x14:dataValidation type="list" allowBlank="1" showInputMessage="1" showErrorMessage="1" xr:uid="{2CB7B5C9-A921-4B80-9519-86A9D124C512}">
          <x14:formula1>
            <xm:f>'Data Validations'!$H$2:$H$4</xm:f>
          </x14:formula1>
          <xm:sqref>H6:H128</xm:sqref>
        </x14:dataValidation>
        <x14:dataValidation type="list" allowBlank="1" showInputMessage="1" showErrorMessage="1" xr:uid="{01FDEBE4-A2EB-4F72-8EA3-72818B743A1E}">
          <x14:formula1>
            <xm:f>'Data Validations'!$J$2:$J$6</xm:f>
          </x14:formula1>
          <xm:sqref>C6:C1048576</xm:sqref>
        </x14:dataValidation>
        <x14:dataValidation type="list" allowBlank="1" showInputMessage="1" showErrorMessage="1" xr:uid="{256CF338-4F07-43CA-9B19-1D10E17BDC26}">
          <x14:formula1>
            <xm:f>'Data Validations'!$A$2:$A$13</xm:f>
          </x14:formula1>
          <xm:sqref>E6:E128</xm:sqref>
        </x14:dataValidation>
        <x14:dataValidation type="list" allowBlank="1" showInputMessage="1" showErrorMessage="1" xr:uid="{AAE1E77D-4B5F-4F4D-ACA5-78A77D7983B4}">
          <x14:formula1>
            <xm:f>'Data Validations'!$I$2:$I$3</xm:f>
          </x14:formula1>
          <xm:sqref>J6:J128</xm:sqref>
        </x14:dataValidation>
        <x14:dataValidation type="list" allowBlank="1" showInputMessage="1" showErrorMessage="1" xr:uid="{7A4EFE0D-C39D-41B4-8431-33F64F20266E}">
          <x14:formula1>
            <xm:f>'Data Validations'!$E$2:$E$8</xm:f>
          </x14:formula1>
          <xm:sqref>N6:N128</xm:sqref>
        </x14:dataValidation>
        <x14:dataValidation type="list" allowBlank="1" showInputMessage="1" showErrorMessage="1" xr:uid="{EECD34FD-E315-4CFF-85DC-74B7BEF89953}">
          <x14:formula1>
            <xm:f>'Data Validations'!$D$2:$D$3</xm:f>
          </x14:formula1>
          <xm:sqref>I6:I128</xm:sqref>
        </x14:dataValidation>
        <x14:dataValidation type="list" allowBlank="1" showInputMessage="1" showErrorMessage="1" xr:uid="{82697AF4-9EBB-415E-8634-665D8CF4BCEB}">
          <x14:formula1>
            <xm:f>'Data Validations'!$C$2:$C$159</xm:f>
          </x14:formula1>
          <xm:sqref>D6:D128</xm:sqref>
        </x14:dataValidation>
        <x14:dataValidation type="list" allowBlank="1" showInputMessage="1" showErrorMessage="1" xr:uid="{20FB05FD-72AD-4136-B0F5-809D3082CDD3}">
          <x14:formula1>
            <xm:f>'Data Validations'!$F$2:$F$13</xm:f>
          </x14:formula1>
          <xm:sqref>O6:O128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011A7-7642-440F-9935-0F1C119473C7}">
  <sheetPr codeName="Sheet3" filterMode="1">
    <tabColor theme="2" tint="-0.249977111117893"/>
  </sheetPr>
  <dimension ref="B1:CS2179"/>
  <sheetViews>
    <sheetView zoomScale="20" zoomScaleNormal="55" workbookViewId="0">
      <selection activeCell="AP72" sqref="AP72"/>
    </sheetView>
  </sheetViews>
  <sheetFormatPr defaultColWidth="8.5703125" defaultRowHeight="14.45"/>
  <cols>
    <col min="1" max="1" width="8.5703125" style="16"/>
    <col min="2" max="2" width="1.5703125" style="16" customWidth="1"/>
    <col min="3" max="3" width="12.42578125" style="16" bestFit="1" customWidth="1"/>
    <col min="4" max="4" width="18.42578125" style="16" bestFit="1" customWidth="1"/>
    <col min="5" max="5" width="26.42578125" style="16" bestFit="1" customWidth="1"/>
    <col min="6" max="6" width="12.5703125" style="16" bestFit="1" customWidth="1"/>
    <col min="7" max="8" width="15.5703125" style="16" bestFit="1" customWidth="1"/>
    <col min="9" max="9" width="11.7109375" style="16" bestFit="1" customWidth="1"/>
    <col min="10" max="11" width="11" style="16" bestFit="1" customWidth="1"/>
    <col min="12" max="13" width="12.28515625" style="16" bestFit="1" customWidth="1"/>
    <col min="14" max="14" width="24.5703125" style="16" bestFit="1" customWidth="1"/>
    <col min="15" max="15" width="23.7109375" style="16" bestFit="1" customWidth="1"/>
    <col min="16" max="16" width="24.28515625" style="16" bestFit="1" customWidth="1"/>
    <col min="17" max="17" width="24.5703125" style="16" bestFit="1" customWidth="1"/>
    <col min="18" max="18" width="24" style="16" bestFit="1" customWidth="1"/>
    <col min="19" max="19" width="24.42578125" style="16" bestFit="1" customWidth="1"/>
    <col min="20" max="20" width="25.5703125" style="16" bestFit="1" customWidth="1"/>
    <col min="21" max="21" width="28.28515625" style="16" bestFit="1" customWidth="1"/>
    <col min="22" max="22" width="28.5703125" style="16" bestFit="1" customWidth="1"/>
    <col min="23" max="23" width="16" style="16" bestFit="1" customWidth="1"/>
    <col min="24" max="24" width="21.42578125" style="16" bestFit="1" customWidth="1"/>
    <col min="25" max="26" width="12.7109375" style="16" bestFit="1" customWidth="1"/>
    <col min="27" max="27" width="15.42578125" style="16" bestFit="1" customWidth="1"/>
    <col min="28" max="28" width="24.7109375" style="16" bestFit="1" customWidth="1"/>
    <col min="29" max="29" width="8.5703125" style="16"/>
    <col min="30" max="30" width="26" style="16" bestFit="1" customWidth="1"/>
    <col min="31" max="31" width="31.42578125" style="16" bestFit="1" customWidth="1"/>
    <col min="32" max="32" width="8.5703125" style="16"/>
    <col min="33" max="33" width="26" style="16" bestFit="1" customWidth="1"/>
    <col min="34" max="34" width="18" style="16" bestFit="1" customWidth="1"/>
    <col min="35" max="35" width="8.5703125" style="16"/>
    <col min="36" max="36" width="26" style="16" bestFit="1" customWidth="1"/>
    <col min="37" max="37" width="18" style="16" bestFit="1" customWidth="1"/>
    <col min="38" max="38" width="8.5703125" style="16"/>
    <col min="39" max="39" width="26" style="16" bestFit="1" customWidth="1"/>
    <col min="40" max="40" width="25.28515625" style="16" bestFit="1" customWidth="1"/>
    <col min="41" max="63" width="8.5703125" style="16"/>
    <col min="64" max="64" width="1.5703125" style="16" customWidth="1"/>
    <col min="65" max="96" width="8.5703125" style="16"/>
    <col min="97" max="97" width="1.5703125" style="16" customWidth="1"/>
    <col min="98" max="16384" width="8.5703125" style="16"/>
  </cols>
  <sheetData>
    <row r="1" spans="2:97">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row>
    <row r="2" spans="2:97" ht="14.65" customHeight="1">
      <c r="B2"/>
      <c r="C2" s="210" t="s">
        <v>276</v>
      </c>
      <c r="D2" s="210"/>
      <c r="E2" s="210"/>
      <c r="F2" s="210"/>
      <c r="G2" s="210"/>
      <c r="H2" s="210"/>
      <c r="I2" s="210"/>
      <c r="J2" s="210"/>
      <c r="K2" s="210"/>
      <c r="L2" s="210"/>
      <c r="M2" s="210"/>
      <c r="N2" s="210"/>
      <c r="O2" s="210"/>
      <c r="P2" s="210"/>
      <c r="Q2" s="210"/>
      <c r="R2" s="210"/>
      <c r="S2" s="210"/>
      <c r="T2" s="210"/>
      <c r="U2" s="210"/>
      <c r="V2" s="210"/>
      <c r="W2" s="210"/>
      <c r="X2" s="210"/>
      <c r="Y2" s="210"/>
      <c r="Z2" s="210"/>
      <c r="AA2" s="210"/>
      <c r="AB2" s="210"/>
      <c r="AC2" s="210"/>
      <c r="AD2" s="210"/>
      <c r="AE2" s="210"/>
      <c r="AF2" s="210"/>
      <c r="AG2" s="210"/>
      <c r="AH2" s="210"/>
      <c r="AI2" s="210"/>
      <c r="AJ2" s="210"/>
      <c r="AK2" s="210"/>
      <c r="AL2" s="210"/>
      <c r="AM2" s="210"/>
      <c r="AN2" s="210"/>
      <c r="AO2" s="210"/>
      <c r="AP2" s="210"/>
      <c r="AQ2" s="210"/>
      <c r="AR2" s="210"/>
      <c r="AS2" s="210"/>
      <c r="AT2" s="210"/>
      <c r="AU2" s="210"/>
      <c r="AV2" s="210"/>
      <c r="AW2" s="210"/>
      <c r="AX2" s="210"/>
      <c r="AY2" s="210"/>
      <c r="AZ2" s="210"/>
      <c r="BA2" s="210"/>
      <c r="BB2" s="210"/>
      <c r="BC2" s="210"/>
      <c r="BD2" s="210"/>
      <c r="BE2" s="210"/>
      <c r="BF2" s="210"/>
      <c r="BG2" s="210"/>
      <c r="BH2" s="210"/>
      <c r="BI2" s="210"/>
      <c r="BJ2" s="210"/>
      <c r="BK2" s="210"/>
      <c r="BL2" s="210"/>
      <c r="BM2" s="210"/>
      <c r="BN2" s="210"/>
      <c r="BO2" s="210"/>
      <c r="BP2" s="210"/>
      <c r="BQ2" s="210"/>
      <c r="BR2" s="210"/>
      <c r="BS2" s="210"/>
      <c r="BT2" s="210"/>
      <c r="BU2" s="210"/>
      <c r="BV2" s="210"/>
      <c r="BW2" s="210"/>
      <c r="BX2" s="210"/>
      <c r="BY2" s="210"/>
      <c r="BZ2" s="210"/>
      <c r="CA2" s="210"/>
      <c r="CB2" s="210"/>
      <c r="CC2" s="210"/>
      <c r="CD2" s="210"/>
      <c r="CE2" s="210"/>
      <c r="CF2" s="210"/>
      <c r="CG2" s="210"/>
      <c r="CH2" s="210"/>
      <c r="CI2" s="210"/>
      <c r="CJ2" s="210"/>
      <c r="CK2" s="210"/>
      <c r="CL2" s="210"/>
      <c r="CM2" s="210"/>
      <c r="CN2" s="210"/>
      <c r="CO2" s="210"/>
      <c r="CP2" s="210"/>
      <c r="CQ2" s="210"/>
      <c r="CR2" s="210"/>
      <c r="CS2"/>
    </row>
    <row r="3" spans="2:97" ht="14.65" customHeight="1">
      <c r="B3"/>
      <c r="C3" s="210"/>
      <c r="D3" s="210"/>
      <c r="E3" s="210"/>
      <c r="F3" s="210"/>
      <c r="G3" s="210"/>
      <c r="H3" s="210"/>
      <c r="I3" s="210"/>
      <c r="J3" s="210"/>
      <c r="K3" s="210"/>
      <c r="L3" s="210"/>
      <c r="M3" s="210"/>
      <c r="N3" s="210"/>
      <c r="O3" s="210"/>
      <c r="P3" s="210"/>
      <c r="Q3" s="210"/>
      <c r="R3" s="210"/>
      <c r="S3" s="210"/>
      <c r="T3" s="210"/>
      <c r="U3" s="210"/>
      <c r="V3" s="210"/>
      <c r="W3" s="210"/>
      <c r="X3" s="210"/>
      <c r="Y3" s="210"/>
      <c r="Z3" s="210"/>
      <c r="AA3" s="210"/>
      <c r="AB3" s="210"/>
      <c r="AC3" s="210"/>
      <c r="AD3" s="210"/>
      <c r="AE3" s="210"/>
      <c r="AF3" s="210"/>
      <c r="AG3" s="210"/>
      <c r="AH3" s="210"/>
      <c r="AI3" s="210"/>
      <c r="AJ3" s="210"/>
      <c r="AK3" s="210"/>
      <c r="AL3" s="210"/>
      <c r="AM3" s="210"/>
      <c r="AN3" s="210"/>
      <c r="AO3" s="210"/>
      <c r="AP3" s="210"/>
      <c r="AQ3" s="210"/>
      <c r="AR3" s="210"/>
      <c r="AS3" s="210"/>
      <c r="AT3" s="210"/>
      <c r="AU3" s="210"/>
      <c r="AV3" s="210"/>
      <c r="AW3" s="210"/>
      <c r="AX3" s="210"/>
      <c r="AY3" s="210"/>
      <c r="AZ3" s="210"/>
      <c r="BA3" s="210"/>
      <c r="BB3" s="210"/>
      <c r="BC3" s="210"/>
      <c r="BD3" s="210"/>
      <c r="BE3" s="210"/>
      <c r="BF3" s="210"/>
      <c r="BG3" s="210"/>
      <c r="BH3" s="210"/>
      <c r="BI3" s="210"/>
      <c r="BJ3" s="210"/>
      <c r="BK3" s="210"/>
      <c r="BL3" s="210"/>
      <c r="BM3" s="210"/>
      <c r="BN3" s="210"/>
      <c r="BO3" s="210"/>
      <c r="BP3" s="210"/>
      <c r="BQ3" s="210"/>
      <c r="BR3" s="210"/>
      <c r="BS3" s="210"/>
      <c r="BT3" s="210"/>
      <c r="BU3" s="210"/>
      <c r="BV3" s="210"/>
      <c r="BW3" s="210"/>
      <c r="BX3" s="210"/>
      <c r="BY3" s="210"/>
      <c r="BZ3" s="210"/>
      <c r="CA3" s="210"/>
      <c r="CB3" s="210"/>
      <c r="CC3" s="210"/>
      <c r="CD3" s="210"/>
      <c r="CE3" s="210"/>
      <c r="CF3" s="210"/>
      <c r="CG3" s="210"/>
      <c r="CH3" s="210"/>
      <c r="CI3" s="210"/>
      <c r="CJ3" s="210"/>
      <c r="CK3" s="210"/>
      <c r="CL3" s="210"/>
      <c r="CM3" s="210"/>
      <c r="CN3" s="210"/>
      <c r="CO3" s="210"/>
      <c r="CP3" s="210"/>
      <c r="CQ3" s="210"/>
      <c r="CR3" s="210"/>
      <c r="CS3" s="25"/>
    </row>
    <row r="4" spans="2:97" ht="14.65" customHeight="1">
      <c r="B4"/>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210"/>
      <c r="AK4" s="210"/>
      <c r="AL4" s="210"/>
      <c r="AM4" s="210"/>
      <c r="AN4" s="210"/>
      <c r="AO4" s="210"/>
      <c r="AP4" s="210"/>
      <c r="AQ4" s="210"/>
      <c r="AR4" s="210"/>
      <c r="AS4" s="210"/>
      <c r="AT4" s="210"/>
      <c r="AU4" s="210"/>
      <c r="AV4" s="210"/>
      <c r="AW4" s="210"/>
      <c r="AX4" s="210"/>
      <c r="AY4" s="210"/>
      <c r="AZ4" s="210"/>
      <c r="BA4" s="210"/>
      <c r="BB4" s="210"/>
      <c r="BC4" s="210"/>
      <c r="BD4" s="210"/>
      <c r="BE4" s="210"/>
      <c r="BF4" s="210"/>
      <c r="BG4" s="210"/>
      <c r="BH4" s="210"/>
      <c r="BI4" s="210"/>
      <c r="BJ4" s="210"/>
      <c r="BK4" s="210"/>
      <c r="BL4" s="210"/>
      <c r="BM4" s="210"/>
      <c r="BN4" s="210"/>
      <c r="BO4" s="210"/>
      <c r="BP4" s="210"/>
      <c r="BQ4" s="210"/>
      <c r="BR4" s="210"/>
      <c r="BS4" s="210"/>
      <c r="BT4" s="210"/>
      <c r="BU4" s="210"/>
      <c r="BV4" s="210"/>
      <c r="BW4" s="210"/>
      <c r="BX4" s="210"/>
      <c r="BY4" s="210"/>
      <c r="BZ4" s="210"/>
      <c r="CA4" s="210"/>
      <c r="CB4" s="210"/>
      <c r="CC4" s="210"/>
      <c r="CD4" s="210"/>
      <c r="CE4" s="210"/>
      <c r="CF4" s="210"/>
      <c r="CG4" s="210"/>
      <c r="CH4" s="210"/>
      <c r="CI4" s="210"/>
      <c r="CJ4" s="210"/>
      <c r="CK4" s="210"/>
      <c r="CL4" s="210"/>
      <c r="CM4" s="210"/>
      <c r="CN4" s="210"/>
      <c r="CO4" s="210"/>
      <c r="CP4" s="210"/>
      <c r="CQ4" s="210"/>
      <c r="CR4" s="210"/>
      <c r="CS4"/>
    </row>
    <row r="5" spans="2:97" ht="14.65" customHeight="1">
      <c r="B5"/>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row>
    <row r="6" spans="2:97">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row>
    <row r="7" spans="2:97" ht="15" thickBot="1">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row>
    <row r="8" spans="2:97" s="4" customFormat="1" ht="13.5" customHeight="1" thickBot="1">
      <c r="B8" s="6"/>
      <c r="C8" s="208" t="s">
        <v>277</v>
      </c>
      <c r="D8" s="209"/>
      <c r="E8"/>
      <c r="F8"/>
      <c r="G8"/>
      <c r="H8"/>
      <c r="I8"/>
      <c r="J8"/>
      <c r="K8"/>
      <c r="L8"/>
      <c r="M8"/>
      <c r="N8"/>
      <c r="O8"/>
      <c r="P8"/>
      <c r="Q8"/>
      <c r="R8"/>
      <c r="S8"/>
      <c r="T8"/>
      <c r="U8"/>
      <c r="V8"/>
      <c r="W8"/>
      <c r="X8"/>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row>
    <row r="9" spans="2:97" s="4" customFormat="1" ht="14.65" hidden="1" customHeight="1">
      <c r="B9" s="6"/>
      <c r="C9" s="7"/>
      <c r="D9" s="6"/>
      <c r="E9"/>
      <c r="F9"/>
      <c r="G9" s="213" t="s">
        <v>278</v>
      </c>
      <c r="H9" s="214"/>
      <c r="I9" s="214"/>
      <c r="J9" s="214"/>
      <c r="K9" s="214"/>
      <c r="L9" s="214"/>
      <c r="M9" s="215"/>
      <c r="N9" s="211" t="s">
        <v>279</v>
      </c>
      <c r="O9" s="211"/>
      <c r="P9" s="211"/>
      <c r="Q9" s="211" t="s">
        <v>280</v>
      </c>
      <c r="R9" s="211"/>
      <c r="S9" s="211"/>
      <c r="T9" s="211" t="s">
        <v>281</v>
      </c>
      <c r="U9" s="211"/>
      <c r="V9" s="211"/>
      <c r="W9" s="211"/>
      <c r="X9" s="211"/>
      <c r="Y9" s="212" t="s">
        <v>282</v>
      </c>
      <c r="Z9" s="212"/>
      <c r="AA9" s="12"/>
      <c r="AB9" s="12"/>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row>
    <row r="10" spans="2:97" s="4" customFormat="1" ht="14.65" hidden="1" customHeight="1">
      <c r="B10" s="6"/>
      <c r="C10" s="11" t="s">
        <v>283</v>
      </c>
      <c r="D10" s="11" t="s">
        <v>284</v>
      </c>
      <c r="E10" s="11" t="s">
        <v>285</v>
      </c>
      <c r="F10" s="11" t="s">
        <v>286</v>
      </c>
      <c r="G10" s="11" t="s">
        <v>45</v>
      </c>
      <c r="H10" s="11" t="s">
        <v>75</v>
      </c>
      <c r="I10" s="11" t="s">
        <v>64</v>
      </c>
      <c r="J10" s="11" t="s">
        <v>287</v>
      </c>
      <c r="K10" s="11" t="s">
        <v>79</v>
      </c>
      <c r="L10" s="11" t="s">
        <v>288</v>
      </c>
      <c r="M10" s="11" t="s">
        <v>121</v>
      </c>
      <c r="N10" s="11" t="s">
        <v>289</v>
      </c>
      <c r="O10" s="11" t="s">
        <v>290</v>
      </c>
      <c r="P10" s="11" t="s">
        <v>291</v>
      </c>
      <c r="Q10" s="11" t="s">
        <v>292</v>
      </c>
      <c r="R10" s="11" t="s">
        <v>293</v>
      </c>
      <c r="S10" s="11" t="s">
        <v>294</v>
      </c>
      <c r="T10" s="11" t="s">
        <v>295</v>
      </c>
      <c r="U10" s="11" t="s">
        <v>296</v>
      </c>
      <c r="V10" s="11" t="s">
        <v>297</v>
      </c>
      <c r="W10" s="11" t="s">
        <v>298</v>
      </c>
      <c r="X10" s="11" t="s">
        <v>299</v>
      </c>
      <c r="Y10" s="11">
        <v>2026</v>
      </c>
      <c r="Z10" s="11">
        <v>2027</v>
      </c>
      <c r="AA10" s="11" t="s">
        <v>300</v>
      </c>
      <c r="AB10" s="11" t="s">
        <v>301</v>
      </c>
      <c r="AC10" s="6"/>
      <c r="AD10" s="11" t="s">
        <v>302</v>
      </c>
      <c r="AE10" s="11" t="s">
        <v>303</v>
      </c>
      <c r="AF10"/>
      <c r="AG10" s="11" t="s">
        <v>302</v>
      </c>
      <c r="AH10" s="11" t="s">
        <v>304</v>
      </c>
      <c r="AI10"/>
      <c r="AJ10" s="11" t="s">
        <v>302</v>
      </c>
      <c r="AK10" s="11" t="s">
        <v>305</v>
      </c>
      <c r="AL10"/>
      <c r="AM10" s="11" t="s">
        <v>302</v>
      </c>
      <c r="AN10" s="11" t="s">
        <v>306</v>
      </c>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row>
    <row r="11" spans="2:97" s="4" customFormat="1" ht="14.65" hidden="1" customHeight="1">
      <c r="B11" s="6"/>
      <c r="C11" s="13" t="str" cm="1">
        <f t="array" ref="C11:C162">_xlfn._xlws.FILTER('Data Validations'!C2:C153,TRUE)</f>
        <v>Aer Lingus</v>
      </c>
      <c r="D11" s="14">
        <f>COUNTIFS('GLOBAL LOG'!$D$6:$D$128,C11,'GLOBAL LOG'!$K$6:$K$128,"&lt;&gt;")</f>
        <v>0</v>
      </c>
      <c r="E11" s="14" t="e">
        <f>COUNTIFS('GLOBAL LOG'!$D$6:$D$128,C11,'GLOBAL LOG'!#REF!,"Yes")</f>
        <v>#REF!</v>
      </c>
      <c r="F11" s="14" t="e">
        <f>SUMIF('GLOBAL LOG'!$D$6:$D$128,COUNT!C11,'GLOBAL LOG'!#REF!)</f>
        <v>#REF!</v>
      </c>
      <c r="G11" s="14">
        <f>COUNTIFS('GLOBAL LOG'!$E$6:$E$128,G$10,'GLOBAL LOG'!$D$6:$D$128,$C11)</f>
        <v>0</v>
      </c>
      <c r="H11" s="14">
        <f>COUNTIFS('GLOBAL LOG'!$E$6:$E$128,H$10,'GLOBAL LOG'!$D$6:$D$128,$C11)</f>
        <v>0</v>
      </c>
      <c r="I11" s="14">
        <f>COUNTIFS('GLOBAL LOG'!$E$6:$E$128,I$10,'GLOBAL LOG'!$D$6:$D$128,$C11)</f>
        <v>0</v>
      </c>
      <c r="J11" s="14">
        <f>COUNTIFS('GLOBAL LOG'!$E$6:$E$128,J$10,'GLOBAL LOG'!$D$6:$D$128,$C11)</f>
        <v>0</v>
      </c>
      <c r="K11" s="14">
        <f>COUNTIFS('GLOBAL LOG'!$E$6:$E$128,K$10,'GLOBAL LOG'!$D$6:$D$128,$C11)</f>
        <v>0</v>
      </c>
      <c r="L11" s="14">
        <f>COUNTIFS('GLOBAL LOG'!$E$6:$E$128,L$10,'GLOBAL LOG'!$D$6:$D$128,$C11)</f>
        <v>0</v>
      </c>
      <c r="M11" s="14">
        <f>COUNTIFS('GLOBAL LOG'!$E$6:$E$128,M$10,'GLOBAL LOG'!$D$6:$D$128,$C11)</f>
        <v>0</v>
      </c>
      <c r="N11" s="14" t="e">
        <f>COUNTIFS('GLOBAL LOG'!$D$6:$D$128,$C11,'GLOBAL LOG'!#REF!,"High")</f>
        <v>#REF!</v>
      </c>
      <c r="O11" s="14" t="e">
        <f>COUNTIFS('GLOBAL LOG'!$D$6:$D$128,$C11,'GLOBAL LOG'!#REF!,"Med")</f>
        <v>#REF!</v>
      </c>
      <c r="P11" s="14" t="e">
        <f>COUNTIFS('GLOBAL LOG'!$D$6:$D$128,$C11,'GLOBAL LOG'!#REF!,"Low")</f>
        <v>#REF!</v>
      </c>
      <c r="Q11" s="14" t="e">
        <f>COUNTIFS('GLOBAL LOG'!$D$6:$D$128,$C11,'GLOBAL LOG'!#REF!,"High")</f>
        <v>#REF!</v>
      </c>
      <c r="R11" s="14" t="e">
        <f>COUNTIFS('GLOBAL LOG'!$D$6:$D$128,$C11,'GLOBAL LOG'!#REF!,"Med")</f>
        <v>#REF!</v>
      </c>
      <c r="S11" s="14" t="e">
        <f>COUNTIFS('GLOBAL LOG'!$D$6:$D$128,$C11,'GLOBAL LOG'!#REF!,"Low")</f>
        <v>#REF!</v>
      </c>
      <c r="T11" s="14" t="e">
        <f>COUNTIFS('GLOBAL LOG'!$D$6:$D$128,$C11,'GLOBAL LOG'!#REF!,"Completed")</f>
        <v>#REF!</v>
      </c>
      <c r="U11" s="14" t="e">
        <f>COUNTIFS('GLOBAL LOG'!$D$6:$D$128,$C11,'GLOBAL LOG'!#REF!,"Contracting")</f>
        <v>#REF!</v>
      </c>
      <c r="V11" s="14" t="e">
        <f>COUNTIFS('GLOBAL LOG'!$D$6:$D$128,$C11,'GLOBAL LOG'!#REF!,"Negotiations")</f>
        <v>#REF!</v>
      </c>
      <c r="W11" s="14" t="e">
        <f>COUNTIFS('GLOBAL LOG'!$D$6:$D$128,$C11,'GLOBAL LOG'!#REF!,"ICT")</f>
        <v>#REF!</v>
      </c>
      <c r="X11" s="14" t="e">
        <f>COUNTIFS('GLOBAL LOG'!$D$6:$D$128,$C11,'GLOBAL LOG'!#REF!,"Hopper")</f>
        <v>#REF!</v>
      </c>
      <c r="Y11" s="14">
        <f>SUMIF('GLOBAL LOG'!$D$6:$D$128,$C11,'GLOBAL LOG'!$Q$6:$Q$128)</f>
        <v>0</v>
      </c>
      <c r="Z11" s="14">
        <f>SUMIF('GLOBAL LOG'!$D$6:$D$128,$C11,'GLOBAL LOG'!$R$6:$R$128)</f>
        <v>0</v>
      </c>
      <c r="AA11" s="14">
        <f t="shared" ref="AA11" si="0">Y11+Z11</f>
        <v>0</v>
      </c>
      <c r="AB11" s="14" t="e">
        <f>SUMIF('GLOBAL LOG'!$D$6:$D$128,C11,'GLOBAL LOG'!#REF!)</f>
        <v>#REF!</v>
      </c>
      <c r="AC11" s="6"/>
      <c r="AD11" s="14" t="str" cm="1">
        <f t="array" ref="AD11:AD164">_xlfn.SORTBY(C11:C164,AB11:AB164,-1)</f>
        <v>Aer Lingus</v>
      </c>
      <c r="AE11" s="14" t="e" cm="1">
        <f t="array" ref="AE11:AE164">_xlfn.SORTBY(AB11:AB164,AB11:AB164,-1)</f>
        <v>#REF!</v>
      </c>
      <c r="AF11" s="6"/>
      <c r="AG11" s="14" t="str" cm="1">
        <f t="array" ref="AG11:AG164">_xlfn.SORTBY(C11:C164,Y11:Y164,-1)</f>
        <v>Singapore Airlines</v>
      </c>
      <c r="AH11" s="14" cm="1">
        <f t="array" ref="AH11:AH164">_xlfn.SORTBY(Y11:Y164,Y11:Y164,-1)</f>
        <v>104</v>
      </c>
      <c r="AI11" s="6"/>
      <c r="AJ11" s="14" t="str" cm="1">
        <f t="array" ref="AJ11:AJ164">_xlfn.SORTBY(C11:C164,Z11:Z164,-1)</f>
        <v>Air China</v>
      </c>
      <c r="AK11" s="14" cm="1">
        <f t="array" ref="AK11:AK164">_xlfn.SORTBY(Z11:Z164,Z11:Z164,-1)</f>
        <v>33.6</v>
      </c>
      <c r="AL11" s="6"/>
      <c r="AM11" s="14" t="str" cm="1">
        <f t="array" ref="AM11:AM164">_xlfn.SORTBY(C11:C164,AA11:AA164,-1)</f>
        <v>Singapore Airlines</v>
      </c>
      <c r="AN11" s="14" cm="1">
        <f t="array" ref="AN11:AN164">_xlfn.SORTBY(AA11:AA164,AA11:AA164,-1)</f>
        <v>104</v>
      </c>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row>
    <row r="12" spans="2:97" s="4" customFormat="1" ht="14.65" hidden="1" customHeight="1">
      <c r="B12" s="6"/>
      <c r="C12" s="13" t="str">
        <v>AerCap</v>
      </c>
      <c r="D12" s="14">
        <f>COUNTIFS('GLOBAL LOG'!$D$6:$D$128,C12,'GLOBAL LOG'!$K$6:$K$128,"&lt;&gt;")</f>
        <v>0</v>
      </c>
      <c r="E12" s="14" t="e">
        <f>COUNTIFS('GLOBAL LOG'!$D$6:$D$128,C12,'GLOBAL LOG'!#REF!,"Yes")</f>
        <v>#REF!</v>
      </c>
      <c r="F12" s="14" t="e">
        <f>SUMIF('GLOBAL LOG'!$D$6:$D$128,COUNT!C12,'GLOBAL LOG'!#REF!)</f>
        <v>#REF!</v>
      </c>
      <c r="G12" s="14">
        <f>COUNTIFS('GLOBAL LOG'!$E$6:$E$128,G$10,'GLOBAL LOG'!$D$6:$D$128,$C12)</f>
        <v>0</v>
      </c>
      <c r="H12" s="14">
        <f>COUNTIFS('GLOBAL LOG'!$E$6:$E$128,H$10,'GLOBAL LOG'!$D$6:$D$128,$C12)</f>
        <v>0</v>
      </c>
      <c r="I12" s="14">
        <f>COUNTIFS('GLOBAL LOG'!$E$6:$E$128,I$10,'GLOBAL LOG'!$D$6:$D$128,$C12)</f>
        <v>0</v>
      </c>
      <c r="J12" s="14">
        <f>COUNTIFS('GLOBAL LOG'!$E$6:$E$128,J$10,'GLOBAL LOG'!$D$6:$D$128,$C12)</f>
        <v>0</v>
      </c>
      <c r="K12" s="14">
        <f>COUNTIFS('GLOBAL LOG'!$E$6:$E$128,K$10,'GLOBAL LOG'!$D$6:$D$128,$C12)</f>
        <v>0</v>
      </c>
      <c r="L12" s="14">
        <f>COUNTIFS('GLOBAL LOG'!$E$6:$E$128,L$10,'GLOBAL LOG'!$D$6:$D$128,$C12)</f>
        <v>0</v>
      </c>
      <c r="M12" s="14">
        <f>COUNTIFS('GLOBAL LOG'!$E$6:$E$128,M$10,'GLOBAL LOG'!$D$6:$D$128,$C12)</f>
        <v>0</v>
      </c>
      <c r="N12" s="14" t="e">
        <f>COUNTIFS('GLOBAL LOG'!$D$6:$D$128,$C12,'GLOBAL LOG'!#REF!,"High")</f>
        <v>#REF!</v>
      </c>
      <c r="O12" s="14" t="e">
        <f>COUNTIFS('GLOBAL LOG'!$D$6:$D$128,$C12,'GLOBAL LOG'!#REF!,"Med")</f>
        <v>#REF!</v>
      </c>
      <c r="P12" s="14" t="e">
        <f>COUNTIFS('GLOBAL LOG'!$D$6:$D$128,$C12,'GLOBAL LOG'!#REF!,"Low")</f>
        <v>#REF!</v>
      </c>
      <c r="Q12" s="14" t="e">
        <f>COUNTIFS('GLOBAL LOG'!$D$6:$D$128,$C12,'GLOBAL LOG'!#REF!,"High")</f>
        <v>#REF!</v>
      </c>
      <c r="R12" s="14" t="e">
        <f>COUNTIFS('GLOBAL LOG'!$D$6:$D$128,$C12,'GLOBAL LOG'!#REF!,"Med")</f>
        <v>#REF!</v>
      </c>
      <c r="S12" s="14" t="e">
        <f>COUNTIFS('GLOBAL LOG'!$D$6:$D$128,$C12,'GLOBAL LOG'!#REF!,"Low")</f>
        <v>#REF!</v>
      </c>
      <c r="T12" s="14" t="e">
        <f>COUNTIFS('GLOBAL LOG'!$D$6:$D$128,$C12,'GLOBAL LOG'!#REF!,"Completed")</f>
        <v>#REF!</v>
      </c>
      <c r="U12" s="14" t="e">
        <f>COUNTIFS('GLOBAL LOG'!$D$6:$D$128,$C12,'GLOBAL LOG'!#REF!,"Contracting")</f>
        <v>#REF!</v>
      </c>
      <c r="V12" s="14" t="e">
        <f>COUNTIFS('GLOBAL LOG'!$D$6:$D$128,$C12,'GLOBAL LOG'!#REF!,"Negotiations")</f>
        <v>#REF!</v>
      </c>
      <c r="W12" s="14" t="e">
        <f>COUNTIFS('GLOBAL LOG'!$D$6:$D$128,$C12,'GLOBAL LOG'!#REF!,"ICT")</f>
        <v>#REF!</v>
      </c>
      <c r="X12" s="14" t="e">
        <f>COUNTIFS('GLOBAL LOG'!$D$6:$D$128,$C12,'GLOBAL LOG'!#REF!,"Hopper")</f>
        <v>#REF!</v>
      </c>
      <c r="Y12" s="14">
        <f>SUMIF('GLOBAL LOG'!$D$6:$D$128,$C12,'GLOBAL LOG'!$Q$6:$Q$128)</f>
        <v>0</v>
      </c>
      <c r="Z12" s="14">
        <f>SUMIF('GLOBAL LOG'!$D$6:$D$128,$C12,'GLOBAL LOG'!$R$6:$R$128)</f>
        <v>0</v>
      </c>
      <c r="AA12" s="14">
        <f t="shared" ref="AA12:AA75" si="1">Y12+Z12</f>
        <v>0</v>
      </c>
      <c r="AB12" s="14" t="e">
        <f>SUMIF('GLOBAL LOG'!$D$6:$D$128,C12,'GLOBAL LOG'!#REF!)</f>
        <v>#REF!</v>
      </c>
      <c r="AC12" s="6"/>
      <c r="AD12" s="14" t="str">
        <v>AerCap</v>
      </c>
      <c r="AE12" s="14" t="e">
        <v>#REF!</v>
      </c>
      <c r="AF12" s="6"/>
      <c r="AG12" s="14" t="str">
        <v>Delta Air Lines</v>
      </c>
      <c r="AH12" s="14">
        <v>59</v>
      </c>
      <c r="AI12" s="6"/>
      <c r="AJ12" s="14" t="str">
        <v>FedEx Corporation</v>
      </c>
      <c r="AK12" s="14">
        <v>6.96</v>
      </c>
      <c r="AL12" s="6"/>
      <c r="AM12" s="14" t="str">
        <v>Delta Air Lines</v>
      </c>
      <c r="AN12" s="14">
        <v>59</v>
      </c>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row>
    <row r="13" spans="2:97" s="4" customFormat="1" ht="14.65" hidden="1" customHeight="1">
      <c r="B13" s="6"/>
      <c r="C13" s="13" t="str">
        <v>Aeroflot Russian Airlines</v>
      </c>
      <c r="D13" s="14">
        <f>COUNTIFS('GLOBAL LOG'!$D$6:$D$128,C13,'GLOBAL LOG'!$K$6:$K$128,"&lt;&gt;")</f>
        <v>0</v>
      </c>
      <c r="E13" s="14" t="e">
        <f>COUNTIFS('GLOBAL LOG'!$D$6:$D$128,C13,'GLOBAL LOG'!#REF!,"Yes")</f>
        <v>#REF!</v>
      </c>
      <c r="F13" s="14" t="e">
        <f>SUMIF('GLOBAL LOG'!$D$6:$D$128,COUNT!C13,'GLOBAL LOG'!#REF!)</f>
        <v>#REF!</v>
      </c>
      <c r="G13" s="14">
        <f>COUNTIFS('GLOBAL LOG'!$E$6:$E$128,G$10,'GLOBAL LOG'!$D$6:$D$128,$C13)</f>
        <v>0</v>
      </c>
      <c r="H13" s="14">
        <f>COUNTIFS('GLOBAL LOG'!$E$6:$E$128,H$10,'GLOBAL LOG'!$D$6:$D$128,$C13)</f>
        <v>0</v>
      </c>
      <c r="I13" s="14">
        <f>COUNTIFS('GLOBAL LOG'!$E$6:$E$128,I$10,'GLOBAL LOG'!$D$6:$D$128,$C13)</f>
        <v>0</v>
      </c>
      <c r="J13" s="14">
        <f>COUNTIFS('GLOBAL LOG'!$E$6:$E$128,J$10,'GLOBAL LOG'!$D$6:$D$128,$C13)</f>
        <v>0</v>
      </c>
      <c r="K13" s="14">
        <f>COUNTIFS('GLOBAL LOG'!$E$6:$E$128,K$10,'GLOBAL LOG'!$D$6:$D$128,$C13)</f>
        <v>0</v>
      </c>
      <c r="L13" s="14">
        <f>COUNTIFS('GLOBAL LOG'!$E$6:$E$128,L$10,'GLOBAL LOG'!$D$6:$D$128,$C13)</f>
        <v>0</v>
      </c>
      <c r="M13" s="14">
        <f>COUNTIFS('GLOBAL LOG'!$E$6:$E$128,M$10,'GLOBAL LOG'!$D$6:$D$128,$C13)</f>
        <v>0</v>
      </c>
      <c r="N13" s="14" t="e">
        <f>COUNTIFS('GLOBAL LOG'!$D$6:$D$128,$C13,'GLOBAL LOG'!#REF!,"High")</f>
        <v>#REF!</v>
      </c>
      <c r="O13" s="14" t="e">
        <f>COUNTIFS('GLOBAL LOG'!$D$6:$D$128,$C13,'GLOBAL LOG'!#REF!,"Med")</f>
        <v>#REF!</v>
      </c>
      <c r="P13" s="14" t="e">
        <f>COUNTIFS('GLOBAL LOG'!$D$6:$D$128,$C13,'GLOBAL LOG'!#REF!,"Low")</f>
        <v>#REF!</v>
      </c>
      <c r="Q13" s="14" t="e">
        <f>COUNTIFS('GLOBAL LOG'!$D$6:$D$128,$C13,'GLOBAL LOG'!#REF!,"High")</f>
        <v>#REF!</v>
      </c>
      <c r="R13" s="14" t="e">
        <f>COUNTIFS('GLOBAL LOG'!$D$6:$D$128,$C13,'GLOBAL LOG'!#REF!,"Med")</f>
        <v>#REF!</v>
      </c>
      <c r="S13" s="14" t="e">
        <f>COUNTIFS('GLOBAL LOG'!$D$6:$D$128,$C13,'GLOBAL LOG'!#REF!,"Low")</f>
        <v>#REF!</v>
      </c>
      <c r="T13" s="14" t="e">
        <f>COUNTIFS('GLOBAL LOG'!$D$6:$D$128,$C13,'GLOBAL LOG'!#REF!,"Completed")</f>
        <v>#REF!</v>
      </c>
      <c r="U13" s="14" t="e">
        <f>COUNTIFS('GLOBAL LOG'!$D$6:$D$128,$C13,'GLOBAL LOG'!#REF!,"Contracting")</f>
        <v>#REF!</v>
      </c>
      <c r="V13" s="14" t="e">
        <f>COUNTIFS('GLOBAL LOG'!$D$6:$D$128,$C13,'GLOBAL LOG'!#REF!,"Negotiations")</f>
        <v>#REF!</v>
      </c>
      <c r="W13" s="14" t="e">
        <f>COUNTIFS('GLOBAL LOG'!$D$6:$D$128,$C13,'GLOBAL LOG'!#REF!,"ICT")</f>
        <v>#REF!</v>
      </c>
      <c r="X13" s="14" t="e">
        <f>COUNTIFS('GLOBAL LOG'!$D$6:$D$128,$C13,'GLOBAL LOG'!#REF!,"Hopper")</f>
        <v>#REF!</v>
      </c>
      <c r="Y13" s="14">
        <f>SUMIF('GLOBAL LOG'!$D$6:$D$128,$C13,'GLOBAL LOG'!$Q$6:$Q$128)</f>
        <v>0</v>
      </c>
      <c r="Z13" s="14">
        <f>SUMIF('GLOBAL LOG'!$D$6:$D$128,$C13,'GLOBAL LOG'!$R$6:$R$128)</f>
        <v>0</v>
      </c>
      <c r="AA13" s="14">
        <f t="shared" si="1"/>
        <v>0</v>
      </c>
      <c r="AB13" s="14" t="e">
        <f>SUMIF('GLOBAL LOG'!$D$6:$D$128,C13,'GLOBAL LOG'!#REF!)</f>
        <v>#REF!</v>
      </c>
      <c r="AC13" s="6"/>
      <c r="AD13" s="14" t="str">
        <v>Aeroflot Russian Airlines</v>
      </c>
      <c r="AE13" s="14" t="e">
        <v>#REF!</v>
      </c>
      <c r="AF13" s="6"/>
      <c r="AG13" s="14" t="str">
        <v>Ethiopian Airlines</v>
      </c>
      <c r="AH13" s="14">
        <v>23</v>
      </c>
      <c r="AI13" s="6"/>
      <c r="AJ13" s="14" t="str">
        <v>Aer Lingus</v>
      </c>
      <c r="AK13" s="14">
        <v>0</v>
      </c>
      <c r="AL13" s="6"/>
      <c r="AM13" s="14" t="str">
        <v>Air China</v>
      </c>
      <c r="AN13" s="14">
        <v>38.9</v>
      </c>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row>
    <row r="14" spans="2:97" s="4" customFormat="1" ht="14.65" hidden="1" customHeight="1">
      <c r="B14" s="6"/>
      <c r="C14" s="13" t="str">
        <v>Aerolineas</v>
      </c>
      <c r="D14" s="14">
        <f>COUNTIFS('GLOBAL LOG'!$D$6:$D$128,C14,'GLOBAL LOG'!$K$6:$K$128,"&lt;&gt;")</f>
        <v>0</v>
      </c>
      <c r="E14" s="14" t="e">
        <f>COUNTIFS('GLOBAL LOG'!$D$6:$D$128,C14,'GLOBAL LOG'!#REF!,"Yes")</f>
        <v>#REF!</v>
      </c>
      <c r="F14" s="14" t="e">
        <f>SUMIF('GLOBAL LOG'!$D$6:$D$128,COUNT!C14,'GLOBAL LOG'!#REF!)</f>
        <v>#REF!</v>
      </c>
      <c r="G14" s="14">
        <f>COUNTIFS('GLOBAL LOG'!$E$6:$E$128,G$10,'GLOBAL LOG'!$D$6:$D$128,$C14)</f>
        <v>0</v>
      </c>
      <c r="H14" s="14">
        <f>COUNTIFS('GLOBAL LOG'!$E$6:$E$128,H$10,'GLOBAL LOG'!$D$6:$D$128,$C14)</f>
        <v>0</v>
      </c>
      <c r="I14" s="14">
        <f>COUNTIFS('GLOBAL LOG'!$E$6:$E$128,I$10,'GLOBAL LOG'!$D$6:$D$128,$C14)</f>
        <v>0</v>
      </c>
      <c r="J14" s="14">
        <f>COUNTIFS('GLOBAL LOG'!$E$6:$E$128,J$10,'GLOBAL LOG'!$D$6:$D$128,$C14)</f>
        <v>0</v>
      </c>
      <c r="K14" s="14">
        <f>COUNTIFS('GLOBAL LOG'!$E$6:$E$128,K$10,'GLOBAL LOG'!$D$6:$D$128,$C14)</f>
        <v>0</v>
      </c>
      <c r="L14" s="14">
        <f>COUNTIFS('GLOBAL LOG'!$E$6:$E$128,L$10,'GLOBAL LOG'!$D$6:$D$128,$C14)</f>
        <v>0</v>
      </c>
      <c r="M14" s="14">
        <f>COUNTIFS('GLOBAL LOG'!$E$6:$E$128,M$10,'GLOBAL LOG'!$D$6:$D$128,$C14)</f>
        <v>0</v>
      </c>
      <c r="N14" s="14" t="e">
        <f>COUNTIFS('GLOBAL LOG'!$D$6:$D$128,$C14,'GLOBAL LOG'!#REF!,"High")</f>
        <v>#REF!</v>
      </c>
      <c r="O14" s="14" t="e">
        <f>COUNTIFS('GLOBAL LOG'!$D$6:$D$128,$C14,'GLOBAL LOG'!#REF!,"Med")</f>
        <v>#REF!</v>
      </c>
      <c r="P14" s="14" t="e">
        <f>COUNTIFS('GLOBAL LOG'!$D$6:$D$128,$C14,'GLOBAL LOG'!#REF!,"Low")</f>
        <v>#REF!</v>
      </c>
      <c r="Q14" s="14" t="e">
        <f>COUNTIFS('GLOBAL LOG'!$D$6:$D$128,$C14,'GLOBAL LOG'!#REF!,"High")</f>
        <v>#REF!</v>
      </c>
      <c r="R14" s="14" t="e">
        <f>COUNTIFS('GLOBAL LOG'!$D$6:$D$128,$C14,'GLOBAL LOG'!#REF!,"Med")</f>
        <v>#REF!</v>
      </c>
      <c r="S14" s="14" t="e">
        <f>COUNTIFS('GLOBAL LOG'!$D$6:$D$128,$C14,'GLOBAL LOG'!#REF!,"Low")</f>
        <v>#REF!</v>
      </c>
      <c r="T14" s="14" t="e">
        <f>COUNTIFS('GLOBAL LOG'!$D$6:$D$128,$C14,'GLOBAL LOG'!#REF!,"Completed")</f>
        <v>#REF!</v>
      </c>
      <c r="U14" s="14" t="e">
        <f>COUNTIFS('GLOBAL LOG'!$D$6:$D$128,$C14,'GLOBAL LOG'!#REF!,"Contracting")</f>
        <v>#REF!</v>
      </c>
      <c r="V14" s="14" t="e">
        <f>COUNTIFS('GLOBAL LOG'!$D$6:$D$128,$C14,'GLOBAL LOG'!#REF!,"Negotiations")</f>
        <v>#REF!</v>
      </c>
      <c r="W14" s="14" t="e">
        <f>COUNTIFS('GLOBAL LOG'!$D$6:$D$128,$C14,'GLOBAL LOG'!#REF!,"ICT")</f>
        <v>#REF!</v>
      </c>
      <c r="X14" s="14" t="e">
        <f>COUNTIFS('GLOBAL LOG'!$D$6:$D$128,$C14,'GLOBAL LOG'!#REF!,"Hopper")</f>
        <v>#REF!</v>
      </c>
      <c r="Y14" s="14">
        <f>SUMIF('GLOBAL LOG'!$D$6:$D$128,$C14,'GLOBAL LOG'!$Q$6:$Q$128)</f>
        <v>0</v>
      </c>
      <c r="Z14" s="14">
        <f>SUMIF('GLOBAL LOG'!$D$6:$D$128,$C14,'GLOBAL LOG'!$R$6:$R$128)</f>
        <v>0</v>
      </c>
      <c r="AA14" s="14">
        <f t="shared" si="1"/>
        <v>0</v>
      </c>
      <c r="AB14" s="14" t="e">
        <f>SUMIF('GLOBAL LOG'!$D$6:$D$128,C14,'GLOBAL LOG'!#REF!)</f>
        <v>#REF!</v>
      </c>
      <c r="AC14" s="6"/>
      <c r="AD14" s="14" t="str">
        <v>Aerolineas</v>
      </c>
      <c r="AE14" s="14" t="e">
        <v>#REF!</v>
      </c>
      <c r="AF14" s="6"/>
      <c r="AG14" s="14" t="str">
        <v>FedEx Corporation</v>
      </c>
      <c r="AH14" s="14">
        <v>6.43</v>
      </c>
      <c r="AI14" s="6"/>
      <c r="AJ14" s="14" t="str">
        <v>AerCap</v>
      </c>
      <c r="AK14" s="14">
        <v>0</v>
      </c>
      <c r="AL14" s="6"/>
      <c r="AM14" s="14" t="str">
        <v>Ethiopian Airlines</v>
      </c>
      <c r="AN14" s="14">
        <v>23</v>
      </c>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row>
    <row r="15" spans="2:97" s="4" customFormat="1" ht="14.65" hidden="1" customHeight="1">
      <c r="B15" s="6"/>
      <c r="C15" s="13" t="str">
        <v>Air Algerie</v>
      </c>
      <c r="D15" s="14">
        <f>COUNTIFS('GLOBAL LOG'!$D$6:$D$128,C15,'GLOBAL LOG'!$K$6:$K$128,"&lt;&gt;")</f>
        <v>0</v>
      </c>
      <c r="E15" s="14" t="e">
        <f>COUNTIFS('GLOBAL LOG'!$D$6:$D$128,C15,'GLOBAL LOG'!#REF!,"Yes")</f>
        <v>#REF!</v>
      </c>
      <c r="F15" s="14" t="e">
        <f>SUMIF('GLOBAL LOG'!$D$6:$D$128,COUNT!C15,'GLOBAL LOG'!#REF!)</f>
        <v>#REF!</v>
      </c>
      <c r="G15" s="14">
        <f>COUNTIFS('GLOBAL LOG'!$E$6:$E$128,G$10,'GLOBAL LOG'!$D$6:$D$128,$C15)</f>
        <v>0</v>
      </c>
      <c r="H15" s="14">
        <f>COUNTIFS('GLOBAL LOG'!$E$6:$E$128,H$10,'GLOBAL LOG'!$D$6:$D$128,$C15)</f>
        <v>0</v>
      </c>
      <c r="I15" s="14">
        <f>COUNTIFS('GLOBAL LOG'!$E$6:$E$128,I$10,'GLOBAL LOG'!$D$6:$D$128,$C15)</f>
        <v>0</v>
      </c>
      <c r="J15" s="14">
        <f>COUNTIFS('GLOBAL LOG'!$E$6:$E$128,J$10,'GLOBAL LOG'!$D$6:$D$128,$C15)</f>
        <v>0</v>
      </c>
      <c r="K15" s="14">
        <f>COUNTIFS('GLOBAL LOG'!$E$6:$E$128,K$10,'GLOBAL LOG'!$D$6:$D$128,$C15)</f>
        <v>0</v>
      </c>
      <c r="L15" s="14">
        <f>COUNTIFS('GLOBAL LOG'!$E$6:$E$128,L$10,'GLOBAL LOG'!$D$6:$D$128,$C15)</f>
        <v>0</v>
      </c>
      <c r="M15" s="14">
        <f>COUNTIFS('GLOBAL LOG'!$E$6:$E$128,M$10,'GLOBAL LOG'!$D$6:$D$128,$C15)</f>
        <v>0</v>
      </c>
      <c r="N15" s="14" t="e">
        <f>COUNTIFS('GLOBAL LOG'!$D$6:$D$128,$C15,'GLOBAL LOG'!#REF!,"High")</f>
        <v>#REF!</v>
      </c>
      <c r="O15" s="14" t="e">
        <f>COUNTIFS('GLOBAL LOG'!$D$6:$D$128,$C15,'GLOBAL LOG'!#REF!,"Med")</f>
        <v>#REF!</v>
      </c>
      <c r="P15" s="14" t="e">
        <f>COUNTIFS('GLOBAL LOG'!$D$6:$D$128,$C15,'GLOBAL LOG'!#REF!,"Low")</f>
        <v>#REF!</v>
      </c>
      <c r="Q15" s="14" t="e">
        <f>COUNTIFS('GLOBAL LOG'!$D$6:$D$128,$C15,'GLOBAL LOG'!#REF!,"High")</f>
        <v>#REF!</v>
      </c>
      <c r="R15" s="14" t="e">
        <f>COUNTIFS('GLOBAL LOG'!$D$6:$D$128,$C15,'GLOBAL LOG'!#REF!,"Med")</f>
        <v>#REF!</v>
      </c>
      <c r="S15" s="14" t="e">
        <f>COUNTIFS('GLOBAL LOG'!$D$6:$D$128,$C15,'GLOBAL LOG'!#REF!,"Low")</f>
        <v>#REF!</v>
      </c>
      <c r="T15" s="14" t="e">
        <f>COUNTIFS('GLOBAL LOG'!$D$6:$D$128,$C15,'GLOBAL LOG'!#REF!,"Completed")</f>
        <v>#REF!</v>
      </c>
      <c r="U15" s="14" t="e">
        <f>COUNTIFS('GLOBAL LOG'!$D$6:$D$128,$C15,'GLOBAL LOG'!#REF!,"Contracting")</f>
        <v>#REF!</v>
      </c>
      <c r="V15" s="14" t="e">
        <f>COUNTIFS('GLOBAL LOG'!$D$6:$D$128,$C15,'GLOBAL LOG'!#REF!,"Negotiations")</f>
        <v>#REF!</v>
      </c>
      <c r="W15" s="14" t="e">
        <f>COUNTIFS('GLOBAL LOG'!$D$6:$D$128,$C15,'GLOBAL LOG'!#REF!,"ICT")</f>
        <v>#REF!</v>
      </c>
      <c r="X15" s="14" t="e">
        <f>COUNTIFS('GLOBAL LOG'!$D$6:$D$128,$C15,'GLOBAL LOG'!#REF!,"Hopper")</f>
        <v>#REF!</v>
      </c>
      <c r="Y15" s="14">
        <f>SUMIF('GLOBAL LOG'!$D$6:$D$128,$C15,'GLOBAL LOG'!$Q$6:$Q$128)</f>
        <v>0</v>
      </c>
      <c r="Z15" s="14">
        <f>SUMIF('GLOBAL LOG'!$D$6:$D$128,$C15,'GLOBAL LOG'!$R$6:$R$128)</f>
        <v>0</v>
      </c>
      <c r="AA15" s="14">
        <f t="shared" si="1"/>
        <v>0</v>
      </c>
      <c r="AB15" s="14" t="e">
        <f>SUMIF('GLOBAL LOG'!$D$6:$D$128,C15,'GLOBAL LOG'!#REF!)</f>
        <v>#REF!</v>
      </c>
      <c r="AC15" s="6"/>
      <c r="AD15" s="14" t="str">
        <v>Air Algerie</v>
      </c>
      <c r="AE15" s="14" t="e">
        <v>#REF!</v>
      </c>
      <c r="AF15" s="6"/>
      <c r="AG15" s="14" t="str">
        <v>Air China</v>
      </c>
      <c r="AH15" s="14">
        <v>5.3</v>
      </c>
      <c r="AI15" s="6"/>
      <c r="AJ15" s="14" t="str">
        <v>Aeroflot Russian Airlines</v>
      </c>
      <c r="AK15" s="14">
        <v>0</v>
      </c>
      <c r="AL15" s="6"/>
      <c r="AM15" s="14" t="str">
        <v>FedEx Corporation</v>
      </c>
      <c r="AN15" s="14">
        <v>13.39</v>
      </c>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row>
    <row r="16" spans="2:97" s="4" customFormat="1" ht="14.65" hidden="1" customHeight="1">
      <c r="B16" s="6"/>
      <c r="C16" s="13" t="str">
        <v>Air Austral</v>
      </c>
      <c r="D16" s="14">
        <f>COUNTIFS('GLOBAL LOG'!$D$6:$D$128,C16,'GLOBAL LOG'!$K$6:$K$128,"&lt;&gt;")</f>
        <v>0</v>
      </c>
      <c r="E16" s="14" t="e">
        <f>COUNTIFS('GLOBAL LOG'!$D$6:$D$128,C16,'GLOBAL LOG'!#REF!,"Yes")</f>
        <v>#REF!</v>
      </c>
      <c r="F16" s="14" t="e">
        <f>SUMIF('GLOBAL LOG'!$D$6:$D$128,COUNT!C16,'GLOBAL LOG'!#REF!)</f>
        <v>#REF!</v>
      </c>
      <c r="G16" s="14">
        <f>COUNTIFS('GLOBAL LOG'!$E$6:$E$128,G$10,'GLOBAL LOG'!$D$6:$D$128,$C16)</f>
        <v>0</v>
      </c>
      <c r="H16" s="14">
        <f>COUNTIFS('GLOBAL LOG'!$E$6:$E$128,H$10,'GLOBAL LOG'!$D$6:$D$128,$C16)</f>
        <v>0</v>
      </c>
      <c r="I16" s="14">
        <f>COUNTIFS('GLOBAL LOG'!$E$6:$E$128,I$10,'GLOBAL LOG'!$D$6:$D$128,$C16)</f>
        <v>0</v>
      </c>
      <c r="J16" s="14">
        <f>COUNTIFS('GLOBAL LOG'!$E$6:$E$128,J$10,'GLOBAL LOG'!$D$6:$D$128,$C16)</f>
        <v>0</v>
      </c>
      <c r="K16" s="14">
        <f>COUNTIFS('GLOBAL LOG'!$E$6:$E$128,K$10,'GLOBAL LOG'!$D$6:$D$128,$C16)</f>
        <v>0</v>
      </c>
      <c r="L16" s="14">
        <f>COUNTIFS('GLOBAL LOG'!$E$6:$E$128,L$10,'GLOBAL LOG'!$D$6:$D$128,$C16)</f>
        <v>0</v>
      </c>
      <c r="M16" s="14">
        <f>COUNTIFS('GLOBAL LOG'!$E$6:$E$128,M$10,'GLOBAL LOG'!$D$6:$D$128,$C16)</f>
        <v>0</v>
      </c>
      <c r="N16" s="14" t="e">
        <f>COUNTIFS('GLOBAL LOG'!$D$6:$D$128,$C16,'GLOBAL LOG'!#REF!,"High")</f>
        <v>#REF!</v>
      </c>
      <c r="O16" s="14" t="e">
        <f>COUNTIFS('GLOBAL LOG'!$D$6:$D$128,$C16,'GLOBAL LOG'!#REF!,"Med")</f>
        <v>#REF!</v>
      </c>
      <c r="P16" s="14" t="e">
        <f>COUNTIFS('GLOBAL LOG'!$D$6:$D$128,$C16,'GLOBAL LOG'!#REF!,"Low")</f>
        <v>#REF!</v>
      </c>
      <c r="Q16" s="14" t="e">
        <f>COUNTIFS('GLOBAL LOG'!$D$6:$D$128,$C16,'GLOBAL LOG'!#REF!,"High")</f>
        <v>#REF!</v>
      </c>
      <c r="R16" s="14" t="e">
        <f>COUNTIFS('GLOBAL LOG'!$D$6:$D$128,$C16,'GLOBAL LOG'!#REF!,"Med")</f>
        <v>#REF!</v>
      </c>
      <c r="S16" s="14" t="e">
        <f>COUNTIFS('GLOBAL LOG'!$D$6:$D$128,$C16,'GLOBAL LOG'!#REF!,"Low")</f>
        <v>#REF!</v>
      </c>
      <c r="T16" s="14" t="e">
        <f>COUNTIFS('GLOBAL LOG'!$D$6:$D$128,$C16,'GLOBAL LOG'!#REF!,"Completed")</f>
        <v>#REF!</v>
      </c>
      <c r="U16" s="14" t="e">
        <f>COUNTIFS('GLOBAL LOG'!$D$6:$D$128,$C16,'GLOBAL LOG'!#REF!,"Contracting")</f>
        <v>#REF!</v>
      </c>
      <c r="V16" s="14" t="e">
        <f>COUNTIFS('GLOBAL LOG'!$D$6:$D$128,$C16,'GLOBAL LOG'!#REF!,"Negotiations")</f>
        <v>#REF!</v>
      </c>
      <c r="W16" s="14" t="e">
        <f>COUNTIFS('GLOBAL LOG'!$D$6:$D$128,$C16,'GLOBAL LOG'!#REF!,"ICT")</f>
        <v>#REF!</v>
      </c>
      <c r="X16" s="14" t="e">
        <f>COUNTIFS('GLOBAL LOG'!$D$6:$D$128,$C16,'GLOBAL LOG'!#REF!,"Hopper")</f>
        <v>#REF!</v>
      </c>
      <c r="Y16" s="14">
        <f>SUMIF('GLOBAL LOG'!$D$6:$D$128,$C16,'GLOBAL LOG'!$Q$6:$Q$128)</f>
        <v>0</v>
      </c>
      <c r="Z16" s="14">
        <f>SUMIF('GLOBAL LOG'!$D$6:$D$128,$C16,'GLOBAL LOG'!$R$6:$R$128)</f>
        <v>0</v>
      </c>
      <c r="AA16" s="14">
        <f t="shared" si="1"/>
        <v>0</v>
      </c>
      <c r="AB16" s="14" t="e">
        <f>SUMIF('GLOBAL LOG'!$D$6:$D$128,C16,'GLOBAL LOG'!#REF!)</f>
        <v>#REF!</v>
      </c>
      <c r="AC16" s="6"/>
      <c r="AD16" s="14" t="str">
        <v>Air Austral</v>
      </c>
      <c r="AE16" s="14" t="e">
        <v>#REF!</v>
      </c>
      <c r="AF16" s="6"/>
      <c r="AG16" s="14" t="str">
        <v>China Southern</v>
      </c>
      <c r="AH16" s="14">
        <v>5</v>
      </c>
      <c r="AI16" s="6"/>
      <c r="AJ16" s="14" t="str">
        <v>Aerolineas</v>
      </c>
      <c r="AK16" s="14">
        <v>0</v>
      </c>
      <c r="AL16" s="6"/>
      <c r="AM16" s="14" t="str">
        <v>China Southern</v>
      </c>
      <c r="AN16" s="14">
        <v>5</v>
      </c>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row>
    <row r="17" spans="2:97" s="4" customFormat="1" ht="14.65" customHeight="1">
      <c r="B17" s="6"/>
      <c r="C17" s="13" t="str">
        <v>Air Belgium</v>
      </c>
      <c r="D17" s="14">
        <f>COUNTIFS('GLOBAL LOG'!$D$6:$D$128,C17,'GLOBAL LOG'!$K$6:$K$128,"&lt;&gt;")</f>
        <v>0</v>
      </c>
      <c r="E17" s="14" t="e">
        <f>COUNTIFS('GLOBAL LOG'!$D$6:$D$128,C17,'GLOBAL LOG'!#REF!,"Yes")</f>
        <v>#REF!</v>
      </c>
      <c r="F17" s="14" t="e">
        <f>SUMIF('GLOBAL LOG'!$D$6:$D$128,COUNT!C17,'GLOBAL LOG'!#REF!)</f>
        <v>#REF!</v>
      </c>
      <c r="G17" s="14">
        <f>COUNTIFS('GLOBAL LOG'!$E$6:$E$128,G$10,'GLOBAL LOG'!$D$6:$D$128,$C17)</f>
        <v>0</v>
      </c>
      <c r="H17" s="14">
        <f>COUNTIFS('GLOBAL LOG'!$E$6:$E$128,H$10,'GLOBAL LOG'!$D$6:$D$128,$C17)</f>
        <v>0</v>
      </c>
      <c r="I17" s="14">
        <f>COUNTIFS('GLOBAL LOG'!$E$6:$E$128,I$10,'GLOBAL LOG'!$D$6:$D$128,$C17)</f>
        <v>0</v>
      </c>
      <c r="J17" s="14">
        <f>COUNTIFS('GLOBAL LOG'!$E$6:$E$128,J$10,'GLOBAL LOG'!$D$6:$D$128,$C17)</f>
        <v>0</v>
      </c>
      <c r="K17" s="14">
        <f>COUNTIFS('GLOBAL LOG'!$E$6:$E$128,K$10,'GLOBAL LOG'!$D$6:$D$128,$C17)</f>
        <v>0</v>
      </c>
      <c r="L17" s="14">
        <f>COUNTIFS('GLOBAL LOG'!$E$6:$E$128,L$10,'GLOBAL LOG'!$D$6:$D$128,$C17)</f>
        <v>0</v>
      </c>
      <c r="M17" s="14">
        <f>COUNTIFS('GLOBAL LOG'!$E$6:$E$128,M$10,'GLOBAL LOG'!$D$6:$D$128,$C17)</f>
        <v>0</v>
      </c>
      <c r="N17" s="14" t="e">
        <f>COUNTIFS('GLOBAL LOG'!$D$6:$D$128,$C17,'GLOBAL LOG'!#REF!,"High")</f>
        <v>#REF!</v>
      </c>
      <c r="O17" s="14" t="e">
        <f>COUNTIFS('GLOBAL LOG'!$D$6:$D$128,$C17,'GLOBAL LOG'!#REF!,"Med")</f>
        <v>#REF!</v>
      </c>
      <c r="P17" s="14" t="e">
        <f>COUNTIFS('GLOBAL LOG'!$D$6:$D$128,$C17,'GLOBAL LOG'!#REF!,"Low")</f>
        <v>#REF!</v>
      </c>
      <c r="Q17" s="14" t="e">
        <f>COUNTIFS('GLOBAL LOG'!$D$6:$D$128,$C17,'GLOBAL LOG'!#REF!,"High")</f>
        <v>#REF!</v>
      </c>
      <c r="R17" s="14" t="e">
        <f>COUNTIFS('GLOBAL LOG'!$D$6:$D$128,$C17,'GLOBAL LOG'!#REF!,"Med")</f>
        <v>#REF!</v>
      </c>
      <c r="S17" s="14" t="e">
        <f>COUNTIFS('GLOBAL LOG'!$D$6:$D$128,$C17,'GLOBAL LOG'!#REF!,"Low")</f>
        <v>#REF!</v>
      </c>
      <c r="T17" s="14" t="e">
        <f>COUNTIFS('GLOBAL LOG'!$D$6:$D$128,$C17,'GLOBAL LOG'!#REF!,"Completed")</f>
        <v>#REF!</v>
      </c>
      <c r="U17" s="14" t="e">
        <f>COUNTIFS('GLOBAL LOG'!$D$6:$D$128,$C17,'GLOBAL LOG'!#REF!,"Contracting")</f>
        <v>#REF!</v>
      </c>
      <c r="V17" s="14" t="e">
        <f>COUNTIFS('GLOBAL LOG'!$D$6:$D$128,$C17,'GLOBAL LOG'!#REF!,"Negotiations")</f>
        <v>#REF!</v>
      </c>
      <c r="W17" s="14" t="e">
        <f>COUNTIFS('GLOBAL LOG'!$D$6:$D$128,$C17,'GLOBAL LOG'!#REF!,"ICT")</f>
        <v>#REF!</v>
      </c>
      <c r="X17" s="14" t="e">
        <f>COUNTIFS('GLOBAL LOG'!$D$6:$D$128,$C17,'GLOBAL LOG'!#REF!,"Hopper")</f>
        <v>#REF!</v>
      </c>
      <c r="Y17" s="14">
        <f>SUMIF('GLOBAL LOG'!$D$6:$D$128,$C17,'GLOBAL LOG'!$Q$6:$Q$128)</f>
        <v>0</v>
      </c>
      <c r="Z17" s="14">
        <f>SUMIF('GLOBAL LOG'!$D$6:$D$128,$C17,'GLOBAL LOG'!$R$6:$R$128)</f>
        <v>0</v>
      </c>
      <c r="AA17" s="14">
        <f t="shared" si="1"/>
        <v>0</v>
      </c>
      <c r="AB17" s="14" t="e">
        <f>SUMIF('GLOBAL LOG'!$D$6:$D$128,C17,'GLOBAL LOG'!#REF!)</f>
        <v>#REF!</v>
      </c>
      <c r="AC17" s="6"/>
      <c r="AD17" s="14" t="str">
        <v>Air Belgium</v>
      </c>
      <c r="AE17" s="14" t="e">
        <v>#REF!</v>
      </c>
      <c r="AF17" s="6"/>
      <c r="AG17" s="14" t="str">
        <v>Japan Airlines</v>
      </c>
      <c r="AH17" s="14">
        <v>3.2</v>
      </c>
      <c r="AI17" s="6"/>
      <c r="AJ17" s="14" t="str">
        <v>Air Algerie</v>
      </c>
      <c r="AK17" s="14">
        <v>0</v>
      </c>
      <c r="AL17" s="6"/>
      <c r="AM17" s="14" t="str">
        <v>Japan Airlines</v>
      </c>
      <c r="AN17" s="14">
        <v>3.2</v>
      </c>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row>
    <row r="18" spans="2:97" s="4" customFormat="1" ht="14.65" customHeight="1">
      <c r="B18" s="6"/>
      <c r="C18" s="13" t="str">
        <v>Air Canada</v>
      </c>
      <c r="D18" s="14">
        <f>COUNTIFS('GLOBAL LOG'!$D$6:$D$128,C18,'GLOBAL LOG'!$K$6:$K$128,"&lt;&gt;")</f>
        <v>0</v>
      </c>
      <c r="E18" s="14" t="e">
        <f>COUNTIFS('GLOBAL LOG'!$D$6:$D$128,C18,'GLOBAL LOG'!#REF!,"Yes")</f>
        <v>#REF!</v>
      </c>
      <c r="F18" s="14" t="e">
        <f>SUMIF('GLOBAL LOG'!$D$6:$D$128,COUNT!C18,'GLOBAL LOG'!#REF!)</f>
        <v>#REF!</v>
      </c>
      <c r="G18" s="14">
        <f>COUNTIFS('GLOBAL LOG'!$E$6:$E$128,G$10,'GLOBAL LOG'!$D$6:$D$128,$C18)</f>
        <v>0</v>
      </c>
      <c r="H18" s="14">
        <f>COUNTIFS('GLOBAL LOG'!$E$6:$E$128,H$10,'GLOBAL LOG'!$D$6:$D$128,$C18)</f>
        <v>0</v>
      </c>
      <c r="I18" s="14">
        <f>COUNTIFS('GLOBAL LOG'!$E$6:$E$128,I$10,'GLOBAL LOG'!$D$6:$D$128,$C18)</f>
        <v>0</v>
      </c>
      <c r="J18" s="14">
        <f>COUNTIFS('GLOBAL LOG'!$E$6:$E$128,J$10,'GLOBAL LOG'!$D$6:$D$128,$C18)</f>
        <v>0</v>
      </c>
      <c r="K18" s="14">
        <f>COUNTIFS('GLOBAL LOG'!$E$6:$E$128,K$10,'GLOBAL LOG'!$D$6:$D$128,$C18)</f>
        <v>0</v>
      </c>
      <c r="L18" s="14">
        <f>COUNTIFS('GLOBAL LOG'!$E$6:$E$128,L$10,'GLOBAL LOG'!$D$6:$D$128,$C18)</f>
        <v>0</v>
      </c>
      <c r="M18" s="14">
        <f>COUNTIFS('GLOBAL LOG'!$E$6:$E$128,M$10,'GLOBAL LOG'!$D$6:$D$128,$C18)</f>
        <v>0</v>
      </c>
      <c r="N18" s="14" t="e">
        <f>COUNTIFS('GLOBAL LOG'!$D$6:$D$128,$C18,'GLOBAL LOG'!#REF!,"High")</f>
        <v>#REF!</v>
      </c>
      <c r="O18" s="14" t="e">
        <f>COUNTIFS('GLOBAL LOG'!$D$6:$D$128,$C18,'GLOBAL LOG'!#REF!,"Med")</f>
        <v>#REF!</v>
      </c>
      <c r="P18" s="14" t="e">
        <f>COUNTIFS('GLOBAL LOG'!$D$6:$D$128,$C18,'GLOBAL LOG'!#REF!,"Low")</f>
        <v>#REF!</v>
      </c>
      <c r="Q18" s="14" t="e">
        <f>COUNTIFS('GLOBAL LOG'!$D$6:$D$128,$C18,'GLOBAL LOG'!#REF!,"High")</f>
        <v>#REF!</v>
      </c>
      <c r="R18" s="14" t="e">
        <f>COUNTIFS('GLOBAL LOG'!$D$6:$D$128,$C18,'GLOBAL LOG'!#REF!,"Med")</f>
        <v>#REF!</v>
      </c>
      <c r="S18" s="14" t="e">
        <f>COUNTIFS('GLOBAL LOG'!$D$6:$D$128,$C18,'GLOBAL LOG'!#REF!,"Low")</f>
        <v>#REF!</v>
      </c>
      <c r="T18" s="14" t="e">
        <f>COUNTIFS('GLOBAL LOG'!$D$6:$D$128,$C18,'GLOBAL LOG'!#REF!,"Completed")</f>
        <v>#REF!</v>
      </c>
      <c r="U18" s="14" t="e">
        <f>COUNTIFS('GLOBAL LOG'!$D$6:$D$128,$C18,'GLOBAL LOG'!#REF!,"Contracting")</f>
        <v>#REF!</v>
      </c>
      <c r="V18" s="14" t="e">
        <f>COUNTIFS('GLOBAL LOG'!$D$6:$D$128,$C18,'GLOBAL LOG'!#REF!,"Negotiations")</f>
        <v>#REF!</v>
      </c>
      <c r="W18" s="14" t="e">
        <f>COUNTIFS('GLOBAL LOG'!$D$6:$D$128,$C18,'GLOBAL LOG'!#REF!,"ICT")</f>
        <v>#REF!</v>
      </c>
      <c r="X18" s="14" t="e">
        <f>COUNTIFS('GLOBAL LOG'!$D$6:$D$128,$C18,'GLOBAL LOG'!#REF!,"Hopper")</f>
        <v>#REF!</v>
      </c>
      <c r="Y18" s="14">
        <f>SUMIF('GLOBAL LOG'!$D$6:$D$128,$C18,'GLOBAL LOG'!$Q$6:$Q$128)</f>
        <v>0</v>
      </c>
      <c r="Z18" s="14">
        <f>SUMIF('GLOBAL LOG'!$D$6:$D$128,$C18,'GLOBAL LOG'!$R$6:$R$128)</f>
        <v>0</v>
      </c>
      <c r="AA18" s="14">
        <f t="shared" si="1"/>
        <v>0</v>
      </c>
      <c r="AB18" s="14" t="e">
        <f>SUMIF('GLOBAL LOG'!$D$6:$D$128,C18,'GLOBAL LOG'!#REF!)</f>
        <v>#REF!</v>
      </c>
      <c r="AC18" s="6"/>
      <c r="AD18" s="14" t="str">
        <v>Air Canada</v>
      </c>
      <c r="AE18" s="14" t="e">
        <v>#REF!</v>
      </c>
      <c r="AF18" s="6"/>
      <c r="AG18" s="14" t="str">
        <v>Aer Lingus</v>
      </c>
      <c r="AH18" s="14">
        <v>0</v>
      </c>
      <c r="AI18" s="6"/>
      <c r="AJ18" s="14" t="str">
        <v>Air Austral</v>
      </c>
      <c r="AK18" s="14">
        <v>0</v>
      </c>
      <c r="AL18" s="6"/>
      <c r="AM18" s="14" t="str">
        <v>Aer Lingus</v>
      </c>
      <c r="AN18" s="14">
        <v>0</v>
      </c>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row>
    <row r="19" spans="2:97" s="4" customFormat="1" ht="14.65" customHeight="1">
      <c r="B19" s="6"/>
      <c r="C19" s="13" t="str">
        <v>Air Caraibes Atlantique</v>
      </c>
      <c r="D19" s="14">
        <f>COUNTIFS('GLOBAL LOG'!$D$6:$D$128,C19,'GLOBAL LOG'!$K$6:$K$128,"&lt;&gt;")</f>
        <v>0</v>
      </c>
      <c r="E19" s="14" t="e">
        <f>COUNTIFS('GLOBAL LOG'!$D$6:$D$128,C19,'GLOBAL LOG'!#REF!,"Yes")</f>
        <v>#REF!</v>
      </c>
      <c r="F19" s="14" t="e">
        <f>SUMIF('GLOBAL LOG'!$D$6:$D$128,COUNT!C19,'GLOBAL LOG'!#REF!)</f>
        <v>#REF!</v>
      </c>
      <c r="G19" s="14">
        <f>COUNTIFS('GLOBAL LOG'!$E$6:$E$128,G$10,'GLOBAL LOG'!$D$6:$D$128,$C19)</f>
        <v>0</v>
      </c>
      <c r="H19" s="14">
        <f>COUNTIFS('GLOBAL LOG'!$E$6:$E$128,H$10,'GLOBAL LOG'!$D$6:$D$128,$C19)</f>
        <v>0</v>
      </c>
      <c r="I19" s="14">
        <f>COUNTIFS('GLOBAL LOG'!$E$6:$E$128,I$10,'GLOBAL LOG'!$D$6:$D$128,$C19)</f>
        <v>0</v>
      </c>
      <c r="J19" s="14">
        <f>COUNTIFS('GLOBAL LOG'!$E$6:$E$128,J$10,'GLOBAL LOG'!$D$6:$D$128,$C19)</f>
        <v>0</v>
      </c>
      <c r="K19" s="14">
        <f>COUNTIFS('GLOBAL LOG'!$E$6:$E$128,K$10,'GLOBAL LOG'!$D$6:$D$128,$C19)</f>
        <v>0</v>
      </c>
      <c r="L19" s="14">
        <f>COUNTIFS('GLOBAL LOG'!$E$6:$E$128,L$10,'GLOBAL LOG'!$D$6:$D$128,$C19)</f>
        <v>0</v>
      </c>
      <c r="M19" s="14">
        <f>COUNTIFS('GLOBAL LOG'!$E$6:$E$128,M$10,'GLOBAL LOG'!$D$6:$D$128,$C19)</f>
        <v>0</v>
      </c>
      <c r="N19" s="14" t="e">
        <f>COUNTIFS('GLOBAL LOG'!$D$6:$D$128,$C19,'GLOBAL LOG'!#REF!,"High")</f>
        <v>#REF!</v>
      </c>
      <c r="O19" s="14" t="e">
        <f>COUNTIFS('GLOBAL LOG'!$D$6:$D$128,$C19,'GLOBAL LOG'!#REF!,"Med")</f>
        <v>#REF!</v>
      </c>
      <c r="P19" s="14" t="e">
        <f>COUNTIFS('GLOBAL LOG'!$D$6:$D$128,$C19,'GLOBAL LOG'!#REF!,"Low")</f>
        <v>#REF!</v>
      </c>
      <c r="Q19" s="14" t="e">
        <f>COUNTIFS('GLOBAL LOG'!$D$6:$D$128,$C19,'GLOBAL LOG'!#REF!,"High")</f>
        <v>#REF!</v>
      </c>
      <c r="R19" s="14" t="e">
        <f>COUNTIFS('GLOBAL LOG'!$D$6:$D$128,$C19,'GLOBAL LOG'!#REF!,"Med")</f>
        <v>#REF!</v>
      </c>
      <c r="S19" s="14" t="e">
        <f>COUNTIFS('GLOBAL LOG'!$D$6:$D$128,$C19,'GLOBAL LOG'!#REF!,"Low")</f>
        <v>#REF!</v>
      </c>
      <c r="T19" s="14" t="e">
        <f>COUNTIFS('GLOBAL LOG'!$D$6:$D$128,$C19,'GLOBAL LOG'!#REF!,"Completed")</f>
        <v>#REF!</v>
      </c>
      <c r="U19" s="14" t="e">
        <f>COUNTIFS('GLOBAL LOG'!$D$6:$D$128,$C19,'GLOBAL LOG'!#REF!,"Contracting")</f>
        <v>#REF!</v>
      </c>
      <c r="V19" s="14" t="e">
        <f>COUNTIFS('GLOBAL LOG'!$D$6:$D$128,$C19,'GLOBAL LOG'!#REF!,"Negotiations")</f>
        <v>#REF!</v>
      </c>
      <c r="W19" s="14" t="e">
        <f>COUNTIFS('GLOBAL LOG'!$D$6:$D$128,$C19,'GLOBAL LOG'!#REF!,"ICT")</f>
        <v>#REF!</v>
      </c>
      <c r="X19" s="14" t="e">
        <f>COUNTIFS('GLOBAL LOG'!$D$6:$D$128,$C19,'GLOBAL LOG'!#REF!,"Hopper")</f>
        <v>#REF!</v>
      </c>
      <c r="Y19" s="14">
        <f>SUMIF('GLOBAL LOG'!$D$6:$D$128,$C19,'GLOBAL LOG'!$Q$6:$Q$128)</f>
        <v>0</v>
      </c>
      <c r="Z19" s="14">
        <f>SUMIF('GLOBAL LOG'!$D$6:$D$128,$C19,'GLOBAL LOG'!$R$6:$R$128)</f>
        <v>0</v>
      </c>
      <c r="AA19" s="14">
        <f t="shared" si="1"/>
        <v>0</v>
      </c>
      <c r="AB19" s="14" t="e">
        <f>SUMIF('GLOBAL LOG'!$D$6:$D$128,C19,'GLOBAL LOG'!#REF!)</f>
        <v>#REF!</v>
      </c>
      <c r="AC19" s="6"/>
      <c r="AD19" s="14" t="str">
        <v>Air Caraibes Atlantique</v>
      </c>
      <c r="AE19" s="14" t="e">
        <v>#REF!</v>
      </c>
      <c r="AF19" s="6"/>
      <c r="AG19" s="14" t="str">
        <v>AerCap</v>
      </c>
      <c r="AH19" s="14">
        <v>0</v>
      </c>
      <c r="AI19" s="6"/>
      <c r="AJ19" s="14" t="str">
        <v>Air Belgium</v>
      </c>
      <c r="AK19" s="14">
        <v>0</v>
      </c>
      <c r="AL19" s="6"/>
      <c r="AM19" s="14" t="str">
        <v>AerCap</v>
      </c>
      <c r="AN19" s="14">
        <v>0</v>
      </c>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row>
    <row r="20" spans="2:97" s="4" customFormat="1" ht="14.65" hidden="1" customHeight="1">
      <c r="B20" s="6"/>
      <c r="C20" s="13" t="str">
        <v>Air China</v>
      </c>
      <c r="D20" s="14">
        <f>COUNTIFS('GLOBAL LOG'!$D$6:$D$128,C20,'GLOBAL LOG'!$K$6:$K$128,"&lt;&gt;")</f>
        <v>1</v>
      </c>
      <c r="E20" s="14" t="e">
        <f>COUNTIFS('GLOBAL LOG'!$D$6:$D$128,C20,'GLOBAL LOG'!#REF!,"Yes")</f>
        <v>#REF!</v>
      </c>
      <c r="F20" s="14" t="e">
        <f>SUMIF('GLOBAL LOG'!$D$6:$D$128,COUNT!C20,'GLOBAL LOG'!#REF!)</f>
        <v>#REF!</v>
      </c>
      <c r="G20" s="14">
        <f>COUNTIFS('GLOBAL LOG'!$E$6:$E$128,G$10,'GLOBAL LOG'!$D$6:$D$128,$C20)</f>
        <v>2</v>
      </c>
      <c r="H20" s="14">
        <f>COUNTIFS('GLOBAL LOG'!$E$6:$E$128,H$10,'GLOBAL LOG'!$D$6:$D$128,$C20)</f>
        <v>0</v>
      </c>
      <c r="I20" s="14">
        <f>COUNTIFS('GLOBAL LOG'!$E$6:$E$128,I$10,'GLOBAL LOG'!$D$6:$D$128,$C20)</f>
        <v>1</v>
      </c>
      <c r="J20" s="14">
        <f>COUNTIFS('GLOBAL LOG'!$E$6:$E$128,J$10,'GLOBAL LOG'!$D$6:$D$128,$C20)</f>
        <v>0</v>
      </c>
      <c r="K20" s="14">
        <f>COUNTIFS('GLOBAL LOG'!$E$6:$E$128,K$10,'GLOBAL LOG'!$D$6:$D$128,$C20)</f>
        <v>0</v>
      </c>
      <c r="L20" s="14">
        <f>COUNTIFS('GLOBAL LOG'!$E$6:$E$128,L$10,'GLOBAL LOG'!$D$6:$D$128,$C20)</f>
        <v>0</v>
      </c>
      <c r="M20" s="14">
        <f>COUNTIFS('GLOBAL LOG'!$E$6:$E$128,M$10,'GLOBAL LOG'!$D$6:$D$128,$C20)</f>
        <v>0</v>
      </c>
      <c r="N20" s="14" t="e">
        <f>COUNTIFS('GLOBAL LOG'!$D$6:$D$128,$C20,'GLOBAL LOG'!#REF!,"High")</f>
        <v>#REF!</v>
      </c>
      <c r="O20" s="14" t="e">
        <f>COUNTIFS('GLOBAL LOG'!$D$6:$D$128,$C20,'GLOBAL LOG'!#REF!,"Med")</f>
        <v>#REF!</v>
      </c>
      <c r="P20" s="14" t="e">
        <f>COUNTIFS('GLOBAL LOG'!$D$6:$D$128,$C20,'GLOBAL LOG'!#REF!,"Low")</f>
        <v>#REF!</v>
      </c>
      <c r="Q20" s="14" t="e">
        <f>COUNTIFS('GLOBAL LOG'!$D$6:$D$128,$C20,'GLOBAL LOG'!#REF!,"High")</f>
        <v>#REF!</v>
      </c>
      <c r="R20" s="14" t="e">
        <f>COUNTIFS('GLOBAL LOG'!$D$6:$D$128,$C20,'GLOBAL LOG'!#REF!,"Med")</f>
        <v>#REF!</v>
      </c>
      <c r="S20" s="14" t="e">
        <f>COUNTIFS('GLOBAL LOG'!$D$6:$D$128,$C20,'GLOBAL LOG'!#REF!,"Low")</f>
        <v>#REF!</v>
      </c>
      <c r="T20" s="14" t="e">
        <f>COUNTIFS('GLOBAL LOG'!$D$6:$D$128,$C20,'GLOBAL LOG'!#REF!,"Completed")</f>
        <v>#REF!</v>
      </c>
      <c r="U20" s="14" t="e">
        <f>COUNTIFS('GLOBAL LOG'!$D$6:$D$128,$C20,'GLOBAL LOG'!#REF!,"Contracting")</f>
        <v>#REF!</v>
      </c>
      <c r="V20" s="14" t="e">
        <f>COUNTIFS('GLOBAL LOG'!$D$6:$D$128,$C20,'GLOBAL LOG'!#REF!,"Negotiations")</f>
        <v>#REF!</v>
      </c>
      <c r="W20" s="14" t="e">
        <f>COUNTIFS('GLOBAL LOG'!$D$6:$D$128,$C20,'GLOBAL LOG'!#REF!,"ICT")</f>
        <v>#REF!</v>
      </c>
      <c r="X20" s="14" t="e">
        <f>COUNTIFS('GLOBAL LOG'!$D$6:$D$128,$C20,'GLOBAL LOG'!#REF!,"Hopper")</f>
        <v>#REF!</v>
      </c>
      <c r="Y20" s="14">
        <f>SUMIF('GLOBAL LOG'!$D$6:$D$128,$C20,'GLOBAL LOG'!$Q$6:$Q$128)</f>
        <v>5.3</v>
      </c>
      <c r="Z20" s="14">
        <f>SUMIF('GLOBAL LOG'!$D$6:$D$128,$C20,'GLOBAL LOG'!$R$6:$R$128)</f>
        <v>33.6</v>
      </c>
      <c r="AA20" s="14">
        <f t="shared" si="1"/>
        <v>38.9</v>
      </c>
      <c r="AB20" s="14" t="e">
        <f>SUMIF('GLOBAL LOG'!$D$6:$D$128,C20,'GLOBAL LOG'!#REF!)</f>
        <v>#REF!</v>
      </c>
      <c r="AC20" s="6"/>
      <c r="AD20" s="14" t="str">
        <v>Air China</v>
      </c>
      <c r="AE20" s="14" t="e">
        <v>#REF!</v>
      </c>
      <c r="AF20" s="6"/>
      <c r="AG20" s="14" t="str">
        <v>Aeroflot Russian Airlines</v>
      </c>
      <c r="AH20" s="14">
        <v>0</v>
      </c>
      <c r="AI20" s="6"/>
      <c r="AJ20" s="14" t="str">
        <v>Air Canada</v>
      </c>
      <c r="AK20" s="14">
        <v>0</v>
      </c>
      <c r="AL20" s="6"/>
      <c r="AM20" s="14" t="str">
        <v>Aeroflot Russian Airlines</v>
      </c>
      <c r="AN20" s="14">
        <v>0</v>
      </c>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row>
    <row r="21" spans="2:97" s="4" customFormat="1" ht="14.65" hidden="1" customHeight="1">
      <c r="B21" s="6"/>
      <c r="C21" s="13" t="str">
        <v>Air Europa Lineas Aereas S.A.U.</v>
      </c>
      <c r="D21" s="14">
        <f>COUNTIFS('GLOBAL LOG'!$D$6:$D$128,C21,'GLOBAL LOG'!$K$6:$K$128,"&lt;&gt;")</f>
        <v>0</v>
      </c>
      <c r="E21" s="14" t="e">
        <f>COUNTIFS('GLOBAL LOG'!$D$6:$D$128,C21,'GLOBAL LOG'!#REF!,"Yes")</f>
        <v>#REF!</v>
      </c>
      <c r="F21" s="14" t="e">
        <f>SUMIF('GLOBAL LOG'!$D$6:$D$128,COUNT!C21,'GLOBAL LOG'!#REF!)</f>
        <v>#REF!</v>
      </c>
      <c r="G21" s="14">
        <f>COUNTIFS('GLOBAL LOG'!$E$6:$E$128,G$10,'GLOBAL LOG'!$D$6:$D$128,$C21)</f>
        <v>0</v>
      </c>
      <c r="H21" s="14">
        <f>COUNTIFS('GLOBAL LOG'!$E$6:$E$128,H$10,'GLOBAL LOG'!$D$6:$D$128,$C21)</f>
        <v>0</v>
      </c>
      <c r="I21" s="14">
        <f>COUNTIFS('GLOBAL LOG'!$E$6:$E$128,I$10,'GLOBAL LOG'!$D$6:$D$128,$C21)</f>
        <v>0</v>
      </c>
      <c r="J21" s="14">
        <f>COUNTIFS('GLOBAL LOG'!$E$6:$E$128,J$10,'GLOBAL LOG'!$D$6:$D$128,$C21)</f>
        <v>0</v>
      </c>
      <c r="K21" s="14">
        <f>COUNTIFS('GLOBAL LOG'!$E$6:$E$128,K$10,'GLOBAL LOG'!$D$6:$D$128,$C21)</f>
        <v>0</v>
      </c>
      <c r="L21" s="14">
        <f>COUNTIFS('GLOBAL LOG'!$E$6:$E$128,L$10,'GLOBAL LOG'!$D$6:$D$128,$C21)</f>
        <v>0</v>
      </c>
      <c r="M21" s="14">
        <f>COUNTIFS('GLOBAL LOG'!$E$6:$E$128,M$10,'GLOBAL LOG'!$D$6:$D$128,$C21)</f>
        <v>0</v>
      </c>
      <c r="N21" s="14" t="e">
        <f>COUNTIFS('GLOBAL LOG'!$D$6:$D$128,$C21,'GLOBAL LOG'!#REF!,"High")</f>
        <v>#REF!</v>
      </c>
      <c r="O21" s="14" t="e">
        <f>COUNTIFS('GLOBAL LOG'!$D$6:$D$128,$C21,'GLOBAL LOG'!#REF!,"Med")</f>
        <v>#REF!</v>
      </c>
      <c r="P21" s="14" t="e">
        <f>COUNTIFS('GLOBAL LOG'!$D$6:$D$128,$C21,'GLOBAL LOG'!#REF!,"Low")</f>
        <v>#REF!</v>
      </c>
      <c r="Q21" s="14" t="e">
        <f>COUNTIFS('GLOBAL LOG'!$D$6:$D$128,$C21,'GLOBAL LOG'!#REF!,"High")</f>
        <v>#REF!</v>
      </c>
      <c r="R21" s="14" t="e">
        <f>COUNTIFS('GLOBAL LOG'!$D$6:$D$128,$C21,'GLOBAL LOG'!#REF!,"Med")</f>
        <v>#REF!</v>
      </c>
      <c r="S21" s="14" t="e">
        <f>COUNTIFS('GLOBAL LOG'!$D$6:$D$128,$C21,'GLOBAL LOG'!#REF!,"Low")</f>
        <v>#REF!</v>
      </c>
      <c r="T21" s="14" t="e">
        <f>COUNTIFS('GLOBAL LOG'!$D$6:$D$128,$C21,'GLOBAL LOG'!#REF!,"Completed")</f>
        <v>#REF!</v>
      </c>
      <c r="U21" s="14" t="e">
        <f>COUNTIFS('GLOBAL LOG'!$D$6:$D$128,$C21,'GLOBAL LOG'!#REF!,"Contracting")</f>
        <v>#REF!</v>
      </c>
      <c r="V21" s="14" t="e">
        <f>COUNTIFS('GLOBAL LOG'!$D$6:$D$128,$C21,'GLOBAL LOG'!#REF!,"Negotiations")</f>
        <v>#REF!</v>
      </c>
      <c r="W21" s="14" t="e">
        <f>COUNTIFS('GLOBAL LOG'!$D$6:$D$128,$C21,'GLOBAL LOG'!#REF!,"ICT")</f>
        <v>#REF!</v>
      </c>
      <c r="X21" s="14" t="e">
        <f>COUNTIFS('GLOBAL LOG'!$D$6:$D$128,$C21,'GLOBAL LOG'!#REF!,"Hopper")</f>
        <v>#REF!</v>
      </c>
      <c r="Y21" s="14">
        <f>SUMIF('GLOBAL LOG'!$D$6:$D$128,$C21,'GLOBAL LOG'!$Q$6:$Q$128)</f>
        <v>0</v>
      </c>
      <c r="Z21" s="14">
        <f>SUMIF('GLOBAL LOG'!$D$6:$D$128,$C21,'GLOBAL LOG'!$R$6:$R$128)</f>
        <v>0</v>
      </c>
      <c r="AA21" s="14">
        <f t="shared" si="1"/>
        <v>0</v>
      </c>
      <c r="AB21" s="14" t="e">
        <f>SUMIF('GLOBAL LOG'!$D$6:$D$128,C21,'GLOBAL LOG'!#REF!)</f>
        <v>#REF!</v>
      </c>
      <c r="AC21" s="6"/>
      <c r="AD21" s="14" t="str">
        <v>Air Europa Lineas Aereas S.A.U.</v>
      </c>
      <c r="AE21" s="14" t="e">
        <v>#REF!</v>
      </c>
      <c r="AF21" s="6"/>
      <c r="AG21" s="14" t="str">
        <v>Aerolineas</v>
      </c>
      <c r="AH21" s="14">
        <v>0</v>
      </c>
      <c r="AI21" s="6"/>
      <c r="AJ21" s="14" t="str">
        <v>Air Caraibes Atlantique</v>
      </c>
      <c r="AK21" s="14">
        <v>0</v>
      </c>
      <c r="AL21" s="6"/>
      <c r="AM21" s="14" t="str">
        <v>Aerolineas</v>
      </c>
      <c r="AN21" s="14">
        <v>0</v>
      </c>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row>
    <row r="22" spans="2:97" s="4" customFormat="1" ht="14.65" hidden="1" customHeight="1">
      <c r="B22" s="6"/>
      <c r="C22" s="13" t="str">
        <v>Air France</v>
      </c>
      <c r="D22" s="14">
        <f>COUNTIFS('GLOBAL LOG'!$D$6:$D$128,C22,'GLOBAL LOG'!$K$6:$K$128,"&lt;&gt;")</f>
        <v>0</v>
      </c>
      <c r="E22" s="14" t="e">
        <f>COUNTIFS('GLOBAL LOG'!$D$6:$D$128,C22,'GLOBAL LOG'!#REF!,"Yes")</f>
        <v>#REF!</v>
      </c>
      <c r="F22" s="14" t="e">
        <f>SUMIF('GLOBAL LOG'!$D$6:$D$128,COUNT!C22,'GLOBAL LOG'!#REF!)</f>
        <v>#REF!</v>
      </c>
      <c r="G22" s="14">
        <f>COUNTIFS('GLOBAL LOG'!$E$6:$E$128,G$10,'GLOBAL LOG'!$D$6:$D$128,$C22)</f>
        <v>0</v>
      </c>
      <c r="H22" s="14">
        <f>COUNTIFS('GLOBAL LOG'!$E$6:$E$128,H$10,'GLOBAL LOG'!$D$6:$D$128,$C22)</f>
        <v>0</v>
      </c>
      <c r="I22" s="14">
        <f>COUNTIFS('GLOBAL LOG'!$E$6:$E$128,I$10,'GLOBAL LOG'!$D$6:$D$128,$C22)</f>
        <v>0</v>
      </c>
      <c r="J22" s="14">
        <f>COUNTIFS('GLOBAL LOG'!$E$6:$E$128,J$10,'GLOBAL LOG'!$D$6:$D$128,$C22)</f>
        <v>0</v>
      </c>
      <c r="K22" s="14">
        <f>COUNTIFS('GLOBAL LOG'!$E$6:$E$128,K$10,'GLOBAL LOG'!$D$6:$D$128,$C22)</f>
        <v>0</v>
      </c>
      <c r="L22" s="14">
        <f>COUNTIFS('GLOBAL LOG'!$E$6:$E$128,L$10,'GLOBAL LOG'!$D$6:$D$128,$C22)</f>
        <v>0</v>
      </c>
      <c r="M22" s="14">
        <f>COUNTIFS('GLOBAL LOG'!$E$6:$E$128,M$10,'GLOBAL LOG'!$D$6:$D$128,$C22)</f>
        <v>0</v>
      </c>
      <c r="N22" s="14" t="e">
        <f>COUNTIFS('GLOBAL LOG'!$D$6:$D$128,$C22,'GLOBAL LOG'!#REF!,"High")</f>
        <v>#REF!</v>
      </c>
      <c r="O22" s="14" t="e">
        <f>COUNTIFS('GLOBAL LOG'!$D$6:$D$128,$C22,'GLOBAL LOG'!#REF!,"Med")</f>
        <v>#REF!</v>
      </c>
      <c r="P22" s="14" t="e">
        <f>COUNTIFS('GLOBAL LOG'!$D$6:$D$128,$C22,'GLOBAL LOG'!#REF!,"Low")</f>
        <v>#REF!</v>
      </c>
      <c r="Q22" s="14" t="e">
        <f>COUNTIFS('GLOBAL LOG'!$D$6:$D$128,$C22,'GLOBAL LOG'!#REF!,"High")</f>
        <v>#REF!</v>
      </c>
      <c r="R22" s="14" t="e">
        <f>COUNTIFS('GLOBAL LOG'!$D$6:$D$128,$C22,'GLOBAL LOG'!#REF!,"Med")</f>
        <v>#REF!</v>
      </c>
      <c r="S22" s="14" t="e">
        <f>COUNTIFS('GLOBAL LOG'!$D$6:$D$128,$C22,'GLOBAL LOG'!#REF!,"Low")</f>
        <v>#REF!</v>
      </c>
      <c r="T22" s="14" t="e">
        <f>COUNTIFS('GLOBAL LOG'!$D$6:$D$128,$C22,'GLOBAL LOG'!#REF!,"Completed")</f>
        <v>#REF!</v>
      </c>
      <c r="U22" s="14" t="e">
        <f>COUNTIFS('GLOBAL LOG'!$D$6:$D$128,$C22,'GLOBAL LOG'!#REF!,"Contracting")</f>
        <v>#REF!</v>
      </c>
      <c r="V22" s="14" t="e">
        <f>COUNTIFS('GLOBAL LOG'!$D$6:$D$128,$C22,'GLOBAL LOG'!#REF!,"Negotiations")</f>
        <v>#REF!</v>
      </c>
      <c r="W22" s="14" t="e">
        <f>COUNTIFS('GLOBAL LOG'!$D$6:$D$128,$C22,'GLOBAL LOG'!#REF!,"ICT")</f>
        <v>#REF!</v>
      </c>
      <c r="X22" s="14" t="e">
        <f>COUNTIFS('GLOBAL LOG'!$D$6:$D$128,$C22,'GLOBAL LOG'!#REF!,"Hopper")</f>
        <v>#REF!</v>
      </c>
      <c r="Y22" s="14">
        <f>SUMIF('GLOBAL LOG'!$D$6:$D$128,$C22,'GLOBAL LOG'!$Q$6:$Q$128)</f>
        <v>0</v>
      </c>
      <c r="Z22" s="14">
        <f>SUMIF('GLOBAL LOG'!$D$6:$D$128,$C22,'GLOBAL LOG'!$R$6:$R$128)</f>
        <v>0</v>
      </c>
      <c r="AA22" s="14">
        <f t="shared" si="1"/>
        <v>0</v>
      </c>
      <c r="AB22" s="14" t="e">
        <f>SUMIF('GLOBAL LOG'!$D$6:$D$128,C22,'GLOBAL LOG'!#REF!)</f>
        <v>#REF!</v>
      </c>
      <c r="AC22" s="6"/>
      <c r="AD22" s="14" t="str">
        <v>Air France</v>
      </c>
      <c r="AE22" s="14" t="e">
        <v>#REF!</v>
      </c>
      <c r="AF22" s="6"/>
      <c r="AG22" s="14" t="str">
        <v>Air Algerie</v>
      </c>
      <c r="AH22" s="14">
        <v>0</v>
      </c>
      <c r="AI22" s="6"/>
      <c r="AJ22" s="14" t="str">
        <v>Air Europa Lineas Aereas S.A.U.</v>
      </c>
      <c r="AK22" s="14">
        <v>0</v>
      </c>
      <c r="AL22" s="6"/>
      <c r="AM22" s="14" t="str">
        <v>Air Algerie</v>
      </c>
      <c r="AN22" s="14">
        <v>0</v>
      </c>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row>
    <row r="23" spans="2:97" s="4" customFormat="1" ht="14.65" hidden="1" customHeight="1">
      <c r="B23" s="6"/>
      <c r="C23" s="13" t="str">
        <v>Air Greenland</v>
      </c>
      <c r="D23" s="14">
        <f>COUNTIFS('GLOBAL LOG'!$D$6:$D$128,C23,'GLOBAL LOG'!$K$6:$K$128,"&lt;&gt;")</f>
        <v>0</v>
      </c>
      <c r="E23" s="14" t="e">
        <f>COUNTIFS('GLOBAL LOG'!$D$6:$D$128,C23,'GLOBAL LOG'!#REF!,"Yes")</f>
        <v>#REF!</v>
      </c>
      <c r="F23" s="14" t="e">
        <f>SUMIF('GLOBAL LOG'!$D$6:$D$128,COUNT!C23,'GLOBAL LOG'!#REF!)</f>
        <v>#REF!</v>
      </c>
      <c r="G23" s="14">
        <f>COUNTIFS('GLOBAL LOG'!$E$6:$E$128,G$10,'GLOBAL LOG'!$D$6:$D$128,$C23)</f>
        <v>0</v>
      </c>
      <c r="H23" s="14">
        <f>COUNTIFS('GLOBAL LOG'!$E$6:$E$128,H$10,'GLOBAL LOG'!$D$6:$D$128,$C23)</f>
        <v>0</v>
      </c>
      <c r="I23" s="14">
        <f>COUNTIFS('GLOBAL LOG'!$E$6:$E$128,I$10,'GLOBAL LOG'!$D$6:$D$128,$C23)</f>
        <v>0</v>
      </c>
      <c r="J23" s="14">
        <f>COUNTIFS('GLOBAL LOG'!$E$6:$E$128,J$10,'GLOBAL LOG'!$D$6:$D$128,$C23)</f>
        <v>0</v>
      </c>
      <c r="K23" s="14">
        <f>COUNTIFS('GLOBAL LOG'!$E$6:$E$128,K$10,'GLOBAL LOG'!$D$6:$D$128,$C23)</f>
        <v>0</v>
      </c>
      <c r="L23" s="14">
        <f>COUNTIFS('GLOBAL LOG'!$E$6:$E$128,L$10,'GLOBAL LOG'!$D$6:$D$128,$C23)</f>
        <v>0</v>
      </c>
      <c r="M23" s="14">
        <f>COUNTIFS('GLOBAL LOG'!$E$6:$E$128,M$10,'GLOBAL LOG'!$D$6:$D$128,$C23)</f>
        <v>0</v>
      </c>
      <c r="N23" s="14" t="e">
        <f>COUNTIFS('GLOBAL LOG'!$D$6:$D$128,$C23,'GLOBAL LOG'!#REF!,"High")</f>
        <v>#REF!</v>
      </c>
      <c r="O23" s="14" t="e">
        <f>COUNTIFS('GLOBAL LOG'!$D$6:$D$128,$C23,'GLOBAL LOG'!#REF!,"Med")</f>
        <v>#REF!</v>
      </c>
      <c r="P23" s="14" t="e">
        <f>COUNTIFS('GLOBAL LOG'!$D$6:$D$128,$C23,'GLOBAL LOG'!#REF!,"Low")</f>
        <v>#REF!</v>
      </c>
      <c r="Q23" s="14" t="e">
        <f>COUNTIFS('GLOBAL LOG'!$D$6:$D$128,$C23,'GLOBAL LOG'!#REF!,"High")</f>
        <v>#REF!</v>
      </c>
      <c r="R23" s="14" t="e">
        <f>COUNTIFS('GLOBAL LOG'!$D$6:$D$128,$C23,'GLOBAL LOG'!#REF!,"Med")</f>
        <v>#REF!</v>
      </c>
      <c r="S23" s="14" t="e">
        <f>COUNTIFS('GLOBAL LOG'!$D$6:$D$128,$C23,'GLOBAL LOG'!#REF!,"Low")</f>
        <v>#REF!</v>
      </c>
      <c r="T23" s="14" t="e">
        <f>COUNTIFS('GLOBAL LOG'!$D$6:$D$128,$C23,'GLOBAL LOG'!#REF!,"Completed")</f>
        <v>#REF!</v>
      </c>
      <c r="U23" s="14" t="e">
        <f>COUNTIFS('GLOBAL LOG'!$D$6:$D$128,$C23,'GLOBAL LOG'!#REF!,"Contracting")</f>
        <v>#REF!</v>
      </c>
      <c r="V23" s="14" t="e">
        <f>COUNTIFS('GLOBAL LOG'!$D$6:$D$128,$C23,'GLOBAL LOG'!#REF!,"Negotiations")</f>
        <v>#REF!</v>
      </c>
      <c r="W23" s="14" t="e">
        <f>COUNTIFS('GLOBAL LOG'!$D$6:$D$128,$C23,'GLOBAL LOG'!#REF!,"ICT")</f>
        <v>#REF!</v>
      </c>
      <c r="X23" s="14" t="e">
        <f>COUNTIFS('GLOBAL LOG'!$D$6:$D$128,$C23,'GLOBAL LOG'!#REF!,"Hopper")</f>
        <v>#REF!</v>
      </c>
      <c r="Y23" s="14">
        <f>SUMIF('GLOBAL LOG'!$D$6:$D$128,$C23,'GLOBAL LOG'!$Q$6:$Q$128)</f>
        <v>0</v>
      </c>
      <c r="Z23" s="14">
        <f>SUMIF('GLOBAL LOG'!$D$6:$D$128,$C23,'GLOBAL LOG'!$R$6:$R$128)</f>
        <v>0</v>
      </c>
      <c r="AA23" s="14">
        <f t="shared" si="1"/>
        <v>0</v>
      </c>
      <c r="AB23" s="14" t="e">
        <f>SUMIF('GLOBAL LOG'!$D$6:$D$128,C23,'GLOBAL LOG'!#REF!)</f>
        <v>#REF!</v>
      </c>
      <c r="AC23" s="6"/>
      <c r="AD23" s="14" t="str">
        <v>Air Greenland</v>
      </c>
      <c r="AE23" s="14" t="e">
        <v>#REF!</v>
      </c>
      <c r="AF23" s="6"/>
      <c r="AG23" s="14" t="str">
        <v>Air Austral</v>
      </c>
      <c r="AH23" s="14">
        <v>0</v>
      </c>
      <c r="AI23" s="6"/>
      <c r="AJ23" s="14" t="str">
        <v>Air France</v>
      </c>
      <c r="AK23" s="14">
        <v>0</v>
      </c>
      <c r="AL23" s="6"/>
      <c r="AM23" s="14" t="str">
        <v>Air Austral</v>
      </c>
      <c r="AN23" s="14">
        <v>0</v>
      </c>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row>
    <row r="24" spans="2:97" s="4" customFormat="1" ht="14.65" hidden="1" customHeight="1">
      <c r="B24" s="6"/>
      <c r="C24" s="13" t="str">
        <v>Air India</v>
      </c>
      <c r="D24" s="14">
        <f>COUNTIFS('GLOBAL LOG'!$D$6:$D$128,C24,'GLOBAL LOG'!$K$6:$K$128,"&lt;&gt;")</f>
        <v>2</v>
      </c>
      <c r="E24" s="14" t="e">
        <f>COUNTIFS('GLOBAL LOG'!$D$6:$D$128,C24,'GLOBAL LOG'!#REF!,"Yes")</f>
        <v>#REF!</v>
      </c>
      <c r="F24" s="14" t="e">
        <f>SUMIF('GLOBAL LOG'!$D$6:$D$128,COUNT!C24,'GLOBAL LOG'!#REF!)</f>
        <v>#REF!</v>
      </c>
      <c r="G24" s="14">
        <f>COUNTIFS('GLOBAL LOG'!$E$6:$E$128,G$10,'GLOBAL LOG'!$D$6:$D$128,$C24)</f>
        <v>2</v>
      </c>
      <c r="H24" s="14">
        <f>COUNTIFS('GLOBAL LOG'!$E$6:$E$128,H$10,'GLOBAL LOG'!$D$6:$D$128,$C24)</f>
        <v>0</v>
      </c>
      <c r="I24" s="14">
        <f>COUNTIFS('GLOBAL LOG'!$E$6:$E$128,I$10,'GLOBAL LOG'!$D$6:$D$128,$C24)</f>
        <v>0</v>
      </c>
      <c r="J24" s="14">
        <f>COUNTIFS('GLOBAL LOG'!$E$6:$E$128,J$10,'GLOBAL LOG'!$D$6:$D$128,$C24)</f>
        <v>0</v>
      </c>
      <c r="K24" s="14">
        <f>COUNTIFS('GLOBAL LOG'!$E$6:$E$128,K$10,'GLOBAL LOG'!$D$6:$D$128,$C24)</f>
        <v>0</v>
      </c>
      <c r="L24" s="14">
        <f>COUNTIFS('GLOBAL LOG'!$E$6:$E$128,L$10,'GLOBAL LOG'!$D$6:$D$128,$C24)</f>
        <v>0</v>
      </c>
      <c r="M24" s="14">
        <f>COUNTIFS('GLOBAL LOG'!$E$6:$E$128,M$10,'GLOBAL LOG'!$D$6:$D$128,$C24)</f>
        <v>0</v>
      </c>
      <c r="N24" s="14" t="e">
        <f>COUNTIFS('GLOBAL LOG'!$D$6:$D$128,$C24,'GLOBAL LOG'!#REF!,"High")</f>
        <v>#REF!</v>
      </c>
      <c r="O24" s="14" t="e">
        <f>COUNTIFS('GLOBAL LOG'!$D$6:$D$128,$C24,'GLOBAL LOG'!#REF!,"Med")</f>
        <v>#REF!</v>
      </c>
      <c r="P24" s="14" t="e">
        <f>COUNTIFS('GLOBAL LOG'!$D$6:$D$128,$C24,'GLOBAL LOG'!#REF!,"Low")</f>
        <v>#REF!</v>
      </c>
      <c r="Q24" s="14" t="e">
        <f>COUNTIFS('GLOBAL LOG'!$D$6:$D$128,$C24,'GLOBAL LOG'!#REF!,"High")</f>
        <v>#REF!</v>
      </c>
      <c r="R24" s="14" t="e">
        <f>COUNTIFS('GLOBAL LOG'!$D$6:$D$128,$C24,'GLOBAL LOG'!#REF!,"Med")</f>
        <v>#REF!</v>
      </c>
      <c r="S24" s="14" t="e">
        <f>COUNTIFS('GLOBAL LOG'!$D$6:$D$128,$C24,'GLOBAL LOG'!#REF!,"Low")</f>
        <v>#REF!</v>
      </c>
      <c r="T24" s="14" t="e">
        <f>COUNTIFS('GLOBAL LOG'!$D$6:$D$128,$C24,'GLOBAL LOG'!#REF!,"Completed")</f>
        <v>#REF!</v>
      </c>
      <c r="U24" s="14" t="e">
        <f>COUNTIFS('GLOBAL LOG'!$D$6:$D$128,$C24,'GLOBAL LOG'!#REF!,"Contracting")</f>
        <v>#REF!</v>
      </c>
      <c r="V24" s="14" t="e">
        <f>COUNTIFS('GLOBAL LOG'!$D$6:$D$128,$C24,'GLOBAL LOG'!#REF!,"Negotiations")</f>
        <v>#REF!</v>
      </c>
      <c r="W24" s="14" t="e">
        <f>COUNTIFS('GLOBAL LOG'!$D$6:$D$128,$C24,'GLOBAL LOG'!#REF!,"ICT")</f>
        <v>#REF!</v>
      </c>
      <c r="X24" s="14" t="e">
        <f>COUNTIFS('GLOBAL LOG'!$D$6:$D$128,$C24,'GLOBAL LOG'!#REF!,"Hopper")</f>
        <v>#REF!</v>
      </c>
      <c r="Y24" s="14">
        <f>SUMIF('GLOBAL LOG'!$D$6:$D$128,$C24,'GLOBAL LOG'!$Q$6:$Q$128)</f>
        <v>0</v>
      </c>
      <c r="Z24" s="14">
        <f>SUMIF('GLOBAL LOG'!$D$6:$D$128,$C24,'GLOBAL LOG'!$R$6:$R$128)</f>
        <v>0</v>
      </c>
      <c r="AA24" s="14">
        <f t="shared" si="1"/>
        <v>0</v>
      </c>
      <c r="AB24" s="14" t="e">
        <f>SUMIF('GLOBAL LOG'!$D$6:$D$128,C24,'GLOBAL LOG'!#REF!)</f>
        <v>#REF!</v>
      </c>
      <c r="AC24" s="6"/>
      <c r="AD24" s="14" t="str">
        <v>Air India</v>
      </c>
      <c r="AE24" s="14" t="e">
        <v>#REF!</v>
      </c>
      <c r="AF24" s="6"/>
      <c r="AG24" s="14" t="str">
        <v>Air Belgium</v>
      </c>
      <c r="AH24" s="14">
        <v>0</v>
      </c>
      <c r="AI24" s="6"/>
      <c r="AJ24" s="14" t="str">
        <v>Air Greenland</v>
      </c>
      <c r="AK24" s="14">
        <v>0</v>
      </c>
      <c r="AL24" s="6"/>
      <c r="AM24" s="14" t="str">
        <v>Air Belgium</v>
      </c>
      <c r="AN24" s="14">
        <v>0</v>
      </c>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row>
    <row r="25" spans="2:97" s="4" customFormat="1" ht="14.65" hidden="1" customHeight="1">
      <c r="B25" s="6"/>
      <c r="C25" s="13" t="str">
        <v>Air Lease Corporation</v>
      </c>
      <c r="D25" s="14">
        <f>COUNTIFS('GLOBAL LOG'!$D$6:$D$128,C25,'GLOBAL LOG'!$K$6:$K$128,"&lt;&gt;")</f>
        <v>0</v>
      </c>
      <c r="E25" s="14" t="e">
        <f>COUNTIFS('GLOBAL LOG'!$D$6:$D$128,C25,'GLOBAL LOG'!#REF!,"Yes")</f>
        <v>#REF!</v>
      </c>
      <c r="F25" s="14" t="e">
        <f>SUMIF('GLOBAL LOG'!$D$6:$D$128,COUNT!C25,'GLOBAL LOG'!#REF!)</f>
        <v>#REF!</v>
      </c>
      <c r="G25" s="14">
        <f>COUNTIFS('GLOBAL LOG'!$E$6:$E$128,G$10,'GLOBAL LOG'!$D$6:$D$128,$C25)</f>
        <v>0</v>
      </c>
      <c r="H25" s="14">
        <f>COUNTIFS('GLOBAL LOG'!$E$6:$E$128,H$10,'GLOBAL LOG'!$D$6:$D$128,$C25)</f>
        <v>0</v>
      </c>
      <c r="I25" s="14">
        <f>COUNTIFS('GLOBAL LOG'!$E$6:$E$128,I$10,'GLOBAL LOG'!$D$6:$D$128,$C25)</f>
        <v>0</v>
      </c>
      <c r="J25" s="14">
        <f>COUNTIFS('GLOBAL LOG'!$E$6:$E$128,J$10,'GLOBAL LOG'!$D$6:$D$128,$C25)</f>
        <v>0</v>
      </c>
      <c r="K25" s="14">
        <f>COUNTIFS('GLOBAL LOG'!$E$6:$E$128,K$10,'GLOBAL LOG'!$D$6:$D$128,$C25)</f>
        <v>0</v>
      </c>
      <c r="L25" s="14">
        <f>COUNTIFS('GLOBAL LOG'!$E$6:$E$128,L$10,'GLOBAL LOG'!$D$6:$D$128,$C25)</f>
        <v>0</v>
      </c>
      <c r="M25" s="14">
        <f>COUNTIFS('GLOBAL LOG'!$E$6:$E$128,M$10,'GLOBAL LOG'!$D$6:$D$128,$C25)</f>
        <v>0</v>
      </c>
      <c r="N25" s="14" t="e">
        <f>COUNTIFS('GLOBAL LOG'!$D$6:$D$128,$C25,'GLOBAL LOG'!#REF!,"High")</f>
        <v>#REF!</v>
      </c>
      <c r="O25" s="14" t="e">
        <f>COUNTIFS('GLOBAL LOG'!$D$6:$D$128,$C25,'GLOBAL LOG'!#REF!,"Med")</f>
        <v>#REF!</v>
      </c>
      <c r="P25" s="14" t="e">
        <f>COUNTIFS('GLOBAL LOG'!$D$6:$D$128,$C25,'GLOBAL LOG'!#REF!,"Low")</f>
        <v>#REF!</v>
      </c>
      <c r="Q25" s="14" t="e">
        <f>COUNTIFS('GLOBAL LOG'!$D$6:$D$128,$C25,'GLOBAL LOG'!#REF!,"High")</f>
        <v>#REF!</v>
      </c>
      <c r="R25" s="14" t="e">
        <f>COUNTIFS('GLOBAL LOG'!$D$6:$D$128,$C25,'GLOBAL LOG'!#REF!,"Med")</f>
        <v>#REF!</v>
      </c>
      <c r="S25" s="14" t="e">
        <f>COUNTIFS('GLOBAL LOG'!$D$6:$D$128,$C25,'GLOBAL LOG'!#REF!,"Low")</f>
        <v>#REF!</v>
      </c>
      <c r="T25" s="14" t="e">
        <f>COUNTIFS('GLOBAL LOG'!$D$6:$D$128,$C25,'GLOBAL LOG'!#REF!,"Completed")</f>
        <v>#REF!</v>
      </c>
      <c r="U25" s="14" t="e">
        <f>COUNTIFS('GLOBAL LOG'!$D$6:$D$128,$C25,'GLOBAL LOG'!#REF!,"Contracting")</f>
        <v>#REF!</v>
      </c>
      <c r="V25" s="14" t="e">
        <f>COUNTIFS('GLOBAL LOG'!$D$6:$D$128,$C25,'GLOBAL LOG'!#REF!,"Negotiations")</f>
        <v>#REF!</v>
      </c>
      <c r="W25" s="14" t="e">
        <f>COUNTIFS('GLOBAL LOG'!$D$6:$D$128,$C25,'GLOBAL LOG'!#REF!,"ICT")</f>
        <v>#REF!</v>
      </c>
      <c r="X25" s="14" t="e">
        <f>COUNTIFS('GLOBAL LOG'!$D$6:$D$128,$C25,'GLOBAL LOG'!#REF!,"Hopper")</f>
        <v>#REF!</v>
      </c>
      <c r="Y25" s="14">
        <f>SUMIF('GLOBAL LOG'!$D$6:$D$128,$C25,'GLOBAL LOG'!$Q$6:$Q$128)</f>
        <v>0</v>
      </c>
      <c r="Z25" s="14">
        <f>SUMIF('GLOBAL LOG'!$D$6:$D$128,$C25,'GLOBAL LOG'!$R$6:$R$128)</f>
        <v>0</v>
      </c>
      <c r="AA25" s="14">
        <f t="shared" si="1"/>
        <v>0</v>
      </c>
      <c r="AB25" s="14" t="e">
        <f>SUMIF('GLOBAL LOG'!$D$6:$D$128,C25,'GLOBAL LOG'!#REF!)</f>
        <v>#REF!</v>
      </c>
      <c r="AC25" s="6"/>
      <c r="AD25" s="14" t="str">
        <v>Air Lease Corporation</v>
      </c>
      <c r="AE25" s="14" t="e">
        <v>#REF!</v>
      </c>
      <c r="AF25" s="6"/>
      <c r="AG25" s="14" t="str">
        <v>Air Canada</v>
      </c>
      <c r="AH25" s="14">
        <v>0</v>
      </c>
      <c r="AI25" s="6"/>
      <c r="AJ25" s="14" t="str">
        <v>Air India</v>
      </c>
      <c r="AK25" s="14">
        <v>0</v>
      </c>
      <c r="AL25" s="6"/>
      <c r="AM25" s="14" t="str">
        <v>Air Canada</v>
      </c>
      <c r="AN25" s="14">
        <v>0</v>
      </c>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row>
    <row r="26" spans="2:97" s="4" customFormat="1" ht="14.65" hidden="1" customHeight="1">
      <c r="B26" s="6"/>
      <c r="C26" s="13" t="str">
        <v>Air Mauritius</v>
      </c>
      <c r="D26" s="14">
        <f>COUNTIFS('GLOBAL LOG'!$D$6:$D$128,C26,'GLOBAL LOG'!$K$6:$K$128,"&lt;&gt;")</f>
        <v>1</v>
      </c>
      <c r="E26" s="14" t="e">
        <f>COUNTIFS('GLOBAL LOG'!$D$6:$D$128,C26,'GLOBAL LOG'!#REF!,"Yes")</f>
        <v>#REF!</v>
      </c>
      <c r="F26" s="14" t="e">
        <f>SUMIF('GLOBAL LOG'!$D$6:$D$128,COUNT!C26,'GLOBAL LOG'!#REF!)</f>
        <v>#REF!</v>
      </c>
      <c r="G26" s="14">
        <f>COUNTIFS('GLOBAL LOG'!$E$6:$E$128,G$10,'GLOBAL LOG'!$D$6:$D$128,$C26)</f>
        <v>1</v>
      </c>
      <c r="H26" s="14">
        <f>COUNTIFS('GLOBAL LOG'!$E$6:$E$128,H$10,'GLOBAL LOG'!$D$6:$D$128,$C26)</f>
        <v>0</v>
      </c>
      <c r="I26" s="14">
        <f>COUNTIFS('GLOBAL LOG'!$E$6:$E$128,I$10,'GLOBAL LOG'!$D$6:$D$128,$C26)</f>
        <v>0</v>
      </c>
      <c r="J26" s="14">
        <f>COUNTIFS('GLOBAL LOG'!$E$6:$E$128,J$10,'GLOBAL LOG'!$D$6:$D$128,$C26)</f>
        <v>0</v>
      </c>
      <c r="K26" s="14">
        <f>COUNTIFS('GLOBAL LOG'!$E$6:$E$128,K$10,'GLOBAL LOG'!$D$6:$D$128,$C26)</f>
        <v>0</v>
      </c>
      <c r="L26" s="14">
        <f>COUNTIFS('GLOBAL LOG'!$E$6:$E$128,L$10,'GLOBAL LOG'!$D$6:$D$128,$C26)</f>
        <v>0</v>
      </c>
      <c r="M26" s="14">
        <f>COUNTIFS('GLOBAL LOG'!$E$6:$E$128,M$10,'GLOBAL LOG'!$D$6:$D$128,$C26)</f>
        <v>0</v>
      </c>
      <c r="N26" s="14" t="e">
        <f>COUNTIFS('GLOBAL LOG'!$D$6:$D$128,$C26,'GLOBAL LOG'!#REF!,"High")</f>
        <v>#REF!</v>
      </c>
      <c r="O26" s="14" t="e">
        <f>COUNTIFS('GLOBAL LOG'!$D$6:$D$128,$C26,'GLOBAL LOG'!#REF!,"Med")</f>
        <v>#REF!</v>
      </c>
      <c r="P26" s="14" t="e">
        <f>COUNTIFS('GLOBAL LOG'!$D$6:$D$128,$C26,'GLOBAL LOG'!#REF!,"Low")</f>
        <v>#REF!</v>
      </c>
      <c r="Q26" s="14" t="e">
        <f>COUNTIFS('GLOBAL LOG'!$D$6:$D$128,$C26,'GLOBAL LOG'!#REF!,"High")</f>
        <v>#REF!</v>
      </c>
      <c r="R26" s="14" t="e">
        <f>COUNTIFS('GLOBAL LOG'!$D$6:$D$128,$C26,'GLOBAL LOG'!#REF!,"Med")</f>
        <v>#REF!</v>
      </c>
      <c r="S26" s="14" t="e">
        <f>COUNTIFS('GLOBAL LOG'!$D$6:$D$128,$C26,'GLOBAL LOG'!#REF!,"Low")</f>
        <v>#REF!</v>
      </c>
      <c r="T26" s="14" t="e">
        <f>COUNTIFS('GLOBAL LOG'!$D$6:$D$128,$C26,'GLOBAL LOG'!#REF!,"Completed")</f>
        <v>#REF!</v>
      </c>
      <c r="U26" s="14" t="e">
        <f>COUNTIFS('GLOBAL LOG'!$D$6:$D$128,$C26,'GLOBAL LOG'!#REF!,"Contracting")</f>
        <v>#REF!</v>
      </c>
      <c r="V26" s="14" t="e">
        <f>COUNTIFS('GLOBAL LOG'!$D$6:$D$128,$C26,'GLOBAL LOG'!#REF!,"Negotiations")</f>
        <v>#REF!</v>
      </c>
      <c r="W26" s="14" t="e">
        <f>COUNTIFS('GLOBAL LOG'!$D$6:$D$128,$C26,'GLOBAL LOG'!#REF!,"ICT")</f>
        <v>#REF!</v>
      </c>
      <c r="X26" s="14" t="e">
        <f>COUNTIFS('GLOBAL LOG'!$D$6:$D$128,$C26,'GLOBAL LOG'!#REF!,"Hopper")</f>
        <v>#REF!</v>
      </c>
      <c r="Y26" s="14">
        <f>SUMIF('GLOBAL LOG'!$D$6:$D$128,$C26,'GLOBAL LOG'!$Q$6:$Q$128)</f>
        <v>0</v>
      </c>
      <c r="Z26" s="14">
        <f>SUMIF('GLOBAL LOG'!$D$6:$D$128,$C26,'GLOBAL LOG'!$R$6:$R$128)</f>
        <v>0</v>
      </c>
      <c r="AA26" s="14">
        <f t="shared" si="1"/>
        <v>0</v>
      </c>
      <c r="AB26" s="14" t="e">
        <f>SUMIF('GLOBAL LOG'!$D$6:$D$128,C26,'GLOBAL LOG'!#REF!)</f>
        <v>#REF!</v>
      </c>
      <c r="AC26" s="6"/>
      <c r="AD26" s="14" t="str">
        <v>Air Mauritius</v>
      </c>
      <c r="AE26" s="14" t="e">
        <v>#REF!</v>
      </c>
      <c r="AF26" s="6"/>
      <c r="AG26" s="14" t="str">
        <v>Air Caraibes Atlantique</v>
      </c>
      <c r="AH26" s="14">
        <v>0</v>
      </c>
      <c r="AI26" s="6"/>
      <c r="AJ26" s="14" t="str">
        <v>Air Lease Corporation</v>
      </c>
      <c r="AK26" s="14">
        <v>0</v>
      </c>
      <c r="AL26" s="6"/>
      <c r="AM26" s="14" t="str">
        <v>Air Caraibes Atlantique</v>
      </c>
      <c r="AN26" s="14">
        <v>0</v>
      </c>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row>
    <row r="27" spans="2:97" s="4" customFormat="1" ht="14.65" hidden="1" customHeight="1">
      <c r="B27" s="6"/>
      <c r="C27" s="13" t="str">
        <v>Air Namibia</v>
      </c>
      <c r="D27" s="14">
        <f>COUNTIFS('GLOBAL LOG'!$D$6:$D$128,C27,'GLOBAL LOG'!$K$6:$K$128,"&lt;&gt;")</f>
        <v>0</v>
      </c>
      <c r="E27" s="14" t="e">
        <f>COUNTIFS('GLOBAL LOG'!$D$6:$D$128,C27,'GLOBAL LOG'!#REF!,"Yes")</f>
        <v>#REF!</v>
      </c>
      <c r="F27" s="14" t="e">
        <f>SUMIF('GLOBAL LOG'!$D$6:$D$128,COUNT!C27,'GLOBAL LOG'!#REF!)</f>
        <v>#REF!</v>
      </c>
      <c r="G27" s="14">
        <f>COUNTIFS('GLOBAL LOG'!$E$6:$E$128,G$10,'GLOBAL LOG'!$D$6:$D$128,$C27)</f>
        <v>0</v>
      </c>
      <c r="H27" s="14">
        <f>COUNTIFS('GLOBAL LOG'!$E$6:$E$128,H$10,'GLOBAL LOG'!$D$6:$D$128,$C27)</f>
        <v>0</v>
      </c>
      <c r="I27" s="14">
        <f>COUNTIFS('GLOBAL LOG'!$E$6:$E$128,I$10,'GLOBAL LOG'!$D$6:$D$128,$C27)</f>
        <v>0</v>
      </c>
      <c r="J27" s="14">
        <f>COUNTIFS('GLOBAL LOG'!$E$6:$E$128,J$10,'GLOBAL LOG'!$D$6:$D$128,$C27)</f>
        <v>0</v>
      </c>
      <c r="K27" s="14">
        <f>COUNTIFS('GLOBAL LOG'!$E$6:$E$128,K$10,'GLOBAL LOG'!$D$6:$D$128,$C27)</f>
        <v>0</v>
      </c>
      <c r="L27" s="14">
        <f>COUNTIFS('GLOBAL LOG'!$E$6:$E$128,L$10,'GLOBAL LOG'!$D$6:$D$128,$C27)</f>
        <v>0</v>
      </c>
      <c r="M27" s="14">
        <f>COUNTIFS('GLOBAL LOG'!$E$6:$E$128,M$10,'GLOBAL LOG'!$D$6:$D$128,$C27)</f>
        <v>0</v>
      </c>
      <c r="N27" s="14" t="e">
        <f>COUNTIFS('GLOBAL LOG'!$D$6:$D$128,$C27,'GLOBAL LOG'!#REF!,"High")</f>
        <v>#REF!</v>
      </c>
      <c r="O27" s="14" t="e">
        <f>COUNTIFS('GLOBAL LOG'!$D$6:$D$128,$C27,'GLOBAL LOG'!#REF!,"Med")</f>
        <v>#REF!</v>
      </c>
      <c r="P27" s="14" t="e">
        <f>COUNTIFS('GLOBAL LOG'!$D$6:$D$128,$C27,'GLOBAL LOG'!#REF!,"Low")</f>
        <v>#REF!</v>
      </c>
      <c r="Q27" s="14" t="e">
        <f>COUNTIFS('GLOBAL LOG'!$D$6:$D$128,$C27,'GLOBAL LOG'!#REF!,"High")</f>
        <v>#REF!</v>
      </c>
      <c r="R27" s="14" t="e">
        <f>COUNTIFS('GLOBAL LOG'!$D$6:$D$128,$C27,'GLOBAL LOG'!#REF!,"Med")</f>
        <v>#REF!</v>
      </c>
      <c r="S27" s="14" t="e">
        <f>COUNTIFS('GLOBAL LOG'!$D$6:$D$128,$C27,'GLOBAL LOG'!#REF!,"Low")</f>
        <v>#REF!</v>
      </c>
      <c r="T27" s="14" t="e">
        <f>COUNTIFS('GLOBAL LOG'!$D$6:$D$128,$C27,'GLOBAL LOG'!#REF!,"Completed")</f>
        <v>#REF!</v>
      </c>
      <c r="U27" s="14" t="e">
        <f>COUNTIFS('GLOBAL LOG'!$D$6:$D$128,$C27,'GLOBAL LOG'!#REF!,"Contracting")</f>
        <v>#REF!</v>
      </c>
      <c r="V27" s="14" t="e">
        <f>COUNTIFS('GLOBAL LOG'!$D$6:$D$128,$C27,'GLOBAL LOG'!#REF!,"Negotiations")</f>
        <v>#REF!</v>
      </c>
      <c r="W27" s="14" t="e">
        <f>COUNTIFS('GLOBAL LOG'!$D$6:$D$128,$C27,'GLOBAL LOG'!#REF!,"ICT")</f>
        <v>#REF!</v>
      </c>
      <c r="X27" s="14" t="e">
        <f>COUNTIFS('GLOBAL LOG'!$D$6:$D$128,$C27,'GLOBAL LOG'!#REF!,"Hopper")</f>
        <v>#REF!</v>
      </c>
      <c r="Y27" s="14">
        <f>SUMIF('GLOBAL LOG'!$D$6:$D$128,$C27,'GLOBAL LOG'!$Q$6:$Q$128)</f>
        <v>0</v>
      </c>
      <c r="Z27" s="14">
        <f>SUMIF('GLOBAL LOG'!$D$6:$D$128,$C27,'GLOBAL LOG'!$R$6:$R$128)</f>
        <v>0</v>
      </c>
      <c r="AA27" s="14">
        <f t="shared" si="1"/>
        <v>0</v>
      </c>
      <c r="AB27" s="14" t="e">
        <f>SUMIF('GLOBAL LOG'!$D$6:$D$128,C27,'GLOBAL LOG'!#REF!)</f>
        <v>#REF!</v>
      </c>
      <c r="AC27" s="6"/>
      <c r="AD27" s="14" t="str">
        <v>Air Namibia</v>
      </c>
      <c r="AE27" s="14" t="e">
        <v>#REF!</v>
      </c>
      <c r="AF27" s="6"/>
      <c r="AG27" s="14" t="str">
        <v>Air Europa Lineas Aereas S.A.U.</v>
      </c>
      <c r="AH27" s="14">
        <v>0</v>
      </c>
      <c r="AI27" s="6"/>
      <c r="AJ27" s="14" t="str">
        <v>Air Mauritius</v>
      </c>
      <c r="AK27" s="14">
        <v>0</v>
      </c>
      <c r="AL27" s="6"/>
      <c r="AM27" s="14" t="str">
        <v>Air Europa Lineas Aereas S.A.U.</v>
      </c>
      <c r="AN27" s="14">
        <v>0</v>
      </c>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row>
    <row r="28" spans="2:97" s="4" customFormat="1" ht="14.65" hidden="1" customHeight="1">
      <c r="B28" s="6"/>
      <c r="C28" s="13" t="str">
        <v>Air New Zealand Limited</v>
      </c>
      <c r="D28" s="14">
        <f>COUNTIFS('GLOBAL LOG'!$D$6:$D$128,C28,'GLOBAL LOG'!$K$6:$K$128,"&lt;&gt;")</f>
        <v>0</v>
      </c>
      <c r="E28" s="14" t="e">
        <f>COUNTIFS('GLOBAL LOG'!$D$6:$D$128,C28,'GLOBAL LOG'!#REF!,"Yes")</f>
        <v>#REF!</v>
      </c>
      <c r="F28" s="14" t="e">
        <f>SUMIF('GLOBAL LOG'!$D$6:$D$128,COUNT!C28,'GLOBAL LOG'!#REF!)</f>
        <v>#REF!</v>
      </c>
      <c r="G28" s="14">
        <f>COUNTIFS('GLOBAL LOG'!$E$6:$E$128,G$10,'GLOBAL LOG'!$D$6:$D$128,$C28)</f>
        <v>0</v>
      </c>
      <c r="H28" s="14">
        <f>COUNTIFS('GLOBAL LOG'!$E$6:$E$128,H$10,'GLOBAL LOG'!$D$6:$D$128,$C28)</f>
        <v>0</v>
      </c>
      <c r="I28" s="14">
        <f>COUNTIFS('GLOBAL LOG'!$E$6:$E$128,I$10,'GLOBAL LOG'!$D$6:$D$128,$C28)</f>
        <v>0</v>
      </c>
      <c r="J28" s="14">
        <f>COUNTIFS('GLOBAL LOG'!$E$6:$E$128,J$10,'GLOBAL LOG'!$D$6:$D$128,$C28)</f>
        <v>0</v>
      </c>
      <c r="K28" s="14">
        <f>COUNTIFS('GLOBAL LOG'!$E$6:$E$128,K$10,'GLOBAL LOG'!$D$6:$D$128,$C28)</f>
        <v>0</v>
      </c>
      <c r="L28" s="14">
        <f>COUNTIFS('GLOBAL LOG'!$E$6:$E$128,L$10,'GLOBAL LOG'!$D$6:$D$128,$C28)</f>
        <v>0</v>
      </c>
      <c r="M28" s="14">
        <f>COUNTIFS('GLOBAL LOG'!$E$6:$E$128,M$10,'GLOBAL LOG'!$D$6:$D$128,$C28)</f>
        <v>0</v>
      </c>
      <c r="N28" s="14" t="e">
        <f>COUNTIFS('GLOBAL LOG'!$D$6:$D$128,$C28,'GLOBAL LOG'!#REF!,"High")</f>
        <v>#REF!</v>
      </c>
      <c r="O28" s="14" t="e">
        <f>COUNTIFS('GLOBAL LOG'!$D$6:$D$128,$C28,'GLOBAL LOG'!#REF!,"Med")</f>
        <v>#REF!</v>
      </c>
      <c r="P28" s="14" t="e">
        <f>COUNTIFS('GLOBAL LOG'!$D$6:$D$128,$C28,'GLOBAL LOG'!#REF!,"Low")</f>
        <v>#REF!</v>
      </c>
      <c r="Q28" s="14" t="e">
        <f>COUNTIFS('GLOBAL LOG'!$D$6:$D$128,$C28,'GLOBAL LOG'!#REF!,"High")</f>
        <v>#REF!</v>
      </c>
      <c r="R28" s="14" t="e">
        <f>COUNTIFS('GLOBAL LOG'!$D$6:$D$128,$C28,'GLOBAL LOG'!#REF!,"Med")</f>
        <v>#REF!</v>
      </c>
      <c r="S28" s="14" t="e">
        <f>COUNTIFS('GLOBAL LOG'!$D$6:$D$128,$C28,'GLOBAL LOG'!#REF!,"Low")</f>
        <v>#REF!</v>
      </c>
      <c r="T28" s="14" t="e">
        <f>COUNTIFS('GLOBAL LOG'!$D$6:$D$128,$C28,'GLOBAL LOG'!#REF!,"Completed")</f>
        <v>#REF!</v>
      </c>
      <c r="U28" s="14" t="e">
        <f>COUNTIFS('GLOBAL LOG'!$D$6:$D$128,$C28,'GLOBAL LOG'!#REF!,"Contracting")</f>
        <v>#REF!</v>
      </c>
      <c r="V28" s="14" t="e">
        <f>COUNTIFS('GLOBAL LOG'!$D$6:$D$128,$C28,'GLOBAL LOG'!#REF!,"Negotiations")</f>
        <v>#REF!</v>
      </c>
      <c r="W28" s="14" t="e">
        <f>COUNTIFS('GLOBAL LOG'!$D$6:$D$128,$C28,'GLOBAL LOG'!#REF!,"ICT")</f>
        <v>#REF!</v>
      </c>
      <c r="X28" s="14" t="e">
        <f>COUNTIFS('GLOBAL LOG'!$D$6:$D$128,$C28,'GLOBAL LOG'!#REF!,"Hopper")</f>
        <v>#REF!</v>
      </c>
      <c r="Y28" s="14">
        <f>SUMIF('GLOBAL LOG'!$D$6:$D$128,$C28,'GLOBAL LOG'!$Q$6:$Q$128)</f>
        <v>0</v>
      </c>
      <c r="Z28" s="14">
        <f>SUMIF('GLOBAL LOG'!$D$6:$D$128,$C28,'GLOBAL LOG'!$R$6:$R$128)</f>
        <v>0</v>
      </c>
      <c r="AA28" s="14">
        <f t="shared" si="1"/>
        <v>0</v>
      </c>
      <c r="AB28" s="14" t="e">
        <f>SUMIF('GLOBAL LOG'!$D$6:$D$128,C28,'GLOBAL LOG'!#REF!)</f>
        <v>#REF!</v>
      </c>
      <c r="AC28" s="6"/>
      <c r="AD28" s="14" t="str">
        <v>Air New Zealand Limited</v>
      </c>
      <c r="AE28" s="14" t="e">
        <v>#REF!</v>
      </c>
      <c r="AF28" s="6"/>
      <c r="AG28" s="14" t="str">
        <v>Air France</v>
      </c>
      <c r="AH28" s="14">
        <v>0</v>
      </c>
      <c r="AI28" s="6"/>
      <c r="AJ28" s="14" t="str">
        <v>Air Namibia</v>
      </c>
      <c r="AK28" s="14">
        <v>0</v>
      </c>
      <c r="AL28" s="6"/>
      <c r="AM28" s="14" t="str">
        <v>Air France</v>
      </c>
      <c r="AN28" s="14">
        <v>0</v>
      </c>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row>
    <row r="29" spans="2:97" s="4" customFormat="1" ht="14.65" hidden="1" customHeight="1">
      <c r="B29" s="6"/>
      <c r="C29" s="13" t="str">
        <v>Air Premia Inc.</v>
      </c>
      <c r="D29" s="14">
        <f>COUNTIFS('GLOBAL LOG'!$D$6:$D$128,C29,'GLOBAL LOG'!$K$6:$K$128,"&lt;&gt;")</f>
        <v>0</v>
      </c>
      <c r="E29" s="14" t="e">
        <f>COUNTIFS('GLOBAL LOG'!$D$6:$D$128,C29,'GLOBAL LOG'!#REF!,"Yes")</f>
        <v>#REF!</v>
      </c>
      <c r="F29" s="14" t="e">
        <f>SUMIF('GLOBAL LOG'!$D$6:$D$128,COUNT!C29,'GLOBAL LOG'!#REF!)</f>
        <v>#REF!</v>
      </c>
      <c r="G29" s="14">
        <f>COUNTIFS('GLOBAL LOG'!$E$6:$E$128,G$10,'GLOBAL LOG'!$D$6:$D$128,$C29)</f>
        <v>0</v>
      </c>
      <c r="H29" s="14">
        <f>COUNTIFS('GLOBAL LOG'!$E$6:$E$128,H$10,'GLOBAL LOG'!$D$6:$D$128,$C29)</f>
        <v>0</v>
      </c>
      <c r="I29" s="14">
        <f>COUNTIFS('GLOBAL LOG'!$E$6:$E$128,I$10,'GLOBAL LOG'!$D$6:$D$128,$C29)</f>
        <v>0</v>
      </c>
      <c r="J29" s="14">
        <f>COUNTIFS('GLOBAL LOG'!$E$6:$E$128,J$10,'GLOBAL LOG'!$D$6:$D$128,$C29)</f>
        <v>0</v>
      </c>
      <c r="K29" s="14">
        <f>COUNTIFS('GLOBAL LOG'!$E$6:$E$128,K$10,'GLOBAL LOG'!$D$6:$D$128,$C29)</f>
        <v>0</v>
      </c>
      <c r="L29" s="14">
        <f>COUNTIFS('GLOBAL LOG'!$E$6:$E$128,L$10,'GLOBAL LOG'!$D$6:$D$128,$C29)</f>
        <v>0</v>
      </c>
      <c r="M29" s="14">
        <f>COUNTIFS('GLOBAL LOG'!$E$6:$E$128,M$10,'GLOBAL LOG'!$D$6:$D$128,$C29)</f>
        <v>0</v>
      </c>
      <c r="N29" s="14" t="e">
        <f>COUNTIFS('GLOBAL LOG'!$D$6:$D$128,$C29,'GLOBAL LOG'!#REF!,"High")</f>
        <v>#REF!</v>
      </c>
      <c r="O29" s="14" t="e">
        <f>COUNTIFS('GLOBAL LOG'!$D$6:$D$128,$C29,'GLOBAL LOG'!#REF!,"Med")</f>
        <v>#REF!</v>
      </c>
      <c r="P29" s="14" t="e">
        <f>COUNTIFS('GLOBAL LOG'!$D$6:$D$128,$C29,'GLOBAL LOG'!#REF!,"Low")</f>
        <v>#REF!</v>
      </c>
      <c r="Q29" s="14" t="e">
        <f>COUNTIFS('GLOBAL LOG'!$D$6:$D$128,$C29,'GLOBAL LOG'!#REF!,"High")</f>
        <v>#REF!</v>
      </c>
      <c r="R29" s="14" t="e">
        <f>COUNTIFS('GLOBAL LOG'!$D$6:$D$128,$C29,'GLOBAL LOG'!#REF!,"Med")</f>
        <v>#REF!</v>
      </c>
      <c r="S29" s="14" t="e">
        <f>COUNTIFS('GLOBAL LOG'!$D$6:$D$128,$C29,'GLOBAL LOG'!#REF!,"Low")</f>
        <v>#REF!</v>
      </c>
      <c r="T29" s="14" t="e">
        <f>COUNTIFS('GLOBAL LOG'!$D$6:$D$128,$C29,'GLOBAL LOG'!#REF!,"Completed")</f>
        <v>#REF!</v>
      </c>
      <c r="U29" s="14" t="e">
        <f>COUNTIFS('GLOBAL LOG'!$D$6:$D$128,$C29,'GLOBAL LOG'!#REF!,"Contracting")</f>
        <v>#REF!</v>
      </c>
      <c r="V29" s="14" t="e">
        <f>COUNTIFS('GLOBAL LOG'!$D$6:$D$128,$C29,'GLOBAL LOG'!#REF!,"Negotiations")</f>
        <v>#REF!</v>
      </c>
      <c r="W29" s="14" t="e">
        <f>COUNTIFS('GLOBAL LOG'!$D$6:$D$128,$C29,'GLOBAL LOG'!#REF!,"ICT")</f>
        <v>#REF!</v>
      </c>
      <c r="X29" s="14" t="e">
        <f>COUNTIFS('GLOBAL LOG'!$D$6:$D$128,$C29,'GLOBAL LOG'!#REF!,"Hopper")</f>
        <v>#REF!</v>
      </c>
      <c r="Y29" s="14">
        <f>SUMIF('GLOBAL LOG'!$D$6:$D$128,$C29,'GLOBAL LOG'!$Q$6:$Q$128)</f>
        <v>0</v>
      </c>
      <c r="Z29" s="14">
        <f>SUMIF('GLOBAL LOG'!$D$6:$D$128,$C29,'GLOBAL LOG'!$R$6:$R$128)</f>
        <v>0</v>
      </c>
      <c r="AA29" s="14">
        <f t="shared" si="1"/>
        <v>0</v>
      </c>
      <c r="AB29" s="14" t="e">
        <f>SUMIF('GLOBAL LOG'!$D$6:$D$128,C29,'GLOBAL LOG'!#REF!)</f>
        <v>#REF!</v>
      </c>
      <c r="AC29" s="6"/>
      <c r="AD29" s="14" t="str">
        <v>Air Premia Inc.</v>
      </c>
      <c r="AE29" s="14" t="e">
        <v>#REF!</v>
      </c>
      <c r="AF29" s="6"/>
      <c r="AG29" s="14" t="str">
        <v>Air Greenland</v>
      </c>
      <c r="AH29" s="14">
        <v>0</v>
      </c>
      <c r="AI29" s="6"/>
      <c r="AJ29" s="14" t="str">
        <v>Air New Zealand Limited</v>
      </c>
      <c r="AK29" s="14">
        <v>0</v>
      </c>
      <c r="AL29" s="6"/>
      <c r="AM29" s="14" t="str">
        <v>Air Greenland</v>
      </c>
      <c r="AN29" s="14">
        <v>0</v>
      </c>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row>
    <row r="30" spans="2:97" s="4" customFormat="1" ht="14.65" hidden="1" customHeight="1">
      <c r="B30" s="6"/>
      <c r="C30" s="13" t="str">
        <v>Air Senegal</v>
      </c>
      <c r="D30" s="14">
        <f>COUNTIFS('GLOBAL LOG'!$D$6:$D$128,C30,'GLOBAL LOG'!$K$6:$K$128,"&lt;&gt;")</f>
        <v>0</v>
      </c>
      <c r="E30" s="14" t="e">
        <f>COUNTIFS('GLOBAL LOG'!$D$6:$D$128,C30,'GLOBAL LOG'!#REF!,"Yes")</f>
        <v>#REF!</v>
      </c>
      <c r="F30" s="14" t="e">
        <f>SUMIF('GLOBAL LOG'!$D$6:$D$128,COUNT!C30,'GLOBAL LOG'!#REF!)</f>
        <v>#REF!</v>
      </c>
      <c r="G30" s="14">
        <f>COUNTIFS('GLOBAL LOG'!$E$6:$E$128,G$10,'GLOBAL LOG'!$D$6:$D$128,$C30)</f>
        <v>0</v>
      </c>
      <c r="H30" s="14">
        <f>COUNTIFS('GLOBAL LOG'!$E$6:$E$128,H$10,'GLOBAL LOG'!$D$6:$D$128,$C30)</f>
        <v>0</v>
      </c>
      <c r="I30" s="14">
        <f>COUNTIFS('GLOBAL LOG'!$E$6:$E$128,I$10,'GLOBAL LOG'!$D$6:$D$128,$C30)</f>
        <v>0</v>
      </c>
      <c r="J30" s="14">
        <f>COUNTIFS('GLOBAL LOG'!$E$6:$E$128,J$10,'GLOBAL LOG'!$D$6:$D$128,$C30)</f>
        <v>0</v>
      </c>
      <c r="K30" s="14">
        <f>COUNTIFS('GLOBAL LOG'!$E$6:$E$128,K$10,'GLOBAL LOG'!$D$6:$D$128,$C30)</f>
        <v>0</v>
      </c>
      <c r="L30" s="14">
        <f>COUNTIFS('GLOBAL LOG'!$E$6:$E$128,L$10,'GLOBAL LOG'!$D$6:$D$128,$C30)</f>
        <v>0</v>
      </c>
      <c r="M30" s="14">
        <f>COUNTIFS('GLOBAL LOG'!$E$6:$E$128,M$10,'GLOBAL LOG'!$D$6:$D$128,$C30)</f>
        <v>0</v>
      </c>
      <c r="N30" s="14" t="e">
        <f>COUNTIFS('GLOBAL LOG'!$D$6:$D$128,$C30,'GLOBAL LOG'!#REF!,"High")</f>
        <v>#REF!</v>
      </c>
      <c r="O30" s="14" t="e">
        <f>COUNTIFS('GLOBAL LOG'!$D$6:$D$128,$C30,'GLOBAL LOG'!#REF!,"Med")</f>
        <v>#REF!</v>
      </c>
      <c r="P30" s="14" t="e">
        <f>COUNTIFS('GLOBAL LOG'!$D$6:$D$128,$C30,'GLOBAL LOG'!#REF!,"Low")</f>
        <v>#REF!</v>
      </c>
      <c r="Q30" s="14" t="e">
        <f>COUNTIFS('GLOBAL LOG'!$D$6:$D$128,$C30,'GLOBAL LOG'!#REF!,"High")</f>
        <v>#REF!</v>
      </c>
      <c r="R30" s="14" t="e">
        <f>COUNTIFS('GLOBAL LOG'!$D$6:$D$128,$C30,'GLOBAL LOG'!#REF!,"Med")</f>
        <v>#REF!</v>
      </c>
      <c r="S30" s="14" t="e">
        <f>COUNTIFS('GLOBAL LOG'!$D$6:$D$128,$C30,'GLOBAL LOG'!#REF!,"Low")</f>
        <v>#REF!</v>
      </c>
      <c r="T30" s="14" t="e">
        <f>COUNTIFS('GLOBAL LOG'!$D$6:$D$128,$C30,'GLOBAL LOG'!#REF!,"Completed")</f>
        <v>#REF!</v>
      </c>
      <c r="U30" s="14" t="e">
        <f>COUNTIFS('GLOBAL LOG'!$D$6:$D$128,$C30,'GLOBAL LOG'!#REF!,"Contracting")</f>
        <v>#REF!</v>
      </c>
      <c r="V30" s="14" t="e">
        <f>COUNTIFS('GLOBAL LOG'!$D$6:$D$128,$C30,'GLOBAL LOG'!#REF!,"Negotiations")</f>
        <v>#REF!</v>
      </c>
      <c r="W30" s="14" t="e">
        <f>COUNTIFS('GLOBAL LOG'!$D$6:$D$128,$C30,'GLOBAL LOG'!#REF!,"ICT")</f>
        <v>#REF!</v>
      </c>
      <c r="X30" s="14" t="e">
        <f>COUNTIFS('GLOBAL LOG'!$D$6:$D$128,$C30,'GLOBAL LOG'!#REF!,"Hopper")</f>
        <v>#REF!</v>
      </c>
      <c r="Y30" s="14">
        <f>SUMIF('GLOBAL LOG'!$D$6:$D$128,$C30,'GLOBAL LOG'!$Q$6:$Q$128)</f>
        <v>0</v>
      </c>
      <c r="Z30" s="14">
        <f>SUMIF('GLOBAL LOG'!$D$6:$D$128,$C30,'GLOBAL LOG'!$R$6:$R$128)</f>
        <v>0</v>
      </c>
      <c r="AA30" s="14">
        <f t="shared" si="1"/>
        <v>0</v>
      </c>
      <c r="AB30" s="14" t="e">
        <f>SUMIF('GLOBAL LOG'!$D$6:$D$128,C30,'GLOBAL LOG'!#REF!)</f>
        <v>#REF!</v>
      </c>
      <c r="AC30" s="6"/>
      <c r="AD30" s="14" t="str">
        <v>Air Senegal</v>
      </c>
      <c r="AE30" s="14" t="e">
        <v>#REF!</v>
      </c>
      <c r="AF30" s="6"/>
      <c r="AG30" s="14" t="str">
        <v>Air India</v>
      </c>
      <c r="AH30" s="14">
        <v>0</v>
      </c>
      <c r="AI30" s="6"/>
      <c r="AJ30" s="14" t="str">
        <v>Air Premia Inc.</v>
      </c>
      <c r="AK30" s="14">
        <v>0</v>
      </c>
      <c r="AL30" s="6"/>
      <c r="AM30" s="14" t="str">
        <v>Air India</v>
      </c>
      <c r="AN30" s="14">
        <v>0</v>
      </c>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row>
    <row r="31" spans="2:97" s="4" customFormat="1" ht="14.65" hidden="1" customHeight="1">
      <c r="B31" s="6"/>
      <c r="C31" s="13" t="str">
        <v>Air Serbia</v>
      </c>
      <c r="D31" s="14">
        <f>COUNTIFS('GLOBAL LOG'!$D$6:$D$128,C31,'GLOBAL LOG'!$K$6:$K$128,"&lt;&gt;")</f>
        <v>0</v>
      </c>
      <c r="E31" s="14" t="e">
        <f>COUNTIFS('GLOBAL LOG'!$D$6:$D$128,C31,'GLOBAL LOG'!#REF!,"Yes")</f>
        <v>#REF!</v>
      </c>
      <c r="F31" s="14" t="e">
        <f>SUMIF('GLOBAL LOG'!$D$6:$D$128,COUNT!C31,'GLOBAL LOG'!#REF!)</f>
        <v>#REF!</v>
      </c>
      <c r="G31" s="14">
        <f>COUNTIFS('GLOBAL LOG'!$E$6:$E$128,G$10,'GLOBAL LOG'!$D$6:$D$128,$C31)</f>
        <v>0</v>
      </c>
      <c r="H31" s="14">
        <f>COUNTIFS('GLOBAL LOG'!$E$6:$E$128,H$10,'GLOBAL LOG'!$D$6:$D$128,$C31)</f>
        <v>0</v>
      </c>
      <c r="I31" s="14">
        <f>COUNTIFS('GLOBAL LOG'!$E$6:$E$128,I$10,'GLOBAL LOG'!$D$6:$D$128,$C31)</f>
        <v>0</v>
      </c>
      <c r="J31" s="14">
        <f>COUNTIFS('GLOBAL LOG'!$E$6:$E$128,J$10,'GLOBAL LOG'!$D$6:$D$128,$C31)</f>
        <v>0</v>
      </c>
      <c r="K31" s="14">
        <f>COUNTIFS('GLOBAL LOG'!$E$6:$E$128,K$10,'GLOBAL LOG'!$D$6:$D$128,$C31)</f>
        <v>0</v>
      </c>
      <c r="L31" s="14">
        <f>COUNTIFS('GLOBAL LOG'!$E$6:$E$128,L$10,'GLOBAL LOG'!$D$6:$D$128,$C31)</f>
        <v>0</v>
      </c>
      <c r="M31" s="14">
        <f>COUNTIFS('GLOBAL LOG'!$E$6:$E$128,M$10,'GLOBAL LOG'!$D$6:$D$128,$C31)</f>
        <v>0</v>
      </c>
      <c r="N31" s="14" t="e">
        <f>COUNTIFS('GLOBAL LOG'!$D$6:$D$128,$C31,'GLOBAL LOG'!#REF!,"High")</f>
        <v>#REF!</v>
      </c>
      <c r="O31" s="14" t="e">
        <f>COUNTIFS('GLOBAL LOG'!$D$6:$D$128,$C31,'GLOBAL LOG'!#REF!,"Med")</f>
        <v>#REF!</v>
      </c>
      <c r="P31" s="14" t="e">
        <f>COUNTIFS('GLOBAL LOG'!$D$6:$D$128,$C31,'GLOBAL LOG'!#REF!,"Low")</f>
        <v>#REF!</v>
      </c>
      <c r="Q31" s="14" t="e">
        <f>COUNTIFS('GLOBAL LOG'!$D$6:$D$128,$C31,'GLOBAL LOG'!#REF!,"High")</f>
        <v>#REF!</v>
      </c>
      <c r="R31" s="14" t="e">
        <f>COUNTIFS('GLOBAL LOG'!$D$6:$D$128,$C31,'GLOBAL LOG'!#REF!,"Med")</f>
        <v>#REF!</v>
      </c>
      <c r="S31" s="14" t="e">
        <f>COUNTIFS('GLOBAL LOG'!$D$6:$D$128,$C31,'GLOBAL LOG'!#REF!,"Low")</f>
        <v>#REF!</v>
      </c>
      <c r="T31" s="14" t="e">
        <f>COUNTIFS('GLOBAL LOG'!$D$6:$D$128,$C31,'GLOBAL LOG'!#REF!,"Completed")</f>
        <v>#REF!</v>
      </c>
      <c r="U31" s="14" t="e">
        <f>COUNTIFS('GLOBAL LOG'!$D$6:$D$128,$C31,'GLOBAL LOG'!#REF!,"Contracting")</f>
        <v>#REF!</v>
      </c>
      <c r="V31" s="14" t="e">
        <f>COUNTIFS('GLOBAL LOG'!$D$6:$D$128,$C31,'GLOBAL LOG'!#REF!,"Negotiations")</f>
        <v>#REF!</v>
      </c>
      <c r="W31" s="14" t="e">
        <f>COUNTIFS('GLOBAL LOG'!$D$6:$D$128,$C31,'GLOBAL LOG'!#REF!,"ICT")</f>
        <v>#REF!</v>
      </c>
      <c r="X31" s="14" t="e">
        <f>COUNTIFS('GLOBAL LOG'!$D$6:$D$128,$C31,'GLOBAL LOG'!#REF!,"Hopper")</f>
        <v>#REF!</v>
      </c>
      <c r="Y31" s="14">
        <f>SUMIF('GLOBAL LOG'!$D$6:$D$128,$C31,'GLOBAL LOG'!$Q$6:$Q$128)</f>
        <v>0</v>
      </c>
      <c r="Z31" s="14">
        <f>SUMIF('GLOBAL LOG'!$D$6:$D$128,$C31,'GLOBAL LOG'!$R$6:$R$128)</f>
        <v>0</v>
      </c>
      <c r="AA31" s="14">
        <f t="shared" si="1"/>
        <v>0</v>
      </c>
      <c r="AB31" s="14" t="e">
        <f>SUMIF('GLOBAL LOG'!$D$6:$D$128,C31,'GLOBAL LOG'!#REF!)</f>
        <v>#REF!</v>
      </c>
      <c r="AC31" s="6"/>
      <c r="AD31" s="14" t="str">
        <v>Air Serbia</v>
      </c>
      <c r="AE31" s="14" t="e">
        <v>#REF!</v>
      </c>
      <c r="AF31" s="6"/>
      <c r="AG31" s="14" t="str">
        <v>Air Lease Corporation</v>
      </c>
      <c r="AH31" s="14">
        <v>0</v>
      </c>
      <c r="AI31" s="6"/>
      <c r="AJ31" s="14" t="str">
        <v>Air Senegal</v>
      </c>
      <c r="AK31" s="14">
        <v>0</v>
      </c>
      <c r="AL31" s="6"/>
      <c r="AM31" s="14" t="str">
        <v>Air Lease Corporation</v>
      </c>
      <c r="AN31" s="14">
        <v>0</v>
      </c>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row>
    <row r="32" spans="2:97" s="4" customFormat="1" ht="14.65" hidden="1" customHeight="1">
      <c r="B32" s="6"/>
      <c r="C32" s="13" t="str">
        <v>Air Tanzania</v>
      </c>
      <c r="D32" s="14">
        <f>COUNTIFS('GLOBAL LOG'!$D$6:$D$128,C32,'GLOBAL LOG'!$K$6:$K$128,"&lt;&gt;")</f>
        <v>0</v>
      </c>
      <c r="E32" s="14" t="e">
        <f>COUNTIFS('GLOBAL LOG'!$D$6:$D$128,C32,'GLOBAL LOG'!#REF!,"Yes")</f>
        <v>#REF!</v>
      </c>
      <c r="F32" s="14" t="e">
        <f>SUMIF('GLOBAL LOG'!$D$6:$D$128,COUNT!C32,'GLOBAL LOG'!#REF!)</f>
        <v>#REF!</v>
      </c>
      <c r="G32" s="14">
        <f>COUNTIFS('GLOBAL LOG'!$E$6:$E$128,G$10,'GLOBAL LOG'!$D$6:$D$128,$C32)</f>
        <v>0</v>
      </c>
      <c r="H32" s="14">
        <f>COUNTIFS('GLOBAL LOG'!$E$6:$E$128,H$10,'GLOBAL LOG'!$D$6:$D$128,$C32)</f>
        <v>0</v>
      </c>
      <c r="I32" s="14">
        <f>COUNTIFS('GLOBAL LOG'!$E$6:$E$128,I$10,'GLOBAL LOG'!$D$6:$D$128,$C32)</f>
        <v>0</v>
      </c>
      <c r="J32" s="14">
        <f>COUNTIFS('GLOBAL LOG'!$E$6:$E$128,J$10,'GLOBAL LOG'!$D$6:$D$128,$C32)</f>
        <v>0</v>
      </c>
      <c r="K32" s="14">
        <f>COUNTIFS('GLOBAL LOG'!$E$6:$E$128,K$10,'GLOBAL LOG'!$D$6:$D$128,$C32)</f>
        <v>0</v>
      </c>
      <c r="L32" s="14">
        <f>COUNTIFS('GLOBAL LOG'!$E$6:$E$128,L$10,'GLOBAL LOG'!$D$6:$D$128,$C32)</f>
        <v>0</v>
      </c>
      <c r="M32" s="14">
        <f>COUNTIFS('GLOBAL LOG'!$E$6:$E$128,M$10,'GLOBAL LOG'!$D$6:$D$128,$C32)</f>
        <v>0</v>
      </c>
      <c r="N32" s="14" t="e">
        <f>COUNTIFS('GLOBAL LOG'!$D$6:$D$128,$C32,'GLOBAL LOG'!#REF!,"High")</f>
        <v>#REF!</v>
      </c>
      <c r="O32" s="14" t="e">
        <f>COUNTIFS('GLOBAL LOG'!$D$6:$D$128,$C32,'GLOBAL LOG'!#REF!,"Med")</f>
        <v>#REF!</v>
      </c>
      <c r="P32" s="14" t="e">
        <f>COUNTIFS('GLOBAL LOG'!$D$6:$D$128,$C32,'GLOBAL LOG'!#REF!,"Low")</f>
        <v>#REF!</v>
      </c>
      <c r="Q32" s="14" t="e">
        <f>COUNTIFS('GLOBAL LOG'!$D$6:$D$128,$C32,'GLOBAL LOG'!#REF!,"High")</f>
        <v>#REF!</v>
      </c>
      <c r="R32" s="14" t="e">
        <f>COUNTIFS('GLOBAL LOG'!$D$6:$D$128,$C32,'GLOBAL LOG'!#REF!,"Med")</f>
        <v>#REF!</v>
      </c>
      <c r="S32" s="14" t="e">
        <f>COUNTIFS('GLOBAL LOG'!$D$6:$D$128,$C32,'GLOBAL LOG'!#REF!,"Low")</f>
        <v>#REF!</v>
      </c>
      <c r="T32" s="14" t="e">
        <f>COUNTIFS('GLOBAL LOG'!$D$6:$D$128,$C32,'GLOBAL LOG'!#REF!,"Completed")</f>
        <v>#REF!</v>
      </c>
      <c r="U32" s="14" t="e">
        <f>COUNTIFS('GLOBAL LOG'!$D$6:$D$128,$C32,'GLOBAL LOG'!#REF!,"Contracting")</f>
        <v>#REF!</v>
      </c>
      <c r="V32" s="14" t="e">
        <f>COUNTIFS('GLOBAL LOG'!$D$6:$D$128,$C32,'GLOBAL LOG'!#REF!,"Negotiations")</f>
        <v>#REF!</v>
      </c>
      <c r="W32" s="14" t="e">
        <f>COUNTIFS('GLOBAL LOG'!$D$6:$D$128,$C32,'GLOBAL LOG'!#REF!,"ICT")</f>
        <v>#REF!</v>
      </c>
      <c r="X32" s="14" t="e">
        <f>COUNTIFS('GLOBAL LOG'!$D$6:$D$128,$C32,'GLOBAL LOG'!#REF!,"Hopper")</f>
        <v>#REF!</v>
      </c>
      <c r="Y32" s="14">
        <f>SUMIF('GLOBAL LOG'!$D$6:$D$128,$C32,'GLOBAL LOG'!$Q$6:$Q$128)</f>
        <v>0</v>
      </c>
      <c r="Z32" s="14">
        <f>SUMIF('GLOBAL LOG'!$D$6:$D$128,$C32,'GLOBAL LOG'!$R$6:$R$128)</f>
        <v>0</v>
      </c>
      <c r="AA32" s="14">
        <f t="shared" si="1"/>
        <v>0</v>
      </c>
      <c r="AB32" s="14" t="e">
        <f>SUMIF('GLOBAL LOG'!$D$6:$D$128,C32,'GLOBAL LOG'!#REF!)</f>
        <v>#REF!</v>
      </c>
      <c r="AC32" s="6"/>
      <c r="AD32" s="14" t="str">
        <v>Air Tanzania</v>
      </c>
      <c r="AE32" s="14" t="e">
        <v>#REF!</v>
      </c>
      <c r="AF32" s="6"/>
      <c r="AG32" s="14" t="str">
        <v>Air Mauritius</v>
      </c>
      <c r="AH32" s="14">
        <v>0</v>
      </c>
      <c r="AI32" s="6"/>
      <c r="AJ32" s="14" t="str">
        <v>Air Serbia</v>
      </c>
      <c r="AK32" s="14">
        <v>0</v>
      </c>
      <c r="AL32" s="6"/>
      <c r="AM32" s="14" t="str">
        <v>Air Mauritius</v>
      </c>
      <c r="AN32" s="14">
        <v>0</v>
      </c>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row>
    <row r="33" spans="2:97" s="4" customFormat="1" ht="14.65" hidden="1" customHeight="1">
      <c r="B33" s="6"/>
      <c r="C33" s="13" t="str">
        <v>Air Transat</v>
      </c>
      <c r="D33" s="14">
        <f>COUNTIFS('GLOBAL LOG'!$D$6:$D$128,C33,'GLOBAL LOG'!$K$6:$K$128,"&lt;&gt;")</f>
        <v>0</v>
      </c>
      <c r="E33" s="14" t="e">
        <f>COUNTIFS('GLOBAL LOG'!$D$6:$D$128,C33,'GLOBAL LOG'!#REF!,"Yes")</f>
        <v>#REF!</v>
      </c>
      <c r="F33" s="14" t="e">
        <f>SUMIF('GLOBAL LOG'!$D$6:$D$128,COUNT!C33,'GLOBAL LOG'!#REF!)</f>
        <v>#REF!</v>
      </c>
      <c r="G33" s="14">
        <f>COUNTIFS('GLOBAL LOG'!$E$6:$E$128,G$10,'GLOBAL LOG'!$D$6:$D$128,$C33)</f>
        <v>0</v>
      </c>
      <c r="H33" s="14">
        <f>COUNTIFS('GLOBAL LOG'!$E$6:$E$128,H$10,'GLOBAL LOG'!$D$6:$D$128,$C33)</f>
        <v>0</v>
      </c>
      <c r="I33" s="14">
        <f>COUNTIFS('GLOBAL LOG'!$E$6:$E$128,I$10,'GLOBAL LOG'!$D$6:$D$128,$C33)</f>
        <v>0</v>
      </c>
      <c r="J33" s="14">
        <f>COUNTIFS('GLOBAL LOG'!$E$6:$E$128,J$10,'GLOBAL LOG'!$D$6:$D$128,$C33)</f>
        <v>0</v>
      </c>
      <c r="K33" s="14">
        <f>COUNTIFS('GLOBAL LOG'!$E$6:$E$128,K$10,'GLOBAL LOG'!$D$6:$D$128,$C33)</f>
        <v>0</v>
      </c>
      <c r="L33" s="14">
        <f>COUNTIFS('GLOBAL LOG'!$E$6:$E$128,L$10,'GLOBAL LOG'!$D$6:$D$128,$C33)</f>
        <v>0</v>
      </c>
      <c r="M33" s="14">
        <f>COUNTIFS('GLOBAL LOG'!$E$6:$E$128,M$10,'GLOBAL LOG'!$D$6:$D$128,$C33)</f>
        <v>0</v>
      </c>
      <c r="N33" s="14" t="e">
        <f>COUNTIFS('GLOBAL LOG'!$D$6:$D$128,$C33,'GLOBAL LOG'!#REF!,"High")</f>
        <v>#REF!</v>
      </c>
      <c r="O33" s="14" t="e">
        <f>COUNTIFS('GLOBAL LOG'!$D$6:$D$128,$C33,'GLOBAL LOG'!#REF!,"Med")</f>
        <v>#REF!</v>
      </c>
      <c r="P33" s="14" t="e">
        <f>COUNTIFS('GLOBAL LOG'!$D$6:$D$128,$C33,'GLOBAL LOG'!#REF!,"Low")</f>
        <v>#REF!</v>
      </c>
      <c r="Q33" s="14" t="e">
        <f>COUNTIFS('GLOBAL LOG'!$D$6:$D$128,$C33,'GLOBAL LOG'!#REF!,"High")</f>
        <v>#REF!</v>
      </c>
      <c r="R33" s="14" t="e">
        <f>COUNTIFS('GLOBAL LOG'!$D$6:$D$128,$C33,'GLOBAL LOG'!#REF!,"Med")</f>
        <v>#REF!</v>
      </c>
      <c r="S33" s="14" t="e">
        <f>COUNTIFS('GLOBAL LOG'!$D$6:$D$128,$C33,'GLOBAL LOG'!#REF!,"Low")</f>
        <v>#REF!</v>
      </c>
      <c r="T33" s="14" t="e">
        <f>COUNTIFS('GLOBAL LOG'!$D$6:$D$128,$C33,'GLOBAL LOG'!#REF!,"Completed")</f>
        <v>#REF!</v>
      </c>
      <c r="U33" s="14" t="e">
        <f>COUNTIFS('GLOBAL LOG'!$D$6:$D$128,$C33,'GLOBAL LOG'!#REF!,"Contracting")</f>
        <v>#REF!</v>
      </c>
      <c r="V33" s="14" t="e">
        <f>COUNTIFS('GLOBAL LOG'!$D$6:$D$128,$C33,'GLOBAL LOG'!#REF!,"Negotiations")</f>
        <v>#REF!</v>
      </c>
      <c r="W33" s="14" t="e">
        <f>COUNTIFS('GLOBAL LOG'!$D$6:$D$128,$C33,'GLOBAL LOG'!#REF!,"ICT")</f>
        <v>#REF!</v>
      </c>
      <c r="X33" s="14" t="e">
        <f>COUNTIFS('GLOBAL LOG'!$D$6:$D$128,$C33,'GLOBAL LOG'!#REF!,"Hopper")</f>
        <v>#REF!</v>
      </c>
      <c r="Y33" s="14">
        <f>SUMIF('GLOBAL LOG'!$D$6:$D$128,$C33,'GLOBAL LOG'!$Q$6:$Q$128)</f>
        <v>0</v>
      </c>
      <c r="Z33" s="14">
        <f>SUMIF('GLOBAL LOG'!$D$6:$D$128,$C33,'GLOBAL LOG'!$R$6:$R$128)</f>
        <v>0</v>
      </c>
      <c r="AA33" s="14">
        <f t="shared" si="1"/>
        <v>0</v>
      </c>
      <c r="AB33" s="14" t="e">
        <f>SUMIF('GLOBAL LOG'!$D$6:$D$128,C33,'GLOBAL LOG'!#REF!)</f>
        <v>#REF!</v>
      </c>
      <c r="AC33" s="6"/>
      <c r="AD33" s="14" t="str">
        <v>Air Transat</v>
      </c>
      <c r="AE33" s="14" t="e">
        <v>#REF!</v>
      </c>
      <c r="AF33" s="6"/>
      <c r="AG33" s="14" t="str">
        <v>Air Namibia</v>
      </c>
      <c r="AH33" s="14">
        <v>0</v>
      </c>
      <c r="AI33" s="6"/>
      <c r="AJ33" s="14" t="str">
        <v>Air Tanzania</v>
      </c>
      <c r="AK33" s="14">
        <v>0</v>
      </c>
      <c r="AL33" s="6"/>
      <c r="AM33" s="14" t="str">
        <v>Air Namibia</v>
      </c>
      <c r="AN33" s="14">
        <v>0</v>
      </c>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row>
    <row r="34" spans="2:97" s="4" customFormat="1" ht="14.65" hidden="1" customHeight="1">
      <c r="B34" s="6"/>
      <c r="C34" s="13" t="str">
        <v>AirAsia X</v>
      </c>
      <c r="D34" s="14">
        <f>COUNTIFS('GLOBAL LOG'!$D$6:$D$128,C34,'GLOBAL LOG'!$K$6:$K$128,"&lt;&gt;")</f>
        <v>0</v>
      </c>
      <c r="E34" s="14" t="e">
        <f>COUNTIFS('GLOBAL LOG'!$D$6:$D$128,C34,'GLOBAL LOG'!#REF!,"Yes")</f>
        <v>#REF!</v>
      </c>
      <c r="F34" s="14" t="e">
        <f>SUMIF('GLOBAL LOG'!$D$6:$D$128,COUNT!C34,'GLOBAL LOG'!#REF!)</f>
        <v>#REF!</v>
      </c>
      <c r="G34" s="14">
        <f>COUNTIFS('GLOBAL LOG'!$E$6:$E$128,G$10,'GLOBAL LOG'!$D$6:$D$128,$C34)</f>
        <v>0</v>
      </c>
      <c r="H34" s="14">
        <f>COUNTIFS('GLOBAL LOG'!$E$6:$E$128,H$10,'GLOBAL LOG'!$D$6:$D$128,$C34)</f>
        <v>0</v>
      </c>
      <c r="I34" s="14">
        <f>COUNTIFS('GLOBAL LOG'!$E$6:$E$128,I$10,'GLOBAL LOG'!$D$6:$D$128,$C34)</f>
        <v>0</v>
      </c>
      <c r="J34" s="14">
        <f>COUNTIFS('GLOBAL LOG'!$E$6:$E$128,J$10,'GLOBAL LOG'!$D$6:$D$128,$C34)</f>
        <v>0</v>
      </c>
      <c r="K34" s="14">
        <f>COUNTIFS('GLOBAL LOG'!$E$6:$E$128,K$10,'GLOBAL LOG'!$D$6:$D$128,$C34)</f>
        <v>0</v>
      </c>
      <c r="L34" s="14">
        <f>COUNTIFS('GLOBAL LOG'!$E$6:$E$128,L$10,'GLOBAL LOG'!$D$6:$D$128,$C34)</f>
        <v>0</v>
      </c>
      <c r="M34" s="14">
        <f>COUNTIFS('GLOBAL LOG'!$E$6:$E$128,M$10,'GLOBAL LOG'!$D$6:$D$128,$C34)</f>
        <v>0</v>
      </c>
      <c r="N34" s="14" t="e">
        <f>COUNTIFS('GLOBAL LOG'!$D$6:$D$128,$C34,'GLOBAL LOG'!#REF!,"High")</f>
        <v>#REF!</v>
      </c>
      <c r="O34" s="14" t="e">
        <f>COUNTIFS('GLOBAL LOG'!$D$6:$D$128,$C34,'GLOBAL LOG'!#REF!,"Med")</f>
        <v>#REF!</v>
      </c>
      <c r="P34" s="14" t="e">
        <f>COUNTIFS('GLOBAL LOG'!$D$6:$D$128,$C34,'GLOBAL LOG'!#REF!,"Low")</f>
        <v>#REF!</v>
      </c>
      <c r="Q34" s="14" t="e">
        <f>COUNTIFS('GLOBAL LOG'!$D$6:$D$128,$C34,'GLOBAL LOG'!#REF!,"High")</f>
        <v>#REF!</v>
      </c>
      <c r="R34" s="14" t="e">
        <f>COUNTIFS('GLOBAL LOG'!$D$6:$D$128,$C34,'GLOBAL LOG'!#REF!,"Med")</f>
        <v>#REF!</v>
      </c>
      <c r="S34" s="14" t="e">
        <f>COUNTIFS('GLOBAL LOG'!$D$6:$D$128,$C34,'GLOBAL LOG'!#REF!,"Low")</f>
        <v>#REF!</v>
      </c>
      <c r="T34" s="14" t="e">
        <f>COUNTIFS('GLOBAL LOG'!$D$6:$D$128,$C34,'GLOBAL LOG'!#REF!,"Completed")</f>
        <v>#REF!</v>
      </c>
      <c r="U34" s="14" t="e">
        <f>COUNTIFS('GLOBAL LOG'!$D$6:$D$128,$C34,'GLOBAL LOG'!#REF!,"Contracting")</f>
        <v>#REF!</v>
      </c>
      <c r="V34" s="14" t="e">
        <f>COUNTIFS('GLOBAL LOG'!$D$6:$D$128,$C34,'GLOBAL LOG'!#REF!,"Negotiations")</f>
        <v>#REF!</v>
      </c>
      <c r="W34" s="14" t="e">
        <f>COUNTIFS('GLOBAL LOG'!$D$6:$D$128,$C34,'GLOBAL LOG'!#REF!,"ICT")</f>
        <v>#REF!</v>
      </c>
      <c r="X34" s="14" t="e">
        <f>COUNTIFS('GLOBAL LOG'!$D$6:$D$128,$C34,'GLOBAL LOG'!#REF!,"Hopper")</f>
        <v>#REF!</v>
      </c>
      <c r="Y34" s="14">
        <f>SUMIF('GLOBAL LOG'!$D$6:$D$128,$C34,'GLOBAL LOG'!$Q$6:$Q$128)</f>
        <v>0</v>
      </c>
      <c r="Z34" s="14">
        <f>SUMIF('GLOBAL LOG'!$D$6:$D$128,$C34,'GLOBAL LOG'!$R$6:$R$128)</f>
        <v>0</v>
      </c>
      <c r="AA34" s="14">
        <f t="shared" si="1"/>
        <v>0</v>
      </c>
      <c r="AB34" s="14" t="e">
        <f>SUMIF('GLOBAL LOG'!$D$6:$D$128,C34,'GLOBAL LOG'!#REF!)</f>
        <v>#REF!</v>
      </c>
      <c r="AC34" s="6"/>
      <c r="AD34" s="14" t="str">
        <v>AirAsia X</v>
      </c>
      <c r="AE34" s="14" t="e">
        <v>#REF!</v>
      </c>
      <c r="AF34" s="6"/>
      <c r="AG34" s="14" t="str">
        <v>Air New Zealand Limited</v>
      </c>
      <c r="AH34" s="14">
        <v>0</v>
      </c>
      <c r="AI34" s="6"/>
      <c r="AJ34" s="14" t="str">
        <v>Air Transat</v>
      </c>
      <c r="AK34" s="14">
        <v>0</v>
      </c>
      <c r="AL34" s="6"/>
      <c r="AM34" s="14" t="str">
        <v>Air New Zealand Limited</v>
      </c>
      <c r="AN34" s="14">
        <v>0</v>
      </c>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row>
    <row r="35" spans="2:97" s="4" customFormat="1" ht="14.65" hidden="1" customHeight="1">
      <c r="B35" s="6"/>
      <c r="C35" s="13" t="str">
        <v>Aircalin</v>
      </c>
      <c r="D35" s="14">
        <f>COUNTIFS('GLOBAL LOG'!$D$6:$D$128,C35,'GLOBAL LOG'!$K$6:$K$128,"&lt;&gt;")</f>
        <v>0</v>
      </c>
      <c r="E35" s="14" t="e">
        <f>COUNTIFS('GLOBAL LOG'!$D$6:$D$128,C35,'GLOBAL LOG'!#REF!,"Yes")</f>
        <v>#REF!</v>
      </c>
      <c r="F35" s="14" t="e">
        <f>SUMIF('GLOBAL LOG'!$D$6:$D$128,COUNT!C35,'GLOBAL LOG'!#REF!)</f>
        <v>#REF!</v>
      </c>
      <c r="G35" s="14">
        <f>COUNTIFS('GLOBAL LOG'!$E$6:$E$128,G$10,'GLOBAL LOG'!$D$6:$D$128,$C35)</f>
        <v>0</v>
      </c>
      <c r="H35" s="14">
        <f>COUNTIFS('GLOBAL LOG'!$E$6:$E$128,H$10,'GLOBAL LOG'!$D$6:$D$128,$C35)</f>
        <v>0</v>
      </c>
      <c r="I35" s="14">
        <f>COUNTIFS('GLOBAL LOG'!$E$6:$E$128,I$10,'GLOBAL LOG'!$D$6:$D$128,$C35)</f>
        <v>0</v>
      </c>
      <c r="J35" s="14">
        <f>COUNTIFS('GLOBAL LOG'!$E$6:$E$128,J$10,'GLOBAL LOG'!$D$6:$D$128,$C35)</f>
        <v>0</v>
      </c>
      <c r="K35" s="14">
        <f>COUNTIFS('GLOBAL LOG'!$E$6:$E$128,K$10,'GLOBAL LOG'!$D$6:$D$128,$C35)</f>
        <v>0</v>
      </c>
      <c r="L35" s="14">
        <f>COUNTIFS('GLOBAL LOG'!$E$6:$E$128,L$10,'GLOBAL LOG'!$D$6:$D$128,$C35)</f>
        <v>0</v>
      </c>
      <c r="M35" s="14">
        <f>COUNTIFS('GLOBAL LOG'!$E$6:$E$128,M$10,'GLOBAL LOG'!$D$6:$D$128,$C35)</f>
        <v>0</v>
      </c>
      <c r="N35" s="14" t="e">
        <f>COUNTIFS('GLOBAL LOG'!$D$6:$D$128,$C35,'GLOBAL LOG'!#REF!,"High")</f>
        <v>#REF!</v>
      </c>
      <c r="O35" s="14" t="e">
        <f>COUNTIFS('GLOBAL LOG'!$D$6:$D$128,$C35,'GLOBAL LOG'!#REF!,"Med")</f>
        <v>#REF!</v>
      </c>
      <c r="P35" s="14" t="e">
        <f>COUNTIFS('GLOBAL LOG'!$D$6:$D$128,$C35,'GLOBAL LOG'!#REF!,"Low")</f>
        <v>#REF!</v>
      </c>
      <c r="Q35" s="14" t="e">
        <f>COUNTIFS('GLOBAL LOG'!$D$6:$D$128,$C35,'GLOBAL LOG'!#REF!,"High")</f>
        <v>#REF!</v>
      </c>
      <c r="R35" s="14" t="e">
        <f>COUNTIFS('GLOBAL LOG'!$D$6:$D$128,$C35,'GLOBAL LOG'!#REF!,"Med")</f>
        <v>#REF!</v>
      </c>
      <c r="S35" s="14" t="e">
        <f>COUNTIFS('GLOBAL LOG'!$D$6:$D$128,$C35,'GLOBAL LOG'!#REF!,"Low")</f>
        <v>#REF!</v>
      </c>
      <c r="T35" s="14" t="e">
        <f>COUNTIFS('GLOBAL LOG'!$D$6:$D$128,$C35,'GLOBAL LOG'!#REF!,"Completed")</f>
        <v>#REF!</v>
      </c>
      <c r="U35" s="14" t="e">
        <f>COUNTIFS('GLOBAL LOG'!$D$6:$D$128,$C35,'GLOBAL LOG'!#REF!,"Contracting")</f>
        <v>#REF!</v>
      </c>
      <c r="V35" s="14" t="e">
        <f>COUNTIFS('GLOBAL LOG'!$D$6:$D$128,$C35,'GLOBAL LOG'!#REF!,"Negotiations")</f>
        <v>#REF!</v>
      </c>
      <c r="W35" s="14" t="e">
        <f>COUNTIFS('GLOBAL LOG'!$D$6:$D$128,$C35,'GLOBAL LOG'!#REF!,"ICT")</f>
        <v>#REF!</v>
      </c>
      <c r="X35" s="14" t="e">
        <f>COUNTIFS('GLOBAL LOG'!$D$6:$D$128,$C35,'GLOBAL LOG'!#REF!,"Hopper")</f>
        <v>#REF!</v>
      </c>
      <c r="Y35" s="14">
        <f>SUMIF('GLOBAL LOG'!$D$6:$D$128,$C35,'GLOBAL LOG'!$Q$6:$Q$128)</f>
        <v>0</v>
      </c>
      <c r="Z35" s="14">
        <f>SUMIF('GLOBAL LOG'!$D$6:$D$128,$C35,'GLOBAL LOG'!$R$6:$R$128)</f>
        <v>0</v>
      </c>
      <c r="AA35" s="14">
        <f t="shared" si="1"/>
        <v>0</v>
      </c>
      <c r="AB35" s="14" t="e">
        <f>SUMIF('GLOBAL LOG'!$D$6:$D$128,C35,'GLOBAL LOG'!#REF!)</f>
        <v>#REF!</v>
      </c>
      <c r="AC35" s="6"/>
      <c r="AD35" s="14" t="str">
        <v>Aircalin</v>
      </c>
      <c r="AE35" s="14" t="e">
        <v>#REF!</v>
      </c>
      <c r="AF35" s="6"/>
      <c r="AG35" s="14" t="str">
        <v>Air Premia Inc.</v>
      </c>
      <c r="AH35" s="14">
        <v>0</v>
      </c>
      <c r="AI35" s="6"/>
      <c r="AJ35" s="14" t="str">
        <v>AirAsia X</v>
      </c>
      <c r="AK35" s="14">
        <v>0</v>
      </c>
      <c r="AL35" s="6"/>
      <c r="AM35" s="14" t="str">
        <v>Air Premia Inc.</v>
      </c>
      <c r="AN35" s="14">
        <v>0</v>
      </c>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row>
    <row r="36" spans="2:97" s="4" customFormat="1" ht="14.65" hidden="1" customHeight="1">
      <c r="B36" s="6"/>
      <c r="C36" s="13" t="str">
        <v>AIRCASTLE LTD</v>
      </c>
      <c r="D36" s="14">
        <f>COUNTIFS('GLOBAL LOG'!$D$6:$D$128,C36,'GLOBAL LOG'!$K$6:$K$128,"&lt;&gt;")</f>
        <v>0</v>
      </c>
      <c r="E36" s="14" t="e">
        <f>COUNTIFS('GLOBAL LOG'!$D$6:$D$128,C36,'GLOBAL LOG'!#REF!,"Yes")</f>
        <v>#REF!</v>
      </c>
      <c r="F36" s="14" t="e">
        <f>SUMIF('GLOBAL LOG'!$D$6:$D$128,COUNT!C36,'GLOBAL LOG'!#REF!)</f>
        <v>#REF!</v>
      </c>
      <c r="G36" s="14">
        <f>COUNTIFS('GLOBAL LOG'!$E$6:$E$128,G$10,'GLOBAL LOG'!$D$6:$D$128,$C36)</f>
        <v>0</v>
      </c>
      <c r="H36" s="14">
        <f>COUNTIFS('GLOBAL LOG'!$E$6:$E$128,H$10,'GLOBAL LOG'!$D$6:$D$128,$C36)</f>
        <v>0</v>
      </c>
      <c r="I36" s="14">
        <f>COUNTIFS('GLOBAL LOG'!$E$6:$E$128,I$10,'GLOBAL LOG'!$D$6:$D$128,$C36)</f>
        <v>0</v>
      </c>
      <c r="J36" s="14">
        <f>COUNTIFS('GLOBAL LOG'!$E$6:$E$128,J$10,'GLOBAL LOG'!$D$6:$D$128,$C36)</f>
        <v>0</v>
      </c>
      <c r="K36" s="14">
        <f>COUNTIFS('GLOBAL LOG'!$E$6:$E$128,K$10,'GLOBAL LOG'!$D$6:$D$128,$C36)</f>
        <v>0</v>
      </c>
      <c r="L36" s="14">
        <f>COUNTIFS('GLOBAL LOG'!$E$6:$E$128,L$10,'GLOBAL LOG'!$D$6:$D$128,$C36)</f>
        <v>0</v>
      </c>
      <c r="M36" s="14">
        <f>COUNTIFS('GLOBAL LOG'!$E$6:$E$128,M$10,'GLOBAL LOG'!$D$6:$D$128,$C36)</f>
        <v>0</v>
      </c>
      <c r="N36" s="14" t="e">
        <f>COUNTIFS('GLOBAL LOG'!$D$6:$D$128,$C36,'GLOBAL LOG'!#REF!,"High")</f>
        <v>#REF!</v>
      </c>
      <c r="O36" s="14" t="e">
        <f>COUNTIFS('GLOBAL LOG'!$D$6:$D$128,$C36,'GLOBAL LOG'!#REF!,"Med")</f>
        <v>#REF!</v>
      </c>
      <c r="P36" s="14" t="e">
        <f>COUNTIFS('GLOBAL LOG'!$D$6:$D$128,$C36,'GLOBAL LOG'!#REF!,"Low")</f>
        <v>#REF!</v>
      </c>
      <c r="Q36" s="14" t="e">
        <f>COUNTIFS('GLOBAL LOG'!$D$6:$D$128,$C36,'GLOBAL LOG'!#REF!,"High")</f>
        <v>#REF!</v>
      </c>
      <c r="R36" s="14" t="e">
        <f>COUNTIFS('GLOBAL LOG'!$D$6:$D$128,$C36,'GLOBAL LOG'!#REF!,"Med")</f>
        <v>#REF!</v>
      </c>
      <c r="S36" s="14" t="e">
        <f>COUNTIFS('GLOBAL LOG'!$D$6:$D$128,$C36,'GLOBAL LOG'!#REF!,"Low")</f>
        <v>#REF!</v>
      </c>
      <c r="T36" s="14" t="e">
        <f>COUNTIFS('GLOBAL LOG'!$D$6:$D$128,$C36,'GLOBAL LOG'!#REF!,"Completed")</f>
        <v>#REF!</v>
      </c>
      <c r="U36" s="14" t="e">
        <f>COUNTIFS('GLOBAL LOG'!$D$6:$D$128,$C36,'GLOBAL LOG'!#REF!,"Contracting")</f>
        <v>#REF!</v>
      </c>
      <c r="V36" s="14" t="e">
        <f>COUNTIFS('GLOBAL LOG'!$D$6:$D$128,$C36,'GLOBAL LOG'!#REF!,"Negotiations")</f>
        <v>#REF!</v>
      </c>
      <c r="W36" s="14" t="e">
        <f>COUNTIFS('GLOBAL LOG'!$D$6:$D$128,$C36,'GLOBAL LOG'!#REF!,"ICT")</f>
        <v>#REF!</v>
      </c>
      <c r="X36" s="14" t="e">
        <f>COUNTIFS('GLOBAL LOG'!$D$6:$D$128,$C36,'GLOBAL LOG'!#REF!,"Hopper")</f>
        <v>#REF!</v>
      </c>
      <c r="Y36" s="14">
        <f>SUMIF('GLOBAL LOG'!$D$6:$D$128,$C36,'GLOBAL LOG'!$Q$6:$Q$128)</f>
        <v>0</v>
      </c>
      <c r="Z36" s="14">
        <f>SUMIF('GLOBAL LOG'!$D$6:$D$128,$C36,'GLOBAL LOG'!$R$6:$R$128)</f>
        <v>0</v>
      </c>
      <c r="AA36" s="14">
        <f t="shared" si="1"/>
        <v>0</v>
      </c>
      <c r="AB36" s="14" t="e">
        <f>SUMIF('GLOBAL LOG'!$D$6:$D$128,C36,'GLOBAL LOG'!#REF!)</f>
        <v>#REF!</v>
      </c>
      <c r="AC36" s="6"/>
      <c r="AD36" s="14" t="str">
        <v>AIRCASTLE LTD</v>
      </c>
      <c r="AE36" s="14" t="e">
        <v>#REF!</v>
      </c>
      <c r="AF36" s="6"/>
      <c r="AG36" s="14" t="str">
        <v>Air Senegal</v>
      </c>
      <c r="AH36" s="14">
        <v>0</v>
      </c>
      <c r="AI36" s="6"/>
      <c r="AJ36" s="14" t="str">
        <v>Aircalin</v>
      </c>
      <c r="AK36" s="14">
        <v>0</v>
      </c>
      <c r="AL36" s="6"/>
      <c r="AM36" s="14" t="str">
        <v>Air Senegal</v>
      </c>
      <c r="AN36" s="14">
        <v>0</v>
      </c>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row>
    <row r="37" spans="2:97" s="4" customFormat="1" ht="14.65" hidden="1" customHeight="1">
      <c r="B37" s="6"/>
      <c r="C37" s="13" t="str">
        <v>Airlink</v>
      </c>
      <c r="D37" s="14">
        <f>COUNTIFS('GLOBAL LOG'!$D$6:$D$128,C37,'GLOBAL LOG'!$K$6:$K$128,"&lt;&gt;")</f>
        <v>0</v>
      </c>
      <c r="E37" s="14" t="e">
        <f>COUNTIFS('GLOBAL LOG'!$D$6:$D$128,C37,'GLOBAL LOG'!#REF!,"Yes")</f>
        <v>#REF!</v>
      </c>
      <c r="F37" s="14" t="e">
        <f>SUMIF('GLOBAL LOG'!$D$6:$D$128,COUNT!C37,'GLOBAL LOG'!#REF!)</f>
        <v>#REF!</v>
      </c>
      <c r="G37" s="14">
        <f>COUNTIFS('GLOBAL LOG'!$E$6:$E$128,G$10,'GLOBAL LOG'!$D$6:$D$128,$C37)</f>
        <v>0</v>
      </c>
      <c r="H37" s="14">
        <f>COUNTIFS('GLOBAL LOG'!$E$6:$E$128,H$10,'GLOBAL LOG'!$D$6:$D$128,$C37)</f>
        <v>0</v>
      </c>
      <c r="I37" s="14">
        <f>COUNTIFS('GLOBAL LOG'!$E$6:$E$128,I$10,'GLOBAL LOG'!$D$6:$D$128,$C37)</f>
        <v>0</v>
      </c>
      <c r="J37" s="14">
        <f>COUNTIFS('GLOBAL LOG'!$E$6:$E$128,J$10,'GLOBAL LOG'!$D$6:$D$128,$C37)</f>
        <v>0</v>
      </c>
      <c r="K37" s="14">
        <f>COUNTIFS('GLOBAL LOG'!$E$6:$E$128,K$10,'GLOBAL LOG'!$D$6:$D$128,$C37)</f>
        <v>0</v>
      </c>
      <c r="L37" s="14">
        <f>COUNTIFS('GLOBAL LOG'!$E$6:$E$128,L$10,'GLOBAL LOG'!$D$6:$D$128,$C37)</f>
        <v>0</v>
      </c>
      <c r="M37" s="14">
        <f>COUNTIFS('GLOBAL LOG'!$E$6:$E$128,M$10,'GLOBAL LOG'!$D$6:$D$128,$C37)</f>
        <v>0</v>
      </c>
      <c r="N37" s="14" t="e">
        <f>COUNTIFS('GLOBAL LOG'!$D$6:$D$128,$C37,'GLOBAL LOG'!#REF!,"High")</f>
        <v>#REF!</v>
      </c>
      <c r="O37" s="14" t="e">
        <f>COUNTIFS('GLOBAL LOG'!$D$6:$D$128,$C37,'GLOBAL LOG'!#REF!,"Med")</f>
        <v>#REF!</v>
      </c>
      <c r="P37" s="14" t="e">
        <f>COUNTIFS('GLOBAL LOG'!$D$6:$D$128,$C37,'GLOBAL LOG'!#REF!,"Low")</f>
        <v>#REF!</v>
      </c>
      <c r="Q37" s="14" t="e">
        <f>COUNTIFS('GLOBAL LOG'!$D$6:$D$128,$C37,'GLOBAL LOG'!#REF!,"High")</f>
        <v>#REF!</v>
      </c>
      <c r="R37" s="14" t="e">
        <f>COUNTIFS('GLOBAL LOG'!$D$6:$D$128,$C37,'GLOBAL LOG'!#REF!,"Med")</f>
        <v>#REF!</v>
      </c>
      <c r="S37" s="14" t="e">
        <f>COUNTIFS('GLOBAL LOG'!$D$6:$D$128,$C37,'GLOBAL LOG'!#REF!,"Low")</f>
        <v>#REF!</v>
      </c>
      <c r="T37" s="14" t="e">
        <f>COUNTIFS('GLOBAL LOG'!$D$6:$D$128,$C37,'GLOBAL LOG'!#REF!,"Completed")</f>
        <v>#REF!</v>
      </c>
      <c r="U37" s="14" t="e">
        <f>COUNTIFS('GLOBAL LOG'!$D$6:$D$128,$C37,'GLOBAL LOG'!#REF!,"Contracting")</f>
        <v>#REF!</v>
      </c>
      <c r="V37" s="14" t="e">
        <f>COUNTIFS('GLOBAL LOG'!$D$6:$D$128,$C37,'GLOBAL LOG'!#REF!,"Negotiations")</f>
        <v>#REF!</v>
      </c>
      <c r="W37" s="14" t="e">
        <f>COUNTIFS('GLOBAL LOG'!$D$6:$D$128,$C37,'GLOBAL LOG'!#REF!,"ICT")</f>
        <v>#REF!</v>
      </c>
      <c r="X37" s="14" t="e">
        <f>COUNTIFS('GLOBAL LOG'!$D$6:$D$128,$C37,'GLOBAL LOG'!#REF!,"Hopper")</f>
        <v>#REF!</v>
      </c>
      <c r="Y37" s="14">
        <f>SUMIF('GLOBAL LOG'!$D$6:$D$128,$C37,'GLOBAL LOG'!$Q$6:$Q$128)</f>
        <v>0</v>
      </c>
      <c r="Z37" s="14">
        <f>SUMIF('GLOBAL LOG'!$D$6:$D$128,$C37,'GLOBAL LOG'!$R$6:$R$128)</f>
        <v>0</v>
      </c>
      <c r="AA37" s="14">
        <f t="shared" si="1"/>
        <v>0</v>
      </c>
      <c r="AB37" s="14" t="e">
        <f>SUMIF('GLOBAL LOG'!$D$6:$D$128,C37,'GLOBAL LOG'!#REF!)</f>
        <v>#REF!</v>
      </c>
      <c r="AC37" s="6"/>
      <c r="AD37" s="14" t="str">
        <v>Airlink</v>
      </c>
      <c r="AE37" s="14" t="e">
        <v>#REF!</v>
      </c>
      <c r="AF37" s="6"/>
      <c r="AG37" s="14" t="str">
        <v>Air Serbia</v>
      </c>
      <c r="AH37" s="14">
        <v>0</v>
      </c>
      <c r="AI37" s="6"/>
      <c r="AJ37" s="14" t="str">
        <v>AIRCASTLE LTD</v>
      </c>
      <c r="AK37" s="14">
        <v>0</v>
      </c>
      <c r="AL37" s="6"/>
      <c r="AM37" s="14" t="str">
        <v>Air Serbia</v>
      </c>
      <c r="AN37" s="14">
        <v>0</v>
      </c>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row>
    <row r="38" spans="2:97" s="4" customFormat="1" ht="14.65" hidden="1" customHeight="1">
      <c r="B38" s="6"/>
      <c r="C38" s="13" t="str">
        <v>All Nippon Airways</v>
      </c>
      <c r="D38" s="14">
        <f>COUNTIFS('GLOBAL LOG'!$D$6:$D$128,C38,'GLOBAL LOG'!$K$6:$K$128,"&lt;&gt;")</f>
        <v>0</v>
      </c>
      <c r="E38" s="14" t="e">
        <f>COUNTIFS('GLOBAL LOG'!$D$6:$D$128,C38,'GLOBAL LOG'!#REF!,"Yes")</f>
        <v>#REF!</v>
      </c>
      <c r="F38" s="14" t="e">
        <f>SUMIF('GLOBAL LOG'!$D$6:$D$128,COUNT!C38,'GLOBAL LOG'!#REF!)</f>
        <v>#REF!</v>
      </c>
      <c r="G38" s="14">
        <f>COUNTIFS('GLOBAL LOG'!$E$6:$E$128,G$10,'GLOBAL LOG'!$D$6:$D$128,$C38)</f>
        <v>0</v>
      </c>
      <c r="H38" s="14">
        <f>COUNTIFS('GLOBAL LOG'!$E$6:$E$128,H$10,'GLOBAL LOG'!$D$6:$D$128,$C38)</f>
        <v>0</v>
      </c>
      <c r="I38" s="14">
        <f>COUNTIFS('GLOBAL LOG'!$E$6:$E$128,I$10,'GLOBAL LOG'!$D$6:$D$128,$C38)</f>
        <v>0</v>
      </c>
      <c r="J38" s="14">
        <f>COUNTIFS('GLOBAL LOG'!$E$6:$E$128,J$10,'GLOBAL LOG'!$D$6:$D$128,$C38)</f>
        <v>0</v>
      </c>
      <c r="K38" s="14">
        <f>COUNTIFS('GLOBAL LOG'!$E$6:$E$128,K$10,'GLOBAL LOG'!$D$6:$D$128,$C38)</f>
        <v>0</v>
      </c>
      <c r="L38" s="14">
        <f>COUNTIFS('GLOBAL LOG'!$E$6:$E$128,L$10,'GLOBAL LOG'!$D$6:$D$128,$C38)</f>
        <v>0</v>
      </c>
      <c r="M38" s="14">
        <f>COUNTIFS('GLOBAL LOG'!$E$6:$E$128,M$10,'GLOBAL LOG'!$D$6:$D$128,$C38)</f>
        <v>0</v>
      </c>
      <c r="N38" s="14" t="e">
        <f>COUNTIFS('GLOBAL LOG'!$D$6:$D$128,$C38,'GLOBAL LOG'!#REF!,"High")</f>
        <v>#REF!</v>
      </c>
      <c r="O38" s="14" t="e">
        <f>COUNTIFS('GLOBAL LOG'!$D$6:$D$128,$C38,'GLOBAL LOG'!#REF!,"Med")</f>
        <v>#REF!</v>
      </c>
      <c r="P38" s="14" t="e">
        <f>COUNTIFS('GLOBAL LOG'!$D$6:$D$128,$C38,'GLOBAL LOG'!#REF!,"Low")</f>
        <v>#REF!</v>
      </c>
      <c r="Q38" s="14" t="e">
        <f>COUNTIFS('GLOBAL LOG'!$D$6:$D$128,$C38,'GLOBAL LOG'!#REF!,"High")</f>
        <v>#REF!</v>
      </c>
      <c r="R38" s="14" t="e">
        <f>COUNTIFS('GLOBAL LOG'!$D$6:$D$128,$C38,'GLOBAL LOG'!#REF!,"Med")</f>
        <v>#REF!</v>
      </c>
      <c r="S38" s="14" t="e">
        <f>COUNTIFS('GLOBAL LOG'!$D$6:$D$128,$C38,'GLOBAL LOG'!#REF!,"Low")</f>
        <v>#REF!</v>
      </c>
      <c r="T38" s="14" t="e">
        <f>COUNTIFS('GLOBAL LOG'!$D$6:$D$128,$C38,'GLOBAL LOG'!#REF!,"Completed")</f>
        <v>#REF!</v>
      </c>
      <c r="U38" s="14" t="e">
        <f>COUNTIFS('GLOBAL LOG'!$D$6:$D$128,$C38,'GLOBAL LOG'!#REF!,"Contracting")</f>
        <v>#REF!</v>
      </c>
      <c r="V38" s="14" t="e">
        <f>COUNTIFS('GLOBAL LOG'!$D$6:$D$128,$C38,'GLOBAL LOG'!#REF!,"Negotiations")</f>
        <v>#REF!</v>
      </c>
      <c r="W38" s="14" t="e">
        <f>COUNTIFS('GLOBAL LOG'!$D$6:$D$128,$C38,'GLOBAL LOG'!#REF!,"ICT")</f>
        <v>#REF!</v>
      </c>
      <c r="X38" s="14" t="e">
        <f>COUNTIFS('GLOBAL LOG'!$D$6:$D$128,$C38,'GLOBAL LOG'!#REF!,"Hopper")</f>
        <v>#REF!</v>
      </c>
      <c r="Y38" s="14">
        <f>SUMIF('GLOBAL LOG'!$D$6:$D$128,$C38,'GLOBAL LOG'!$Q$6:$Q$128)</f>
        <v>0</v>
      </c>
      <c r="Z38" s="14">
        <f>SUMIF('GLOBAL LOG'!$D$6:$D$128,$C38,'GLOBAL LOG'!$R$6:$R$128)</f>
        <v>0</v>
      </c>
      <c r="AA38" s="14">
        <f t="shared" si="1"/>
        <v>0</v>
      </c>
      <c r="AB38" s="14" t="e">
        <f>SUMIF('GLOBAL LOG'!$D$6:$D$128,C38,'GLOBAL LOG'!#REF!)</f>
        <v>#REF!</v>
      </c>
      <c r="AC38" s="6"/>
      <c r="AD38" s="14" t="str">
        <v>All Nippon Airways</v>
      </c>
      <c r="AE38" s="14" t="e">
        <v>#REF!</v>
      </c>
      <c r="AF38" s="6"/>
      <c r="AG38" s="14" t="str">
        <v>Air Tanzania</v>
      </c>
      <c r="AH38" s="14">
        <v>0</v>
      </c>
      <c r="AI38" s="6"/>
      <c r="AJ38" s="14" t="str">
        <v>Airlink</v>
      </c>
      <c r="AK38" s="14">
        <v>0</v>
      </c>
      <c r="AL38" s="6"/>
      <c r="AM38" s="14" t="str">
        <v>Air Tanzania</v>
      </c>
      <c r="AN38" s="14">
        <v>0</v>
      </c>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row>
    <row r="39" spans="2:97" s="4" customFormat="1" ht="14.65" hidden="1" customHeight="1">
      <c r="B39" s="6"/>
      <c r="C39" s="13" t="str">
        <v>ALS</v>
      </c>
      <c r="D39" s="14">
        <f>COUNTIFS('GLOBAL LOG'!$D$6:$D$128,C39,'GLOBAL LOG'!$K$6:$K$128,"&lt;&gt;")</f>
        <v>0</v>
      </c>
      <c r="E39" s="14" t="e">
        <f>COUNTIFS('GLOBAL LOG'!$D$6:$D$128,C39,'GLOBAL LOG'!#REF!,"Yes")</f>
        <v>#REF!</v>
      </c>
      <c r="F39" s="14" t="e">
        <f>SUMIF('GLOBAL LOG'!$D$6:$D$128,COUNT!C39,'GLOBAL LOG'!#REF!)</f>
        <v>#REF!</v>
      </c>
      <c r="G39" s="14">
        <f>COUNTIFS('GLOBAL LOG'!$E$6:$E$128,G$10,'GLOBAL LOG'!$D$6:$D$128,$C39)</f>
        <v>0</v>
      </c>
      <c r="H39" s="14">
        <f>COUNTIFS('GLOBAL LOG'!$E$6:$E$128,H$10,'GLOBAL LOG'!$D$6:$D$128,$C39)</f>
        <v>0</v>
      </c>
      <c r="I39" s="14">
        <f>COUNTIFS('GLOBAL LOG'!$E$6:$E$128,I$10,'GLOBAL LOG'!$D$6:$D$128,$C39)</f>
        <v>0</v>
      </c>
      <c r="J39" s="14">
        <f>COUNTIFS('GLOBAL LOG'!$E$6:$E$128,J$10,'GLOBAL LOG'!$D$6:$D$128,$C39)</f>
        <v>0</v>
      </c>
      <c r="K39" s="14">
        <f>COUNTIFS('GLOBAL LOG'!$E$6:$E$128,K$10,'GLOBAL LOG'!$D$6:$D$128,$C39)</f>
        <v>0</v>
      </c>
      <c r="L39" s="14">
        <f>COUNTIFS('GLOBAL LOG'!$E$6:$E$128,L$10,'GLOBAL LOG'!$D$6:$D$128,$C39)</f>
        <v>0</v>
      </c>
      <c r="M39" s="14">
        <f>COUNTIFS('GLOBAL LOG'!$E$6:$E$128,M$10,'GLOBAL LOG'!$D$6:$D$128,$C39)</f>
        <v>0</v>
      </c>
      <c r="N39" s="14" t="e">
        <f>COUNTIFS('GLOBAL LOG'!$D$6:$D$128,$C39,'GLOBAL LOG'!#REF!,"High")</f>
        <v>#REF!</v>
      </c>
      <c r="O39" s="14" t="e">
        <f>COUNTIFS('GLOBAL LOG'!$D$6:$D$128,$C39,'GLOBAL LOG'!#REF!,"Med")</f>
        <v>#REF!</v>
      </c>
      <c r="P39" s="14" t="e">
        <f>COUNTIFS('GLOBAL LOG'!$D$6:$D$128,$C39,'GLOBAL LOG'!#REF!,"Low")</f>
        <v>#REF!</v>
      </c>
      <c r="Q39" s="14" t="e">
        <f>COUNTIFS('GLOBAL LOG'!$D$6:$D$128,$C39,'GLOBAL LOG'!#REF!,"High")</f>
        <v>#REF!</v>
      </c>
      <c r="R39" s="14" t="e">
        <f>COUNTIFS('GLOBAL LOG'!$D$6:$D$128,$C39,'GLOBAL LOG'!#REF!,"Med")</f>
        <v>#REF!</v>
      </c>
      <c r="S39" s="14" t="e">
        <f>COUNTIFS('GLOBAL LOG'!$D$6:$D$128,$C39,'GLOBAL LOG'!#REF!,"Low")</f>
        <v>#REF!</v>
      </c>
      <c r="T39" s="14" t="e">
        <f>COUNTIFS('GLOBAL LOG'!$D$6:$D$128,$C39,'GLOBAL LOG'!#REF!,"Completed")</f>
        <v>#REF!</v>
      </c>
      <c r="U39" s="14" t="e">
        <f>COUNTIFS('GLOBAL LOG'!$D$6:$D$128,$C39,'GLOBAL LOG'!#REF!,"Contracting")</f>
        <v>#REF!</v>
      </c>
      <c r="V39" s="14" t="e">
        <f>COUNTIFS('GLOBAL LOG'!$D$6:$D$128,$C39,'GLOBAL LOG'!#REF!,"Negotiations")</f>
        <v>#REF!</v>
      </c>
      <c r="W39" s="14" t="e">
        <f>COUNTIFS('GLOBAL LOG'!$D$6:$D$128,$C39,'GLOBAL LOG'!#REF!,"ICT")</f>
        <v>#REF!</v>
      </c>
      <c r="X39" s="14" t="e">
        <f>COUNTIFS('GLOBAL LOG'!$D$6:$D$128,$C39,'GLOBAL LOG'!#REF!,"Hopper")</f>
        <v>#REF!</v>
      </c>
      <c r="Y39" s="14">
        <f>SUMIF('GLOBAL LOG'!$D$6:$D$128,$C39,'GLOBAL LOG'!$Q$6:$Q$128)</f>
        <v>0</v>
      </c>
      <c r="Z39" s="14">
        <f>SUMIF('GLOBAL LOG'!$D$6:$D$128,$C39,'GLOBAL LOG'!$R$6:$R$128)</f>
        <v>0</v>
      </c>
      <c r="AA39" s="14">
        <f t="shared" si="1"/>
        <v>0</v>
      </c>
      <c r="AB39" s="14" t="e">
        <f>SUMIF('GLOBAL LOG'!$D$6:$D$128,C39,'GLOBAL LOG'!#REF!)</f>
        <v>#REF!</v>
      </c>
      <c r="AC39" s="6"/>
      <c r="AD39" s="14" t="str">
        <v>ALS</v>
      </c>
      <c r="AE39" s="14" t="e">
        <v>#REF!</v>
      </c>
      <c r="AF39" s="6"/>
      <c r="AG39" s="14" t="str">
        <v>Air Transat</v>
      </c>
      <c r="AH39" s="14">
        <v>0</v>
      </c>
      <c r="AI39" s="6"/>
      <c r="AJ39" s="14" t="str">
        <v>All Nippon Airways</v>
      </c>
      <c r="AK39" s="14">
        <v>0</v>
      </c>
      <c r="AL39" s="6"/>
      <c r="AM39" s="14" t="str">
        <v>Air Transat</v>
      </c>
      <c r="AN39" s="14">
        <v>0</v>
      </c>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row>
    <row r="40" spans="2:97" s="4" customFormat="1" ht="14.65" hidden="1" customHeight="1">
      <c r="B40" s="6"/>
      <c r="C40" s="13" t="str">
        <v>Amazon Air</v>
      </c>
      <c r="D40" s="14">
        <f>COUNTIFS('GLOBAL LOG'!$D$6:$D$128,C40,'GLOBAL LOG'!$K$6:$K$128,"&lt;&gt;")</f>
        <v>0</v>
      </c>
      <c r="E40" s="14" t="e">
        <f>COUNTIFS('GLOBAL LOG'!$D$6:$D$128,C40,'GLOBAL LOG'!#REF!,"Yes")</f>
        <v>#REF!</v>
      </c>
      <c r="F40" s="14" t="e">
        <f>SUMIF('GLOBAL LOG'!$D$6:$D$128,COUNT!C40,'GLOBAL LOG'!#REF!)</f>
        <v>#REF!</v>
      </c>
      <c r="G40" s="14">
        <f>COUNTIFS('GLOBAL LOG'!$E$6:$E$128,G$10,'GLOBAL LOG'!$D$6:$D$128,$C40)</f>
        <v>0</v>
      </c>
      <c r="H40" s="14">
        <f>COUNTIFS('GLOBAL LOG'!$E$6:$E$128,H$10,'GLOBAL LOG'!$D$6:$D$128,$C40)</f>
        <v>0</v>
      </c>
      <c r="I40" s="14">
        <f>COUNTIFS('GLOBAL LOG'!$E$6:$E$128,I$10,'GLOBAL LOG'!$D$6:$D$128,$C40)</f>
        <v>0</v>
      </c>
      <c r="J40" s="14">
        <f>COUNTIFS('GLOBAL LOG'!$E$6:$E$128,J$10,'GLOBAL LOG'!$D$6:$D$128,$C40)</f>
        <v>0</v>
      </c>
      <c r="K40" s="14">
        <f>COUNTIFS('GLOBAL LOG'!$E$6:$E$128,K$10,'GLOBAL LOG'!$D$6:$D$128,$C40)</f>
        <v>0</v>
      </c>
      <c r="L40" s="14">
        <f>COUNTIFS('GLOBAL LOG'!$E$6:$E$128,L$10,'GLOBAL LOG'!$D$6:$D$128,$C40)</f>
        <v>0</v>
      </c>
      <c r="M40" s="14">
        <f>COUNTIFS('GLOBAL LOG'!$E$6:$E$128,M$10,'GLOBAL LOG'!$D$6:$D$128,$C40)</f>
        <v>0</v>
      </c>
      <c r="N40" s="14" t="e">
        <f>COUNTIFS('GLOBAL LOG'!$D$6:$D$128,$C40,'GLOBAL LOG'!#REF!,"High")</f>
        <v>#REF!</v>
      </c>
      <c r="O40" s="14" t="e">
        <f>COUNTIFS('GLOBAL LOG'!$D$6:$D$128,$C40,'GLOBAL LOG'!#REF!,"Med")</f>
        <v>#REF!</v>
      </c>
      <c r="P40" s="14" t="e">
        <f>COUNTIFS('GLOBAL LOG'!$D$6:$D$128,$C40,'GLOBAL LOG'!#REF!,"Low")</f>
        <v>#REF!</v>
      </c>
      <c r="Q40" s="14" t="e">
        <f>COUNTIFS('GLOBAL LOG'!$D$6:$D$128,$C40,'GLOBAL LOG'!#REF!,"High")</f>
        <v>#REF!</v>
      </c>
      <c r="R40" s="14" t="e">
        <f>COUNTIFS('GLOBAL LOG'!$D$6:$D$128,$C40,'GLOBAL LOG'!#REF!,"Med")</f>
        <v>#REF!</v>
      </c>
      <c r="S40" s="14" t="e">
        <f>COUNTIFS('GLOBAL LOG'!$D$6:$D$128,$C40,'GLOBAL LOG'!#REF!,"Low")</f>
        <v>#REF!</v>
      </c>
      <c r="T40" s="14" t="e">
        <f>COUNTIFS('GLOBAL LOG'!$D$6:$D$128,$C40,'GLOBAL LOG'!#REF!,"Completed")</f>
        <v>#REF!</v>
      </c>
      <c r="U40" s="14" t="e">
        <f>COUNTIFS('GLOBAL LOG'!$D$6:$D$128,$C40,'GLOBAL LOG'!#REF!,"Contracting")</f>
        <v>#REF!</v>
      </c>
      <c r="V40" s="14" t="e">
        <f>COUNTIFS('GLOBAL LOG'!$D$6:$D$128,$C40,'GLOBAL LOG'!#REF!,"Negotiations")</f>
        <v>#REF!</v>
      </c>
      <c r="W40" s="14" t="e">
        <f>COUNTIFS('GLOBAL LOG'!$D$6:$D$128,$C40,'GLOBAL LOG'!#REF!,"ICT")</f>
        <v>#REF!</v>
      </c>
      <c r="X40" s="14" t="e">
        <f>COUNTIFS('GLOBAL LOG'!$D$6:$D$128,$C40,'GLOBAL LOG'!#REF!,"Hopper")</f>
        <v>#REF!</v>
      </c>
      <c r="Y40" s="14">
        <f>SUMIF('GLOBAL LOG'!$D$6:$D$128,$C40,'GLOBAL LOG'!$Q$6:$Q$128)</f>
        <v>0</v>
      </c>
      <c r="Z40" s="14">
        <f>SUMIF('GLOBAL LOG'!$D$6:$D$128,$C40,'GLOBAL LOG'!$R$6:$R$128)</f>
        <v>0</v>
      </c>
      <c r="AA40" s="14">
        <f t="shared" si="1"/>
        <v>0</v>
      </c>
      <c r="AB40" s="14" t="e">
        <f>SUMIF('GLOBAL LOG'!$D$6:$D$128,C40,'GLOBAL LOG'!#REF!)</f>
        <v>#REF!</v>
      </c>
      <c r="AC40" s="6"/>
      <c r="AD40" s="14" t="str">
        <v>Amazon Air</v>
      </c>
      <c r="AE40" s="14" t="e">
        <v>#REF!</v>
      </c>
      <c r="AF40" s="6"/>
      <c r="AG40" s="14" t="str">
        <v>AirAsia X</v>
      </c>
      <c r="AH40" s="14">
        <v>0</v>
      </c>
      <c r="AI40" s="6"/>
      <c r="AJ40" s="14" t="str">
        <v>ALS</v>
      </c>
      <c r="AK40" s="14">
        <v>0</v>
      </c>
      <c r="AL40" s="6"/>
      <c r="AM40" s="14" t="str">
        <v>AirAsia X</v>
      </c>
      <c r="AN40" s="14">
        <v>0</v>
      </c>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row>
    <row r="41" spans="2:97" s="4" customFormat="1" ht="14.65" hidden="1" customHeight="1">
      <c r="B41" s="6"/>
      <c r="C41" s="13" t="str">
        <v>American Airlines Group</v>
      </c>
      <c r="D41" s="14">
        <f>COUNTIFS('GLOBAL LOG'!$D$6:$D$128,C41,'GLOBAL LOG'!$K$6:$K$128,"&lt;&gt;")</f>
        <v>0</v>
      </c>
      <c r="E41" s="14" t="e">
        <f>COUNTIFS('GLOBAL LOG'!$D$6:$D$128,C41,'GLOBAL LOG'!#REF!,"Yes")</f>
        <v>#REF!</v>
      </c>
      <c r="F41" s="14" t="e">
        <f>SUMIF('GLOBAL LOG'!$D$6:$D$128,COUNT!C41,'GLOBAL LOG'!#REF!)</f>
        <v>#REF!</v>
      </c>
      <c r="G41" s="14">
        <f>COUNTIFS('GLOBAL LOG'!$E$6:$E$128,G$10,'GLOBAL LOG'!$D$6:$D$128,$C41)</f>
        <v>0</v>
      </c>
      <c r="H41" s="14">
        <f>COUNTIFS('GLOBAL LOG'!$E$6:$E$128,H$10,'GLOBAL LOG'!$D$6:$D$128,$C41)</f>
        <v>0</v>
      </c>
      <c r="I41" s="14">
        <f>COUNTIFS('GLOBAL LOG'!$E$6:$E$128,I$10,'GLOBAL LOG'!$D$6:$D$128,$C41)</f>
        <v>0</v>
      </c>
      <c r="J41" s="14">
        <f>COUNTIFS('GLOBAL LOG'!$E$6:$E$128,J$10,'GLOBAL LOG'!$D$6:$D$128,$C41)</f>
        <v>0</v>
      </c>
      <c r="K41" s="14">
        <f>COUNTIFS('GLOBAL LOG'!$E$6:$E$128,K$10,'GLOBAL LOG'!$D$6:$D$128,$C41)</f>
        <v>0</v>
      </c>
      <c r="L41" s="14">
        <f>COUNTIFS('GLOBAL LOG'!$E$6:$E$128,L$10,'GLOBAL LOG'!$D$6:$D$128,$C41)</f>
        <v>0</v>
      </c>
      <c r="M41" s="14">
        <f>COUNTIFS('GLOBAL LOG'!$E$6:$E$128,M$10,'GLOBAL LOG'!$D$6:$D$128,$C41)</f>
        <v>0</v>
      </c>
      <c r="N41" s="14" t="e">
        <f>COUNTIFS('GLOBAL LOG'!$D$6:$D$128,$C41,'GLOBAL LOG'!#REF!,"High")</f>
        <v>#REF!</v>
      </c>
      <c r="O41" s="14" t="e">
        <f>COUNTIFS('GLOBAL LOG'!$D$6:$D$128,$C41,'GLOBAL LOG'!#REF!,"Med")</f>
        <v>#REF!</v>
      </c>
      <c r="P41" s="14" t="e">
        <f>COUNTIFS('GLOBAL LOG'!$D$6:$D$128,$C41,'GLOBAL LOG'!#REF!,"Low")</f>
        <v>#REF!</v>
      </c>
      <c r="Q41" s="14" t="e">
        <f>COUNTIFS('GLOBAL LOG'!$D$6:$D$128,$C41,'GLOBAL LOG'!#REF!,"High")</f>
        <v>#REF!</v>
      </c>
      <c r="R41" s="14" t="e">
        <f>COUNTIFS('GLOBAL LOG'!$D$6:$D$128,$C41,'GLOBAL LOG'!#REF!,"Med")</f>
        <v>#REF!</v>
      </c>
      <c r="S41" s="14" t="e">
        <f>COUNTIFS('GLOBAL LOG'!$D$6:$D$128,$C41,'GLOBAL LOG'!#REF!,"Low")</f>
        <v>#REF!</v>
      </c>
      <c r="T41" s="14" t="e">
        <f>COUNTIFS('GLOBAL LOG'!$D$6:$D$128,$C41,'GLOBAL LOG'!#REF!,"Completed")</f>
        <v>#REF!</v>
      </c>
      <c r="U41" s="14" t="e">
        <f>COUNTIFS('GLOBAL LOG'!$D$6:$D$128,$C41,'GLOBAL LOG'!#REF!,"Contracting")</f>
        <v>#REF!</v>
      </c>
      <c r="V41" s="14" t="e">
        <f>COUNTIFS('GLOBAL LOG'!$D$6:$D$128,$C41,'GLOBAL LOG'!#REF!,"Negotiations")</f>
        <v>#REF!</v>
      </c>
      <c r="W41" s="14" t="e">
        <f>COUNTIFS('GLOBAL LOG'!$D$6:$D$128,$C41,'GLOBAL LOG'!#REF!,"ICT")</f>
        <v>#REF!</v>
      </c>
      <c r="X41" s="14" t="e">
        <f>COUNTIFS('GLOBAL LOG'!$D$6:$D$128,$C41,'GLOBAL LOG'!#REF!,"Hopper")</f>
        <v>#REF!</v>
      </c>
      <c r="Y41" s="14">
        <f>SUMIF('GLOBAL LOG'!$D$6:$D$128,$C41,'GLOBAL LOG'!$Q$6:$Q$128)</f>
        <v>0</v>
      </c>
      <c r="Z41" s="14">
        <f>SUMIF('GLOBAL LOG'!$D$6:$D$128,$C41,'GLOBAL LOG'!$R$6:$R$128)</f>
        <v>0</v>
      </c>
      <c r="AA41" s="14">
        <f t="shared" si="1"/>
        <v>0</v>
      </c>
      <c r="AB41" s="14" t="e">
        <f>SUMIF('GLOBAL LOG'!$D$6:$D$128,C41,'GLOBAL LOG'!#REF!)</f>
        <v>#REF!</v>
      </c>
      <c r="AC41" s="6"/>
      <c r="AD41" s="14" t="str">
        <v>American Airlines Group</v>
      </c>
      <c r="AE41" s="14" t="e">
        <v>#REF!</v>
      </c>
      <c r="AF41" s="6"/>
      <c r="AG41" s="14" t="str">
        <v>Aircalin</v>
      </c>
      <c r="AH41" s="14">
        <v>0</v>
      </c>
      <c r="AI41" s="6"/>
      <c r="AJ41" s="14" t="str">
        <v>Amazon Air</v>
      </c>
      <c r="AK41" s="14">
        <v>0</v>
      </c>
      <c r="AL41" s="6"/>
      <c r="AM41" s="14" t="str">
        <v>Aircalin</v>
      </c>
      <c r="AN41" s="14">
        <v>0</v>
      </c>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row>
    <row r="42" spans="2:97" s="4" customFormat="1" ht="14.65" hidden="1" customHeight="1">
      <c r="B42" s="6"/>
      <c r="C42" s="13" t="str">
        <v>APAL</v>
      </c>
      <c r="D42" s="14">
        <f>COUNTIFS('GLOBAL LOG'!$D$6:$D$128,C42,'GLOBAL LOG'!$K$6:$K$128,"&lt;&gt;")</f>
        <v>0</v>
      </c>
      <c r="E42" s="14" t="e">
        <f>COUNTIFS('GLOBAL LOG'!$D$6:$D$128,C42,'GLOBAL LOG'!#REF!,"Yes")</f>
        <v>#REF!</v>
      </c>
      <c r="F42" s="14" t="e">
        <f>SUMIF('GLOBAL LOG'!$D$6:$D$128,COUNT!C42,'GLOBAL LOG'!#REF!)</f>
        <v>#REF!</v>
      </c>
      <c r="G42" s="14">
        <f>COUNTIFS('GLOBAL LOG'!$E$6:$E$128,G$10,'GLOBAL LOG'!$D$6:$D$128,$C42)</f>
        <v>0</v>
      </c>
      <c r="H42" s="14">
        <f>COUNTIFS('GLOBAL LOG'!$E$6:$E$128,H$10,'GLOBAL LOG'!$D$6:$D$128,$C42)</f>
        <v>0</v>
      </c>
      <c r="I42" s="14">
        <f>COUNTIFS('GLOBAL LOG'!$E$6:$E$128,I$10,'GLOBAL LOG'!$D$6:$D$128,$C42)</f>
        <v>0</v>
      </c>
      <c r="J42" s="14">
        <f>COUNTIFS('GLOBAL LOG'!$E$6:$E$128,J$10,'GLOBAL LOG'!$D$6:$D$128,$C42)</f>
        <v>0</v>
      </c>
      <c r="K42" s="14">
        <f>COUNTIFS('GLOBAL LOG'!$E$6:$E$128,K$10,'GLOBAL LOG'!$D$6:$D$128,$C42)</f>
        <v>0</v>
      </c>
      <c r="L42" s="14">
        <f>COUNTIFS('GLOBAL LOG'!$E$6:$E$128,L$10,'GLOBAL LOG'!$D$6:$D$128,$C42)</f>
        <v>0</v>
      </c>
      <c r="M42" s="14">
        <f>COUNTIFS('GLOBAL LOG'!$E$6:$E$128,M$10,'GLOBAL LOG'!$D$6:$D$128,$C42)</f>
        <v>0</v>
      </c>
      <c r="N42" s="14" t="e">
        <f>COUNTIFS('GLOBAL LOG'!$D$6:$D$128,$C42,'GLOBAL LOG'!#REF!,"High")</f>
        <v>#REF!</v>
      </c>
      <c r="O42" s="14" t="e">
        <f>COUNTIFS('GLOBAL LOG'!$D$6:$D$128,$C42,'GLOBAL LOG'!#REF!,"Med")</f>
        <v>#REF!</v>
      </c>
      <c r="P42" s="14" t="e">
        <f>COUNTIFS('GLOBAL LOG'!$D$6:$D$128,$C42,'GLOBAL LOG'!#REF!,"Low")</f>
        <v>#REF!</v>
      </c>
      <c r="Q42" s="14" t="e">
        <f>COUNTIFS('GLOBAL LOG'!$D$6:$D$128,$C42,'GLOBAL LOG'!#REF!,"High")</f>
        <v>#REF!</v>
      </c>
      <c r="R42" s="14" t="e">
        <f>COUNTIFS('GLOBAL LOG'!$D$6:$D$128,$C42,'GLOBAL LOG'!#REF!,"Med")</f>
        <v>#REF!</v>
      </c>
      <c r="S42" s="14" t="e">
        <f>COUNTIFS('GLOBAL LOG'!$D$6:$D$128,$C42,'GLOBAL LOG'!#REF!,"Low")</f>
        <v>#REF!</v>
      </c>
      <c r="T42" s="14" t="e">
        <f>COUNTIFS('GLOBAL LOG'!$D$6:$D$128,$C42,'GLOBAL LOG'!#REF!,"Completed")</f>
        <v>#REF!</v>
      </c>
      <c r="U42" s="14" t="e">
        <f>COUNTIFS('GLOBAL LOG'!$D$6:$D$128,$C42,'GLOBAL LOG'!#REF!,"Contracting")</f>
        <v>#REF!</v>
      </c>
      <c r="V42" s="14" t="e">
        <f>COUNTIFS('GLOBAL LOG'!$D$6:$D$128,$C42,'GLOBAL LOG'!#REF!,"Negotiations")</f>
        <v>#REF!</v>
      </c>
      <c r="W42" s="14" t="e">
        <f>COUNTIFS('GLOBAL LOG'!$D$6:$D$128,$C42,'GLOBAL LOG'!#REF!,"ICT")</f>
        <v>#REF!</v>
      </c>
      <c r="X42" s="14" t="e">
        <f>COUNTIFS('GLOBAL LOG'!$D$6:$D$128,$C42,'GLOBAL LOG'!#REF!,"Hopper")</f>
        <v>#REF!</v>
      </c>
      <c r="Y42" s="14">
        <f>SUMIF('GLOBAL LOG'!$D$6:$D$128,$C42,'GLOBAL LOG'!$Q$6:$Q$128)</f>
        <v>0</v>
      </c>
      <c r="Z42" s="14">
        <f>SUMIF('GLOBAL LOG'!$D$6:$D$128,$C42,'GLOBAL LOG'!$R$6:$R$128)</f>
        <v>0</v>
      </c>
      <c r="AA42" s="14">
        <f t="shared" si="1"/>
        <v>0</v>
      </c>
      <c r="AB42" s="14" t="e">
        <f>SUMIF('GLOBAL LOG'!$D$6:$D$128,C42,'GLOBAL LOG'!#REF!)</f>
        <v>#REF!</v>
      </c>
      <c r="AC42" s="6"/>
      <c r="AD42" s="14" t="str">
        <v>APAL</v>
      </c>
      <c r="AE42" s="14" t="e">
        <v>#REF!</v>
      </c>
      <c r="AF42" s="6"/>
      <c r="AG42" s="14" t="str">
        <v>AIRCASTLE LTD</v>
      </c>
      <c r="AH42" s="14">
        <v>0</v>
      </c>
      <c r="AI42" s="6"/>
      <c r="AJ42" s="14" t="str">
        <v>American Airlines Group</v>
      </c>
      <c r="AK42" s="14">
        <v>0</v>
      </c>
      <c r="AL42" s="6"/>
      <c r="AM42" s="14" t="str">
        <v>AIRCASTLE LTD</v>
      </c>
      <c r="AN42" s="14">
        <v>0</v>
      </c>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row>
    <row r="43" spans="2:97" s="4" customFormat="1" ht="14.65" hidden="1" customHeight="1">
      <c r="B43" s="6"/>
      <c r="C43" s="13" t="str">
        <v>Asiana Airlines</v>
      </c>
      <c r="D43" s="14">
        <f>COUNTIFS('GLOBAL LOG'!$D$6:$D$128,C43,'GLOBAL LOG'!$K$6:$K$128,"&lt;&gt;")</f>
        <v>0</v>
      </c>
      <c r="E43" s="14" t="e">
        <f>COUNTIFS('GLOBAL LOG'!$D$6:$D$128,C43,'GLOBAL LOG'!#REF!,"Yes")</f>
        <v>#REF!</v>
      </c>
      <c r="F43" s="14" t="e">
        <f>SUMIF('GLOBAL LOG'!$D$6:$D$128,COUNT!C43,'GLOBAL LOG'!#REF!)</f>
        <v>#REF!</v>
      </c>
      <c r="G43" s="14">
        <f>COUNTIFS('GLOBAL LOG'!$E$6:$E$128,G$10,'GLOBAL LOG'!$D$6:$D$128,$C43)</f>
        <v>0</v>
      </c>
      <c r="H43" s="14">
        <f>COUNTIFS('GLOBAL LOG'!$E$6:$E$128,H$10,'GLOBAL LOG'!$D$6:$D$128,$C43)</f>
        <v>0</v>
      </c>
      <c r="I43" s="14">
        <f>COUNTIFS('GLOBAL LOG'!$E$6:$E$128,I$10,'GLOBAL LOG'!$D$6:$D$128,$C43)</f>
        <v>0</v>
      </c>
      <c r="J43" s="14">
        <f>COUNTIFS('GLOBAL LOG'!$E$6:$E$128,J$10,'GLOBAL LOG'!$D$6:$D$128,$C43)</f>
        <v>0</v>
      </c>
      <c r="K43" s="14">
        <f>COUNTIFS('GLOBAL LOG'!$E$6:$E$128,K$10,'GLOBAL LOG'!$D$6:$D$128,$C43)</f>
        <v>0</v>
      </c>
      <c r="L43" s="14">
        <f>COUNTIFS('GLOBAL LOG'!$E$6:$E$128,L$10,'GLOBAL LOG'!$D$6:$D$128,$C43)</f>
        <v>0</v>
      </c>
      <c r="M43" s="14">
        <f>COUNTIFS('GLOBAL LOG'!$E$6:$E$128,M$10,'GLOBAL LOG'!$D$6:$D$128,$C43)</f>
        <v>0</v>
      </c>
      <c r="N43" s="14" t="e">
        <f>COUNTIFS('GLOBAL LOG'!$D$6:$D$128,$C43,'GLOBAL LOG'!#REF!,"High")</f>
        <v>#REF!</v>
      </c>
      <c r="O43" s="14" t="e">
        <f>COUNTIFS('GLOBAL LOG'!$D$6:$D$128,$C43,'GLOBAL LOG'!#REF!,"Med")</f>
        <v>#REF!</v>
      </c>
      <c r="P43" s="14" t="e">
        <f>COUNTIFS('GLOBAL LOG'!$D$6:$D$128,$C43,'GLOBAL LOG'!#REF!,"Low")</f>
        <v>#REF!</v>
      </c>
      <c r="Q43" s="14" t="e">
        <f>COUNTIFS('GLOBAL LOG'!$D$6:$D$128,$C43,'GLOBAL LOG'!#REF!,"High")</f>
        <v>#REF!</v>
      </c>
      <c r="R43" s="14" t="e">
        <f>COUNTIFS('GLOBAL LOG'!$D$6:$D$128,$C43,'GLOBAL LOG'!#REF!,"Med")</f>
        <v>#REF!</v>
      </c>
      <c r="S43" s="14" t="e">
        <f>COUNTIFS('GLOBAL LOG'!$D$6:$D$128,$C43,'GLOBAL LOG'!#REF!,"Low")</f>
        <v>#REF!</v>
      </c>
      <c r="T43" s="14" t="e">
        <f>COUNTIFS('GLOBAL LOG'!$D$6:$D$128,$C43,'GLOBAL LOG'!#REF!,"Completed")</f>
        <v>#REF!</v>
      </c>
      <c r="U43" s="14" t="e">
        <f>COUNTIFS('GLOBAL LOG'!$D$6:$D$128,$C43,'GLOBAL LOG'!#REF!,"Contracting")</f>
        <v>#REF!</v>
      </c>
      <c r="V43" s="14" t="e">
        <f>COUNTIFS('GLOBAL LOG'!$D$6:$D$128,$C43,'GLOBAL LOG'!#REF!,"Negotiations")</f>
        <v>#REF!</v>
      </c>
      <c r="W43" s="14" t="e">
        <f>COUNTIFS('GLOBAL LOG'!$D$6:$D$128,$C43,'GLOBAL LOG'!#REF!,"ICT")</f>
        <v>#REF!</v>
      </c>
      <c r="X43" s="14" t="e">
        <f>COUNTIFS('GLOBAL LOG'!$D$6:$D$128,$C43,'GLOBAL LOG'!#REF!,"Hopper")</f>
        <v>#REF!</v>
      </c>
      <c r="Y43" s="14">
        <f>SUMIF('GLOBAL LOG'!$D$6:$D$128,$C43,'GLOBAL LOG'!$Q$6:$Q$128)</f>
        <v>0</v>
      </c>
      <c r="Z43" s="14">
        <f>SUMIF('GLOBAL LOG'!$D$6:$D$128,$C43,'GLOBAL LOG'!$R$6:$R$128)</f>
        <v>0</v>
      </c>
      <c r="AA43" s="14">
        <f t="shared" si="1"/>
        <v>0</v>
      </c>
      <c r="AB43" s="14" t="e">
        <f>SUMIF('GLOBAL LOG'!$D$6:$D$128,C43,'GLOBAL LOG'!#REF!)</f>
        <v>#REF!</v>
      </c>
      <c r="AC43" s="6"/>
      <c r="AD43" s="14" t="str">
        <v>Asiana Airlines</v>
      </c>
      <c r="AE43" s="14" t="e">
        <v>#REF!</v>
      </c>
      <c r="AF43" s="6"/>
      <c r="AG43" s="14" t="str">
        <v>Airlink</v>
      </c>
      <c r="AH43" s="14">
        <v>0</v>
      </c>
      <c r="AI43" s="6"/>
      <c r="AJ43" s="14" t="str">
        <v>APAL</v>
      </c>
      <c r="AK43" s="14">
        <v>0</v>
      </c>
      <c r="AL43" s="6"/>
      <c r="AM43" s="14" t="str">
        <v>Airlink</v>
      </c>
      <c r="AN43" s="14">
        <v>0</v>
      </c>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row>
    <row r="44" spans="2:97" s="4" customFormat="1" ht="14.65" hidden="1" customHeight="1">
      <c r="B44" s="6"/>
      <c r="C44" s="13" t="str">
        <v>Avianca Holdings S.A. (Colombia)</v>
      </c>
      <c r="D44" s="14">
        <f>COUNTIFS('GLOBAL LOG'!$D$6:$D$128,C44,'GLOBAL LOG'!$K$6:$K$128,"&lt;&gt;")</f>
        <v>0</v>
      </c>
      <c r="E44" s="14" t="e">
        <f>COUNTIFS('GLOBAL LOG'!$D$6:$D$128,C44,'GLOBAL LOG'!#REF!,"Yes")</f>
        <v>#REF!</v>
      </c>
      <c r="F44" s="14" t="e">
        <f>SUMIF('GLOBAL LOG'!$D$6:$D$128,COUNT!C44,'GLOBAL LOG'!#REF!)</f>
        <v>#REF!</v>
      </c>
      <c r="G44" s="14">
        <f>COUNTIFS('GLOBAL LOG'!$E$6:$E$128,G$10,'GLOBAL LOG'!$D$6:$D$128,$C44)</f>
        <v>0</v>
      </c>
      <c r="H44" s="14">
        <f>COUNTIFS('GLOBAL LOG'!$E$6:$E$128,H$10,'GLOBAL LOG'!$D$6:$D$128,$C44)</f>
        <v>0</v>
      </c>
      <c r="I44" s="14">
        <f>COUNTIFS('GLOBAL LOG'!$E$6:$E$128,I$10,'GLOBAL LOG'!$D$6:$D$128,$C44)</f>
        <v>0</v>
      </c>
      <c r="J44" s="14">
        <f>COUNTIFS('GLOBAL LOG'!$E$6:$E$128,J$10,'GLOBAL LOG'!$D$6:$D$128,$C44)</f>
        <v>0</v>
      </c>
      <c r="K44" s="14">
        <f>COUNTIFS('GLOBAL LOG'!$E$6:$E$128,K$10,'GLOBAL LOG'!$D$6:$D$128,$C44)</f>
        <v>0</v>
      </c>
      <c r="L44" s="14">
        <f>COUNTIFS('GLOBAL LOG'!$E$6:$E$128,L$10,'GLOBAL LOG'!$D$6:$D$128,$C44)</f>
        <v>0</v>
      </c>
      <c r="M44" s="14">
        <f>COUNTIFS('GLOBAL LOG'!$E$6:$E$128,M$10,'GLOBAL LOG'!$D$6:$D$128,$C44)</f>
        <v>0</v>
      </c>
      <c r="N44" s="14" t="e">
        <f>COUNTIFS('GLOBAL LOG'!$D$6:$D$128,$C44,'GLOBAL LOG'!#REF!,"High")</f>
        <v>#REF!</v>
      </c>
      <c r="O44" s="14" t="e">
        <f>COUNTIFS('GLOBAL LOG'!$D$6:$D$128,$C44,'GLOBAL LOG'!#REF!,"Med")</f>
        <v>#REF!</v>
      </c>
      <c r="P44" s="14" t="e">
        <f>COUNTIFS('GLOBAL LOG'!$D$6:$D$128,$C44,'GLOBAL LOG'!#REF!,"Low")</f>
        <v>#REF!</v>
      </c>
      <c r="Q44" s="14" t="e">
        <f>COUNTIFS('GLOBAL LOG'!$D$6:$D$128,$C44,'GLOBAL LOG'!#REF!,"High")</f>
        <v>#REF!</v>
      </c>
      <c r="R44" s="14" t="e">
        <f>COUNTIFS('GLOBAL LOG'!$D$6:$D$128,$C44,'GLOBAL LOG'!#REF!,"Med")</f>
        <v>#REF!</v>
      </c>
      <c r="S44" s="14" t="e">
        <f>COUNTIFS('GLOBAL LOG'!$D$6:$D$128,$C44,'GLOBAL LOG'!#REF!,"Low")</f>
        <v>#REF!</v>
      </c>
      <c r="T44" s="14" t="e">
        <f>COUNTIFS('GLOBAL LOG'!$D$6:$D$128,$C44,'GLOBAL LOG'!#REF!,"Completed")</f>
        <v>#REF!</v>
      </c>
      <c r="U44" s="14" t="e">
        <f>COUNTIFS('GLOBAL LOG'!$D$6:$D$128,$C44,'GLOBAL LOG'!#REF!,"Contracting")</f>
        <v>#REF!</v>
      </c>
      <c r="V44" s="14" t="e">
        <f>COUNTIFS('GLOBAL LOG'!$D$6:$D$128,$C44,'GLOBAL LOG'!#REF!,"Negotiations")</f>
        <v>#REF!</v>
      </c>
      <c r="W44" s="14" t="e">
        <f>COUNTIFS('GLOBAL LOG'!$D$6:$D$128,$C44,'GLOBAL LOG'!#REF!,"ICT")</f>
        <v>#REF!</v>
      </c>
      <c r="X44" s="14" t="e">
        <f>COUNTIFS('GLOBAL LOG'!$D$6:$D$128,$C44,'GLOBAL LOG'!#REF!,"Hopper")</f>
        <v>#REF!</v>
      </c>
      <c r="Y44" s="14">
        <f>SUMIF('GLOBAL LOG'!$D$6:$D$128,$C44,'GLOBAL LOG'!$Q$6:$Q$128)</f>
        <v>0</v>
      </c>
      <c r="Z44" s="14">
        <f>SUMIF('GLOBAL LOG'!$D$6:$D$128,$C44,'GLOBAL LOG'!$R$6:$R$128)</f>
        <v>0</v>
      </c>
      <c r="AA44" s="14">
        <f t="shared" si="1"/>
        <v>0</v>
      </c>
      <c r="AB44" s="14" t="e">
        <f>SUMIF('GLOBAL LOG'!$D$6:$D$128,C44,'GLOBAL LOG'!#REF!)</f>
        <v>#REF!</v>
      </c>
      <c r="AC44" s="6"/>
      <c r="AD44" s="14" t="str">
        <v>Avianca Holdings S.A. (Colombia)</v>
      </c>
      <c r="AE44" s="14" t="e">
        <v>#REF!</v>
      </c>
      <c r="AF44" s="6"/>
      <c r="AG44" s="14" t="str">
        <v>All Nippon Airways</v>
      </c>
      <c r="AH44" s="14">
        <v>0</v>
      </c>
      <c r="AI44" s="6"/>
      <c r="AJ44" s="14" t="str">
        <v>Asiana Airlines</v>
      </c>
      <c r="AK44" s="14">
        <v>0</v>
      </c>
      <c r="AL44" s="6"/>
      <c r="AM44" s="14" t="str">
        <v>All Nippon Airways</v>
      </c>
      <c r="AN44" s="14">
        <v>0</v>
      </c>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row>
    <row r="45" spans="2:97" s="4" customFormat="1" ht="14.65" hidden="1" customHeight="1">
      <c r="B45" s="6"/>
      <c r="C45" s="13" t="str">
        <v>Avolon</v>
      </c>
      <c r="D45" s="14">
        <f>COUNTIFS('GLOBAL LOG'!$D$6:$D$128,C45,'GLOBAL LOG'!$K$6:$K$128,"&lt;&gt;")</f>
        <v>0</v>
      </c>
      <c r="E45" s="14" t="e">
        <f>COUNTIFS('GLOBAL LOG'!$D$6:$D$128,C45,'GLOBAL LOG'!#REF!,"Yes")</f>
        <v>#REF!</v>
      </c>
      <c r="F45" s="14" t="e">
        <f>SUMIF('GLOBAL LOG'!$D$6:$D$128,COUNT!C45,'GLOBAL LOG'!#REF!)</f>
        <v>#REF!</v>
      </c>
      <c r="G45" s="14">
        <f>COUNTIFS('GLOBAL LOG'!$E$6:$E$128,G$10,'GLOBAL LOG'!$D$6:$D$128,$C45)</f>
        <v>0</v>
      </c>
      <c r="H45" s="14">
        <f>COUNTIFS('GLOBAL LOG'!$E$6:$E$128,H$10,'GLOBAL LOG'!$D$6:$D$128,$C45)</f>
        <v>0</v>
      </c>
      <c r="I45" s="14">
        <f>COUNTIFS('GLOBAL LOG'!$E$6:$E$128,I$10,'GLOBAL LOG'!$D$6:$D$128,$C45)</f>
        <v>0</v>
      </c>
      <c r="J45" s="14">
        <f>COUNTIFS('GLOBAL LOG'!$E$6:$E$128,J$10,'GLOBAL LOG'!$D$6:$D$128,$C45)</f>
        <v>0</v>
      </c>
      <c r="K45" s="14">
        <f>COUNTIFS('GLOBAL LOG'!$E$6:$E$128,K$10,'GLOBAL LOG'!$D$6:$D$128,$C45)</f>
        <v>0</v>
      </c>
      <c r="L45" s="14">
        <f>COUNTIFS('GLOBAL LOG'!$E$6:$E$128,L$10,'GLOBAL LOG'!$D$6:$D$128,$C45)</f>
        <v>0</v>
      </c>
      <c r="M45" s="14">
        <f>COUNTIFS('GLOBAL LOG'!$E$6:$E$128,M$10,'GLOBAL LOG'!$D$6:$D$128,$C45)</f>
        <v>0</v>
      </c>
      <c r="N45" s="14" t="e">
        <f>COUNTIFS('GLOBAL LOG'!$D$6:$D$128,$C45,'GLOBAL LOG'!#REF!,"High")</f>
        <v>#REF!</v>
      </c>
      <c r="O45" s="14" t="e">
        <f>COUNTIFS('GLOBAL LOG'!$D$6:$D$128,$C45,'GLOBAL LOG'!#REF!,"Med")</f>
        <v>#REF!</v>
      </c>
      <c r="P45" s="14" t="e">
        <f>COUNTIFS('GLOBAL LOG'!$D$6:$D$128,$C45,'GLOBAL LOG'!#REF!,"Low")</f>
        <v>#REF!</v>
      </c>
      <c r="Q45" s="14" t="e">
        <f>COUNTIFS('GLOBAL LOG'!$D$6:$D$128,$C45,'GLOBAL LOG'!#REF!,"High")</f>
        <v>#REF!</v>
      </c>
      <c r="R45" s="14" t="e">
        <f>COUNTIFS('GLOBAL LOG'!$D$6:$D$128,$C45,'GLOBAL LOG'!#REF!,"Med")</f>
        <v>#REF!</v>
      </c>
      <c r="S45" s="14" t="e">
        <f>COUNTIFS('GLOBAL LOG'!$D$6:$D$128,$C45,'GLOBAL LOG'!#REF!,"Low")</f>
        <v>#REF!</v>
      </c>
      <c r="T45" s="14" t="e">
        <f>COUNTIFS('GLOBAL LOG'!$D$6:$D$128,$C45,'GLOBAL LOG'!#REF!,"Completed")</f>
        <v>#REF!</v>
      </c>
      <c r="U45" s="14" t="e">
        <f>COUNTIFS('GLOBAL LOG'!$D$6:$D$128,$C45,'GLOBAL LOG'!#REF!,"Contracting")</f>
        <v>#REF!</v>
      </c>
      <c r="V45" s="14" t="e">
        <f>COUNTIFS('GLOBAL LOG'!$D$6:$D$128,$C45,'GLOBAL LOG'!#REF!,"Negotiations")</f>
        <v>#REF!</v>
      </c>
      <c r="W45" s="14" t="e">
        <f>COUNTIFS('GLOBAL LOG'!$D$6:$D$128,$C45,'GLOBAL LOG'!#REF!,"ICT")</f>
        <v>#REF!</v>
      </c>
      <c r="X45" s="14" t="e">
        <f>COUNTIFS('GLOBAL LOG'!$D$6:$D$128,$C45,'GLOBAL LOG'!#REF!,"Hopper")</f>
        <v>#REF!</v>
      </c>
      <c r="Y45" s="14">
        <f>SUMIF('GLOBAL LOG'!$D$6:$D$128,$C45,'GLOBAL LOG'!$Q$6:$Q$128)</f>
        <v>0</v>
      </c>
      <c r="Z45" s="14">
        <f>SUMIF('GLOBAL LOG'!$D$6:$D$128,$C45,'GLOBAL LOG'!$R$6:$R$128)</f>
        <v>0</v>
      </c>
      <c r="AA45" s="14">
        <f t="shared" si="1"/>
        <v>0</v>
      </c>
      <c r="AB45" s="14" t="e">
        <f>SUMIF('GLOBAL LOG'!$D$6:$D$128,C45,'GLOBAL LOG'!#REF!)</f>
        <v>#REF!</v>
      </c>
      <c r="AC45" s="6"/>
      <c r="AD45" s="14" t="str">
        <v>Avolon</v>
      </c>
      <c r="AE45" s="14" t="e">
        <v>#REF!</v>
      </c>
      <c r="AF45" s="6"/>
      <c r="AG45" s="14" t="str">
        <v>ALS</v>
      </c>
      <c r="AH45" s="14">
        <v>0</v>
      </c>
      <c r="AI45" s="6"/>
      <c r="AJ45" s="14" t="str">
        <v>Avianca Holdings S.A. (Colombia)</v>
      </c>
      <c r="AK45" s="14">
        <v>0</v>
      </c>
      <c r="AL45" s="6"/>
      <c r="AM45" s="14" t="str">
        <v>ALS</v>
      </c>
      <c r="AN45" s="14">
        <v>0</v>
      </c>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row>
    <row r="46" spans="2:97" s="4" customFormat="1" ht="14.65" hidden="1" customHeight="1">
      <c r="B46" s="6"/>
      <c r="C46" s="13" t="str">
        <v>Azul Linhas Aereas Brasileiras</v>
      </c>
      <c r="D46" s="14">
        <f>COUNTIFS('GLOBAL LOG'!$D$6:$D$128,C46,'GLOBAL LOG'!$K$6:$K$128,"&lt;&gt;")</f>
        <v>0</v>
      </c>
      <c r="E46" s="14" t="e">
        <f>COUNTIFS('GLOBAL LOG'!$D$6:$D$128,C46,'GLOBAL LOG'!#REF!,"Yes")</f>
        <v>#REF!</v>
      </c>
      <c r="F46" s="14" t="e">
        <f>SUMIF('GLOBAL LOG'!$D$6:$D$128,COUNT!C46,'GLOBAL LOG'!#REF!)</f>
        <v>#REF!</v>
      </c>
      <c r="G46" s="14">
        <f>COUNTIFS('GLOBAL LOG'!$E$6:$E$128,G$10,'GLOBAL LOG'!$D$6:$D$128,$C46)</f>
        <v>0</v>
      </c>
      <c r="H46" s="14">
        <f>COUNTIFS('GLOBAL LOG'!$E$6:$E$128,H$10,'GLOBAL LOG'!$D$6:$D$128,$C46)</f>
        <v>0</v>
      </c>
      <c r="I46" s="14">
        <f>COUNTIFS('GLOBAL LOG'!$E$6:$E$128,I$10,'GLOBAL LOG'!$D$6:$D$128,$C46)</f>
        <v>0</v>
      </c>
      <c r="J46" s="14">
        <f>COUNTIFS('GLOBAL LOG'!$E$6:$E$128,J$10,'GLOBAL LOG'!$D$6:$D$128,$C46)</f>
        <v>0</v>
      </c>
      <c r="K46" s="14">
        <f>COUNTIFS('GLOBAL LOG'!$E$6:$E$128,K$10,'GLOBAL LOG'!$D$6:$D$128,$C46)</f>
        <v>0</v>
      </c>
      <c r="L46" s="14">
        <f>COUNTIFS('GLOBAL LOG'!$E$6:$E$128,L$10,'GLOBAL LOG'!$D$6:$D$128,$C46)</f>
        <v>0</v>
      </c>
      <c r="M46" s="14">
        <f>COUNTIFS('GLOBAL LOG'!$E$6:$E$128,M$10,'GLOBAL LOG'!$D$6:$D$128,$C46)</f>
        <v>0</v>
      </c>
      <c r="N46" s="14" t="e">
        <f>COUNTIFS('GLOBAL LOG'!$D$6:$D$128,$C46,'GLOBAL LOG'!#REF!,"High")</f>
        <v>#REF!</v>
      </c>
      <c r="O46" s="14" t="e">
        <f>COUNTIFS('GLOBAL LOG'!$D$6:$D$128,$C46,'GLOBAL LOG'!#REF!,"Med")</f>
        <v>#REF!</v>
      </c>
      <c r="P46" s="14" t="e">
        <f>COUNTIFS('GLOBAL LOG'!$D$6:$D$128,$C46,'GLOBAL LOG'!#REF!,"Low")</f>
        <v>#REF!</v>
      </c>
      <c r="Q46" s="14" t="e">
        <f>COUNTIFS('GLOBAL LOG'!$D$6:$D$128,$C46,'GLOBAL LOG'!#REF!,"High")</f>
        <v>#REF!</v>
      </c>
      <c r="R46" s="14" t="e">
        <f>COUNTIFS('GLOBAL LOG'!$D$6:$D$128,$C46,'GLOBAL LOG'!#REF!,"Med")</f>
        <v>#REF!</v>
      </c>
      <c r="S46" s="14" t="e">
        <f>COUNTIFS('GLOBAL LOG'!$D$6:$D$128,$C46,'GLOBAL LOG'!#REF!,"Low")</f>
        <v>#REF!</v>
      </c>
      <c r="T46" s="14" t="e">
        <f>COUNTIFS('GLOBAL LOG'!$D$6:$D$128,$C46,'GLOBAL LOG'!#REF!,"Completed")</f>
        <v>#REF!</v>
      </c>
      <c r="U46" s="14" t="e">
        <f>COUNTIFS('GLOBAL LOG'!$D$6:$D$128,$C46,'GLOBAL LOG'!#REF!,"Contracting")</f>
        <v>#REF!</v>
      </c>
      <c r="V46" s="14" t="e">
        <f>COUNTIFS('GLOBAL LOG'!$D$6:$D$128,$C46,'GLOBAL LOG'!#REF!,"Negotiations")</f>
        <v>#REF!</v>
      </c>
      <c r="W46" s="14" t="e">
        <f>COUNTIFS('GLOBAL LOG'!$D$6:$D$128,$C46,'GLOBAL LOG'!#REF!,"ICT")</f>
        <v>#REF!</v>
      </c>
      <c r="X46" s="14" t="e">
        <f>COUNTIFS('GLOBAL LOG'!$D$6:$D$128,$C46,'GLOBAL LOG'!#REF!,"Hopper")</f>
        <v>#REF!</v>
      </c>
      <c r="Y46" s="14">
        <f>SUMIF('GLOBAL LOG'!$D$6:$D$128,$C46,'GLOBAL LOG'!$Q$6:$Q$128)</f>
        <v>0</v>
      </c>
      <c r="Z46" s="14">
        <f>SUMIF('GLOBAL LOG'!$D$6:$D$128,$C46,'GLOBAL LOG'!$R$6:$R$128)</f>
        <v>0</v>
      </c>
      <c r="AA46" s="14">
        <f t="shared" si="1"/>
        <v>0</v>
      </c>
      <c r="AB46" s="14" t="e">
        <f>SUMIF('GLOBAL LOG'!$D$6:$D$128,C46,'GLOBAL LOG'!#REF!)</f>
        <v>#REF!</v>
      </c>
      <c r="AC46" s="6"/>
      <c r="AD46" s="14" t="str">
        <v>Azul Linhas Aereas Brasileiras</v>
      </c>
      <c r="AE46" s="14" t="e">
        <v>#REF!</v>
      </c>
      <c r="AF46" s="6"/>
      <c r="AG46" s="14" t="str">
        <v>Amazon Air</v>
      </c>
      <c r="AH46" s="14">
        <v>0</v>
      </c>
      <c r="AI46" s="6"/>
      <c r="AJ46" s="14" t="str">
        <v>Avolon</v>
      </c>
      <c r="AK46" s="14">
        <v>0</v>
      </c>
      <c r="AL46" s="6"/>
      <c r="AM46" s="14" t="str">
        <v>Amazon Air</v>
      </c>
      <c r="AN46" s="14">
        <v>0</v>
      </c>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row>
    <row r="47" spans="2:97" s="4" customFormat="1" ht="14.65" hidden="1" customHeight="1">
      <c r="B47" s="6"/>
      <c r="C47" s="13" t="str">
        <v>Barolo</v>
      </c>
      <c r="D47" s="14">
        <f>COUNTIFS('GLOBAL LOG'!$D$6:$D$128,C47,'GLOBAL LOG'!$K$6:$K$128,"&lt;&gt;")</f>
        <v>0</v>
      </c>
      <c r="E47" s="14" t="e">
        <f>COUNTIFS('GLOBAL LOG'!$D$6:$D$128,C47,'GLOBAL LOG'!#REF!,"Yes")</f>
        <v>#REF!</v>
      </c>
      <c r="F47" s="14" t="e">
        <f>SUMIF('GLOBAL LOG'!$D$6:$D$128,COUNT!C47,'GLOBAL LOG'!#REF!)</f>
        <v>#REF!</v>
      </c>
      <c r="G47" s="14">
        <f>COUNTIFS('GLOBAL LOG'!$E$6:$E$128,G$10,'GLOBAL LOG'!$D$6:$D$128,$C47)</f>
        <v>0</v>
      </c>
      <c r="H47" s="14">
        <f>COUNTIFS('GLOBAL LOG'!$E$6:$E$128,H$10,'GLOBAL LOG'!$D$6:$D$128,$C47)</f>
        <v>0</v>
      </c>
      <c r="I47" s="14">
        <f>COUNTIFS('GLOBAL LOG'!$E$6:$E$128,I$10,'GLOBAL LOG'!$D$6:$D$128,$C47)</f>
        <v>0</v>
      </c>
      <c r="J47" s="14">
        <f>COUNTIFS('GLOBAL LOG'!$E$6:$E$128,J$10,'GLOBAL LOG'!$D$6:$D$128,$C47)</f>
        <v>0</v>
      </c>
      <c r="K47" s="14">
        <f>COUNTIFS('GLOBAL LOG'!$E$6:$E$128,K$10,'GLOBAL LOG'!$D$6:$D$128,$C47)</f>
        <v>0</v>
      </c>
      <c r="L47" s="14">
        <f>COUNTIFS('GLOBAL LOG'!$E$6:$E$128,L$10,'GLOBAL LOG'!$D$6:$D$128,$C47)</f>
        <v>0</v>
      </c>
      <c r="M47" s="14">
        <f>COUNTIFS('GLOBAL LOG'!$E$6:$E$128,M$10,'GLOBAL LOG'!$D$6:$D$128,$C47)</f>
        <v>0</v>
      </c>
      <c r="N47" s="14" t="e">
        <f>COUNTIFS('GLOBAL LOG'!$D$6:$D$128,$C47,'GLOBAL LOG'!#REF!,"High")</f>
        <v>#REF!</v>
      </c>
      <c r="O47" s="14" t="e">
        <f>COUNTIFS('GLOBAL LOG'!$D$6:$D$128,$C47,'GLOBAL LOG'!#REF!,"Med")</f>
        <v>#REF!</v>
      </c>
      <c r="P47" s="14" t="e">
        <f>COUNTIFS('GLOBAL LOG'!$D$6:$D$128,$C47,'GLOBAL LOG'!#REF!,"Low")</f>
        <v>#REF!</v>
      </c>
      <c r="Q47" s="14" t="e">
        <f>COUNTIFS('GLOBAL LOG'!$D$6:$D$128,$C47,'GLOBAL LOG'!#REF!,"High")</f>
        <v>#REF!</v>
      </c>
      <c r="R47" s="14" t="e">
        <f>COUNTIFS('GLOBAL LOG'!$D$6:$D$128,$C47,'GLOBAL LOG'!#REF!,"Med")</f>
        <v>#REF!</v>
      </c>
      <c r="S47" s="14" t="e">
        <f>COUNTIFS('GLOBAL LOG'!$D$6:$D$128,$C47,'GLOBAL LOG'!#REF!,"Low")</f>
        <v>#REF!</v>
      </c>
      <c r="T47" s="14" t="e">
        <f>COUNTIFS('GLOBAL LOG'!$D$6:$D$128,$C47,'GLOBAL LOG'!#REF!,"Completed")</f>
        <v>#REF!</v>
      </c>
      <c r="U47" s="14" t="e">
        <f>COUNTIFS('GLOBAL LOG'!$D$6:$D$128,$C47,'GLOBAL LOG'!#REF!,"Contracting")</f>
        <v>#REF!</v>
      </c>
      <c r="V47" s="14" t="e">
        <f>COUNTIFS('GLOBAL LOG'!$D$6:$D$128,$C47,'GLOBAL LOG'!#REF!,"Negotiations")</f>
        <v>#REF!</v>
      </c>
      <c r="W47" s="14" t="e">
        <f>COUNTIFS('GLOBAL LOG'!$D$6:$D$128,$C47,'GLOBAL LOG'!#REF!,"ICT")</f>
        <v>#REF!</v>
      </c>
      <c r="X47" s="14" t="e">
        <f>COUNTIFS('GLOBAL LOG'!$D$6:$D$128,$C47,'GLOBAL LOG'!#REF!,"Hopper")</f>
        <v>#REF!</v>
      </c>
      <c r="Y47" s="14">
        <f>SUMIF('GLOBAL LOG'!$D$6:$D$128,$C47,'GLOBAL LOG'!$Q$6:$Q$128)</f>
        <v>0</v>
      </c>
      <c r="Z47" s="14">
        <f>SUMIF('GLOBAL LOG'!$D$6:$D$128,$C47,'GLOBAL LOG'!$R$6:$R$128)</f>
        <v>0</v>
      </c>
      <c r="AA47" s="14">
        <f t="shared" si="1"/>
        <v>0</v>
      </c>
      <c r="AB47" s="14" t="e">
        <f>SUMIF('GLOBAL LOG'!$D$6:$D$128,C47,'GLOBAL LOG'!#REF!)</f>
        <v>#REF!</v>
      </c>
      <c r="AC47" s="6"/>
      <c r="AD47" s="14" t="str">
        <v>Barolo</v>
      </c>
      <c r="AE47" s="14" t="e">
        <v>#REF!</v>
      </c>
      <c r="AF47" s="6"/>
      <c r="AG47" s="14" t="str">
        <v>American Airlines Group</v>
      </c>
      <c r="AH47" s="14">
        <v>0</v>
      </c>
      <c r="AI47" s="6"/>
      <c r="AJ47" s="14" t="str">
        <v>Azul Linhas Aereas Brasileiras</v>
      </c>
      <c r="AK47" s="14">
        <v>0</v>
      </c>
      <c r="AL47" s="6"/>
      <c r="AM47" s="14" t="str">
        <v>American Airlines Group</v>
      </c>
      <c r="AN47" s="14">
        <v>0</v>
      </c>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row>
    <row r="48" spans="2:97" s="4" customFormat="1" ht="14.65" hidden="1" customHeight="1">
      <c r="B48" s="6"/>
      <c r="C48" s="13" t="str">
        <v>Beijing Capital Airlines</v>
      </c>
      <c r="D48" s="14">
        <f>COUNTIFS('GLOBAL LOG'!$D$6:$D$128,C48,'GLOBAL LOG'!$K$6:$K$128,"&lt;&gt;")</f>
        <v>0</v>
      </c>
      <c r="E48" s="14" t="e">
        <f>COUNTIFS('GLOBAL LOG'!$D$6:$D$128,C48,'GLOBAL LOG'!#REF!,"Yes")</f>
        <v>#REF!</v>
      </c>
      <c r="F48" s="14" t="e">
        <f>SUMIF('GLOBAL LOG'!$D$6:$D$128,COUNT!C48,'GLOBAL LOG'!#REF!)</f>
        <v>#REF!</v>
      </c>
      <c r="G48" s="14">
        <f>COUNTIFS('GLOBAL LOG'!$E$6:$E$128,G$10,'GLOBAL LOG'!$D$6:$D$128,$C48)</f>
        <v>0</v>
      </c>
      <c r="H48" s="14">
        <f>COUNTIFS('GLOBAL LOG'!$E$6:$E$128,H$10,'GLOBAL LOG'!$D$6:$D$128,$C48)</f>
        <v>0</v>
      </c>
      <c r="I48" s="14">
        <f>COUNTIFS('GLOBAL LOG'!$E$6:$E$128,I$10,'GLOBAL LOG'!$D$6:$D$128,$C48)</f>
        <v>0</v>
      </c>
      <c r="J48" s="14">
        <f>COUNTIFS('GLOBAL LOG'!$E$6:$E$128,J$10,'GLOBAL LOG'!$D$6:$D$128,$C48)</f>
        <v>0</v>
      </c>
      <c r="K48" s="14">
        <f>COUNTIFS('GLOBAL LOG'!$E$6:$E$128,K$10,'GLOBAL LOG'!$D$6:$D$128,$C48)</f>
        <v>0</v>
      </c>
      <c r="L48" s="14">
        <f>COUNTIFS('GLOBAL LOG'!$E$6:$E$128,L$10,'GLOBAL LOG'!$D$6:$D$128,$C48)</f>
        <v>0</v>
      </c>
      <c r="M48" s="14">
        <f>COUNTIFS('GLOBAL LOG'!$E$6:$E$128,M$10,'GLOBAL LOG'!$D$6:$D$128,$C48)</f>
        <v>0</v>
      </c>
      <c r="N48" s="14" t="e">
        <f>COUNTIFS('GLOBAL LOG'!$D$6:$D$128,$C48,'GLOBAL LOG'!#REF!,"High")</f>
        <v>#REF!</v>
      </c>
      <c r="O48" s="14" t="e">
        <f>COUNTIFS('GLOBAL LOG'!$D$6:$D$128,$C48,'GLOBAL LOG'!#REF!,"Med")</f>
        <v>#REF!</v>
      </c>
      <c r="P48" s="14" t="e">
        <f>COUNTIFS('GLOBAL LOG'!$D$6:$D$128,$C48,'GLOBAL LOG'!#REF!,"Low")</f>
        <v>#REF!</v>
      </c>
      <c r="Q48" s="14" t="e">
        <f>COUNTIFS('GLOBAL LOG'!$D$6:$D$128,$C48,'GLOBAL LOG'!#REF!,"High")</f>
        <v>#REF!</v>
      </c>
      <c r="R48" s="14" t="e">
        <f>COUNTIFS('GLOBAL LOG'!$D$6:$D$128,$C48,'GLOBAL LOG'!#REF!,"Med")</f>
        <v>#REF!</v>
      </c>
      <c r="S48" s="14" t="e">
        <f>COUNTIFS('GLOBAL LOG'!$D$6:$D$128,$C48,'GLOBAL LOG'!#REF!,"Low")</f>
        <v>#REF!</v>
      </c>
      <c r="T48" s="14" t="e">
        <f>COUNTIFS('GLOBAL LOG'!$D$6:$D$128,$C48,'GLOBAL LOG'!#REF!,"Completed")</f>
        <v>#REF!</v>
      </c>
      <c r="U48" s="14" t="e">
        <f>COUNTIFS('GLOBAL LOG'!$D$6:$D$128,$C48,'GLOBAL LOG'!#REF!,"Contracting")</f>
        <v>#REF!</v>
      </c>
      <c r="V48" s="14" t="e">
        <f>COUNTIFS('GLOBAL LOG'!$D$6:$D$128,$C48,'GLOBAL LOG'!#REF!,"Negotiations")</f>
        <v>#REF!</v>
      </c>
      <c r="W48" s="14" t="e">
        <f>COUNTIFS('GLOBAL LOG'!$D$6:$D$128,$C48,'GLOBAL LOG'!#REF!,"ICT")</f>
        <v>#REF!</v>
      </c>
      <c r="X48" s="14" t="e">
        <f>COUNTIFS('GLOBAL LOG'!$D$6:$D$128,$C48,'GLOBAL LOG'!#REF!,"Hopper")</f>
        <v>#REF!</v>
      </c>
      <c r="Y48" s="14">
        <f>SUMIF('GLOBAL LOG'!$D$6:$D$128,$C48,'GLOBAL LOG'!$Q$6:$Q$128)</f>
        <v>0</v>
      </c>
      <c r="Z48" s="14">
        <f>SUMIF('GLOBAL LOG'!$D$6:$D$128,$C48,'GLOBAL LOG'!$R$6:$R$128)</f>
        <v>0</v>
      </c>
      <c r="AA48" s="14">
        <f t="shared" si="1"/>
        <v>0</v>
      </c>
      <c r="AB48" s="14" t="e">
        <f>SUMIF('GLOBAL LOG'!$D$6:$D$128,C48,'GLOBAL LOG'!#REF!)</f>
        <v>#REF!</v>
      </c>
      <c r="AC48" s="6"/>
      <c r="AD48" s="14" t="str">
        <v>Beijing Capital Airlines</v>
      </c>
      <c r="AE48" s="14" t="e">
        <v>#REF!</v>
      </c>
      <c r="AF48" s="6"/>
      <c r="AG48" s="14" t="str">
        <v>APAL</v>
      </c>
      <c r="AH48" s="14">
        <v>0</v>
      </c>
      <c r="AI48" s="6"/>
      <c r="AJ48" s="14" t="str">
        <v>Barolo</v>
      </c>
      <c r="AK48" s="14">
        <v>0</v>
      </c>
      <c r="AL48" s="6"/>
      <c r="AM48" s="14" t="str">
        <v>APAL</v>
      </c>
      <c r="AN48" s="14">
        <v>0</v>
      </c>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row>
    <row r="49" spans="2:97" s="4" customFormat="1" ht="14.65" hidden="1" customHeight="1">
      <c r="B49" s="6"/>
      <c r="C49" s="13" t="str">
        <v>BOC Aviation</v>
      </c>
      <c r="D49" s="14">
        <f>COUNTIFS('GLOBAL LOG'!$D$6:$D$128,C49,'GLOBAL LOG'!$K$6:$K$128,"&lt;&gt;")</f>
        <v>0</v>
      </c>
      <c r="E49" s="14" t="e">
        <f>COUNTIFS('GLOBAL LOG'!$D$6:$D$128,C49,'GLOBAL LOG'!#REF!,"Yes")</f>
        <v>#REF!</v>
      </c>
      <c r="F49" s="14" t="e">
        <f>SUMIF('GLOBAL LOG'!$D$6:$D$128,COUNT!C49,'GLOBAL LOG'!#REF!)</f>
        <v>#REF!</v>
      </c>
      <c r="G49" s="14">
        <f>COUNTIFS('GLOBAL LOG'!$E$6:$E$128,G$10,'GLOBAL LOG'!$D$6:$D$128,$C49)</f>
        <v>0</v>
      </c>
      <c r="H49" s="14">
        <f>COUNTIFS('GLOBAL LOG'!$E$6:$E$128,H$10,'GLOBAL LOG'!$D$6:$D$128,$C49)</f>
        <v>0</v>
      </c>
      <c r="I49" s="14">
        <f>COUNTIFS('GLOBAL LOG'!$E$6:$E$128,I$10,'GLOBAL LOG'!$D$6:$D$128,$C49)</f>
        <v>0</v>
      </c>
      <c r="J49" s="14">
        <f>COUNTIFS('GLOBAL LOG'!$E$6:$E$128,J$10,'GLOBAL LOG'!$D$6:$D$128,$C49)</f>
        <v>0</v>
      </c>
      <c r="K49" s="14">
        <f>COUNTIFS('GLOBAL LOG'!$E$6:$E$128,K$10,'GLOBAL LOG'!$D$6:$D$128,$C49)</f>
        <v>0</v>
      </c>
      <c r="L49" s="14">
        <f>COUNTIFS('GLOBAL LOG'!$E$6:$E$128,L$10,'GLOBAL LOG'!$D$6:$D$128,$C49)</f>
        <v>0</v>
      </c>
      <c r="M49" s="14">
        <f>COUNTIFS('GLOBAL LOG'!$E$6:$E$128,M$10,'GLOBAL LOG'!$D$6:$D$128,$C49)</f>
        <v>0</v>
      </c>
      <c r="N49" s="14" t="e">
        <f>COUNTIFS('GLOBAL LOG'!$D$6:$D$128,$C49,'GLOBAL LOG'!#REF!,"High")</f>
        <v>#REF!</v>
      </c>
      <c r="O49" s="14" t="e">
        <f>COUNTIFS('GLOBAL LOG'!$D$6:$D$128,$C49,'GLOBAL LOG'!#REF!,"Med")</f>
        <v>#REF!</v>
      </c>
      <c r="P49" s="14" t="e">
        <f>COUNTIFS('GLOBAL LOG'!$D$6:$D$128,$C49,'GLOBAL LOG'!#REF!,"Low")</f>
        <v>#REF!</v>
      </c>
      <c r="Q49" s="14" t="e">
        <f>COUNTIFS('GLOBAL LOG'!$D$6:$D$128,$C49,'GLOBAL LOG'!#REF!,"High")</f>
        <v>#REF!</v>
      </c>
      <c r="R49" s="14" t="e">
        <f>COUNTIFS('GLOBAL LOG'!$D$6:$D$128,$C49,'GLOBAL LOG'!#REF!,"Med")</f>
        <v>#REF!</v>
      </c>
      <c r="S49" s="14" t="e">
        <f>COUNTIFS('GLOBAL LOG'!$D$6:$D$128,$C49,'GLOBAL LOG'!#REF!,"Low")</f>
        <v>#REF!</v>
      </c>
      <c r="T49" s="14" t="e">
        <f>COUNTIFS('GLOBAL LOG'!$D$6:$D$128,$C49,'GLOBAL LOG'!#REF!,"Completed")</f>
        <v>#REF!</v>
      </c>
      <c r="U49" s="14" t="e">
        <f>COUNTIFS('GLOBAL LOG'!$D$6:$D$128,$C49,'GLOBAL LOG'!#REF!,"Contracting")</f>
        <v>#REF!</v>
      </c>
      <c r="V49" s="14" t="e">
        <f>COUNTIFS('GLOBAL LOG'!$D$6:$D$128,$C49,'GLOBAL LOG'!#REF!,"Negotiations")</f>
        <v>#REF!</v>
      </c>
      <c r="W49" s="14" t="e">
        <f>COUNTIFS('GLOBAL LOG'!$D$6:$D$128,$C49,'GLOBAL LOG'!#REF!,"ICT")</f>
        <v>#REF!</v>
      </c>
      <c r="X49" s="14" t="e">
        <f>COUNTIFS('GLOBAL LOG'!$D$6:$D$128,$C49,'GLOBAL LOG'!#REF!,"Hopper")</f>
        <v>#REF!</v>
      </c>
      <c r="Y49" s="14">
        <f>SUMIF('GLOBAL LOG'!$D$6:$D$128,$C49,'GLOBAL LOG'!$Q$6:$Q$128)</f>
        <v>0</v>
      </c>
      <c r="Z49" s="14">
        <f>SUMIF('GLOBAL LOG'!$D$6:$D$128,$C49,'GLOBAL LOG'!$R$6:$R$128)</f>
        <v>0</v>
      </c>
      <c r="AA49" s="14">
        <f t="shared" si="1"/>
        <v>0</v>
      </c>
      <c r="AB49" s="14" t="e">
        <f>SUMIF('GLOBAL LOG'!$D$6:$D$128,C49,'GLOBAL LOG'!#REF!)</f>
        <v>#REF!</v>
      </c>
      <c r="AC49" s="6"/>
      <c r="AD49" s="14" t="str">
        <v>BOC Aviation</v>
      </c>
      <c r="AE49" s="14" t="e">
        <v>#REF!</v>
      </c>
      <c r="AF49" s="6"/>
      <c r="AG49" s="14" t="str">
        <v>Asiana Airlines</v>
      </c>
      <c r="AH49" s="14">
        <v>0</v>
      </c>
      <c r="AI49" s="6"/>
      <c r="AJ49" s="14" t="str">
        <v>Beijing Capital Airlines</v>
      </c>
      <c r="AK49" s="14">
        <v>0</v>
      </c>
      <c r="AL49" s="6"/>
      <c r="AM49" s="14" t="str">
        <v>Asiana Airlines</v>
      </c>
      <c r="AN49" s="14">
        <v>0</v>
      </c>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row>
    <row r="50" spans="2:97" s="4" customFormat="1" ht="14.65" hidden="1" customHeight="1">
      <c r="B50" s="6"/>
      <c r="C50" s="13" t="str">
        <v>Boliviana</v>
      </c>
      <c r="D50" s="14">
        <f>COUNTIFS('GLOBAL LOG'!$D$6:$D$128,C50,'GLOBAL LOG'!$K$6:$K$128,"&lt;&gt;")</f>
        <v>0</v>
      </c>
      <c r="E50" s="14" t="e">
        <f>COUNTIFS('GLOBAL LOG'!$D$6:$D$128,C50,'GLOBAL LOG'!#REF!,"Yes")</f>
        <v>#REF!</v>
      </c>
      <c r="F50" s="14" t="e">
        <f>SUMIF('GLOBAL LOG'!$D$6:$D$128,COUNT!C50,'GLOBAL LOG'!#REF!)</f>
        <v>#REF!</v>
      </c>
      <c r="G50" s="14">
        <f>COUNTIFS('GLOBAL LOG'!$E$6:$E$128,G$10,'GLOBAL LOG'!$D$6:$D$128,$C50)</f>
        <v>0</v>
      </c>
      <c r="H50" s="14">
        <f>COUNTIFS('GLOBAL LOG'!$E$6:$E$128,H$10,'GLOBAL LOG'!$D$6:$D$128,$C50)</f>
        <v>0</v>
      </c>
      <c r="I50" s="14">
        <f>COUNTIFS('GLOBAL LOG'!$E$6:$E$128,I$10,'GLOBAL LOG'!$D$6:$D$128,$C50)</f>
        <v>0</v>
      </c>
      <c r="J50" s="14">
        <f>COUNTIFS('GLOBAL LOG'!$E$6:$E$128,J$10,'GLOBAL LOG'!$D$6:$D$128,$C50)</f>
        <v>0</v>
      </c>
      <c r="K50" s="14">
        <f>COUNTIFS('GLOBAL LOG'!$E$6:$E$128,K$10,'GLOBAL LOG'!$D$6:$D$128,$C50)</f>
        <v>0</v>
      </c>
      <c r="L50" s="14">
        <f>COUNTIFS('GLOBAL LOG'!$E$6:$E$128,L$10,'GLOBAL LOG'!$D$6:$D$128,$C50)</f>
        <v>0</v>
      </c>
      <c r="M50" s="14">
        <f>COUNTIFS('GLOBAL LOG'!$E$6:$E$128,M$10,'GLOBAL LOG'!$D$6:$D$128,$C50)</f>
        <v>0</v>
      </c>
      <c r="N50" s="14" t="e">
        <f>COUNTIFS('GLOBAL LOG'!$D$6:$D$128,$C50,'GLOBAL LOG'!#REF!,"High")</f>
        <v>#REF!</v>
      </c>
      <c r="O50" s="14" t="e">
        <f>COUNTIFS('GLOBAL LOG'!$D$6:$D$128,$C50,'GLOBAL LOG'!#REF!,"Med")</f>
        <v>#REF!</v>
      </c>
      <c r="P50" s="14" t="e">
        <f>COUNTIFS('GLOBAL LOG'!$D$6:$D$128,$C50,'GLOBAL LOG'!#REF!,"Low")</f>
        <v>#REF!</v>
      </c>
      <c r="Q50" s="14" t="e">
        <f>COUNTIFS('GLOBAL LOG'!$D$6:$D$128,$C50,'GLOBAL LOG'!#REF!,"High")</f>
        <v>#REF!</v>
      </c>
      <c r="R50" s="14" t="e">
        <f>COUNTIFS('GLOBAL LOG'!$D$6:$D$128,$C50,'GLOBAL LOG'!#REF!,"Med")</f>
        <v>#REF!</v>
      </c>
      <c r="S50" s="14" t="e">
        <f>COUNTIFS('GLOBAL LOG'!$D$6:$D$128,$C50,'GLOBAL LOG'!#REF!,"Low")</f>
        <v>#REF!</v>
      </c>
      <c r="T50" s="14" t="e">
        <f>COUNTIFS('GLOBAL LOG'!$D$6:$D$128,$C50,'GLOBAL LOG'!#REF!,"Completed")</f>
        <v>#REF!</v>
      </c>
      <c r="U50" s="14" t="e">
        <f>COUNTIFS('GLOBAL LOG'!$D$6:$D$128,$C50,'GLOBAL LOG'!#REF!,"Contracting")</f>
        <v>#REF!</v>
      </c>
      <c r="V50" s="14" t="e">
        <f>COUNTIFS('GLOBAL LOG'!$D$6:$D$128,$C50,'GLOBAL LOG'!#REF!,"Negotiations")</f>
        <v>#REF!</v>
      </c>
      <c r="W50" s="14" t="e">
        <f>COUNTIFS('GLOBAL LOG'!$D$6:$D$128,$C50,'GLOBAL LOG'!#REF!,"ICT")</f>
        <v>#REF!</v>
      </c>
      <c r="X50" s="14" t="e">
        <f>COUNTIFS('GLOBAL LOG'!$D$6:$D$128,$C50,'GLOBAL LOG'!#REF!,"Hopper")</f>
        <v>#REF!</v>
      </c>
      <c r="Y50" s="14">
        <f>SUMIF('GLOBAL LOG'!$D$6:$D$128,$C50,'GLOBAL LOG'!$Q$6:$Q$128)</f>
        <v>0</v>
      </c>
      <c r="Z50" s="14">
        <f>SUMIF('GLOBAL LOG'!$D$6:$D$128,$C50,'GLOBAL LOG'!$R$6:$R$128)</f>
        <v>0</v>
      </c>
      <c r="AA50" s="14">
        <f t="shared" si="1"/>
        <v>0</v>
      </c>
      <c r="AB50" s="14" t="e">
        <f>SUMIF('GLOBAL LOG'!$D$6:$D$128,C50,'GLOBAL LOG'!#REF!)</f>
        <v>#REF!</v>
      </c>
      <c r="AC50" s="6"/>
      <c r="AD50" s="14" t="str">
        <v>Boliviana</v>
      </c>
      <c r="AE50" s="14" t="e">
        <v>#REF!</v>
      </c>
      <c r="AF50" s="6"/>
      <c r="AG50" s="14" t="str">
        <v>Avianca Holdings S.A. (Colombia)</v>
      </c>
      <c r="AH50" s="14">
        <v>0</v>
      </c>
      <c r="AI50" s="6"/>
      <c r="AJ50" s="14" t="str">
        <v>BOC Aviation</v>
      </c>
      <c r="AK50" s="14">
        <v>0</v>
      </c>
      <c r="AL50" s="6"/>
      <c r="AM50" s="14" t="str">
        <v>Avianca Holdings S.A. (Colombia)</v>
      </c>
      <c r="AN50" s="14">
        <v>0</v>
      </c>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row>
    <row r="51" spans="2:97" s="4" customFormat="1" ht="14.65" customHeight="1">
      <c r="B51" s="6"/>
      <c r="C51" s="13" t="str">
        <v>British Airways</v>
      </c>
      <c r="D51" s="14">
        <f>COUNTIFS('GLOBAL LOG'!$D$6:$D$128,C51,'GLOBAL LOG'!$K$6:$K$128,"&lt;&gt;")</f>
        <v>1</v>
      </c>
      <c r="E51" s="14" t="e">
        <f>COUNTIFS('GLOBAL LOG'!$D$6:$D$128,C51,'GLOBAL LOG'!#REF!,"Yes")</f>
        <v>#REF!</v>
      </c>
      <c r="F51" s="14" t="e">
        <f>SUMIF('GLOBAL LOG'!$D$6:$D$128,COUNT!C51,'GLOBAL LOG'!#REF!)</f>
        <v>#REF!</v>
      </c>
      <c r="G51" s="14">
        <f>COUNTIFS('GLOBAL LOG'!$E$6:$E$128,G$10,'GLOBAL LOG'!$D$6:$D$128,$C51)</f>
        <v>0</v>
      </c>
      <c r="H51" s="14">
        <f>COUNTIFS('GLOBAL LOG'!$E$6:$E$128,H$10,'GLOBAL LOG'!$D$6:$D$128,$C51)</f>
        <v>0</v>
      </c>
      <c r="I51" s="14">
        <f>COUNTIFS('GLOBAL LOG'!$E$6:$E$128,I$10,'GLOBAL LOG'!$D$6:$D$128,$C51)</f>
        <v>0</v>
      </c>
      <c r="J51" s="14">
        <f>COUNTIFS('GLOBAL LOG'!$E$6:$E$128,J$10,'GLOBAL LOG'!$D$6:$D$128,$C51)</f>
        <v>0</v>
      </c>
      <c r="K51" s="14">
        <f>COUNTIFS('GLOBAL LOG'!$E$6:$E$128,K$10,'GLOBAL LOG'!$D$6:$D$128,$C51)</f>
        <v>0</v>
      </c>
      <c r="L51" s="14">
        <f>COUNTIFS('GLOBAL LOG'!$E$6:$E$128,L$10,'GLOBAL LOG'!$D$6:$D$128,$C51)</f>
        <v>0</v>
      </c>
      <c r="M51" s="14">
        <f>COUNTIFS('GLOBAL LOG'!$E$6:$E$128,M$10,'GLOBAL LOG'!$D$6:$D$128,$C51)</f>
        <v>0</v>
      </c>
      <c r="N51" s="14" t="e">
        <f>COUNTIFS('GLOBAL LOG'!$D$6:$D$128,$C51,'GLOBAL LOG'!#REF!,"High")</f>
        <v>#REF!</v>
      </c>
      <c r="O51" s="14" t="e">
        <f>COUNTIFS('GLOBAL LOG'!$D$6:$D$128,$C51,'GLOBAL LOG'!#REF!,"Med")</f>
        <v>#REF!</v>
      </c>
      <c r="P51" s="14" t="e">
        <f>COUNTIFS('GLOBAL LOG'!$D$6:$D$128,$C51,'GLOBAL LOG'!#REF!,"Low")</f>
        <v>#REF!</v>
      </c>
      <c r="Q51" s="14" t="e">
        <f>COUNTIFS('GLOBAL LOG'!$D$6:$D$128,$C51,'GLOBAL LOG'!#REF!,"High")</f>
        <v>#REF!</v>
      </c>
      <c r="R51" s="14" t="e">
        <f>COUNTIFS('GLOBAL LOG'!$D$6:$D$128,$C51,'GLOBAL LOG'!#REF!,"Med")</f>
        <v>#REF!</v>
      </c>
      <c r="S51" s="14" t="e">
        <f>COUNTIFS('GLOBAL LOG'!$D$6:$D$128,$C51,'GLOBAL LOG'!#REF!,"Low")</f>
        <v>#REF!</v>
      </c>
      <c r="T51" s="14" t="e">
        <f>COUNTIFS('GLOBAL LOG'!$D$6:$D$128,$C51,'GLOBAL LOG'!#REF!,"Completed")</f>
        <v>#REF!</v>
      </c>
      <c r="U51" s="14" t="e">
        <f>COUNTIFS('GLOBAL LOG'!$D$6:$D$128,$C51,'GLOBAL LOG'!#REF!,"Contracting")</f>
        <v>#REF!</v>
      </c>
      <c r="V51" s="14" t="e">
        <f>COUNTIFS('GLOBAL LOG'!$D$6:$D$128,$C51,'GLOBAL LOG'!#REF!,"Negotiations")</f>
        <v>#REF!</v>
      </c>
      <c r="W51" s="14" t="e">
        <f>COUNTIFS('GLOBAL LOG'!$D$6:$D$128,$C51,'GLOBAL LOG'!#REF!,"ICT")</f>
        <v>#REF!</v>
      </c>
      <c r="X51" s="14" t="e">
        <f>COUNTIFS('GLOBAL LOG'!$D$6:$D$128,$C51,'GLOBAL LOG'!#REF!,"Hopper")</f>
        <v>#REF!</v>
      </c>
      <c r="Y51" s="14">
        <f>SUMIF('GLOBAL LOG'!$D$6:$D$128,$C51,'GLOBAL LOG'!$Q$6:$Q$128)</f>
        <v>0</v>
      </c>
      <c r="Z51" s="14">
        <f>SUMIF('GLOBAL LOG'!$D$6:$D$128,$C51,'GLOBAL LOG'!$R$6:$R$128)</f>
        <v>0</v>
      </c>
      <c r="AA51" s="14">
        <f t="shared" si="1"/>
        <v>0</v>
      </c>
      <c r="AB51" s="14" t="e">
        <f>SUMIF('GLOBAL LOG'!$D$6:$D$128,C51,'GLOBAL LOG'!#REF!)</f>
        <v>#REF!</v>
      </c>
      <c r="AC51" s="6"/>
      <c r="AD51" s="14" t="str">
        <v>British Airways</v>
      </c>
      <c r="AE51" s="14" t="e">
        <v>#REF!</v>
      </c>
      <c r="AF51" s="6"/>
      <c r="AG51" s="14" t="str">
        <v>Avolon</v>
      </c>
      <c r="AH51" s="14">
        <v>0</v>
      </c>
      <c r="AI51" s="6"/>
      <c r="AJ51" s="14" t="str">
        <v>Boliviana</v>
      </c>
      <c r="AK51" s="14">
        <v>0</v>
      </c>
      <c r="AL51" s="6"/>
      <c r="AM51" s="14" t="str">
        <v>Avolon</v>
      </c>
      <c r="AN51" s="14">
        <v>0</v>
      </c>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row>
    <row r="52" spans="2:97" s="4" customFormat="1" ht="14.65" customHeight="1">
      <c r="B52" s="6"/>
      <c r="C52" s="13" t="str">
        <v>Brussels Airlines</v>
      </c>
      <c r="D52" s="14">
        <f>COUNTIFS('GLOBAL LOG'!$D$6:$D$128,C52,'GLOBAL LOG'!$K$6:$K$128,"&lt;&gt;")</f>
        <v>0</v>
      </c>
      <c r="E52" s="14" t="e">
        <f>COUNTIFS('GLOBAL LOG'!$D$6:$D$128,C52,'GLOBAL LOG'!#REF!,"Yes")</f>
        <v>#REF!</v>
      </c>
      <c r="F52" s="14" t="e">
        <f>SUMIF('GLOBAL LOG'!$D$6:$D$128,COUNT!C52,'GLOBAL LOG'!#REF!)</f>
        <v>#REF!</v>
      </c>
      <c r="G52" s="14">
        <f>COUNTIFS('GLOBAL LOG'!$E$6:$E$128,G$10,'GLOBAL LOG'!$D$6:$D$128,$C52)</f>
        <v>0</v>
      </c>
      <c r="H52" s="14">
        <f>COUNTIFS('GLOBAL LOG'!$E$6:$E$128,H$10,'GLOBAL LOG'!$D$6:$D$128,$C52)</f>
        <v>0</v>
      </c>
      <c r="I52" s="14">
        <f>COUNTIFS('GLOBAL LOG'!$E$6:$E$128,I$10,'GLOBAL LOG'!$D$6:$D$128,$C52)</f>
        <v>0</v>
      </c>
      <c r="J52" s="14">
        <f>COUNTIFS('GLOBAL LOG'!$E$6:$E$128,J$10,'GLOBAL LOG'!$D$6:$D$128,$C52)</f>
        <v>0</v>
      </c>
      <c r="K52" s="14">
        <f>COUNTIFS('GLOBAL LOG'!$E$6:$E$128,K$10,'GLOBAL LOG'!$D$6:$D$128,$C52)</f>
        <v>0</v>
      </c>
      <c r="L52" s="14">
        <f>COUNTIFS('GLOBAL LOG'!$E$6:$E$128,L$10,'GLOBAL LOG'!$D$6:$D$128,$C52)</f>
        <v>0</v>
      </c>
      <c r="M52" s="14">
        <f>COUNTIFS('GLOBAL LOG'!$E$6:$E$128,M$10,'GLOBAL LOG'!$D$6:$D$128,$C52)</f>
        <v>0</v>
      </c>
      <c r="N52" s="14" t="e">
        <f>COUNTIFS('GLOBAL LOG'!$D$6:$D$128,$C52,'GLOBAL LOG'!#REF!,"High")</f>
        <v>#REF!</v>
      </c>
      <c r="O52" s="14" t="e">
        <f>COUNTIFS('GLOBAL LOG'!$D$6:$D$128,$C52,'GLOBAL LOG'!#REF!,"Med")</f>
        <v>#REF!</v>
      </c>
      <c r="P52" s="14" t="e">
        <f>COUNTIFS('GLOBAL LOG'!$D$6:$D$128,$C52,'GLOBAL LOG'!#REF!,"Low")</f>
        <v>#REF!</v>
      </c>
      <c r="Q52" s="14" t="e">
        <f>COUNTIFS('GLOBAL LOG'!$D$6:$D$128,$C52,'GLOBAL LOG'!#REF!,"High")</f>
        <v>#REF!</v>
      </c>
      <c r="R52" s="14" t="e">
        <f>COUNTIFS('GLOBAL LOG'!$D$6:$D$128,$C52,'GLOBAL LOG'!#REF!,"Med")</f>
        <v>#REF!</v>
      </c>
      <c r="S52" s="14" t="e">
        <f>COUNTIFS('GLOBAL LOG'!$D$6:$D$128,$C52,'GLOBAL LOG'!#REF!,"Low")</f>
        <v>#REF!</v>
      </c>
      <c r="T52" s="14" t="e">
        <f>COUNTIFS('GLOBAL LOG'!$D$6:$D$128,$C52,'GLOBAL LOG'!#REF!,"Completed")</f>
        <v>#REF!</v>
      </c>
      <c r="U52" s="14" t="e">
        <f>COUNTIFS('GLOBAL LOG'!$D$6:$D$128,$C52,'GLOBAL LOG'!#REF!,"Contracting")</f>
        <v>#REF!</v>
      </c>
      <c r="V52" s="14" t="e">
        <f>COUNTIFS('GLOBAL LOG'!$D$6:$D$128,$C52,'GLOBAL LOG'!#REF!,"Negotiations")</f>
        <v>#REF!</v>
      </c>
      <c r="W52" s="14" t="e">
        <f>COUNTIFS('GLOBAL LOG'!$D$6:$D$128,$C52,'GLOBAL LOG'!#REF!,"ICT")</f>
        <v>#REF!</v>
      </c>
      <c r="X52" s="14" t="e">
        <f>COUNTIFS('GLOBAL LOG'!$D$6:$D$128,$C52,'GLOBAL LOG'!#REF!,"Hopper")</f>
        <v>#REF!</v>
      </c>
      <c r="Y52" s="14">
        <f>SUMIF('GLOBAL LOG'!$D$6:$D$128,$C52,'GLOBAL LOG'!$Q$6:$Q$128)</f>
        <v>0</v>
      </c>
      <c r="Z52" s="14">
        <f>SUMIF('GLOBAL LOG'!$D$6:$D$128,$C52,'GLOBAL LOG'!$R$6:$R$128)</f>
        <v>0</v>
      </c>
      <c r="AA52" s="14">
        <f t="shared" si="1"/>
        <v>0</v>
      </c>
      <c r="AB52" s="14" t="e">
        <f>SUMIF('GLOBAL LOG'!$D$6:$D$128,C52,'GLOBAL LOG'!#REF!)</f>
        <v>#REF!</v>
      </c>
      <c r="AC52" s="6"/>
      <c r="AD52" s="14" t="str">
        <v>Brussels Airlines</v>
      </c>
      <c r="AE52" s="14" t="e">
        <v>#REF!</v>
      </c>
      <c r="AF52" s="6"/>
      <c r="AG52" s="14" t="str">
        <v>Azul Linhas Aereas Brasileiras</v>
      </c>
      <c r="AH52" s="14">
        <v>0</v>
      </c>
      <c r="AI52" s="6"/>
      <c r="AJ52" s="14" t="str">
        <v>British Airways</v>
      </c>
      <c r="AK52" s="14">
        <v>0</v>
      </c>
      <c r="AL52" s="6"/>
      <c r="AM52" s="14" t="str">
        <v>Azul Linhas Aereas Brasileiras</v>
      </c>
      <c r="AN52" s="14">
        <v>0</v>
      </c>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row>
    <row r="53" spans="2:97" s="4" customFormat="1" ht="14.65" customHeight="1">
      <c r="B53" s="6"/>
      <c r="C53" s="13" t="str">
        <v>Carlyle</v>
      </c>
      <c r="D53" s="14">
        <f>COUNTIFS('GLOBAL LOG'!$D$6:$D$128,C53,'GLOBAL LOG'!$K$6:$K$128,"&lt;&gt;")</f>
        <v>0</v>
      </c>
      <c r="E53" s="14" t="e">
        <f>COUNTIFS('GLOBAL LOG'!$D$6:$D$128,C53,'GLOBAL LOG'!#REF!,"Yes")</f>
        <v>#REF!</v>
      </c>
      <c r="F53" s="14" t="e">
        <f>SUMIF('GLOBAL LOG'!$D$6:$D$128,COUNT!C53,'GLOBAL LOG'!#REF!)</f>
        <v>#REF!</v>
      </c>
      <c r="G53" s="14">
        <f>COUNTIFS('GLOBAL LOG'!$E$6:$E$128,G$10,'GLOBAL LOG'!$D$6:$D$128,$C53)</f>
        <v>0</v>
      </c>
      <c r="H53" s="14">
        <f>COUNTIFS('GLOBAL LOG'!$E$6:$E$128,H$10,'GLOBAL LOG'!$D$6:$D$128,$C53)</f>
        <v>0</v>
      </c>
      <c r="I53" s="14">
        <f>COUNTIFS('GLOBAL LOG'!$E$6:$E$128,I$10,'GLOBAL LOG'!$D$6:$D$128,$C53)</f>
        <v>0</v>
      </c>
      <c r="J53" s="14">
        <f>COUNTIFS('GLOBAL LOG'!$E$6:$E$128,J$10,'GLOBAL LOG'!$D$6:$D$128,$C53)</f>
        <v>0</v>
      </c>
      <c r="K53" s="14">
        <f>COUNTIFS('GLOBAL LOG'!$E$6:$E$128,K$10,'GLOBAL LOG'!$D$6:$D$128,$C53)</f>
        <v>0</v>
      </c>
      <c r="L53" s="14">
        <f>COUNTIFS('GLOBAL LOG'!$E$6:$E$128,L$10,'GLOBAL LOG'!$D$6:$D$128,$C53)</f>
        <v>0</v>
      </c>
      <c r="M53" s="14">
        <f>COUNTIFS('GLOBAL LOG'!$E$6:$E$128,M$10,'GLOBAL LOG'!$D$6:$D$128,$C53)</f>
        <v>0</v>
      </c>
      <c r="N53" s="14" t="e">
        <f>COUNTIFS('GLOBAL LOG'!$D$6:$D$128,$C53,'GLOBAL LOG'!#REF!,"High")</f>
        <v>#REF!</v>
      </c>
      <c r="O53" s="14" t="e">
        <f>COUNTIFS('GLOBAL LOG'!$D$6:$D$128,$C53,'GLOBAL LOG'!#REF!,"Med")</f>
        <v>#REF!</v>
      </c>
      <c r="P53" s="14" t="e">
        <f>COUNTIFS('GLOBAL LOG'!$D$6:$D$128,$C53,'GLOBAL LOG'!#REF!,"Low")</f>
        <v>#REF!</v>
      </c>
      <c r="Q53" s="14" t="e">
        <f>COUNTIFS('GLOBAL LOG'!$D$6:$D$128,$C53,'GLOBAL LOG'!#REF!,"High")</f>
        <v>#REF!</v>
      </c>
      <c r="R53" s="14" t="e">
        <f>COUNTIFS('GLOBAL LOG'!$D$6:$D$128,$C53,'GLOBAL LOG'!#REF!,"Med")</f>
        <v>#REF!</v>
      </c>
      <c r="S53" s="14" t="e">
        <f>COUNTIFS('GLOBAL LOG'!$D$6:$D$128,$C53,'GLOBAL LOG'!#REF!,"Low")</f>
        <v>#REF!</v>
      </c>
      <c r="T53" s="14" t="e">
        <f>COUNTIFS('GLOBAL LOG'!$D$6:$D$128,$C53,'GLOBAL LOG'!#REF!,"Completed")</f>
        <v>#REF!</v>
      </c>
      <c r="U53" s="14" t="e">
        <f>COUNTIFS('GLOBAL LOG'!$D$6:$D$128,$C53,'GLOBAL LOG'!#REF!,"Contracting")</f>
        <v>#REF!</v>
      </c>
      <c r="V53" s="14" t="e">
        <f>COUNTIFS('GLOBAL LOG'!$D$6:$D$128,$C53,'GLOBAL LOG'!#REF!,"Negotiations")</f>
        <v>#REF!</v>
      </c>
      <c r="W53" s="14" t="e">
        <f>COUNTIFS('GLOBAL LOG'!$D$6:$D$128,$C53,'GLOBAL LOG'!#REF!,"ICT")</f>
        <v>#REF!</v>
      </c>
      <c r="X53" s="14" t="e">
        <f>COUNTIFS('GLOBAL LOG'!$D$6:$D$128,$C53,'GLOBAL LOG'!#REF!,"Hopper")</f>
        <v>#REF!</v>
      </c>
      <c r="Y53" s="14">
        <f>SUMIF('GLOBAL LOG'!$D$6:$D$128,$C53,'GLOBAL LOG'!$Q$6:$Q$128)</f>
        <v>0</v>
      </c>
      <c r="Z53" s="14">
        <f>SUMIF('GLOBAL LOG'!$D$6:$D$128,$C53,'GLOBAL LOG'!$R$6:$R$128)</f>
        <v>0</v>
      </c>
      <c r="AA53" s="14">
        <f t="shared" si="1"/>
        <v>0</v>
      </c>
      <c r="AB53" s="14" t="e">
        <f>SUMIF('GLOBAL LOG'!$D$6:$D$128,C53,'GLOBAL LOG'!#REF!)</f>
        <v>#REF!</v>
      </c>
      <c r="AC53" s="6"/>
      <c r="AD53" s="14" t="str">
        <v>Carlyle</v>
      </c>
      <c r="AE53" s="14" t="e">
        <v>#REF!</v>
      </c>
      <c r="AF53" s="6"/>
      <c r="AG53" s="14" t="str">
        <v>Barolo</v>
      </c>
      <c r="AH53" s="14">
        <v>0</v>
      </c>
      <c r="AI53" s="6"/>
      <c r="AJ53" s="14" t="str">
        <v>Brussels Airlines</v>
      </c>
      <c r="AK53" s="14">
        <v>0</v>
      </c>
      <c r="AL53" s="6"/>
      <c r="AM53" s="14" t="str">
        <v>Barolo</v>
      </c>
      <c r="AN53" s="14">
        <v>0</v>
      </c>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row>
    <row r="54" spans="2:97" s="4" customFormat="1" ht="14.65" customHeight="1">
      <c r="B54" s="6"/>
      <c r="C54" s="13" t="str">
        <v>Cathay Pacific</v>
      </c>
      <c r="D54" s="14">
        <f>COUNTIFS('GLOBAL LOG'!$D$6:$D$128,C54,'GLOBAL LOG'!$K$6:$K$128,"&lt;&gt;")</f>
        <v>0</v>
      </c>
      <c r="E54" s="14" t="e">
        <f>COUNTIFS('GLOBAL LOG'!$D$6:$D$128,C54,'GLOBAL LOG'!#REF!,"Yes")</f>
        <v>#REF!</v>
      </c>
      <c r="F54" s="14" t="e">
        <f>SUMIF('GLOBAL LOG'!$D$6:$D$128,COUNT!C54,'GLOBAL LOG'!#REF!)</f>
        <v>#REF!</v>
      </c>
      <c r="G54" s="14">
        <f>COUNTIFS('GLOBAL LOG'!$E$6:$E$128,G$10,'GLOBAL LOG'!$D$6:$D$128,$C54)</f>
        <v>0</v>
      </c>
      <c r="H54" s="14">
        <f>COUNTIFS('GLOBAL LOG'!$E$6:$E$128,H$10,'GLOBAL LOG'!$D$6:$D$128,$C54)</f>
        <v>0</v>
      </c>
      <c r="I54" s="14">
        <f>COUNTIFS('GLOBAL LOG'!$E$6:$E$128,I$10,'GLOBAL LOG'!$D$6:$D$128,$C54)</f>
        <v>0</v>
      </c>
      <c r="J54" s="14">
        <f>COUNTIFS('GLOBAL LOG'!$E$6:$E$128,J$10,'GLOBAL LOG'!$D$6:$D$128,$C54)</f>
        <v>0</v>
      </c>
      <c r="K54" s="14">
        <f>COUNTIFS('GLOBAL LOG'!$E$6:$E$128,K$10,'GLOBAL LOG'!$D$6:$D$128,$C54)</f>
        <v>0</v>
      </c>
      <c r="L54" s="14">
        <f>COUNTIFS('GLOBAL LOG'!$E$6:$E$128,L$10,'GLOBAL LOG'!$D$6:$D$128,$C54)</f>
        <v>0</v>
      </c>
      <c r="M54" s="14">
        <f>COUNTIFS('GLOBAL LOG'!$E$6:$E$128,M$10,'GLOBAL LOG'!$D$6:$D$128,$C54)</f>
        <v>0</v>
      </c>
      <c r="N54" s="14" t="e">
        <f>COUNTIFS('GLOBAL LOG'!$D$6:$D$128,$C54,'GLOBAL LOG'!#REF!,"High")</f>
        <v>#REF!</v>
      </c>
      <c r="O54" s="14" t="e">
        <f>COUNTIFS('GLOBAL LOG'!$D$6:$D$128,$C54,'GLOBAL LOG'!#REF!,"Med")</f>
        <v>#REF!</v>
      </c>
      <c r="P54" s="14" t="e">
        <f>COUNTIFS('GLOBAL LOG'!$D$6:$D$128,$C54,'GLOBAL LOG'!#REF!,"Low")</f>
        <v>#REF!</v>
      </c>
      <c r="Q54" s="14" t="e">
        <f>COUNTIFS('GLOBAL LOG'!$D$6:$D$128,$C54,'GLOBAL LOG'!#REF!,"High")</f>
        <v>#REF!</v>
      </c>
      <c r="R54" s="14" t="e">
        <f>COUNTIFS('GLOBAL LOG'!$D$6:$D$128,$C54,'GLOBAL LOG'!#REF!,"Med")</f>
        <v>#REF!</v>
      </c>
      <c r="S54" s="14" t="e">
        <f>COUNTIFS('GLOBAL LOG'!$D$6:$D$128,$C54,'GLOBAL LOG'!#REF!,"Low")</f>
        <v>#REF!</v>
      </c>
      <c r="T54" s="14" t="e">
        <f>COUNTIFS('GLOBAL LOG'!$D$6:$D$128,$C54,'GLOBAL LOG'!#REF!,"Completed")</f>
        <v>#REF!</v>
      </c>
      <c r="U54" s="14" t="e">
        <f>COUNTIFS('GLOBAL LOG'!$D$6:$D$128,$C54,'GLOBAL LOG'!#REF!,"Contracting")</f>
        <v>#REF!</v>
      </c>
      <c r="V54" s="14" t="e">
        <f>COUNTIFS('GLOBAL LOG'!$D$6:$D$128,$C54,'GLOBAL LOG'!#REF!,"Negotiations")</f>
        <v>#REF!</v>
      </c>
      <c r="W54" s="14" t="e">
        <f>COUNTIFS('GLOBAL LOG'!$D$6:$D$128,$C54,'GLOBAL LOG'!#REF!,"ICT")</f>
        <v>#REF!</v>
      </c>
      <c r="X54" s="14" t="e">
        <f>COUNTIFS('GLOBAL LOG'!$D$6:$D$128,$C54,'GLOBAL LOG'!#REF!,"Hopper")</f>
        <v>#REF!</v>
      </c>
      <c r="Y54" s="14">
        <f>SUMIF('GLOBAL LOG'!$D$6:$D$128,$C54,'GLOBAL LOG'!$Q$6:$Q$128)</f>
        <v>0</v>
      </c>
      <c r="Z54" s="14">
        <f>SUMIF('GLOBAL LOG'!$D$6:$D$128,$C54,'GLOBAL LOG'!$R$6:$R$128)</f>
        <v>0</v>
      </c>
      <c r="AA54" s="14">
        <f t="shared" si="1"/>
        <v>0</v>
      </c>
      <c r="AB54" s="14" t="e">
        <f>SUMIF('GLOBAL LOG'!$D$6:$D$128,C54,'GLOBAL LOG'!#REF!)</f>
        <v>#REF!</v>
      </c>
      <c r="AC54" s="6"/>
      <c r="AD54" s="14" t="str">
        <v>Cathay Pacific</v>
      </c>
      <c r="AE54" s="14" t="e">
        <v>#REF!</v>
      </c>
      <c r="AF54" s="6"/>
      <c r="AG54" s="14" t="str">
        <v>Beijing Capital Airlines</v>
      </c>
      <c r="AH54" s="14">
        <v>0</v>
      </c>
      <c r="AI54" s="6"/>
      <c r="AJ54" s="14" t="str">
        <v>Carlyle</v>
      </c>
      <c r="AK54" s="14">
        <v>0</v>
      </c>
      <c r="AL54" s="6"/>
      <c r="AM54" s="14" t="str">
        <v>Beijing Capital Airlines</v>
      </c>
      <c r="AN54" s="14">
        <v>0</v>
      </c>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row>
    <row r="55" spans="2:97" s="4" customFormat="1" ht="14.65" hidden="1" customHeight="1">
      <c r="B55" s="6"/>
      <c r="C55" s="13" t="str">
        <v>CDB Aviation</v>
      </c>
      <c r="D55" s="14">
        <f>COUNTIFS('GLOBAL LOG'!$D$6:$D$128,C55,'GLOBAL LOG'!$K$6:$K$128,"&lt;&gt;")</f>
        <v>0</v>
      </c>
      <c r="E55" s="14" t="e">
        <f>COUNTIFS('GLOBAL LOG'!$D$6:$D$128,C55,'GLOBAL LOG'!#REF!,"Yes")</f>
        <v>#REF!</v>
      </c>
      <c r="F55" s="14" t="e">
        <f>SUMIF('GLOBAL LOG'!$D$6:$D$128,COUNT!C55,'GLOBAL LOG'!#REF!)</f>
        <v>#REF!</v>
      </c>
      <c r="G55" s="14">
        <f>COUNTIFS('GLOBAL LOG'!$E$6:$E$128,G$10,'GLOBAL LOG'!$D$6:$D$128,$C55)</f>
        <v>0</v>
      </c>
      <c r="H55" s="14">
        <f>COUNTIFS('GLOBAL LOG'!$E$6:$E$128,H$10,'GLOBAL LOG'!$D$6:$D$128,$C55)</f>
        <v>0</v>
      </c>
      <c r="I55" s="14">
        <f>COUNTIFS('GLOBAL LOG'!$E$6:$E$128,I$10,'GLOBAL LOG'!$D$6:$D$128,$C55)</f>
        <v>0</v>
      </c>
      <c r="J55" s="14">
        <f>COUNTIFS('GLOBAL LOG'!$E$6:$E$128,J$10,'GLOBAL LOG'!$D$6:$D$128,$C55)</f>
        <v>0</v>
      </c>
      <c r="K55" s="14">
        <f>COUNTIFS('GLOBAL LOG'!$E$6:$E$128,K$10,'GLOBAL LOG'!$D$6:$D$128,$C55)</f>
        <v>0</v>
      </c>
      <c r="L55" s="14">
        <f>COUNTIFS('GLOBAL LOG'!$E$6:$E$128,L$10,'GLOBAL LOG'!$D$6:$D$128,$C55)</f>
        <v>0</v>
      </c>
      <c r="M55" s="14">
        <f>COUNTIFS('GLOBAL LOG'!$E$6:$E$128,M$10,'GLOBAL LOG'!$D$6:$D$128,$C55)</f>
        <v>0</v>
      </c>
      <c r="N55" s="14" t="e">
        <f>COUNTIFS('GLOBAL LOG'!$D$6:$D$128,$C55,'GLOBAL LOG'!#REF!,"High")</f>
        <v>#REF!</v>
      </c>
      <c r="O55" s="14" t="e">
        <f>COUNTIFS('GLOBAL LOG'!$D$6:$D$128,$C55,'GLOBAL LOG'!#REF!,"Med")</f>
        <v>#REF!</v>
      </c>
      <c r="P55" s="14" t="e">
        <f>COUNTIFS('GLOBAL LOG'!$D$6:$D$128,$C55,'GLOBAL LOG'!#REF!,"Low")</f>
        <v>#REF!</v>
      </c>
      <c r="Q55" s="14" t="e">
        <f>COUNTIFS('GLOBAL LOG'!$D$6:$D$128,$C55,'GLOBAL LOG'!#REF!,"High")</f>
        <v>#REF!</v>
      </c>
      <c r="R55" s="14" t="e">
        <f>COUNTIFS('GLOBAL LOG'!$D$6:$D$128,$C55,'GLOBAL LOG'!#REF!,"Med")</f>
        <v>#REF!</v>
      </c>
      <c r="S55" s="14" t="e">
        <f>COUNTIFS('GLOBAL LOG'!$D$6:$D$128,$C55,'GLOBAL LOG'!#REF!,"Low")</f>
        <v>#REF!</v>
      </c>
      <c r="T55" s="14" t="e">
        <f>COUNTIFS('GLOBAL LOG'!$D$6:$D$128,$C55,'GLOBAL LOG'!#REF!,"Completed")</f>
        <v>#REF!</v>
      </c>
      <c r="U55" s="14" t="e">
        <f>COUNTIFS('GLOBAL LOG'!$D$6:$D$128,$C55,'GLOBAL LOG'!#REF!,"Contracting")</f>
        <v>#REF!</v>
      </c>
      <c r="V55" s="14" t="e">
        <f>COUNTIFS('GLOBAL LOG'!$D$6:$D$128,$C55,'GLOBAL LOG'!#REF!,"Negotiations")</f>
        <v>#REF!</v>
      </c>
      <c r="W55" s="14" t="e">
        <f>COUNTIFS('GLOBAL LOG'!$D$6:$D$128,$C55,'GLOBAL LOG'!#REF!,"ICT")</f>
        <v>#REF!</v>
      </c>
      <c r="X55" s="14" t="e">
        <f>COUNTIFS('GLOBAL LOG'!$D$6:$D$128,$C55,'GLOBAL LOG'!#REF!,"Hopper")</f>
        <v>#REF!</v>
      </c>
      <c r="Y55" s="14">
        <f>SUMIF('GLOBAL LOG'!$D$6:$D$128,$C55,'GLOBAL LOG'!$Q$6:$Q$128)</f>
        <v>0</v>
      </c>
      <c r="Z55" s="14">
        <f>SUMIF('GLOBAL LOG'!$D$6:$D$128,$C55,'GLOBAL LOG'!$R$6:$R$128)</f>
        <v>0</v>
      </c>
      <c r="AA55" s="14">
        <f t="shared" si="1"/>
        <v>0</v>
      </c>
      <c r="AB55" s="14" t="e">
        <f>SUMIF('GLOBAL LOG'!$D$6:$D$128,C55,'GLOBAL LOG'!#REF!)</f>
        <v>#REF!</v>
      </c>
      <c r="AC55" s="6"/>
      <c r="AD55" s="14" t="str">
        <v>CDB Aviation</v>
      </c>
      <c r="AE55" s="14" t="e">
        <v>#REF!</v>
      </c>
      <c r="AF55" s="6"/>
      <c r="AG55" s="14" t="str">
        <v>BOC Aviation</v>
      </c>
      <c r="AH55" s="14">
        <v>0</v>
      </c>
      <c r="AI55" s="6"/>
      <c r="AJ55" s="14" t="str">
        <v>Cathay Pacific</v>
      </c>
      <c r="AK55" s="14">
        <v>0</v>
      </c>
      <c r="AL55" s="6"/>
      <c r="AM55" s="14" t="str">
        <v>BOC Aviation</v>
      </c>
      <c r="AN55" s="14">
        <v>0</v>
      </c>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row>
    <row r="56" spans="2:97" s="4" customFormat="1" ht="14.65" hidden="1" customHeight="1">
      <c r="B56" s="6"/>
      <c r="C56" s="13" t="str">
        <v>Cebu Pacific Air</v>
      </c>
      <c r="D56" s="14">
        <f>COUNTIFS('GLOBAL LOG'!$D$6:$D$128,C56,'GLOBAL LOG'!$K$6:$K$128,"&lt;&gt;")</f>
        <v>0</v>
      </c>
      <c r="E56" s="14" t="e">
        <f>COUNTIFS('GLOBAL LOG'!$D$6:$D$128,C56,'GLOBAL LOG'!#REF!,"Yes")</f>
        <v>#REF!</v>
      </c>
      <c r="F56" s="14" t="e">
        <f>SUMIF('GLOBAL LOG'!$D$6:$D$128,COUNT!C56,'GLOBAL LOG'!#REF!)</f>
        <v>#REF!</v>
      </c>
      <c r="G56" s="14">
        <f>COUNTIFS('GLOBAL LOG'!$E$6:$E$128,G$10,'GLOBAL LOG'!$D$6:$D$128,$C56)</f>
        <v>0</v>
      </c>
      <c r="H56" s="14">
        <f>COUNTIFS('GLOBAL LOG'!$E$6:$E$128,H$10,'GLOBAL LOG'!$D$6:$D$128,$C56)</f>
        <v>0</v>
      </c>
      <c r="I56" s="14">
        <f>COUNTIFS('GLOBAL LOG'!$E$6:$E$128,I$10,'GLOBAL LOG'!$D$6:$D$128,$C56)</f>
        <v>0</v>
      </c>
      <c r="J56" s="14">
        <f>COUNTIFS('GLOBAL LOG'!$E$6:$E$128,J$10,'GLOBAL LOG'!$D$6:$D$128,$C56)</f>
        <v>0</v>
      </c>
      <c r="K56" s="14">
        <f>COUNTIFS('GLOBAL LOG'!$E$6:$E$128,K$10,'GLOBAL LOG'!$D$6:$D$128,$C56)</f>
        <v>0</v>
      </c>
      <c r="L56" s="14">
        <f>COUNTIFS('GLOBAL LOG'!$E$6:$E$128,L$10,'GLOBAL LOG'!$D$6:$D$128,$C56)</f>
        <v>0</v>
      </c>
      <c r="M56" s="14">
        <f>COUNTIFS('GLOBAL LOG'!$E$6:$E$128,M$10,'GLOBAL LOG'!$D$6:$D$128,$C56)</f>
        <v>0</v>
      </c>
      <c r="N56" s="14" t="e">
        <f>COUNTIFS('GLOBAL LOG'!$D$6:$D$128,$C56,'GLOBAL LOG'!#REF!,"High")</f>
        <v>#REF!</v>
      </c>
      <c r="O56" s="14" t="e">
        <f>COUNTIFS('GLOBAL LOG'!$D$6:$D$128,$C56,'GLOBAL LOG'!#REF!,"Med")</f>
        <v>#REF!</v>
      </c>
      <c r="P56" s="14" t="e">
        <f>COUNTIFS('GLOBAL LOG'!$D$6:$D$128,$C56,'GLOBAL LOG'!#REF!,"Low")</f>
        <v>#REF!</v>
      </c>
      <c r="Q56" s="14" t="e">
        <f>COUNTIFS('GLOBAL LOG'!$D$6:$D$128,$C56,'GLOBAL LOG'!#REF!,"High")</f>
        <v>#REF!</v>
      </c>
      <c r="R56" s="14" t="e">
        <f>COUNTIFS('GLOBAL LOG'!$D$6:$D$128,$C56,'GLOBAL LOG'!#REF!,"Med")</f>
        <v>#REF!</v>
      </c>
      <c r="S56" s="14" t="e">
        <f>COUNTIFS('GLOBAL LOG'!$D$6:$D$128,$C56,'GLOBAL LOG'!#REF!,"Low")</f>
        <v>#REF!</v>
      </c>
      <c r="T56" s="14" t="e">
        <f>COUNTIFS('GLOBAL LOG'!$D$6:$D$128,$C56,'GLOBAL LOG'!#REF!,"Completed")</f>
        <v>#REF!</v>
      </c>
      <c r="U56" s="14" t="e">
        <f>COUNTIFS('GLOBAL LOG'!$D$6:$D$128,$C56,'GLOBAL LOG'!#REF!,"Contracting")</f>
        <v>#REF!</v>
      </c>
      <c r="V56" s="14" t="e">
        <f>COUNTIFS('GLOBAL LOG'!$D$6:$D$128,$C56,'GLOBAL LOG'!#REF!,"Negotiations")</f>
        <v>#REF!</v>
      </c>
      <c r="W56" s="14" t="e">
        <f>COUNTIFS('GLOBAL LOG'!$D$6:$D$128,$C56,'GLOBAL LOG'!#REF!,"ICT")</f>
        <v>#REF!</v>
      </c>
      <c r="X56" s="14" t="e">
        <f>COUNTIFS('GLOBAL LOG'!$D$6:$D$128,$C56,'GLOBAL LOG'!#REF!,"Hopper")</f>
        <v>#REF!</v>
      </c>
      <c r="Y56" s="14">
        <f>SUMIF('GLOBAL LOG'!$D$6:$D$128,$C56,'GLOBAL LOG'!$Q$6:$Q$128)</f>
        <v>0</v>
      </c>
      <c r="Z56" s="14">
        <f>SUMIF('GLOBAL LOG'!$D$6:$D$128,$C56,'GLOBAL LOG'!$R$6:$R$128)</f>
        <v>0</v>
      </c>
      <c r="AA56" s="14">
        <f t="shared" si="1"/>
        <v>0</v>
      </c>
      <c r="AB56" s="14" t="e">
        <f>SUMIF('GLOBAL LOG'!$D$6:$D$128,C56,'GLOBAL LOG'!#REF!)</f>
        <v>#REF!</v>
      </c>
      <c r="AC56" s="6"/>
      <c r="AD56" s="14" t="str">
        <v>Cebu Pacific Air</v>
      </c>
      <c r="AE56" s="14" t="e">
        <v>#REF!</v>
      </c>
      <c r="AF56" s="6"/>
      <c r="AG56" s="14" t="str">
        <v>Boliviana</v>
      </c>
      <c r="AH56" s="14">
        <v>0</v>
      </c>
      <c r="AI56" s="6"/>
      <c r="AJ56" s="14" t="str">
        <v>CDB Aviation</v>
      </c>
      <c r="AK56" s="14">
        <v>0</v>
      </c>
      <c r="AL56" s="6"/>
      <c r="AM56" s="14" t="str">
        <v>Boliviana</v>
      </c>
      <c r="AN56" s="14">
        <v>0</v>
      </c>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row>
    <row r="57" spans="2:97" s="4" customFormat="1" ht="14.65" hidden="1" customHeight="1">
      <c r="B57" s="6"/>
      <c r="C57" s="13" t="str">
        <v>China Airlines</v>
      </c>
      <c r="D57" s="14">
        <f>COUNTIFS('GLOBAL LOG'!$D$6:$D$128,C57,'GLOBAL LOG'!$K$6:$K$128,"&lt;&gt;")</f>
        <v>2</v>
      </c>
      <c r="E57" s="14" t="e">
        <f>COUNTIFS('GLOBAL LOG'!$D$6:$D$128,C57,'GLOBAL LOG'!#REF!,"Yes")</f>
        <v>#REF!</v>
      </c>
      <c r="F57" s="14" t="e">
        <f>SUMIF('GLOBAL LOG'!$D$6:$D$128,COUNT!C57,'GLOBAL LOG'!#REF!)</f>
        <v>#REF!</v>
      </c>
      <c r="G57" s="14">
        <f>COUNTIFS('GLOBAL LOG'!$E$6:$E$128,G$10,'GLOBAL LOG'!$D$6:$D$128,$C57)</f>
        <v>2</v>
      </c>
      <c r="H57" s="14">
        <f>COUNTIFS('GLOBAL LOG'!$E$6:$E$128,H$10,'GLOBAL LOG'!$D$6:$D$128,$C57)</f>
        <v>0</v>
      </c>
      <c r="I57" s="14">
        <f>COUNTIFS('GLOBAL LOG'!$E$6:$E$128,I$10,'GLOBAL LOG'!$D$6:$D$128,$C57)</f>
        <v>0</v>
      </c>
      <c r="J57" s="14">
        <f>COUNTIFS('GLOBAL LOG'!$E$6:$E$128,J$10,'GLOBAL LOG'!$D$6:$D$128,$C57)</f>
        <v>0</v>
      </c>
      <c r="K57" s="14">
        <f>COUNTIFS('GLOBAL LOG'!$E$6:$E$128,K$10,'GLOBAL LOG'!$D$6:$D$128,$C57)</f>
        <v>0</v>
      </c>
      <c r="L57" s="14">
        <f>COUNTIFS('GLOBAL LOG'!$E$6:$E$128,L$10,'GLOBAL LOG'!$D$6:$D$128,$C57)</f>
        <v>0</v>
      </c>
      <c r="M57" s="14">
        <f>COUNTIFS('GLOBAL LOG'!$E$6:$E$128,M$10,'GLOBAL LOG'!$D$6:$D$128,$C57)</f>
        <v>0</v>
      </c>
      <c r="N57" s="14" t="e">
        <f>COUNTIFS('GLOBAL LOG'!$D$6:$D$128,$C57,'GLOBAL LOG'!#REF!,"High")</f>
        <v>#REF!</v>
      </c>
      <c r="O57" s="14" t="e">
        <f>COUNTIFS('GLOBAL LOG'!$D$6:$D$128,$C57,'GLOBAL LOG'!#REF!,"Med")</f>
        <v>#REF!</v>
      </c>
      <c r="P57" s="14" t="e">
        <f>COUNTIFS('GLOBAL LOG'!$D$6:$D$128,$C57,'GLOBAL LOG'!#REF!,"Low")</f>
        <v>#REF!</v>
      </c>
      <c r="Q57" s="14" t="e">
        <f>COUNTIFS('GLOBAL LOG'!$D$6:$D$128,$C57,'GLOBAL LOG'!#REF!,"High")</f>
        <v>#REF!</v>
      </c>
      <c r="R57" s="14" t="e">
        <f>COUNTIFS('GLOBAL LOG'!$D$6:$D$128,$C57,'GLOBAL LOG'!#REF!,"Med")</f>
        <v>#REF!</v>
      </c>
      <c r="S57" s="14" t="e">
        <f>COUNTIFS('GLOBAL LOG'!$D$6:$D$128,$C57,'GLOBAL LOG'!#REF!,"Low")</f>
        <v>#REF!</v>
      </c>
      <c r="T57" s="14" t="e">
        <f>COUNTIFS('GLOBAL LOG'!$D$6:$D$128,$C57,'GLOBAL LOG'!#REF!,"Completed")</f>
        <v>#REF!</v>
      </c>
      <c r="U57" s="14" t="e">
        <f>COUNTIFS('GLOBAL LOG'!$D$6:$D$128,$C57,'GLOBAL LOG'!#REF!,"Contracting")</f>
        <v>#REF!</v>
      </c>
      <c r="V57" s="14" t="e">
        <f>COUNTIFS('GLOBAL LOG'!$D$6:$D$128,$C57,'GLOBAL LOG'!#REF!,"Negotiations")</f>
        <v>#REF!</v>
      </c>
      <c r="W57" s="14" t="e">
        <f>COUNTIFS('GLOBAL LOG'!$D$6:$D$128,$C57,'GLOBAL LOG'!#REF!,"ICT")</f>
        <v>#REF!</v>
      </c>
      <c r="X57" s="14" t="e">
        <f>COUNTIFS('GLOBAL LOG'!$D$6:$D$128,$C57,'GLOBAL LOG'!#REF!,"Hopper")</f>
        <v>#REF!</v>
      </c>
      <c r="Y57" s="14">
        <f>SUMIF('GLOBAL LOG'!$D$6:$D$128,$C57,'GLOBAL LOG'!$Q$6:$Q$128)</f>
        <v>0</v>
      </c>
      <c r="Z57" s="14">
        <f>SUMIF('GLOBAL LOG'!$D$6:$D$128,$C57,'GLOBAL LOG'!$R$6:$R$128)</f>
        <v>0</v>
      </c>
      <c r="AA57" s="14">
        <f t="shared" si="1"/>
        <v>0</v>
      </c>
      <c r="AB57" s="14" t="e">
        <f>SUMIF('GLOBAL LOG'!$D$6:$D$128,C57,'GLOBAL LOG'!#REF!)</f>
        <v>#REF!</v>
      </c>
      <c r="AC57" s="6"/>
      <c r="AD57" s="14" t="str">
        <v>China Airlines</v>
      </c>
      <c r="AE57" s="14" t="e">
        <v>#REF!</v>
      </c>
      <c r="AF57" s="6"/>
      <c r="AG57" s="14" t="str">
        <v>British Airways</v>
      </c>
      <c r="AH57" s="14">
        <v>0</v>
      </c>
      <c r="AI57" s="6"/>
      <c r="AJ57" s="14" t="str">
        <v>Cebu Pacific Air</v>
      </c>
      <c r="AK57" s="14">
        <v>0</v>
      </c>
      <c r="AL57" s="6"/>
      <c r="AM57" s="14" t="str">
        <v>British Airways</v>
      </c>
      <c r="AN57" s="14">
        <v>0</v>
      </c>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row>
    <row r="58" spans="2:97" s="4" customFormat="1" ht="14.65" hidden="1" customHeight="1">
      <c r="B58" s="6"/>
      <c r="C58" s="13" t="str">
        <v>China Eastern</v>
      </c>
      <c r="D58" s="14">
        <f>COUNTIFS('GLOBAL LOG'!$D$6:$D$128,C58,'GLOBAL LOG'!$K$6:$K$128,"&lt;&gt;")</f>
        <v>0</v>
      </c>
      <c r="E58" s="14" t="e">
        <f>COUNTIFS('GLOBAL LOG'!$D$6:$D$128,C58,'GLOBAL LOG'!#REF!,"Yes")</f>
        <v>#REF!</v>
      </c>
      <c r="F58" s="14" t="e">
        <f>SUMIF('GLOBAL LOG'!$D$6:$D$128,COUNT!C58,'GLOBAL LOG'!#REF!)</f>
        <v>#REF!</v>
      </c>
      <c r="G58" s="14">
        <f>COUNTIFS('GLOBAL LOG'!$E$6:$E$128,G$10,'GLOBAL LOG'!$D$6:$D$128,$C58)</f>
        <v>1</v>
      </c>
      <c r="H58" s="14">
        <f>COUNTIFS('GLOBAL LOG'!$E$6:$E$128,H$10,'GLOBAL LOG'!$D$6:$D$128,$C58)</f>
        <v>0</v>
      </c>
      <c r="I58" s="14">
        <f>COUNTIFS('GLOBAL LOG'!$E$6:$E$128,I$10,'GLOBAL LOG'!$D$6:$D$128,$C58)</f>
        <v>0</v>
      </c>
      <c r="J58" s="14">
        <f>COUNTIFS('GLOBAL LOG'!$E$6:$E$128,J$10,'GLOBAL LOG'!$D$6:$D$128,$C58)</f>
        <v>0</v>
      </c>
      <c r="K58" s="14">
        <f>COUNTIFS('GLOBAL LOG'!$E$6:$E$128,K$10,'GLOBAL LOG'!$D$6:$D$128,$C58)</f>
        <v>0</v>
      </c>
      <c r="L58" s="14">
        <f>COUNTIFS('GLOBAL LOG'!$E$6:$E$128,L$10,'GLOBAL LOG'!$D$6:$D$128,$C58)</f>
        <v>0</v>
      </c>
      <c r="M58" s="14">
        <f>COUNTIFS('GLOBAL LOG'!$E$6:$E$128,M$10,'GLOBAL LOG'!$D$6:$D$128,$C58)</f>
        <v>0</v>
      </c>
      <c r="N58" s="14" t="e">
        <f>COUNTIFS('GLOBAL LOG'!$D$6:$D$128,$C58,'GLOBAL LOG'!#REF!,"High")</f>
        <v>#REF!</v>
      </c>
      <c r="O58" s="14" t="e">
        <f>COUNTIFS('GLOBAL LOG'!$D$6:$D$128,$C58,'GLOBAL LOG'!#REF!,"Med")</f>
        <v>#REF!</v>
      </c>
      <c r="P58" s="14" t="e">
        <f>COUNTIFS('GLOBAL LOG'!$D$6:$D$128,$C58,'GLOBAL LOG'!#REF!,"Low")</f>
        <v>#REF!</v>
      </c>
      <c r="Q58" s="14" t="e">
        <f>COUNTIFS('GLOBAL LOG'!$D$6:$D$128,$C58,'GLOBAL LOG'!#REF!,"High")</f>
        <v>#REF!</v>
      </c>
      <c r="R58" s="14" t="e">
        <f>COUNTIFS('GLOBAL LOG'!$D$6:$D$128,$C58,'GLOBAL LOG'!#REF!,"Med")</f>
        <v>#REF!</v>
      </c>
      <c r="S58" s="14" t="e">
        <f>COUNTIFS('GLOBAL LOG'!$D$6:$D$128,$C58,'GLOBAL LOG'!#REF!,"Low")</f>
        <v>#REF!</v>
      </c>
      <c r="T58" s="14" t="e">
        <f>COUNTIFS('GLOBAL LOG'!$D$6:$D$128,$C58,'GLOBAL LOG'!#REF!,"Completed")</f>
        <v>#REF!</v>
      </c>
      <c r="U58" s="14" t="e">
        <f>COUNTIFS('GLOBAL LOG'!$D$6:$D$128,$C58,'GLOBAL LOG'!#REF!,"Contracting")</f>
        <v>#REF!</v>
      </c>
      <c r="V58" s="14" t="e">
        <f>COUNTIFS('GLOBAL LOG'!$D$6:$D$128,$C58,'GLOBAL LOG'!#REF!,"Negotiations")</f>
        <v>#REF!</v>
      </c>
      <c r="W58" s="14" t="e">
        <f>COUNTIFS('GLOBAL LOG'!$D$6:$D$128,$C58,'GLOBAL LOG'!#REF!,"ICT")</f>
        <v>#REF!</v>
      </c>
      <c r="X58" s="14" t="e">
        <f>COUNTIFS('GLOBAL LOG'!$D$6:$D$128,$C58,'GLOBAL LOG'!#REF!,"Hopper")</f>
        <v>#REF!</v>
      </c>
      <c r="Y58" s="14">
        <f>SUMIF('GLOBAL LOG'!$D$6:$D$128,$C58,'GLOBAL LOG'!$Q$6:$Q$128)</f>
        <v>0</v>
      </c>
      <c r="Z58" s="14">
        <f>SUMIF('GLOBAL LOG'!$D$6:$D$128,$C58,'GLOBAL LOG'!$R$6:$R$128)</f>
        <v>0</v>
      </c>
      <c r="AA58" s="14">
        <f t="shared" si="1"/>
        <v>0</v>
      </c>
      <c r="AB58" s="14" t="e">
        <f>SUMIF('GLOBAL LOG'!$D$6:$D$128,C58,'GLOBAL LOG'!#REF!)</f>
        <v>#REF!</v>
      </c>
      <c r="AC58" s="6"/>
      <c r="AD58" s="14" t="str">
        <v>China Eastern</v>
      </c>
      <c r="AE58" s="14" t="e">
        <v>#REF!</v>
      </c>
      <c r="AF58" s="6"/>
      <c r="AG58" s="14" t="str">
        <v>Brussels Airlines</v>
      </c>
      <c r="AH58" s="14">
        <v>0</v>
      </c>
      <c r="AI58" s="6"/>
      <c r="AJ58" s="14" t="str">
        <v>China Airlines</v>
      </c>
      <c r="AK58" s="14">
        <v>0</v>
      </c>
      <c r="AL58" s="6"/>
      <c r="AM58" s="14" t="str">
        <v>Brussels Airlines</v>
      </c>
      <c r="AN58" s="14">
        <v>0</v>
      </c>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row>
    <row r="59" spans="2:97" s="4" customFormat="1" ht="14.65" hidden="1" customHeight="1">
      <c r="B59" s="6"/>
      <c r="C59" s="13" t="str">
        <v>China Southern</v>
      </c>
      <c r="D59" s="14">
        <f>COUNTIFS('GLOBAL LOG'!$D$6:$D$128,C59,'GLOBAL LOG'!$K$6:$K$128,"&lt;&gt;")</f>
        <v>2</v>
      </c>
      <c r="E59" s="14" t="e">
        <f>COUNTIFS('GLOBAL LOG'!$D$6:$D$128,C59,'GLOBAL LOG'!#REF!,"Yes")</f>
        <v>#REF!</v>
      </c>
      <c r="F59" s="14" t="e">
        <f>SUMIF('GLOBAL LOG'!$D$6:$D$128,COUNT!C59,'GLOBAL LOG'!#REF!)</f>
        <v>#REF!</v>
      </c>
      <c r="G59" s="14">
        <f>COUNTIFS('GLOBAL LOG'!$E$6:$E$128,G$10,'GLOBAL LOG'!$D$6:$D$128,$C59)</f>
        <v>1</v>
      </c>
      <c r="H59" s="14">
        <f>COUNTIFS('GLOBAL LOG'!$E$6:$E$128,H$10,'GLOBAL LOG'!$D$6:$D$128,$C59)</f>
        <v>0</v>
      </c>
      <c r="I59" s="14">
        <f>COUNTIFS('GLOBAL LOG'!$E$6:$E$128,I$10,'GLOBAL LOG'!$D$6:$D$128,$C59)</f>
        <v>0</v>
      </c>
      <c r="J59" s="14">
        <f>COUNTIFS('GLOBAL LOG'!$E$6:$E$128,J$10,'GLOBAL LOG'!$D$6:$D$128,$C59)</f>
        <v>0</v>
      </c>
      <c r="K59" s="14">
        <f>COUNTIFS('GLOBAL LOG'!$E$6:$E$128,K$10,'GLOBAL LOG'!$D$6:$D$128,$C59)</f>
        <v>1</v>
      </c>
      <c r="L59" s="14">
        <f>COUNTIFS('GLOBAL LOG'!$E$6:$E$128,L$10,'GLOBAL LOG'!$D$6:$D$128,$C59)</f>
        <v>0</v>
      </c>
      <c r="M59" s="14">
        <f>COUNTIFS('GLOBAL LOG'!$E$6:$E$128,M$10,'GLOBAL LOG'!$D$6:$D$128,$C59)</f>
        <v>0</v>
      </c>
      <c r="N59" s="14" t="e">
        <f>COUNTIFS('GLOBAL LOG'!$D$6:$D$128,$C59,'GLOBAL LOG'!#REF!,"High")</f>
        <v>#REF!</v>
      </c>
      <c r="O59" s="14" t="e">
        <f>COUNTIFS('GLOBAL LOG'!$D$6:$D$128,$C59,'GLOBAL LOG'!#REF!,"Med")</f>
        <v>#REF!</v>
      </c>
      <c r="P59" s="14" t="e">
        <f>COUNTIFS('GLOBAL LOG'!$D$6:$D$128,$C59,'GLOBAL LOG'!#REF!,"Low")</f>
        <v>#REF!</v>
      </c>
      <c r="Q59" s="14" t="e">
        <f>COUNTIFS('GLOBAL LOG'!$D$6:$D$128,$C59,'GLOBAL LOG'!#REF!,"High")</f>
        <v>#REF!</v>
      </c>
      <c r="R59" s="14" t="e">
        <f>COUNTIFS('GLOBAL LOG'!$D$6:$D$128,$C59,'GLOBAL LOG'!#REF!,"Med")</f>
        <v>#REF!</v>
      </c>
      <c r="S59" s="14" t="e">
        <f>COUNTIFS('GLOBAL LOG'!$D$6:$D$128,$C59,'GLOBAL LOG'!#REF!,"Low")</f>
        <v>#REF!</v>
      </c>
      <c r="T59" s="14" t="e">
        <f>COUNTIFS('GLOBAL LOG'!$D$6:$D$128,$C59,'GLOBAL LOG'!#REF!,"Completed")</f>
        <v>#REF!</v>
      </c>
      <c r="U59" s="14" t="e">
        <f>COUNTIFS('GLOBAL LOG'!$D$6:$D$128,$C59,'GLOBAL LOG'!#REF!,"Contracting")</f>
        <v>#REF!</v>
      </c>
      <c r="V59" s="14" t="e">
        <f>COUNTIFS('GLOBAL LOG'!$D$6:$D$128,$C59,'GLOBAL LOG'!#REF!,"Negotiations")</f>
        <v>#REF!</v>
      </c>
      <c r="W59" s="14" t="e">
        <f>COUNTIFS('GLOBAL LOG'!$D$6:$D$128,$C59,'GLOBAL LOG'!#REF!,"ICT")</f>
        <v>#REF!</v>
      </c>
      <c r="X59" s="14" t="e">
        <f>COUNTIFS('GLOBAL LOG'!$D$6:$D$128,$C59,'GLOBAL LOG'!#REF!,"Hopper")</f>
        <v>#REF!</v>
      </c>
      <c r="Y59" s="14">
        <f>SUMIF('GLOBAL LOG'!$D$6:$D$128,$C59,'GLOBAL LOG'!$Q$6:$Q$128)</f>
        <v>5</v>
      </c>
      <c r="Z59" s="14">
        <f>SUMIF('GLOBAL LOG'!$D$6:$D$128,$C59,'GLOBAL LOG'!$R$6:$R$128)</f>
        <v>0</v>
      </c>
      <c r="AA59" s="14">
        <f t="shared" si="1"/>
        <v>5</v>
      </c>
      <c r="AB59" s="14" t="e">
        <f>SUMIF('GLOBAL LOG'!$D$6:$D$128,C59,'GLOBAL LOG'!#REF!)</f>
        <v>#REF!</v>
      </c>
      <c r="AC59" s="6"/>
      <c r="AD59" s="14" t="str">
        <v>China Southern</v>
      </c>
      <c r="AE59" s="14" t="e">
        <v>#REF!</v>
      </c>
      <c r="AF59" s="6"/>
      <c r="AG59" s="14" t="str">
        <v>Carlyle</v>
      </c>
      <c r="AH59" s="14">
        <v>0</v>
      </c>
      <c r="AI59" s="6"/>
      <c r="AJ59" s="14" t="str">
        <v>China Eastern</v>
      </c>
      <c r="AK59" s="14">
        <v>0</v>
      </c>
      <c r="AL59" s="6"/>
      <c r="AM59" s="14" t="str">
        <v>Carlyle</v>
      </c>
      <c r="AN59" s="14">
        <v>0</v>
      </c>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row>
    <row r="60" spans="2:97" s="4" customFormat="1" ht="14.65" hidden="1" customHeight="1">
      <c r="B60" s="6"/>
      <c r="C60" s="13" t="str">
        <v>Citilink</v>
      </c>
      <c r="D60" s="14">
        <f>COUNTIFS('GLOBAL LOG'!$D$6:$D$128,C60,'GLOBAL LOG'!$K$6:$K$128,"&lt;&gt;")</f>
        <v>0</v>
      </c>
      <c r="E60" s="14" t="e">
        <f>COUNTIFS('GLOBAL LOG'!$D$6:$D$128,C60,'GLOBAL LOG'!#REF!,"Yes")</f>
        <v>#REF!</v>
      </c>
      <c r="F60" s="14" t="e">
        <f>SUMIF('GLOBAL LOG'!$D$6:$D$128,COUNT!C60,'GLOBAL LOG'!#REF!)</f>
        <v>#REF!</v>
      </c>
      <c r="G60" s="14">
        <f>COUNTIFS('GLOBAL LOG'!$E$6:$E$128,G$10,'GLOBAL LOG'!$D$6:$D$128,$C60)</f>
        <v>0</v>
      </c>
      <c r="H60" s="14">
        <f>COUNTIFS('GLOBAL LOG'!$E$6:$E$128,H$10,'GLOBAL LOG'!$D$6:$D$128,$C60)</f>
        <v>0</v>
      </c>
      <c r="I60" s="14">
        <f>COUNTIFS('GLOBAL LOG'!$E$6:$E$128,I$10,'GLOBAL LOG'!$D$6:$D$128,$C60)</f>
        <v>0</v>
      </c>
      <c r="J60" s="14">
        <f>COUNTIFS('GLOBAL LOG'!$E$6:$E$128,J$10,'GLOBAL LOG'!$D$6:$D$128,$C60)</f>
        <v>0</v>
      </c>
      <c r="K60" s="14">
        <f>COUNTIFS('GLOBAL LOG'!$E$6:$E$128,K$10,'GLOBAL LOG'!$D$6:$D$128,$C60)</f>
        <v>0</v>
      </c>
      <c r="L60" s="14">
        <f>COUNTIFS('GLOBAL LOG'!$E$6:$E$128,L$10,'GLOBAL LOG'!$D$6:$D$128,$C60)</f>
        <v>0</v>
      </c>
      <c r="M60" s="14">
        <f>COUNTIFS('GLOBAL LOG'!$E$6:$E$128,M$10,'GLOBAL LOG'!$D$6:$D$128,$C60)</f>
        <v>0</v>
      </c>
      <c r="N60" s="14" t="e">
        <f>COUNTIFS('GLOBAL LOG'!$D$6:$D$128,$C60,'GLOBAL LOG'!#REF!,"High")</f>
        <v>#REF!</v>
      </c>
      <c r="O60" s="14" t="e">
        <f>COUNTIFS('GLOBAL LOG'!$D$6:$D$128,$C60,'GLOBAL LOG'!#REF!,"Med")</f>
        <v>#REF!</v>
      </c>
      <c r="P60" s="14" t="e">
        <f>COUNTIFS('GLOBAL LOG'!$D$6:$D$128,$C60,'GLOBAL LOG'!#REF!,"Low")</f>
        <v>#REF!</v>
      </c>
      <c r="Q60" s="14" t="e">
        <f>COUNTIFS('GLOBAL LOG'!$D$6:$D$128,$C60,'GLOBAL LOG'!#REF!,"High")</f>
        <v>#REF!</v>
      </c>
      <c r="R60" s="14" t="e">
        <f>COUNTIFS('GLOBAL LOG'!$D$6:$D$128,$C60,'GLOBAL LOG'!#REF!,"Med")</f>
        <v>#REF!</v>
      </c>
      <c r="S60" s="14" t="e">
        <f>COUNTIFS('GLOBAL LOG'!$D$6:$D$128,$C60,'GLOBAL LOG'!#REF!,"Low")</f>
        <v>#REF!</v>
      </c>
      <c r="T60" s="14" t="e">
        <f>COUNTIFS('GLOBAL LOG'!$D$6:$D$128,$C60,'GLOBAL LOG'!#REF!,"Completed")</f>
        <v>#REF!</v>
      </c>
      <c r="U60" s="14" t="e">
        <f>COUNTIFS('GLOBAL LOG'!$D$6:$D$128,$C60,'GLOBAL LOG'!#REF!,"Contracting")</f>
        <v>#REF!</v>
      </c>
      <c r="V60" s="14" t="e">
        <f>COUNTIFS('GLOBAL LOG'!$D$6:$D$128,$C60,'GLOBAL LOG'!#REF!,"Negotiations")</f>
        <v>#REF!</v>
      </c>
      <c r="W60" s="14" t="e">
        <f>COUNTIFS('GLOBAL LOG'!$D$6:$D$128,$C60,'GLOBAL LOG'!#REF!,"ICT")</f>
        <v>#REF!</v>
      </c>
      <c r="X60" s="14" t="e">
        <f>COUNTIFS('GLOBAL LOG'!$D$6:$D$128,$C60,'GLOBAL LOG'!#REF!,"Hopper")</f>
        <v>#REF!</v>
      </c>
      <c r="Y60" s="14">
        <f>SUMIF('GLOBAL LOG'!$D$6:$D$128,$C60,'GLOBAL LOG'!$Q$6:$Q$128)</f>
        <v>0</v>
      </c>
      <c r="Z60" s="14">
        <f>SUMIF('GLOBAL LOG'!$D$6:$D$128,$C60,'GLOBAL LOG'!$R$6:$R$128)</f>
        <v>0</v>
      </c>
      <c r="AA60" s="14">
        <f t="shared" si="1"/>
        <v>0</v>
      </c>
      <c r="AB60" s="14" t="e">
        <f>SUMIF('GLOBAL LOG'!$D$6:$D$128,C60,'GLOBAL LOG'!#REF!)</f>
        <v>#REF!</v>
      </c>
      <c r="AC60" s="6"/>
      <c r="AD60" s="14" t="str">
        <v>Citilink</v>
      </c>
      <c r="AE60" s="14" t="e">
        <v>#REF!</v>
      </c>
      <c r="AF60" s="6"/>
      <c r="AG60" s="14" t="str">
        <v>Cathay Pacific</v>
      </c>
      <c r="AH60" s="14">
        <v>0</v>
      </c>
      <c r="AI60" s="6"/>
      <c r="AJ60" s="14" t="str">
        <v>China Southern</v>
      </c>
      <c r="AK60" s="14">
        <v>0</v>
      </c>
      <c r="AL60" s="6"/>
      <c r="AM60" s="14" t="str">
        <v>Cathay Pacific</v>
      </c>
      <c r="AN60" s="14">
        <v>0</v>
      </c>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row>
    <row r="61" spans="2:97" s="4" customFormat="1" ht="14.65" hidden="1" customHeight="1">
      <c r="B61" s="6"/>
      <c r="C61" s="13" t="str">
        <v>CMA CGM</v>
      </c>
      <c r="D61" s="14">
        <f>COUNTIFS('GLOBAL LOG'!$D$6:$D$128,C61,'GLOBAL LOG'!$K$6:$K$128,"&lt;&gt;")</f>
        <v>0</v>
      </c>
      <c r="E61" s="14" t="e">
        <f>COUNTIFS('GLOBAL LOG'!$D$6:$D$128,C61,'GLOBAL LOG'!#REF!,"Yes")</f>
        <v>#REF!</v>
      </c>
      <c r="F61" s="14" t="e">
        <f>SUMIF('GLOBAL LOG'!$D$6:$D$128,COUNT!C61,'GLOBAL LOG'!#REF!)</f>
        <v>#REF!</v>
      </c>
      <c r="G61" s="14">
        <f>COUNTIFS('GLOBAL LOG'!$E$6:$E$128,G$10,'GLOBAL LOG'!$D$6:$D$128,$C61)</f>
        <v>0</v>
      </c>
      <c r="H61" s="14">
        <f>COUNTIFS('GLOBAL LOG'!$E$6:$E$128,H$10,'GLOBAL LOG'!$D$6:$D$128,$C61)</f>
        <v>0</v>
      </c>
      <c r="I61" s="14">
        <f>COUNTIFS('GLOBAL LOG'!$E$6:$E$128,I$10,'GLOBAL LOG'!$D$6:$D$128,$C61)</f>
        <v>0</v>
      </c>
      <c r="J61" s="14">
        <f>COUNTIFS('GLOBAL LOG'!$E$6:$E$128,J$10,'GLOBAL LOG'!$D$6:$D$128,$C61)</f>
        <v>0</v>
      </c>
      <c r="K61" s="14">
        <f>COUNTIFS('GLOBAL LOG'!$E$6:$E$128,K$10,'GLOBAL LOG'!$D$6:$D$128,$C61)</f>
        <v>0</v>
      </c>
      <c r="L61" s="14">
        <f>COUNTIFS('GLOBAL LOG'!$E$6:$E$128,L$10,'GLOBAL LOG'!$D$6:$D$128,$C61)</f>
        <v>0</v>
      </c>
      <c r="M61" s="14">
        <f>COUNTIFS('GLOBAL LOG'!$E$6:$E$128,M$10,'GLOBAL LOG'!$D$6:$D$128,$C61)</f>
        <v>0</v>
      </c>
      <c r="N61" s="14" t="e">
        <f>COUNTIFS('GLOBAL LOG'!$D$6:$D$128,$C61,'GLOBAL LOG'!#REF!,"High")</f>
        <v>#REF!</v>
      </c>
      <c r="O61" s="14" t="e">
        <f>COUNTIFS('GLOBAL LOG'!$D$6:$D$128,$C61,'GLOBAL LOG'!#REF!,"Med")</f>
        <v>#REF!</v>
      </c>
      <c r="P61" s="14" t="e">
        <f>COUNTIFS('GLOBAL LOG'!$D$6:$D$128,$C61,'GLOBAL LOG'!#REF!,"Low")</f>
        <v>#REF!</v>
      </c>
      <c r="Q61" s="14" t="e">
        <f>COUNTIFS('GLOBAL LOG'!$D$6:$D$128,$C61,'GLOBAL LOG'!#REF!,"High")</f>
        <v>#REF!</v>
      </c>
      <c r="R61" s="14" t="e">
        <f>COUNTIFS('GLOBAL LOG'!$D$6:$D$128,$C61,'GLOBAL LOG'!#REF!,"Med")</f>
        <v>#REF!</v>
      </c>
      <c r="S61" s="14" t="e">
        <f>COUNTIFS('GLOBAL LOG'!$D$6:$D$128,$C61,'GLOBAL LOG'!#REF!,"Low")</f>
        <v>#REF!</v>
      </c>
      <c r="T61" s="14" t="e">
        <f>COUNTIFS('GLOBAL LOG'!$D$6:$D$128,$C61,'GLOBAL LOG'!#REF!,"Completed")</f>
        <v>#REF!</v>
      </c>
      <c r="U61" s="14" t="e">
        <f>COUNTIFS('GLOBAL LOG'!$D$6:$D$128,$C61,'GLOBAL LOG'!#REF!,"Contracting")</f>
        <v>#REF!</v>
      </c>
      <c r="V61" s="14" t="e">
        <f>COUNTIFS('GLOBAL LOG'!$D$6:$D$128,$C61,'GLOBAL LOG'!#REF!,"Negotiations")</f>
        <v>#REF!</v>
      </c>
      <c r="W61" s="14" t="e">
        <f>COUNTIFS('GLOBAL LOG'!$D$6:$D$128,$C61,'GLOBAL LOG'!#REF!,"ICT")</f>
        <v>#REF!</v>
      </c>
      <c r="X61" s="14" t="e">
        <f>COUNTIFS('GLOBAL LOG'!$D$6:$D$128,$C61,'GLOBAL LOG'!#REF!,"Hopper")</f>
        <v>#REF!</v>
      </c>
      <c r="Y61" s="14">
        <f>SUMIF('GLOBAL LOG'!$D$6:$D$128,$C61,'GLOBAL LOG'!$Q$6:$Q$128)</f>
        <v>0</v>
      </c>
      <c r="Z61" s="14">
        <f>SUMIF('GLOBAL LOG'!$D$6:$D$128,$C61,'GLOBAL LOG'!$R$6:$R$128)</f>
        <v>0</v>
      </c>
      <c r="AA61" s="14">
        <f t="shared" si="1"/>
        <v>0</v>
      </c>
      <c r="AB61" s="14" t="e">
        <f>SUMIF('GLOBAL LOG'!$D$6:$D$128,C61,'GLOBAL LOG'!#REF!)</f>
        <v>#REF!</v>
      </c>
      <c r="AC61" s="6"/>
      <c r="AD61" s="14" t="str">
        <v>CMA CGM</v>
      </c>
      <c r="AE61" s="14" t="e">
        <v>#REF!</v>
      </c>
      <c r="AF61" s="6"/>
      <c r="AG61" s="14" t="str">
        <v>CDB Aviation</v>
      </c>
      <c r="AH61" s="14">
        <v>0</v>
      </c>
      <c r="AI61" s="6"/>
      <c r="AJ61" s="14" t="str">
        <v>Citilink</v>
      </c>
      <c r="AK61" s="14">
        <v>0</v>
      </c>
      <c r="AL61" s="6"/>
      <c r="AM61" s="14" t="str">
        <v>CDB Aviation</v>
      </c>
      <c r="AN61" s="14">
        <v>0</v>
      </c>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row>
    <row r="62" spans="2:97" s="4" customFormat="1" ht="14.65" hidden="1" customHeight="1">
      <c r="B62" s="6"/>
      <c r="C62" s="13" t="str">
        <v>CMIG</v>
      </c>
      <c r="D62" s="14">
        <f>COUNTIFS('GLOBAL LOG'!$D$6:$D$128,C62,'GLOBAL LOG'!$K$6:$K$128,"&lt;&gt;")</f>
        <v>0</v>
      </c>
      <c r="E62" s="14" t="e">
        <f>COUNTIFS('GLOBAL LOG'!$D$6:$D$128,C62,'GLOBAL LOG'!#REF!,"Yes")</f>
        <v>#REF!</v>
      </c>
      <c r="F62" s="14" t="e">
        <f>SUMIF('GLOBAL LOG'!$D$6:$D$128,COUNT!C62,'GLOBAL LOG'!#REF!)</f>
        <v>#REF!</v>
      </c>
      <c r="G62" s="14">
        <f>COUNTIFS('GLOBAL LOG'!$E$6:$E$128,G$10,'GLOBAL LOG'!$D$6:$D$128,$C62)</f>
        <v>0</v>
      </c>
      <c r="H62" s="14">
        <f>COUNTIFS('GLOBAL LOG'!$E$6:$E$128,H$10,'GLOBAL LOG'!$D$6:$D$128,$C62)</f>
        <v>0</v>
      </c>
      <c r="I62" s="14">
        <f>COUNTIFS('GLOBAL LOG'!$E$6:$E$128,I$10,'GLOBAL LOG'!$D$6:$D$128,$C62)</f>
        <v>0</v>
      </c>
      <c r="J62" s="14">
        <f>COUNTIFS('GLOBAL LOG'!$E$6:$E$128,J$10,'GLOBAL LOG'!$D$6:$D$128,$C62)</f>
        <v>0</v>
      </c>
      <c r="K62" s="14">
        <f>COUNTIFS('GLOBAL LOG'!$E$6:$E$128,K$10,'GLOBAL LOG'!$D$6:$D$128,$C62)</f>
        <v>0</v>
      </c>
      <c r="L62" s="14">
        <f>COUNTIFS('GLOBAL LOG'!$E$6:$E$128,L$10,'GLOBAL LOG'!$D$6:$D$128,$C62)</f>
        <v>0</v>
      </c>
      <c r="M62" s="14">
        <f>COUNTIFS('GLOBAL LOG'!$E$6:$E$128,M$10,'GLOBAL LOG'!$D$6:$D$128,$C62)</f>
        <v>0</v>
      </c>
      <c r="N62" s="14" t="e">
        <f>COUNTIFS('GLOBAL LOG'!$D$6:$D$128,$C62,'GLOBAL LOG'!#REF!,"High")</f>
        <v>#REF!</v>
      </c>
      <c r="O62" s="14" t="e">
        <f>COUNTIFS('GLOBAL LOG'!$D$6:$D$128,$C62,'GLOBAL LOG'!#REF!,"Med")</f>
        <v>#REF!</v>
      </c>
      <c r="P62" s="14" t="e">
        <f>COUNTIFS('GLOBAL LOG'!$D$6:$D$128,$C62,'GLOBAL LOG'!#REF!,"Low")</f>
        <v>#REF!</v>
      </c>
      <c r="Q62" s="14" t="e">
        <f>COUNTIFS('GLOBAL LOG'!$D$6:$D$128,$C62,'GLOBAL LOG'!#REF!,"High")</f>
        <v>#REF!</v>
      </c>
      <c r="R62" s="14" t="e">
        <f>COUNTIFS('GLOBAL LOG'!$D$6:$D$128,$C62,'GLOBAL LOG'!#REF!,"Med")</f>
        <v>#REF!</v>
      </c>
      <c r="S62" s="14" t="e">
        <f>COUNTIFS('GLOBAL LOG'!$D$6:$D$128,$C62,'GLOBAL LOG'!#REF!,"Low")</f>
        <v>#REF!</v>
      </c>
      <c r="T62" s="14" t="e">
        <f>COUNTIFS('GLOBAL LOG'!$D$6:$D$128,$C62,'GLOBAL LOG'!#REF!,"Completed")</f>
        <v>#REF!</v>
      </c>
      <c r="U62" s="14" t="e">
        <f>COUNTIFS('GLOBAL LOG'!$D$6:$D$128,$C62,'GLOBAL LOG'!#REF!,"Contracting")</f>
        <v>#REF!</v>
      </c>
      <c r="V62" s="14" t="e">
        <f>COUNTIFS('GLOBAL LOG'!$D$6:$D$128,$C62,'GLOBAL LOG'!#REF!,"Negotiations")</f>
        <v>#REF!</v>
      </c>
      <c r="W62" s="14" t="e">
        <f>COUNTIFS('GLOBAL LOG'!$D$6:$D$128,$C62,'GLOBAL LOG'!#REF!,"ICT")</f>
        <v>#REF!</v>
      </c>
      <c r="X62" s="14" t="e">
        <f>COUNTIFS('GLOBAL LOG'!$D$6:$D$128,$C62,'GLOBAL LOG'!#REF!,"Hopper")</f>
        <v>#REF!</v>
      </c>
      <c r="Y62" s="14">
        <f>SUMIF('GLOBAL LOG'!$D$6:$D$128,$C62,'GLOBAL LOG'!$Q$6:$Q$128)</f>
        <v>0</v>
      </c>
      <c r="Z62" s="14">
        <f>SUMIF('GLOBAL LOG'!$D$6:$D$128,$C62,'GLOBAL LOG'!$R$6:$R$128)</f>
        <v>0</v>
      </c>
      <c r="AA62" s="14">
        <f t="shared" si="1"/>
        <v>0</v>
      </c>
      <c r="AB62" s="14" t="e">
        <f>SUMIF('GLOBAL LOG'!$D$6:$D$128,C62,'GLOBAL LOG'!#REF!)</f>
        <v>#REF!</v>
      </c>
      <c r="AC62" s="6"/>
      <c r="AD62" s="14" t="str">
        <v>CMIG</v>
      </c>
      <c r="AE62" s="14" t="e">
        <v>#REF!</v>
      </c>
      <c r="AF62" s="6"/>
      <c r="AG62" s="14" t="str">
        <v>Cebu Pacific Air</v>
      </c>
      <c r="AH62" s="14">
        <v>0</v>
      </c>
      <c r="AI62" s="6"/>
      <c r="AJ62" s="14" t="str">
        <v>CMA CGM</v>
      </c>
      <c r="AK62" s="14">
        <v>0</v>
      </c>
      <c r="AL62" s="6"/>
      <c r="AM62" s="14" t="str">
        <v>Cebu Pacific Air</v>
      </c>
      <c r="AN62" s="14">
        <v>0</v>
      </c>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row>
    <row r="63" spans="2:97" s="4" customFormat="1" ht="14.65" hidden="1" customHeight="1">
      <c r="B63" s="6"/>
      <c r="C63" s="13" t="str">
        <v>Condor</v>
      </c>
      <c r="D63" s="14">
        <f>COUNTIFS('GLOBAL LOG'!$D$6:$D$128,C63,'GLOBAL LOG'!$K$6:$K$128,"&lt;&gt;")</f>
        <v>0</v>
      </c>
      <c r="E63" s="14" t="e">
        <f>COUNTIFS('GLOBAL LOG'!$D$6:$D$128,C63,'GLOBAL LOG'!#REF!,"Yes")</f>
        <v>#REF!</v>
      </c>
      <c r="F63" s="14" t="e">
        <f>SUMIF('GLOBAL LOG'!$D$6:$D$128,COUNT!C63,'GLOBAL LOG'!#REF!)</f>
        <v>#REF!</v>
      </c>
      <c r="G63" s="14">
        <f>COUNTIFS('GLOBAL LOG'!$E$6:$E$128,G$10,'GLOBAL LOG'!$D$6:$D$128,$C63)</f>
        <v>0</v>
      </c>
      <c r="H63" s="14">
        <f>COUNTIFS('GLOBAL LOG'!$E$6:$E$128,H$10,'GLOBAL LOG'!$D$6:$D$128,$C63)</f>
        <v>0</v>
      </c>
      <c r="I63" s="14">
        <f>COUNTIFS('GLOBAL LOG'!$E$6:$E$128,I$10,'GLOBAL LOG'!$D$6:$D$128,$C63)</f>
        <v>0</v>
      </c>
      <c r="J63" s="14">
        <f>COUNTIFS('GLOBAL LOG'!$E$6:$E$128,J$10,'GLOBAL LOG'!$D$6:$D$128,$C63)</f>
        <v>0</v>
      </c>
      <c r="K63" s="14">
        <f>COUNTIFS('GLOBAL LOG'!$E$6:$E$128,K$10,'GLOBAL LOG'!$D$6:$D$128,$C63)</f>
        <v>0</v>
      </c>
      <c r="L63" s="14">
        <f>COUNTIFS('GLOBAL LOG'!$E$6:$E$128,L$10,'GLOBAL LOG'!$D$6:$D$128,$C63)</f>
        <v>0</v>
      </c>
      <c r="M63" s="14">
        <f>COUNTIFS('GLOBAL LOG'!$E$6:$E$128,M$10,'GLOBAL LOG'!$D$6:$D$128,$C63)</f>
        <v>0</v>
      </c>
      <c r="N63" s="14" t="e">
        <f>COUNTIFS('GLOBAL LOG'!$D$6:$D$128,$C63,'GLOBAL LOG'!#REF!,"High")</f>
        <v>#REF!</v>
      </c>
      <c r="O63" s="14" t="e">
        <f>COUNTIFS('GLOBAL LOG'!$D$6:$D$128,$C63,'GLOBAL LOG'!#REF!,"Med")</f>
        <v>#REF!</v>
      </c>
      <c r="P63" s="14" t="e">
        <f>COUNTIFS('GLOBAL LOG'!$D$6:$D$128,$C63,'GLOBAL LOG'!#REF!,"Low")</f>
        <v>#REF!</v>
      </c>
      <c r="Q63" s="14" t="e">
        <f>COUNTIFS('GLOBAL LOG'!$D$6:$D$128,$C63,'GLOBAL LOG'!#REF!,"High")</f>
        <v>#REF!</v>
      </c>
      <c r="R63" s="14" t="e">
        <f>COUNTIFS('GLOBAL LOG'!$D$6:$D$128,$C63,'GLOBAL LOG'!#REF!,"Med")</f>
        <v>#REF!</v>
      </c>
      <c r="S63" s="14" t="e">
        <f>COUNTIFS('GLOBAL LOG'!$D$6:$D$128,$C63,'GLOBAL LOG'!#REF!,"Low")</f>
        <v>#REF!</v>
      </c>
      <c r="T63" s="14" t="e">
        <f>COUNTIFS('GLOBAL LOG'!$D$6:$D$128,$C63,'GLOBAL LOG'!#REF!,"Completed")</f>
        <v>#REF!</v>
      </c>
      <c r="U63" s="14" t="e">
        <f>COUNTIFS('GLOBAL LOG'!$D$6:$D$128,$C63,'GLOBAL LOG'!#REF!,"Contracting")</f>
        <v>#REF!</v>
      </c>
      <c r="V63" s="14" t="e">
        <f>COUNTIFS('GLOBAL LOG'!$D$6:$D$128,$C63,'GLOBAL LOG'!#REF!,"Negotiations")</f>
        <v>#REF!</v>
      </c>
      <c r="W63" s="14" t="e">
        <f>COUNTIFS('GLOBAL LOG'!$D$6:$D$128,$C63,'GLOBAL LOG'!#REF!,"ICT")</f>
        <v>#REF!</v>
      </c>
      <c r="X63" s="14" t="e">
        <f>COUNTIFS('GLOBAL LOG'!$D$6:$D$128,$C63,'GLOBAL LOG'!#REF!,"Hopper")</f>
        <v>#REF!</v>
      </c>
      <c r="Y63" s="14">
        <f>SUMIF('GLOBAL LOG'!$D$6:$D$128,$C63,'GLOBAL LOG'!$Q$6:$Q$128)</f>
        <v>0</v>
      </c>
      <c r="Z63" s="14">
        <f>SUMIF('GLOBAL LOG'!$D$6:$D$128,$C63,'GLOBAL LOG'!$R$6:$R$128)</f>
        <v>0</v>
      </c>
      <c r="AA63" s="14">
        <f t="shared" si="1"/>
        <v>0</v>
      </c>
      <c r="AB63" s="14" t="e">
        <f>SUMIF('GLOBAL LOG'!$D$6:$D$128,C63,'GLOBAL LOG'!#REF!)</f>
        <v>#REF!</v>
      </c>
      <c r="AC63" s="6"/>
      <c r="AD63" s="14" t="str">
        <v>Condor</v>
      </c>
      <c r="AE63" s="14" t="e">
        <v>#REF!</v>
      </c>
      <c r="AF63" s="6"/>
      <c r="AG63" s="14" t="str">
        <v>China Airlines</v>
      </c>
      <c r="AH63" s="14">
        <v>0</v>
      </c>
      <c r="AI63" s="6"/>
      <c r="AJ63" s="14" t="str">
        <v>CMIG</v>
      </c>
      <c r="AK63" s="14">
        <v>0</v>
      </c>
      <c r="AL63" s="6"/>
      <c r="AM63" s="14" t="str">
        <v>China Airlines</v>
      </c>
      <c r="AN63" s="14">
        <v>0</v>
      </c>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row>
    <row r="64" spans="2:97" s="4" customFormat="1" ht="14.65" hidden="1" customHeight="1">
      <c r="B64" s="6"/>
      <c r="C64" s="13" t="str">
        <v>Corsair</v>
      </c>
      <c r="D64" s="14">
        <f>COUNTIFS('GLOBAL LOG'!$D$6:$D$128,C64,'GLOBAL LOG'!$K$6:$K$128,"&lt;&gt;")</f>
        <v>0</v>
      </c>
      <c r="E64" s="14" t="e">
        <f>COUNTIFS('GLOBAL LOG'!$D$6:$D$128,C64,'GLOBAL LOG'!#REF!,"Yes")</f>
        <v>#REF!</v>
      </c>
      <c r="F64" s="14" t="e">
        <f>SUMIF('GLOBAL LOG'!$D$6:$D$128,COUNT!C64,'GLOBAL LOG'!#REF!)</f>
        <v>#REF!</v>
      </c>
      <c r="G64" s="14">
        <f>COUNTIFS('GLOBAL LOG'!$E$6:$E$128,G$10,'GLOBAL LOG'!$D$6:$D$128,$C64)</f>
        <v>0</v>
      </c>
      <c r="H64" s="14">
        <f>COUNTIFS('GLOBAL LOG'!$E$6:$E$128,H$10,'GLOBAL LOG'!$D$6:$D$128,$C64)</f>
        <v>0</v>
      </c>
      <c r="I64" s="14">
        <f>COUNTIFS('GLOBAL LOG'!$E$6:$E$128,I$10,'GLOBAL LOG'!$D$6:$D$128,$C64)</f>
        <v>0</v>
      </c>
      <c r="J64" s="14">
        <f>COUNTIFS('GLOBAL LOG'!$E$6:$E$128,J$10,'GLOBAL LOG'!$D$6:$D$128,$C64)</f>
        <v>0</v>
      </c>
      <c r="K64" s="14">
        <f>COUNTIFS('GLOBAL LOG'!$E$6:$E$128,K$10,'GLOBAL LOG'!$D$6:$D$128,$C64)</f>
        <v>0</v>
      </c>
      <c r="L64" s="14">
        <f>COUNTIFS('GLOBAL LOG'!$E$6:$E$128,L$10,'GLOBAL LOG'!$D$6:$D$128,$C64)</f>
        <v>0</v>
      </c>
      <c r="M64" s="14">
        <f>COUNTIFS('GLOBAL LOG'!$E$6:$E$128,M$10,'GLOBAL LOG'!$D$6:$D$128,$C64)</f>
        <v>0</v>
      </c>
      <c r="N64" s="14" t="e">
        <f>COUNTIFS('GLOBAL LOG'!$D$6:$D$128,$C64,'GLOBAL LOG'!#REF!,"High")</f>
        <v>#REF!</v>
      </c>
      <c r="O64" s="14" t="e">
        <f>COUNTIFS('GLOBAL LOG'!$D$6:$D$128,$C64,'GLOBAL LOG'!#REF!,"Med")</f>
        <v>#REF!</v>
      </c>
      <c r="P64" s="14" t="e">
        <f>COUNTIFS('GLOBAL LOG'!$D$6:$D$128,$C64,'GLOBAL LOG'!#REF!,"Low")</f>
        <v>#REF!</v>
      </c>
      <c r="Q64" s="14" t="e">
        <f>COUNTIFS('GLOBAL LOG'!$D$6:$D$128,$C64,'GLOBAL LOG'!#REF!,"High")</f>
        <v>#REF!</v>
      </c>
      <c r="R64" s="14" t="e">
        <f>COUNTIFS('GLOBAL LOG'!$D$6:$D$128,$C64,'GLOBAL LOG'!#REF!,"Med")</f>
        <v>#REF!</v>
      </c>
      <c r="S64" s="14" t="e">
        <f>COUNTIFS('GLOBAL LOG'!$D$6:$D$128,$C64,'GLOBAL LOG'!#REF!,"Low")</f>
        <v>#REF!</v>
      </c>
      <c r="T64" s="14" t="e">
        <f>COUNTIFS('GLOBAL LOG'!$D$6:$D$128,$C64,'GLOBAL LOG'!#REF!,"Completed")</f>
        <v>#REF!</v>
      </c>
      <c r="U64" s="14" t="e">
        <f>COUNTIFS('GLOBAL LOG'!$D$6:$D$128,$C64,'GLOBAL LOG'!#REF!,"Contracting")</f>
        <v>#REF!</v>
      </c>
      <c r="V64" s="14" t="e">
        <f>COUNTIFS('GLOBAL LOG'!$D$6:$D$128,$C64,'GLOBAL LOG'!#REF!,"Negotiations")</f>
        <v>#REF!</v>
      </c>
      <c r="W64" s="14" t="e">
        <f>COUNTIFS('GLOBAL LOG'!$D$6:$D$128,$C64,'GLOBAL LOG'!#REF!,"ICT")</f>
        <v>#REF!</v>
      </c>
      <c r="X64" s="14" t="e">
        <f>COUNTIFS('GLOBAL LOG'!$D$6:$D$128,$C64,'GLOBAL LOG'!#REF!,"Hopper")</f>
        <v>#REF!</v>
      </c>
      <c r="Y64" s="14">
        <f>SUMIF('GLOBAL LOG'!$D$6:$D$128,$C64,'GLOBAL LOG'!$Q$6:$Q$128)</f>
        <v>0</v>
      </c>
      <c r="Z64" s="14">
        <f>SUMIF('GLOBAL LOG'!$D$6:$D$128,$C64,'GLOBAL LOG'!$R$6:$R$128)</f>
        <v>0</v>
      </c>
      <c r="AA64" s="14">
        <f t="shared" si="1"/>
        <v>0</v>
      </c>
      <c r="AB64" s="14" t="e">
        <f>SUMIF('GLOBAL LOG'!$D$6:$D$128,C64,'GLOBAL LOG'!#REF!)</f>
        <v>#REF!</v>
      </c>
      <c r="AC64" s="6"/>
      <c r="AD64" s="14" t="str">
        <v>Corsair</v>
      </c>
      <c r="AE64" s="14" t="e">
        <v>#REF!</v>
      </c>
      <c r="AF64" s="6"/>
      <c r="AG64" s="14" t="str">
        <v>China Eastern</v>
      </c>
      <c r="AH64" s="14">
        <v>0</v>
      </c>
      <c r="AI64" s="6"/>
      <c r="AJ64" s="14" t="str">
        <v>Condor</v>
      </c>
      <c r="AK64" s="14">
        <v>0</v>
      </c>
      <c r="AL64" s="6"/>
      <c r="AM64" s="14" t="str">
        <v>China Eastern</v>
      </c>
      <c r="AN64" s="14">
        <v>0</v>
      </c>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row>
    <row r="65" spans="2:97" s="4" customFormat="1" ht="14.65" hidden="1" customHeight="1">
      <c r="B65" s="6"/>
      <c r="C65" s="13" t="str">
        <v>DAE</v>
      </c>
      <c r="D65" s="14">
        <f>COUNTIFS('GLOBAL LOG'!$D$6:$D$128,C65,'GLOBAL LOG'!$K$6:$K$128,"&lt;&gt;")</f>
        <v>0</v>
      </c>
      <c r="E65" s="14" t="e">
        <f>COUNTIFS('GLOBAL LOG'!$D$6:$D$128,C65,'GLOBAL LOG'!#REF!,"Yes")</f>
        <v>#REF!</v>
      </c>
      <c r="F65" s="14" t="e">
        <f>SUMIF('GLOBAL LOG'!$D$6:$D$128,COUNT!C65,'GLOBAL LOG'!#REF!)</f>
        <v>#REF!</v>
      </c>
      <c r="G65" s="14">
        <f>COUNTIFS('GLOBAL LOG'!$E$6:$E$128,G$10,'GLOBAL LOG'!$D$6:$D$128,$C65)</f>
        <v>0</v>
      </c>
      <c r="H65" s="14">
        <f>COUNTIFS('GLOBAL LOG'!$E$6:$E$128,H$10,'GLOBAL LOG'!$D$6:$D$128,$C65)</f>
        <v>0</v>
      </c>
      <c r="I65" s="14">
        <f>COUNTIFS('GLOBAL LOG'!$E$6:$E$128,I$10,'GLOBAL LOG'!$D$6:$D$128,$C65)</f>
        <v>0</v>
      </c>
      <c r="J65" s="14">
        <f>COUNTIFS('GLOBAL LOG'!$E$6:$E$128,J$10,'GLOBAL LOG'!$D$6:$D$128,$C65)</f>
        <v>0</v>
      </c>
      <c r="K65" s="14">
        <f>COUNTIFS('GLOBAL LOG'!$E$6:$E$128,K$10,'GLOBAL LOG'!$D$6:$D$128,$C65)</f>
        <v>0</v>
      </c>
      <c r="L65" s="14">
        <f>COUNTIFS('GLOBAL LOG'!$E$6:$E$128,L$10,'GLOBAL LOG'!$D$6:$D$128,$C65)</f>
        <v>0</v>
      </c>
      <c r="M65" s="14">
        <f>COUNTIFS('GLOBAL LOG'!$E$6:$E$128,M$10,'GLOBAL LOG'!$D$6:$D$128,$C65)</f>
        <v>0</v>
      </c>
      <c r="N65" s="14" t="e">
        <f>COUNTIFS('GLOBAL LOG'!$D$6:$D$128,$C65,'GLOBAL LOG'!#REF!,"High")</f>
        <v>#REF!</v>
      </c>
      <c r="O65" s="14" t="e">
        <f>COUNTIFS('GLOBAL LOG'!$D$6:$D$128,$C65,'GLOBAL LOG'!#REF!,"Med")</f>
        <v>#REF!</v>
      </c>
      <c r="P65" s="14" t="e">
        <f>COUNTIFS('GLOBAL LOG'!$D$6:$D$128,$C65,'GLOBAL LOG'!#REF!,"Low")</f>
        <v>#REF!</v>
      </c>
      <c r="Q65" s="14" t="e">
        <f>COUNTIFS('GLOBAL LOG'!$D$6:$D$128,$C65,'GLOBAL LOG'!#REF!,"High")</f>
        <v>#REF!</v>
      </c>
      <c r="R65" s="14" t="e">
        <f>COUNTIFS('GLOBAL LOG'!$D$6:$D$128,$C65,'GLOBAL LOG'!#REF!,"Med")</f>
        <v>#REF!</v>
      </c>
      <c r="S65" s="14" t="e">
        <f>COUNTIFS('GLOBAL LOG'!$D$6:$D$128,$C65,'GLOBAL LOG'!#REF!,"Low")</f>
        <v>#REF!</v>
      </c>
      <c r="T65" s="14" t="e">
        <f>COUNTIFS('GLOBAL LOG'!$D$6:$D$128,$C65,'GLOBAL LOG'!#REF!,"Completed")</f>
        <v>#REF!</v>
      </c>
      <c r="U65" s="14" t="e">
        <f>COUNTIFS('GLOBAL LOG'!$D$6:$D$128,$C65,'GLOBAL LOG'!#REF!,"Contracting")</f>
        <v>#REF!</v>
      </c>
      <c r="V65" s="14" t="e">
        <f>COUNTIFS('GLOBAL LOG'!$D$6:$D$128,$C65,'GLOBAL LOG'!#REF!,"Negotiations")</f>
        <v>#REF!</v>
      </c>
      <c r="W65" s="14" t="e">
        <f>COUNTIFS('GLOBAL LOG'!$D$6:$D$128,$C65,'GLOBAL LOG'!#REF!,"ICT")</f>
        <v>#REF!</v>
      </c>
      <c r="X65" s="14" t="e">
        <f>COUNTIFS('GLOBAL LOG'!$D$6:$D$128,$C65,'GLOBAL LOG'!#REF!,"Hopper")</f>
        <v>#REF!</v>
      </c>
      <c r="Y65" s="14">
        <f>SUMIF('GLOBAL LOG'!$D$6:$D$128,$C65,'GLOBAL LOG'!$Q$6:$Q$128)</f>
        <v>0</v>
      </c>
      <c r="Z65" s="14">
        <f>SUMIF('GLOBAL LOG'!$D$6:$D$128,$C65,'GLOBAL LOG'!$R$6:$R$128)</f>
        <v>0</v>
      </c>
      <c r="AA65" s="14">
        <f t="shared" si="1"/>
        <v>0</v>
      </c>
      <c r="AB65" s="14" t="e">
        <f>SUMIF('GLOBAL LOG'!$D$6:$D$128,C65,'GLOBAL LOG'!#REF!)</f>
        <v>#REF!</v>
      </c>
      <c r="AC65" s="6"/>
      <c r="AD65" s="14" t="str">
        <v>DAE</v>
      </c>
      <c r="AE65" s="14" t="e">
        <v>#REF!</v>
      </c>
      <c r="AF65" s="6"/>
      <c r="AG65" s="14" t="str">
        <v>Citilink</v>
      </c>
      <c r="AH65" s="14">
        <v>0</v>
      </c>
      <c r="AI65" s="6"/>
      <c r="AJ65" s="14" t="str">
        <v>Corsair</v>
      </c>
      <c r="AK65" s="14">
        <v>0</v>
      </c>
      <c r="AL65" s="6"/>
      <c r="AM65" s="14" t="str">
        <v>Citilink</v>
      </c>
      <c r="AN65" s="14">
        <v>0</v>
      </c>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row>
    <row r="66" spans="2:97" s="4" customFormat="1" ht="14.65" hidden="1" customHeight="1">
      <c r="B66" s="6"/>
      <c r="C66" s="13" t="str">
        <v>Delta Air Lines</v>
      </c>
      <c r="D66" s="14">
        <f>COUNTIFS('GLOBAL LOG'!$D$6:$D$128,C66,'GLOBAL LOG'!$K$6:$K$128,"&lt;&gt;")</f>
        <v>3</v>
      </c>
      <c r="E66" s="14" t="e">
        <f>COUNTIFS('GLOBAL LOG'!$D$6:$D$128,C66,'GLOBAL LOG'!#REF!,"Yes")</f>
        <v>#REF!</v>
      </c>
      <c r="F66" s="14" t="e">
        <f>SUMIF('GLOBAL LOG'!$D$6:$D$128,COUNT!C66,'GLOBAL LOG'!#REF!)</f>
        <v>#REF!</v>
      </c>
      <c r="G66" s="14">
        <f>COUNTIFS('GLOBAL LOG'!$E$6:$E$128,G$10,'GLOBAL LOG'!$D$6:$D$128,$C66)</f>
        <v>2</v>
      </c>
      <c r="H66" s="14">
        <f>COUNTIFS('GLOBAL LOG'!$E$6:$E$128,H$10,'GLOBAL LOG'!$D$6:$D$128,$C66)</f>
        <v>0</v>
      </c>
      <c r="I66" s="14">
        <f>COUNTIFS('GLOBAL LOG'!$E$6:$E$128,I$10,'GLOBAL LOG'!$D$6:$D$128,$C66)</f>
        <v>0</v>
      </c>
      <c r="J66" s="14">
        <f>COUNTIFS('GLOBAL LOG'!$E$6:$E$128,J$10,'GLOBAL LOG'!$D$6:$D$128,$C66)</f>
        <v>0</v>
      </c>
      <c r="K66" s="14">
        <f>COUNTIFS('GLOBAL LOG'!$E$6:$E$128,K$10,'GLOBAL LOG'!$D$6:$D$128,$C66)</f>
        <v>0</v>
      </c>
      <c r="L66" s="14">
        <f>COUNTIFS('GLOBAL LOG'!$E$6:$E$128,L$10,'GLOBAL LOG'!$D$6:$D$128,$C66)</f>
        <v>0</v>
      </c>
      <c r="M66" s="14">
        <f>COUNTIFS('GLOBAL LOG'!$E$6:$E$128,M$10,'GLOBAL LOG'!$D$6:$D$128,$C66)</f>
        <v>1</v>
      </c>
      <c r="N66" s="14" t="e">
        <f>COUNTIFS('GLOBAL LOG'!$D$6:$D$128,$C66,'GLOBAL LOG'!#REF!,"High")</f>
        <v>#REF!</v>
      </c>
      <c r="O66" s="14" t="e">
        <f>COUNTIFS('GLOBAL LOG'!$D$6:$D$128,$C66,'GLOBAL LOG'!#REF!,"Med")</f>
        <v>#REF!</v>
      </c>
      <c r="P66" s="14" t="e">
        <f>COUNTIFS('GLOBAL LOG'!$D$6:$D$128,$C66,'GLOBAL LOG'!#REF!,"Low")</f>
        <v>#REF!</v>
      </c>
      <c r="Q66" s="14" t="e">
        <f>COUNTIFS('GLOBAL LOG'!$D$6:$D$128,$C66,'GLOBAL LOG'!#REF!,"High")</f>
        <v>#REF!</v>
      </c>
      <c r="R66" s="14" t="e">
        <f>COUNTIFS('GLOBAL LOG'!$D$6:$D$128,$C66,'GLOBAL LOG'!#REF!,"Med")</f>
        <v>#REF!</v>
      </c>
      <c r="S66" s="14" t="e">
        <f>COUNTIFS('GLOBAL LOG'!$D$6:$D$128,$C66,'GLOBAL LOG'!#REF!,"Low")</f>
        <v>#REF!</v>
      </c>
      <c r="T66" s="14" t="e">
        <f>COUNTIFS('GLOBAL LOG'!$D$6:$D$128,$C66,'GLOBAL LOG'!#REF!,"Completed")</f>
        <v>#REF!</v>
      </c>
      <c r="U66" s="14" t="e">
        <f>COUNTIFS('GLOBAL LOG'!$D$6:$D$128,$C66,'GLOBAL LOG'!#REF!,"Contracting")</f>
        <v>#REF!</v>
      </c>
      <c r="V66" s="14" t="e">
        <f>COUNTIFS('GLOBAL LOG'!$D$6:$D$128,$C66,'GLOBAL LOG'!#REF!,"Negotiations")</f>
        <v>#REF!</v>
      </c>
      <c r="W66" s="14" t="e">
        <f>COUNTIFS('GLOBAL LOG'!$D$6:$D$128,$C66,'GLOBAL LOG'!#REF!,"ICT")</f>
        <v>#REF!</v>
      </c>
      <c r="X66" s="14" t="e">
        <f>COUNTIFS('GLOBAL LOG'!$D$6:$D$128,$C66,'GLOBAL LOG'!#REF!,"Hopper")</f>
        <v>#REF!</v>
      </c>
      <c r="Y66" s="14">
        <f>SUMIF('GLOBAL LOG'!$D$6:$D$128,$C66,'GLOBAL LOG'!$Q$6:$Q$128)</f>
        <v>59</v>
      </c>
      <c r="Z66" s="14">
        <f>SUMIF('GLOBAL LOG'!$D$6:$D$128,$C66,'GLOBAL LOG'!$R$6:$R$128)</f>
        <v>0</v>
      </c>
      <c r="AA66" s="14">
        <f t="shared" si="1"/>
        <v>59</v>
      </c>
      <c r="AB66" s="14" t="e">
        <f>SUMIF('GLOBAL LOG'!$D$6:$D$128,C66,'GLOBAL LOG'!#REF!)</f>
        <v>#REF!</v>
      </c>
      <c r="AC66" s="6"/>
      <c r="AD66" s="14" t="str">
        <v>Delta Air Lines</v>
      </c>
      <c r="AE66" s="14" t="e">
        <v>#REF!</v>
      </c>
      <c r="AF66" s="6"/>
      <c r="AG66" s="14" t="str">
        <v>CMA CGM</v>
      </c>
      <c r="AH66" s="14">
        <v>0</v>
      </c>
      <c r="AI66" s="6"/>
      <c r="AJ66" s="14" t="str">
        <v>DAE</v>
      </c>
      <c r="AK66" s="14">
        <v>0</v>
      </c>
      <c r="AL66" s="6"/>
      <c r="AM66" s="14" t="str">
        <v>CMA CGM</v>
      </c>
      <c r="AN66" s="14">
        <v>0</v>
      </c>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row>
    <row r="67" spans="2:97" s="4" customFormat="1" ht="14.65" hidden="1" customHeight="1">
      <c r="B67" s="6"/>
      <c r="C67" s="13" t="str">
        <v xml:space="preserve">Deucalion </v>
      </c>
      <c r="D67" s="14">
        <f>COUNTIFS('GLOBAL LOG'!$D$6:$D$128,C67,'GLOBAL LOG'!$K$6:$K$128,"&lt;&gt;")</f>
        <v>0</v>
      </c>
      <c r="E67" s="14" t="e">
        <f>COUNTIFS('GLOBAL LOG'!$D$6:$D$128,C67,'GLOBAL LOG'!#REF!,"Yes")</f>
        <v>#REF!</v>
      </c>
      <c r="F67" s="14" t="e">
        <f>SUMIF('GLOBAL LOG'!$D$6:$D$128,COUNT!C67,'GLOBAL LOG'!#REF!)</f>
        <v>#REF!</v>
      </c>
      <c r="G67" s="14">
        <f>COUNTIFS('GLOBAL LOG'!$E$6:$E$128,G$10,'GLOBAL LOG'!$D$6:$D$128,$C67)</f>
        <v>0</v>
      </c>
      <c r="H67" s="14">
        <f>COUNTIFS('GLOBAL LOG'!$E$6:$E$128,H$10,'GLOBAL LOG'!$D$6:$D$128,$C67)</f>
        <v>0</v>
      </c>
      <c r="I67" s="14">
        <f>COUNTIFS('GLOBAL LOG'!$E$6:$E$128,I$10,'GLOBAL LOG'!$D$6:$D$128,$C67)</f>
        <v>0</v>
      </c>
      <c r="J67" s="14">
        <f>COUNTIFS('GLOBAL LOG'!$E$6:$E$128,J$10,'GLOBAL LOG'!$D$6:$D$128,$C67)</f>
        <v>0</v>
      </c>
      <c r="K67" s="14">
        <f>COUNTIFS('GLOBAL LOG'!$E$6:$E$128,K$10,'GLOBAL LOG'!$D$6:$D$128,$C67)</f>
        <v>0</v>
      </c>
      <c r="L67" s="14">
        <f>COUNTIFS('GLOBAL LOG'!$E$6:$E$128,L$10,'GLOBAL LOG'!$D$6:$D$128,$C67)</f>
        <v>0</v>
      </c>
      <c r="M67" s="14">
        <f>COUNTIFS('GLOBAL LOG'!$E$6:$E$128,M$10,'GLOBAL LOG'!$D$6:$D$128,$C67)</f>
        <v>0</v>
      </c>
      <c r="N67" s="14" t="e">
        <f>COUNTIFS('GLOBAL LOG'!$D$6:$D$128,$C67,'GLOBAL LOG'!#REF!,"High")</f>
        <v>#REF!</v>
      </c>
      <c r="O67" s="14" t="e">
        <f>COUNTIFS('GLOBAL LOG'!$D$6:$D$128,$C67,'GLOBAL LOG'!#REF!,"Med")</f>
        <v>#REF!</v>
      </c>
      <c r="P67" s="14" t="e">
        <f>COUNTIFS('GLOBAL LOG'!$D$6:$D$128,$C67,'GLOBAL LOG'!#REF!,"Low")</f>
        <v>#REF!</v>
      </c>
      <c r="Q67" s="14" t="e">
        <f>COUNTIFS('GLOBAL LOG'!$D$6:$D$128,$C67,'GLOBAL LOG'!#REF!,"High")</f>
        <v>#REF!</v>
      </c>
      <c r="R67" s="14" t="e">
        <f>COUNTIFS('GLOBAL LOG'!$D$6:$D$128,$C67,'GLOBAL LOG'!#REF!,"Med")</f>
        <v>#REF!</v>
      </c>
      <c r="S67" s="14" t="e">
        <f>COUNTIFS('GLOBAL LOG'!$D$6:$D$128,$C67,'GLOBAL LOG'!#REF!,"Low")</f>
        <v>#REF!</v>
      </c>
      <c r="T67" s="14" t="e">
        <f>COUNTIFS('GLOBAL LOG'!$D$6:$D$128,$C67,'GLOBAL LOG'!#REF!,"Completed")</f>
        <v>#REF!</v>
      </c>
      <c r="U67" s="14" t="e">
        <f>COUNTIFS('GLOBAL LOG'!$D$6:$D$128,$C67,'GLOBAL LOG'!#REF!,"Contracting")</f>
        <v>#REF!</v>
      </c>
      <c r="V67" s="14" t="e">
        <f>COUNTIFS('GLOBAL LOG'!$D$6:$D$128,$C67,'GLOBAL LOG'!#REF!,"Negotiations")</f>
        <v>#REF!</v>
      </c>
      <c r="W67" s="14" t="e">
        <f>COUNTIFS('GLOBAL LOG'!$D$6:$D$128,$C67,'GLOBAL LOG'!#REF!,"ICT")</f>
        <v>#REF!</v>
      </c>
      <c r="X67" s="14" t="e">
        <f>COUNTIFS('GLOBAL LOG'!$D$6:$D$128,$C67,'GLOBAL LOG'!#REF!,"Hopper")</f>
        <v>#REF!</v>
      </c>
      <c r="Y67" s="14">
        <f>SUMIF('GLOBAL LOG'!$D$6:$D$128,$C67,'GLOBAL LOG'!$Q$6:$Q$128)</f>
        <v>0</v>
      </c>
      <c r="Z67" s="14">
        <f>SUMIF('GLOBAL LOG'!$D$6:$D$128,$C67,'GLOBAL LOG'!$R$6:$R$128)</f>
        <v>0</v>
      </c>
      <c r="AA67" s="14">
        <f t="shared" si="1"/>
        <v>0</v>
      </c>
      <c r="AB67" s="14" t="e">
        <f>SUMIF('GLOBAL LOG'!$D$6:$D$128,C67,'GLOBAL LOG'!#REF!)</f>
        <v>#REF!</v>
      </c>
      <c r="AC67" s="6"/>
      <c r="AD67" s="14" t="str">
        <v xml:space="preserve">Deucalion </v>
      </c>
      <c r="AE67" s="14" t="e">
        <v>#REF!</v>
      </c>
      <c r="AF67" s="6"/>
      <c r="AG67" s="14" t="str">
        <v>CMIG</v>
      </c>
      <c r="AH67" s="14">
        <v>0</v>
      </c>
      <c r="AI67" s="6"/>
      <c r="AJ67" s="14" t="str">
        <v>Delta Air Lines</v>
      </c>
      <c r="AK67" s="14">
        <v>0</v>
      </c>
      <c r="AL67" s="6"/>
      <c r="AM67" s="14" t="str">
        <v>CMIG</v>
      </c>
      <c r="AN67" s="14">
        <v>0</v>
      </c>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row>
    <row r="68" spans="2:97" s="4" customFormat="1" ht="14.65" hidden="1" customHeight="1">
      <c r="B68" s="6"/>
      <c r="C68" s="13" t="str">
        <v>DHL Network Operations</v>
      </c>
      <c r="D68" s="14">
        <f>COUNTIFS('GLOBAL LOG'!$D$6:$D$128,C68,'GLOBAL LOG'!$K$6:$K$128,"&lt;&gt;")</f>
        <v>0</v>
      </c>
      <c r="E68" s="14" t="e">
        <f>COUNTIFS('GLOBAL LOG'!$D$6:$D$128,C68,'GLOBAL LOG'!#REF!,"Yes")</f>
        <v>#REF!</v>
      </c>
      <c r="F68" s="14" t="e">
        <f>SUMIF('GLOBAL LOG'!$D$6:$D$128,COUNT!C68,'GLOBAL LOG'!#REF!)</f>
        <v>#REF!</v>
      </c>
      <c r="G68" s="14">
        <f>COUNTIFS('GLOBAL LOG'!$E$6:$E$128,G$10,'GLOBAL LOG'!$D$6:$D$128,$C68)</f>
        <v>0</v>
      </c>
      <c r="H68" s="14">
        <f>COUNTIFS('GLOBAL LOG'!$E$6:$E$128,H$10,'GLOBAL LOG'!$D$6:$D$128,$C68)</f>
        <v>0</v>
      </c>
      <c r="I68" s="14">
        <f>COUNTIFS('GLOBAL LOG'!$E$6:$E$128,I$10,'GLOBAL LOG'!$D$6:$D$128,$C68)</f>
        <v>0</v>
      </c>
      <c r="J68" s="14">
        <f>COUNTIFS('GLOBAL LOG'!$E$6:$E$128,J$10,'GLOBAL LOG'!$D$6:$D$128,$C68)</f>
        <v>0</v>
      </c>
      <c r="K68" s="14">
        <f>COUNTIFS('GLOBAL LOG'!$E$6:$E$128,K$10,'GLOBAL LOG'!$D$6:$D$128,$C68)</f>
        <v>0</v>
      </c>
      <c r="L68" s="14">
        <f>COUNTIFS('GLOBAL LOG'!$E$6:$E$128,L$10,'GLOBAL LOG'!$D$6:$D$128,$C68)</f>
        <v>0</v>
      </c>
      <c r="M68" s="14">
        <f>COUNTIFS('GLOBAL LOG'!$E$6:$E$128,M$10,'GLOBAL LOG'!$D$6:$D$128,$C68)</f>
        <v>0</v>
      </c>
      <c r="N68" s="14" t="e">
        <f>COUNTIFS('GLOBAL LOG'!$D$6:$D$128,$C68,'GLOBAL LOG'!#REF!,"High")</f>
        <v>#REF!</v>
      </c>
      <c r="O68" s="14" t="e">
        <f>COUNTIFS('GLOBAL LOG'!$D$6:$D$128,$C68,'GLOBAL LOG'!#REF!,"Med")</f>
        <v>#REF!</v>
      </c>
      <c r="P68" s="14" t="e">
        <f>COUNTIFS('GLOBAL LOG'!$D$6:$D$128,$C68,'GLOBAL LOG'!#REF!,"Low")</f>
        <v>#REF!</v>
      </c>
      <c r="Q68" s="14" t="e">
        <f>COUNTIFS('GLOBAL LOG'!$D$6:$D$128,$C68,'GLOBAL LOG'!#REF!,"High")</f>
        <v>#REF!</v>
      </c>
      <c r="R68" s="14" t="e">
        <f>COUNTIFS('GLOBAL LOG'!$D$6:$D$128,$C68,'GLOBAL LOG'!#REF!,"Med")</f>
        <v>#REF!</v>
      </c>
      <c r="S68" s="14" t="e">
        <f>COUNTIFS('GLOBAL LOG'!$D$6:$D$128,$C68,'GLOBAL LOG'!#REF!,"Low")</f>
        <v>#REF!</v>
      </c>
      <c r="T68" s="14" t="e">
        <f>COUNTIFS('GLOBAL LOG'!$D$6:$D$128,$C68,'GLOBAL LOG'!#REF!,"Completed")</f>
        <v>#REF!</v>
      </c>
      <c r="U68" s="14" t="e">
        <f>COUNTIFS('GLOBAL LOG'!$D$6:$D$128,$C68,'GLOBAL LOG'!#REF!,"Contracting")</f>
        <v>#REF!</v>
      </c>
      <c r="V68" s="14" t="e">
        <f>COUNTIFS('GLOBAL LOG'!$D$6:$D$128,$C68,'GLOBAL LOG'!#REF!,"Negotiations")</f>
        <v>#REF!</v>
      </c>
      <c r="W68" s="14" t="e">
        <f>COUNTIFS('GLOBAL LOG'!$D$6:$D$128,$C68,'GLOBAL LOG'!#REF!,"ICT")</f>
        <v>#REF!</v>
      </c>
      <c r="X68" s="14" t="e">
        <f>COUNTIFS('GLOBAL LOG'!$D$6:$D$128,$C68,'GLOBAL LOG'!#REF!,"Hopper")</f>
        <v>#REF!</v>
      </c>
      <c r="Y68" s="14">
        <f>SUMIF('GLOBAL LOG'!$D$6:$D$128,$C68,'GLOBAL LOG'!$Q$6:$Q$128)</f>
        <v>0</v>
      </c>
      <c r="Z68" s="14">
        <f>SUMIF('GLOBAL LOG'!$D$6:$D$128,$C68,'GLOBAL LOG'!$R$6:$R$128)</f>
        <v>0</v>
      </c>
      <c r="AA68" s="14">
        <f t="shared" si="1"/>
        <v>0</v>
      </c>
      <c r="AB68" s="14" t="e">
        <f>SUMIF('GLOBAL LOG'!$D$6:$D$128,C68,'GLOBAL LOG'!#REF!)</f>
        <v>#REF!</v>
      </c>
      <c r="AC68" s="6"/>
      <c r="AD68" s="14" t="str">
        <v>DHL Network Operations</v>
      </c>
      <c r="AE68" s="14" t="e">
        <v>#REF!</v>
      </c>
      <c r="AF68" s="6"/>
      <c r="AG68" s="14" t="str">
        <v>Condor</v>
      </c>
      <c r="AH68" s="14">
        <v>0</v>
      </c>
      <c r="AI68" s="6"/>
      <c r="AJ68" s="14" t="str">
        <v xml:space="preserve">Deucalion </v>
      </c>
      <c r="AK68" s="14">
        <v>0</v>
      </c>
      <c r="AL68" s="6"/>
      <c r="AM68" s="14" t="str">
        <v>Condor</v>
      </c>
      <c r="AN68" s="14">
        <v>0</v>
      </c>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row>
    <row r="69" spans="2:97" s="4" customFormat="1" ht="14.65" hidden="1" customHeight="1">
      <c r="B69" s="6"/>
      <c r="C69" s="13" t="str">
        <v>EgyptAir</v>
      </c>
      <c r="D69" s="14">
        <f>COUNTIFS('GLOBAL LOG'!$D$6:$D$128,C69,'GLOBAL LOG'!$K$6:$K$128,"&lt;&gt;")</f>
        <v>0</v>
      </c>
      <c r="E69" s="14" t="e">
        <f>COUNTIFS('GLOBAL LOG'!$D$6:$D$128,C69,'GLOBAL LOG'!#REF!,"Yes")</f>
        <v>#REF!</v>
      </c>
      <c r="F69" s="14" t="e">
        <f>SUMIF('GLOBAL LOG'!$D$6:$D$128,COUNT!C69,'GLOBAL LOG'!#REF!)</f>
        <v>#REF!</v>
      </c>
      <c r="G69" s="14">
        <f>COUNTIFS('GLOBAL LOG'!$E$6:$E$128,G$10,'GLOBAL LOG'!$D$6:$D$128,$C69)</f>
        <v>0</v>
      </c>
      <c r="H69" s="14">
        <f>COUNTIFS('GLOBAL LOG'!$E$6:$E$128,H$10,'GLOBAL LOG'!$D$6:$D$128,$C69)</f>
        <v>0</v>
      </c>
      <c r="I69" s="14">
        <f>COUNTIFS('GLOBAL LOG'!$E$6:$E$128,I$10,'GLOBAL LOG'!$D$6:$D$128,$C69)</f>
        <v>0</v>
      </c>
      <c r="J69" s="14">
        <f>COUNTIFS('GLOBAL LOG'!$E$6:$E$128,J$10,'GLOBAL LOG'!$D$6:$D$128,$C69)</f>
        <v>0</v>
      </c>
      <c r="K69" s="14">
        <f>COUNTIFS('GLOBAL LOG'!$E$6:$E$128,K$10,'GLOBAL LOG'!$D$6:$D$128,$C69)</f>
        <v>0</v>
      </c>
      <c r="L69" s="14">
        <f>COUNTIFS('GLOBAL LOG'!$E$6:$E$128,L$10,'GLOBAL LOG'!$D$6:$D$128,$C69)</f>
        <v>0</v>
      </c>
      <c r="M69" s="14">
        <f>COUNTIFS('GLOBAL LOG'!$E$6:$E$128,M$10,'GLOBAL LOG'!$D$6:$D$128,$C69)</f>
        <v>0</v>
      </c>
      <c r="N69" s="14" t="e">
        <f>COUNTIFS('GLOBAL LOG'!$D$6:$D$128,$C69,'GLOBAL LOG'!#REF!,"High")</f>
        <v>#REF!</v>
      </c>
      <c r="O69" s="14" t="e">
        <f>COUNTIFS('GLOBAL LOG'!$D$6:$D$128,$C69,'GLOBAL LOG'!#REF!,"Med")</f>
        <v>#REF!</v>
      </c>
      <c r="P69" s="14" t="e">
        <f>COUNTIFS('GLOBAL LOG'!$D$6:$D$128,$C69,'GLOBAL LOG'!#REF!,"Low")</f>
        <v>#REF!</v>
      </c>
      <c r="Q69" s="14" t="e">
        <f>COUNTIFS('GLOBAL LOG'!$D$6:$D$128,$C69,'GLOBAL LOG'!#REF!,"High")</f>
        <v>#REF!</v>
      </c>
      <c r="R69" s="14" t="e">
        <f>COUNTIFS('GLOBAL LOG'!$D$6:$D$128,$C69,'GLOBAL LOG'!#REF!,"Med")</f>
        <v>#REF!</v>
      </c>
      <c r="S69" s="14" t="e">
        <f>COUNTIFS('GLOBAL LOG'!$D$6:$D$128,$C69,'GLOBAL LOG'!#REF!,"Low")</f>
        <v>#REF!</v>
      </c>
      <c r="T69" s="14" t="e">
        <f>COUNTIFS('GLOBAL LOG'!$D$6:$D$128,$C69,'GLOBAL LOG'!#REF!,"Completed")</f>
        <v>#REF!</v>
      </c>
      <c r="U69" s="14" t="e">
        <f>COUNTIFS('GLOBAL LOG'!$D$6:$D$128,$C69,'GLOBAL LOG'!#REF!,"Contracting")</f>
        <v>#REF!</v>
      </c>
      <c r="V69" s="14" t="e">
        <f>COUNTIFS('GLOBAL LOG'!$D$6:$D$128,$C69,'GLOBAL LOG'!#REF!,"Negotiations")</f>
        <v>#REF!</v>
      </c>
      <c r="W69" s="14" t="e">
        <f>COUNTIFS('GLOBAL LOG'!$D$6:$D$128,$C69,'GLOBAL LOG'!#REF!,"ICT")</f>
        <v>#REF!</v>
      </c>
      <c r="X69" s="14" t="e">
        <f>COUNTIFS('GLOBAL LOG'!$D$6:$D$128,$C69,'GLOBAL LOG'!#REF!,"Hopper")</f>
        <v>#REF!</v>
      </c>
      <c r="Y69" s="14">
        <f>SUMIF('GLOBAL LOG'!$D$6:$D$128,$C69,'GLOBAL LOG'!$Q$6:$Q$128)</f>
        <v>0</v>
      </c>
      <c r="Z69" s="14">
        <f>SUMIF('GLOBAL LOG'!$D$6:$D$128,$C69,'GLOBAL LOG'!$R$6:$R$128)</f>
        <v>0</v>
      </c>
      <c r="AA69" s="14">
        <f t="shared" si="1"/>
        <v>0</v>
      </c>
      <c r="AB69" s="14" t="e">
        <f>SUMIF('GLOBAL LOG'!$D$6:$D$128,C69,'GLOBAL LOG'!#REF!)</f>
        <v>#REF!</v>
      </c>
      <c r="AC69" s="6"/>
      <c r="AD69" s="14" t="str">
        <v>EgyptAir</v>
      </c>
      <c r="AE69" s="14" t="e">
        <v>#REF!</v>
      </c>
      <c r="AF69" s="6"/>
      <c r="AG69" s="14" t="str">
        <v>Corsair</v>
      </c>
      <c r="AH69" s="14">
        <v>0</v>
      </c>
      <c r="AI69" s="6"/>
      <c r="AJ69" s="14" t="str">
        <v>DHL Network Operations</v>
      </c>
      <c r="AK69" s="14">
        <v>0</v>
      </c>
      <c r="AL69" s="6"/>
      <c r="AM69" s="14" t="str">
        <v>Corsair</v>
      </c>
      <c r="AN69" s="14">
        <v>0</v>
      </c>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row>
    <row r="70" spans="2:97" s="4" customFormat="1" ht="14.65" hidden="1" customHeight="1">
      <c r="B70" s="6"/>
      <c r="C70" s="13" t="str">
        <v>El Al Israel Airlines Ltd</v>
      </c>
      <c r="D70" s="14">
        <f>COUNTIFS('GLOBAL LOG'!$D$6:$D$128,C70,'GLOBAL LOG'!$K$6:$K$128,"&lt;&gt;")</f>
        <v>0</v>
      </c>
      <c r="E70" s="14" t="e">
        <f>COUNTIFS('GLOBAL LOG'!$D$6:$D$128,C70,'GLOBAL LOG'!#REF!,"Yes")</f>
        <v>#REF!</v>
      </c>
      <c r="F70" s="14" t="e">
        <f>SUMIF('GLOBAL LOG'!$D$6:$D$128,COUNT!C70,'GLOBAL LOG'!#REF!)</f>
        <v>#REF!</v>
      </c>
      <c r="G70" s="14">
        <f>COUNTIFS('GLOBAL LOG'!$E$6:$E$128,G$10,'GLOBAL LOG'!$D$6:$D$128,$C70)</f>
        <v>0</v>
      </c>
      <c r="H70" s="14">
        <f>COUNTIFS('GLOBAL LOG'!$E$6:$E$128,H$10,'GLOBAL LOG'!$D$6:$D$128,$C70)</f>
        <v>0</v>
      </c>
      <c r="I70" s="14">
        <f>COUNTIFS('GLOBAL LOG'!$E$6:$E$128,I$10,'GLOBAL LOG'!$D$6:$D$128,$C70)</f>
        <v>0</v>
      </c>
      <c r="J70" s="14">
        <f>COUNTIFS('GLOBAL LOG'!$E$6:$E$128,J$10,'GLOBAL LOG'!$D$6:$D$128,$C70)</f>
        <v>0</v>
      </c>
      <c r="K70" s="14">
        <f>COUNTIFS('GLOBAL LOG'!$E$6:$E$128,K$10,'GLOBAL LOG'!$D$6:$D$128,$C70)</f>
        <v>0</v>
      </c>
      <c r="L70" s="14">
        <f>COUNTIFS('GLOBAL LOG'!$E$6:$E$128,L$10,'GLOBAL LOG'!$D$6:$D$128,$C70)</f>
        <v>0</v>
      </c>
      <c r="M70" s="14">
        <f>COUNTIFS('GLOBAL LOG'!$E$6:$E$128,M$10,'GLOBAL LOG'!$D$6:$D$128,$C70)</f>
        <v>0</v>
      </c>
      <c r="N70" s="14" t="e">
        <f>COUNTIFS('GLOBAL LOG'!$D$6:$D$128,$C70,'GLOBAL LOG'!#REF!,"High")</f>
        <v>#REF!</v>
      </c>
      <c r="O70" s="14" t="e">
        <f>COUNTIFS('GLOBAL LOG'!$D$6:$D$128,$C70,'GLOBAL LOG'!#REF!,"Med")</f>
        <v>#REF!</v>
      </c>
      <c r="P70" s="14" t="e">
        <f>COUNTIFS('GLOBAL LOG'!$D$6:$D$128,$C70,'GLOBAL LOG'!#REF!,"Low")</f>
        <v>#REF!</v>
      </c>
      <c r="Q70" s="14" t="e">
        <f>COUNTIFS('GLOBAL LOG'!$D$6:$D$128,$C70,'GLOBAL LOG'!#REF!,"High")</f>
        <v>#REF!</v>
      </c>
      <c r="R70" s="14" t="e">
        <f>COUNTIFS('GLOBAL LOG'!$D$6:$D$128,$C70,'GLOBAL LOG'!#REF!,"Med")</f>
        <v>#REF!</v>
      </c>
      <c r="S70" s="14" t="e">
        <f>COUNTIFS('GLOBAL LOG'!$D$6:$D$128,$C70,'GLOBAL LOG'!#REF!,"Low")</f>
        <v>#REF!</v>
      </c>
      <c r="T70" s="14" t="e">
        <f>COUNTIFS('GLOBAL LOG'!$D$6:$D$128,$C70,'GLOBAL LOG'!#REF!,"Completed")</f>
        <v>#REF!</v>
      </c>
      <c r="U70" s="14" t="e">
        <f>COUNTIFS('GLOBAL LOG'!$D$6:$D$128,$C70,'GLOBAL LOG'!#REF!,"Contracting")</f>
        <v>#REF!</v>
      </c>
      <c r="V70" s="14" t="e">
        <f>COUNTIFS('GLOBAL LOG'!$D$6:$D$128,$C70,'GLOBAL LOG'!#REF!,"Negotiations")</f>
        <v>#REF!</v>
      </c>
      <c r="W70" s="14" t="e">
        <f>COUNTIFS('GLOBAL LOG'!$D$6:$D$128,$C70,'GLOBAL LOG'!#REF!,"ICT")</f>
        <v>#REF!</v>
      </c>
      <c r="X70" s="14" t="e">
        <f>COUNTIFS('GLOBAL LOG'!$D$6:$D$128,$C70,'GLOBAL LOG'!#REF!,"Hopper")</f>
        <v>#REF!</v>
      </c>
      <c r="Y70" s="14">
        <f>SUMIF('GLOBAL LOG'!$D$6:$D$128,$C70,'GLOBAL LOG'!$Q$6:$Q$128)</f>
        <v>0</v>
      </c>
      <c r="Z70" s="14">
        <f>SUMIF('GLOBAL LOG'!$D$6:$D$128,$C70,'GLOBAL LOG'!$R$6:$R$128)</f>
        <v>0</v>
      </c>
      <c r="AA70" s="14">
        <f t="shared" si="1"/>
        <v>0</v>
      </c>
      <c r="AB70" s="14" t="e">
        <f>SUMIF('GLOBAL LOG'!$D$6:$D$128,C70,'GLOBAL LOG'!#REF!)</f>
        <v>#REF!</v>
      </c>
      <c r="AC70" s="6"/>
      <c r="AD70" s="14" t="str">
        <v>El Al Israel Airlines Ltd</v>
      </c>
      <c r="AE70" s="14" t="e">
        <v>#REF!</v>
      </c>
      <c r="AF70" s="6"/>
      <c r="AG70" s="14" t="str">
        <v>DAE</v>
      </c>
      <c r="AH70" s="14">
        <v>0</v>
      </c>
      <c r="AI70" s="6"/>
      <c r="AJ70" s="14" t="str">
        <v>EgyptAir</v>
      </c>
      <c r="AK70" s="14">
        <v>0</v>
      </c>
      <c r="AL70" s="6"/>
      <c r="AM70" s="14" t="str">
        <v>DAE</v>
      </c>
      <c r="AN70" s="14">
        <v>0</v>
      </c>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row>
    <row r="71" spans="2:97" s="4" customFormat="1" ht="14.65" hidden="1" customHeight="1">
      <c r="B71" s="6"/>
      <c r="C71" s="13" t="str">
        <v>Emirates Airline</v>
      </c>
      <c r="D71" s="14">
        <f>COUNTIFS('GLOBAL LOG'!$D$6:$D$128,C71,'GLOBAL LOG'!$K$6:$K$128,"&lt;&gt;")</f>
        <v>0</v>
      </c>
      <c r="E71" s="14" t="e">
        <f>COUNTIFS('GLOBAL LOG'!$D$6:$D$128,C71,'GLOBAL LOG'!#REF!,"Yes")</f>
        <v>#REF!</v>
      </c>
      <c r="F71" s="14" t="e">
        <f>SUMIF('GLOBAL LOG'!$D$6:$D$128,COUNT!C71,'GLOBAL LOG'!#REF!)</f>
        <v>#REF!</v>
      </c>
      <c r="G71" s="14">
        <f>COUNTIFS('GLOBAL LOG'!$E$6:$E$128,G$10,'GLOBAL LOG'!$D$6:$D$128,$C71)</f>
        <v>0</v>
      </c>
      <c r="H71" s="14">
        <f>COUNTIFS('GLOBAL LOG'!$E$6:$E$128,H$10,'GLOBAL LOG'!$D$6:$D$128,$C71)</f>
        <v>0</v>
      </c>
      <c r="I71" s="14">
        <f>COUNTIFS('GLOBAL LOG'!$E$6:$E$128,I$10,'GLOBAL LOG'!$D$6:$D$128,$C71)</f>
        <v>0</v>
      </c>
      <c r="J71" s="14">
        <f>COUNTIFS('GLOBAL LOG'!$E$6:$E$128,J$10,'GLOBAL LOG'!$D$6:$D$128,$C71)</f>
        <v>0</v>
      </c>
      <c r="K71" s="14">
        <f>COUNTIFS('GLOBAL LOG'!$E$6:$E$128,K$10,'GLOBAL LOG'!$D$6:$D$128,$C71)</f>
        <v>0</v>
      </c>
      <c r="L71" s="14">
        <f>COUNTIFS('GLOBAL LOG'!$E$6:$E$128,L$10,'GLOBAL LOG'!$D$6:$D$128,$C71)</f>
        <v>0</v>
      </c>
      <c r="M71" s="14">
        <f>COUNTIFS('GLOBAL LOG'!$E$6:$E$128,M$10,'GLOBAL LOG'!$D$6:$D$128,$C71)</f>
        <v>0</v>
      </c>
      <c r="N71" s="14" t="e">
        <f>COUNTIFS('GLOBAL LOG'!$D$6:$D$128,$C71,'GLOBAL LOG'!#REF!,"High")</f>
        <v>#REF!</v>
      </c>
      <c r="O71" s="14" t="e">
        <f>COUNTIFS('GLOBAL LOG'!$D$6:$D$128,$C71,'GLOBAL LOG'!#REF!,"Med")</f>
        <v>#REF!</v>
      </c>
      <c r="P71" s="14" t="e">
        <f>COUNTIFS('GLOBAL LOG'!$D$6:$D$128,$C71,'GLOBAL LOG'!#REF!,"Low")</f>
        <v>#REF!</v>
      </c>
      <c r="Q71" s="14" t="e">
        <f>COUNTIFS('GLOBAL LOG'!$D$6:$D$128,$C71,'GLOBAL LOG'!#REF!,"High")</f>
        <v>#REF!</v>
      </c>
      <c r="R71" s="14" t="e">
        <f>COUNTIFS('GLOBAL LOG'!$D$6:$D$128,$C71,'GLOBAL LOG'!#REF!,"Med")</f>
        <v>#REF!</v>
      </c>
      <c r="S71" s="14" t="e">
        <f>COUNTIFS('GLOBAL LOG'!$D$6:$D$128,$C71,'GLOBAL LOG'!#REF!,"Low")</f>
        <v>#REF!</v>
      </c>
      <c r="T71" s="14" t="e">
        <f>COUNTIFS('GLOBAL LOG'!$D$6:$D$128,$C71,'GLOBAL LOG'!#REF!,"Completed")</f>
        <v>#REF!</v>
      </c>
      <c r="U71" s="14" t="e">
        <f>COUNTIFS('GLOBAL LOG'!$D$6:$D$128,$C71,'GLOBAL LOG'!#REF!,"Contracting")</f>
        <v>#REF!</v>
      </c>
      <c r="V71" s="14" t="e">
        <f>COUNTIFS('GLOBAL LOG'!$D$6:$D$128,$C71,'GLOBAL LOG'!#REF!,"Negotiations")</f>
        <v>#REF!</v>
      </c>
      <c r="W71" s="14" t="e">
        <f>COUNTIFS('GLOBAL LOG'!$D$6:$D$128,$C71,'GLOBAL LOG'!#REF!,"ICT")</f>
        <v>#REF!</v>
      </c>
      <c r="X71" s="14" t="e">
        <f>COUNTIFS('GLOBAL LOG'!$D$6:$D$128,$C71,'GLOBAL LOG'!#REF!,"Hopper")</f>
        <v>#REF!</v>
      </c>
      <c r="Y71" s="14">
        <f>SUMIF('GLOBAL LOG'!$D$6:$D$128,$C71,'GLOBAL LOG'!$Q$6:$Q$128)</f>
        <v>0</v>
      </c>
      <c r="Z71" s="14">
        <f>SUMIF('GLOBAL LOG'!$D$6:$D$128,$C71,'GLOBAL LOG'!$R$6:$R$128)</f>
        <v>0</v>
      </c>
      <c r="AA71" s="14">
        <f t="shared" si="1"/>
        <v>0</v>
      </c>
      <c r="AB71" s="14" t="e">
        <f>SUMIF('GLOBAL LOG'!$D$6:$D$128,C71,'GLOBAL LOG'!#REF!)</f>
        <v>#REF!</v>
      </c>
      <c r="AC71" s="6"/>
      <c r="AD71" s="14" t="str">
        <v>Emirates Airline</v>
      </c>
      <c r="AE71" s="14" t="e">
        <v>#REF!</v>
      </c>
      <c r="AF71" s="6"/>
      <c r="AG71" s="14" t="str">
        <v xml:space="preserve">Deucalion </v>
      </c>
      <c r="AH71" s="14">
        <v>0</v>
      </c>
      <c r="AI71" s="6"/>
      <c r="AJ71" s="14" t="str">
        <v>El Al Israel Airlines Ltd</v>
      </c>
      <c r="AK71" s="14">
        <v>0</v>
      </c>
      <c r="AL71" s="6"/>
      <c r="AM71" s="14" t="str">
        <v xml:space="preserve">Deucalion </v>
      </c>
      <c r="AN71" s="14">
        <v>0</v>
      </c>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row>
    <row r="72" spans="2:97" s="4" customFormat="1" ht="14.65" hidden="1" customHeight="1">
      <c r="B72" s="6"/>
      <c r="C72" s="13" t="str">
        <v>Ethiopian Airlines</v>
      </c>
      <c r="D72" s="14">
        <f>COUNTIFS('GLOBAL LOG'!$D$6:$D$128,C72,'GLOBAL LOG'!$K$6:$K$128,"&lt;&gt;")</f>
        <v>4</v>
      </c>
      <c r="E72" s="14" t="e">
        <f>COUNTIFS('GLOBAL LOG'!$D$6:$D$128,C72,'GLOBAL LOG'!#REF!,"Yes")</f>
        <v>#REF!</v>
      </c>
      <c r="F72" s="14" t="e">
        <f>SUMIF('GLOBAL LOG'!$D$6:$D$128,COUNT!C72,'GLOBAL LOG'!#REF!)</f>
        <v>#REF!</v>
      </c>
      <c r="G72" s="14">
        <f>COUNTIFS('GLOBAL LOG'!$E$6:$E$128,G$10,'GLOBAL LOG'!$D$6:$D$128,$C72)</f>
        <v>3</v>
      </c>
      <c r="H72" s="14">
        <f>COUNTIFS('GLOBAL LOG'!$E$6:$E$128,H$10,'GLOBAL LOG'!$D$6:$D$128,$C72)</f>
        <v>0</v>
      </c>
      <c r="I72" s="14">
        <f>COUNTIFS('GLOBAL LOG'!$E$6:$E$128,I$10,'GLOBAL LOG'!$D$6:$D$128,$C72)</f>
        <v>1</v>
      </c>
      <c r="J72" s="14">
        <f>COUNTIFS('GLOBAL LOG'!$E$6:$E$128,J$10,'GLOBAL LOG'!$D$6:$D$128,$C72)</f>
        <v>0</v>
      </c>
      <c r="K72" s="14">
        <f>COUNTIFS('GLOBAL LOG'!$E$6:$E$128,K$10,'GLOBAL LOG'!$D$6:$D$128,$C72)</f>
        <v>0</v>
      </c>
      <c r="L72" s="14">
        <f>COUNTIFS('GLOBAL LOG'!$E$6:$E$128,L$10,'GLOBAL LOG'!$D$6:$D$128,$C72)</f>
        <v>0</v>
      </c>
      <c r="M72" s="14">
        <f>COUNTIFS('GLOBAL LOG'!$E$6:$E$128,M$10,'GLOBAL LOG'!$D$6:$D$128,$C72)</f>
        <v>0</v>
      </c>
      <c r="N72" s="14" t="e">
        <f>COUNTIFS('GLOBAL LOG'!$D$6:$D$128,$C72,'GLOBAL LOG'!#REF!,"High")</f>
        <v>#REF!</v>
      </c>
      <c r="O72" s="14" t="e">
        <f>COUNTIFS('GLOBAL LOG'!$D$6:$D$128,$C72,'GLOBAL LOG'!#REF!,"Med")</f>
        <v>#REF!</v>
      </c>
      <c r="P72" s="14" t="e">
        <f>COUNTIFS('GLOBAL LOG'!$D$6:$D$128,$C72,'GLOBAL LOG'!#REF!,"Low")</f>
        <v>#REF!</v>
      </c>
      <c r="Q72" s="14" t="e">
        <f>COUNTIFS('GLOBAL LOG'!$D$6:$D$128,$C72,'GLOBAL LOG'!#REF!,"High")</f>
        <v>#REF!</v>
      </c>
      <c r="R72" s="14" t="e">
        <f>COUNTIFS('GLOBAL LOG'!$D$6:$D$128,$C72,'GLOBAL LOG'!#REF!,"Med")</f>
        <v>#REF!</v>
      </c>
      <c r="S72" s="14" t="e">
        <f>COUNTIFS('GLOBAL LOG'!$D$6:$D$128,$C72,'GLOBAL LOG'!#REF!,"Low")</f>
        <v>#REF!</v>
      </c>
      <c r="T72" s="14" t="e">
        <f>COUNTIFS('GLOBAL LOG'!$D$6:$D$128,$C72,'GLOBAL LOG'!#REF!,"Completed")</f>
        <v>#REF!</v>
      </c>
      <c r="U72" s="14" t="e">
        <f>COUNTIFS('GLOBAL LOG'!$D$6:$D$128,$C72,'GLOBAL LOG'!#REF!,"Contracting")</f>
        <v>#REF!</v>
      </c>
      <c r="V72" s="14" t="e">
        <f>COUNTIFS('GLOBAL LOG'!$D$6:$D$128,$C72,'GLOBAL LOG'!#REF!,"Negotiations")</f>
        <v>#REF!</v>
      </c>
      <c r="W72" s="14" t="e">
        <f>COUNTIFS('GLOBAL LOG'!$D$6:$D$128,$C72,'GLOBAL LOG'!#REF!,"ICT")</f>
        <v>#REF!</v>
      </c>
      <c r="X72" s="14" t="e">
        <f>COUNTIFS('GLOBAL LOG'!$D$6:$D$128,$C72,'GLOBAL LOG'!#REF!,"Hopper")</f>
        <v>#REF!</v>
      </c>
      <c r="Y72" s="14">
        <f>SUMIF('GLOBAL LOG'!$D$6:$D$128,$C72,'GLOBAL LOG'!$Q$6:$Q$128)</f>
        <v>23</v>
      </c>
      <c r="Z72" s="14">
        <f>SUMIF('GLOBAL LOG'!$D$6:$D$128,$C72,'GLOBAL LOG'!$R$6:$R$128)</f>
        <v>0</v>
      </c>
      <c r="AA72" s="14">
        <f t="shared" si="1"/>
        <v>23</v>
      </c>
      <c r="AB72" s="14" t="e">
        <f>SUMIF('GLOBAL LOG'!$D$6:$D$128,C72,'GLOBAL LOG'!#REF!)</f>
        <v>#REF!</v>
      </c>
      <c r="AC72" s="6"/>
      <c r="AD72" s="14" t="str">
        <v>Ethiopian Airlines</v>
      </c>
      <c r="AE72" s="14" t="e">
        <v>#REF!</v>
      </c>
      <c r="AF72" s="6"/>
      <c r="AG72" s="14" t="str">
        <v>DHL Network Operations</v>
      </c>
      <c r="AH72" s="14">
        <v>0</v>
      </c>
      <c r="AI72" s="6"/>
      <c r="AJ72" s="14" t="str">
        <v>Emirates Airline</v>
      </c>
      <c r="AK72" s="14">
        <v>0</v>
      </c>
      <c r="AL72" s="6"/>
      <c r="AM72" s="14" t="str">
        <v>DHL Network Operations</v>
      </c>
      <c r="AN72" s="14">
        <v>0</v>
      </c>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row>
    <row r="73" spans="2:97" s="4" customFormat="1" ht="14.65" hidden="1" customHeight="1">
      <c r="B73" s="6"/>
      <c r="C73" s="13" t="str">
        <v>Etihad Airways</v>
      </c>
      <c r="D73" s="14">
        <f>COUNTIFS('GLOBAL LOG'!$D$6:$D$128,C73,'GLOBAL LOG'!$K$6:$K$128,"&lt;&gt;")</f>
        <v>0</v>
      </c>
      <c r="E73" s="14" t="e">
        <f>COUNTIFS('GLOBAL LOG'!$D$6:$D$128,C73,'GLOBAL LOG'!#REF!,"Yes")</f>
        <v>#REF!</v>
      </c>
      <c r="F73" s="14" t="e">
        <f>SUMIF('GLOBAL LOG'!$D$6:$D$128,COUNT!C73,'GLOBAL LOG'!#REF!)</f>
        <v>#REF!</v>
      </c>
      <c r="G73" s="14">
        <f>COUNTIFS('GLOBAL LOG'!$E$6:$E$128,G$10,'GLOBAL LOG'!$D$6:$D$128,$C73)</f>
        <v>0</v>
      </c>
      <c r="H73" s="14">
        <f>COUNTIFS('GLOBAL LOG'!$E$6:$E$128,H$10,'GLOBAL LOG'!$D$6:$D$128,$C73)</f>
        <v>0</v>
      </c>
      <c r="I73" s="14">
        <f>COUNTIFS('GLOBAL LOG'!$E$6:$E$128,I$10,'GLOBAL LOG'!$D$6:$D$128,$C73)</f>
        <v>0</v>
      </c>
      <c r="J73" s="14">
        <f>COUNTIFS('GLOBAL LOG'!$E$6:$E$128,J$10,'GLOBAL LOG'!$D$6:$D$128,$C73)</f>
        <v>0</v>
      </c>
      <c r="K73" s="14">
        <f>COUNTIFS('GLOBAL LOG'!$E$6:$E$128,K$10,'GLOBAL LOG'!$D$6:$D$128,$C73)</f>
        <v>0</v>
      </c>
      <c r="L73" s="14">
        <f>COUNTIFS('GLOBAL LOG'!$E$6:$E$128,L$10,'GLOBAL LOG'!$D$6:$D$128,$C73)</f>
        <v>0</v>
      </c>
      <c r="M73" s="14">
        <f>COUNTIFS('GLOBAL LOG'!$E$6:$E$128,M$10,'GLOBAL LOG'!$D$6:$D$128,$C73)</f>
        <v>0</v>
      </c>
      <c r="N73" s="14" t="e">
        <f>COUNTIFS('GLOBAL LOG'!$D$6:$D$128,$C73,'GLOBAL LOG'!#REF!,"High")</f>
        <v>#REF!</v>
      </c>
      <c r="O73" s="14" t="e">
        <f>COUNTIFS('GLOBAL LOG'!$D$6:$D$128,$C73,'GLOBAL LOG'!#REF!,"Med")</f>
        <v>#REF!</v>
      </c>
      <c r="P73" s="14" t="e">
        <f>COUNTIFS('GLOBAL LOG'!$D$6:$D$128,$C73,'GLOBAL LOG'!#REF!,"Low")</f>
        <v>#REF!</v>
      </c>
      <c r="Q73" s="14" t="e">
        <f>COUNTIFS('GLOBAL LOG'!$D$6:$D$128,$C73,'GLOBAL LOG'!#REF!,"High")</f>
        <v>#REF!</v>
      </c>
      <c r="R73" s="14" t="e">
        <f>COUNTIFS('GLOBAL LOG'!$D$6:$D$128,$C73,'GLOBAL LOG'!#REF!,"Med")</f>
        <v>#REF!</v>
      </c>
      <c r="S73" s="14" t="e">
        <f>COUNTIFS('GLOBAL LOG'!$D$6:$D$128,$C73,'GLOBAL LOG'!#REF!,"Low")</f>
        <v>#REF!</v>
      </c>
      <c r="T73" s="14" t="e">
        <f>COUNTIFS('GLOBAL LOG'!$D$6:$D$128,$C73,'GLOBAL LOG'!#REF!,"Completed")</f>
        <v>#REF!</v>
      </c>
      <c r="U73" s="14" t="e">
        <f>COUNTIFS('GLOBAL LOG'!$D$6:$D$128,$C73,'GLOBAL LOG'!#REF!,"Contracting")</f>
        <v>#REF!</v>
      </c>
      <c r="V73" s="14" t="e">
        <f>COUNTIFS('GLOBAL LOG'!$D$6:$D$128,$C73,'GLOBAL LOG'!#REF!,"Negotiations")</f>
        <v>#REF!</v>
      </c>
      <c r="W73" s="14" t="e">
        <f>COUNTIFS('GLOBAL LOG'!$D$6:$D$128,$C73,'GLOBAL LOG'!#REF!,"ICT")</f>
        <v>#REF!</v>
      </c>
      <c r="X73" s="14" t="e">
        <f>COUNTIFS('GLOBAL LOG'!$D$6:$D$128,$C73,'GLOBAL LOG'!#REF!,"Hopper")</f>
        <v>#REF!</v>
      </c>
      <c r="Y73" s="14">
        <f>SUMIF('GLOBAL LOG'!$D$6:$D$128,$C73,'GLOBAL LOG'!$Q$6:$Q$128)</f>
        <v>0</v>
      </c>
      <c r="Z73" s="14">
        <f>SUMIF('GLOBAL LOG'!$D$6:$D$128,$C73,'GLOBAL LOG'!$R$6:$R$128)</f>
        <v>0</v>
      </c>
      <c r="AA73" s="14">
        <f t="shared" si="1"/>
        <v>0</v>
      </c>
      <c r="AB73" s="14" t="e">
        <f>SUMIF('GLOBAL LOG'!$D$6:$D$128,C73,'GLOBAL LOG'!#REF!)</f>
        <v>#REF!</v>
      </c>
      <c r="AC73" s="6"/>
      <c r="AD73" s="14" t="str">
        <v>Etihad Airways</v>
      </c>
      <c r="AE73" s="14" t="e">
        <v>#REF!</v>
      </c>
      <c r="AF73" s="6"/>
      <c r="AG73" s="14" t="str">
        <v>EgyptAir</v>
      </c>
      <c r="AH73" s="14">
        <v>0</v>
      </c>
      <c r="AI73" s="6"/>
      <c r="AJ73" s="14" t="str">
        <v>Ethiopian Airlines</v>
      </c>
      <c r="AK73" s="14">
        <v>0</v>
      </c>
      <c r="AL73" s="6"/>
      <c r="AM73" s="14" t="str">
        <v>EgyptAir</v>
      </c>
      <c r="AN73" s="14">
        <v>0</v>
      </c>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row>
    <row r="74" spans="2:97" s="4" customFormat="1" ht="14.65" hidden="1" customHeight="1">
      <c r="B74" s="6"/>
      <c r="C74" s="13" t="str">
        <v>Evelop Airlines</v>
      </c>
      <c r="D74" s="14">
        <f>COUNTIFS('GLOBAL LOG'!$D$6:$D$128,C74,'GLOBAL LOG'!$K$6:$K$128,"&lt;&gt;")</f>
        <v>0</v>
      </c>
      <c r="E74" s="14" t="e">
        <f>COUNTIFS('GLOBAL LOG'!$D$6:$D$128,C74,'GLOBAL LOG'!#REF!,"Yes")</f>
        <v>#REF!</v>
      </c>
      <c r="F74" s="14" t="e">
        <f>SUMIF('GLOBAL LOG'!$D$6:$D$128,COUNT!C74,'GLOBAL LOG'!#REF!)</f>
        <v>#REF!</v>
      </c>
      <c r="G74" s="14">
        <f>COUNTIFS('GLOBAL LOG'!$E$6:$E$128,G$10,'GLOBAL LOG'!$D$6:$D$128,$C74)</f>
        <v>0</v>
      </c>
      <c r="H74" s="14">
        <f>COUNTIFS('GLOBAL LOG'!$E$6:$E$128,H$10,'GLOBAL LOG'!$D$6:$D$128,$C74)</f>
        <v>0</v>
      </c>
      <c r="I74" s="14">
        <f>COUNTIFS('GLOBAL LOG'!$E$6:$E$128,I$10,'GLOBAL LOG'!$D$6:$D$128,$C74)</f>
        <v>0</v>
      </c>
      <c r="J74" s="14">
        <f>COUNTIFS('GLOBAL LOG'!$E$6:$E$128,J$10,'GLOBAL LOG'!$D$6:$D$128,$C74)</f>
        <v>0</v>
      </c>
      <c r="K74" s="14">
        <f>COUNTIFS('GLOBAL LOG'!$E$6:$E$128,K$10,'GLOBAL LOG'!$D$6:$D$128,$C74)</f>
        <v>0</v>
      </c>
      <c r="L74" s="14">
        <f>COUNTIFS('GLOBAL LOG'!$E$6:$E$128,L$10,'GLOBAL LOG'!$D$6:$D$128,$C74)</f>
        <v>0</v>
      </c>
      <c r="M74" s="14">
        <f>COUNTIFS('GLOBAL LOG'!$E$6:$E$128,M$10,'GLOBAL LOG'!$D$6:$D$128,$C74)</f>
        <v>0</v>
      </c>
      <c r="N74" s="14" t="e">
        <f>COUNTIFS('GLOBAL LOG'!$D$6:$D$128,$C74,'GLOBAL LOG'!#REF!,"High")</f>
        <v>#REF!</v>
      </c>
      <c r="O74" s="14" t="e">
        <f>COUNTIFS('GLOBAL LOG'!$D$6:$D$128,$C74,'GLOBAL LOG'!#REF!,"Med")</f>
        <v>#REF!</v>
      </c>
      <c r="P74" s="14" t="e">
        <f>COUNTIFS('GLOBAL LOG'!$D$6:$D$128,$C74,'GLOBAL LOG'!#REF!,"Low")</f>
        <v>#REF!</v>
      </c>
      <c r="Q74" s="14" t="e">
        <f>COUNTIFS('GLOBAL LOG'!$D$6:$D$128,$C74,'GLOBAL LOG'!#REF!,"High")</f>
        <v>#REF!</v>
      </c>
      <c r="R74" s="14" t="e">
        <f>COUNTIFS('GLOBAL LOG'!$D$6:$D$128,$C74,'GLOBAL LOG'!#REF!,"Med")</f>
        <v>#REF!</v>
      </c>
      <c r="S74" s="14" t="e">
        <f>COUNTIFS('GLOBAL LOG'!$D$6:$D$128,$C74,'GLOBAL LOG'!#REF!,"Low")</f>
        <v>#REF!</v>
      </c>
      <c r="T74" s="14" t="e">
        <f>COUNTIFS('GLOBAL LOG'!$D$6:$D$128,$C74,'GLOBAL LOG'!#REF!,"Completed")</f>
        <v>#REF!</v>
      </c>
      <c r="U74" s="14" t="e">
        <f>COUNTIFS('GLOBAL LOG'!$D$6:$D$128,$C74,'GLOBAL LOG'!#REF!,"Contracting")</f>
        <v>#REF!</v>
      </c>
      <c r="V74" s="14" t="e">
        <f>COUNTIFS('GLOBAL LOG'!$D$6:$D$128,$C74,'GLOBAL LOG'!#REF!,"Negotiations")</f>
        <v>#REF!</v>
      </c>
      <c r="W74" s="14" t="e">
        <f>COUNTIFS('GLOBAL LOG'!$D$6:$D$128,$C74,'GLOBAL LOG'!#REF!,"ICT")</f>
        <v>#REF!</v>
      </c>
      <c r="X74" s="14" t="e">
        <f>COUNTIFS('GLOBAL LOG'!$D$6:$D$128,$C74,'GLOBAL LOG'!#REF!,"Hopper")</f>
        <v>#REF!</v>
      </c>
      <c r="Y74" s="14">
        <f>SUMIF('GLOBAL LOG'!$D$6:$D$128,$C74,'GLOBAL LOG'!$Q$6:$Q$128)</f>
        <v>0</v>
      </c>
      <c r="Z74" s="14">
        <f>SUMIF('GLOBAL LOG'!$D$6:$D$128,$C74,'GLOBAL LOG'!$R$6:$R$128)</f>
        <v>0</v>
      </c>
      <c r="AA74" s="14">
        <f t="shared" si="1"/>
        <v>0</v>
      </c>
      <c r="AB74" s="14" t="e">
        <f>SUMIF('GLOBAL LOG'!$D$6:$D$128,C74,'GLOBAL LOG'!#REF!)</f>
        <v>#REF!</v>
      </c>
      <c r="AC74" s="6"/>
      <c r="AD74" s="14" t="str">
        <v>Evelop Airlines</v>
      </c>
      <c r="AE74" s="14" t="e">
        <v>#REF!</v>
      </c>
      <c r="AF74" s="6"/>
      <c r="AG74" s="14" t="str">
        <v>El Al Israel Airlines Ltd</v>
      </c>
      <c r="AH74" s="14">
        <v>0</v>
      </c>
      <c r="AI74" s="6"/>
      <c r="AJ74" s="14" t="str">
        <v>Etihad Airways</v>
      </c>
      <c r="AK74" s="14">
        <v>0</v>
      </c>
      <c r="AL74" s="6"/>
      <c r="AM74" s="14" t="str">
        <v>El Al Israel Airlines Ltd</v>
      </c>
      <c r="AN74" s="14">
        <v>0</v>
      </c>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row>
    <row r="75" spans="2:97" s="4" customFormat="1" ht="14.65" hidden="1" customHeight="1">
      <c r="B75" s="6"/>
      <c r="C75" s="13" t="str">
        <v>FedEx Corporation</v>
      </c>
      <c r="D75" s="14">
        <f>COUNTIFS('GLOBAL LOG'!$D$6:$D$128,C75,'GLOBAL LOG'!$K$6:$K$128,"&lt;&gt;")</f>
        <v>1</v>
      </c>
      <c r="E75" s="14" t="e">
        <f>COUNTIFS('GLOBAL LOG'!$D$6:$D$128,C75,'GLOBAL LOG'!#REF!,"Yes")</f>
        <v>#REF!</v>
      </c>
      <c r="F75" s="14" t="e">
        <f>SUMIF('GLOBAL LOG'!$D$6:$D$128,COUNT!C75,'GLOBAL LOG'!#REF!)</f>
        <v>#REF!</v>
      </c>
      <c r="G75" s="14">
        <f>COUNTIFS('GLOBAL LOG'!$E$6:$E$128,G$10,'GLOBAL LOG'!$D$6:$D$128,$C75)</f>
        <v>0</v>
      </c>
      <c r="H75" s="14">
        <f>COUNTIFS('GLOBAL LOG'!$E$6:$E$128,H$10,'GLOBAL LOG'!$D$6:$D$128,$C75)</f>
        <v>0</v>
      </c>
      <c r="I75" s="14">
        <f>COUNTIFS('GLOBAL LOG'!$E$6:$E$128,I$10,'GLOBAL LOG'!$D$6:$D$128,$C75)</f>
        <v>0</v>
      </c>
      <c r="J75" s="14">
        <f>COUNTIFS('GLOBAL LOG'!$E$6:$E$128,J$10,'GLOBAL LOG'!$D$6:$D$128,$C75)</f>
        <v>0</v>
      </c>
      <c r="K75" s="14">
        <f>COUNTIFS('GLOBAL LOG'!$E$6:$E$128,K$10,'GLOBAL LOG'!$D$6:$D$128,$C75)</f>
        <v>0</v>
      </c>
      <c r="L75" s="14">
        <f>COUNTIFS('GLOBAL LOG'!$E$6:$E$128,L$10,'GLOBAL LOG'!$D$6:$D$128,$C75)</f>
        <v>0</v>
      </c>
      <c r="M75" s="14">
        <f>COUNTIFS('GLOBAL LOG'!$E$6:$E$128,M$10,'GLOBAL LOG'!$D$6:$D$128,$C75)</f>
        <v>0</v>
      </c>
      <c r="N75" s="14" t="e">
        <f>COUNTIFS('GLOBAL LOG'!$D$6:$D$128,$C75,'GLOBAL LOG'!#REF!,"High")</f>
        <v>#REF!</v>
      </c>
      <c r="O75" s="14" t="e">
        <f>COUNTIFS('GLOBAL LOG'!$D$6:$D$128,$C75,'GLOBAL LOG'!#REF!,"Med")</f>
        <v>#REF!</v>
      </c>
      <c r="P75" s="14" t="e">
        <f>COUNTIFS('GLOBAL LOG'!$D$6:$D$128,$C75,'GLOBAL LOG'!#REF!,"Low")</f>
        <v>#REF!</v>
      </c>
      <c r="Q75" s="14" t="e">
        <f>COUNTIFS('GLOBAL LOG'!$D$6:$D$128,$C75,'GLOBAL LOG'!#REF!,"High")</f>
        <v>#REF!</v>
      </c>
      <c r="R75" s="14" t="e">
        <f>COUNTIFS('GLOBAL LOG'!$D$6:$D$128,$C75,'GLOBAL LOG'!#REF!,"Med")</f>
        <v>#REF!</v>
      </c>
      <c r="S75" s="14" t="e">
        <f>COUNTIFS('GLOBAL LOG'!$D$6:$D$128,$C75,'GLOBAL LOG'!#REF!,"Low")</f>
        <v>#REF!</v>
      </c>
      <c r="T75" s="14" t="e">
        <f>COUNTIFS('GLOBAL LOG'!$D$6:$D$128,$C75,'GLOBAL LOG'!#REF!,"Completed")</f>
        <v>#REF!</v>
      </c>
      <c r="U75" s="14" t="e">
        <f>COUNTIFS('GLOBAL LOG'!$D$6:$D$128,$C75,'GLOBAL LOG'!#REF!,"Contracting")</f>
        <v>#REF!</v>
      </c>
      <c r="V75" s="14" t="e">
        <f>COUNTIFS('GLOBAL LOG'!$D$6:$D$128,$C75,'GLOBAL LOG'!#REF!,"Negotiations")</f>
        <v>#REF!</v>
      </c>
      <c r="W75" s="14" t="e">
        <f>COUNTIFS('GLOBAL LOG'!$D$6:$D$128,$C75,'GLOBAL LOG'!#REF!,"ICT")</f>
        <v>#REF!</v>
      </c>
      <c r="X75" s="14" t="e">
        <f>COUNTIFS('GLOBAL LOG'!$D$6:$D$128,$C75,'GLOBAL LOG'!#REF!,"Hopper")</f>
        <v>#REF!</v>
      </c>
      <c r="Y75" s="14">
        <f>SUMIF('GLOBAL LOG'!$D$6:$D$128,$C75,'GLOBAL LOG'!$Q$6:$Q$128)</f>
        <v>6.43</v>
      </c>
      <c r="Z75" s="14">
        <f>SUMIF('GLOBAL LOG'!$D$6:$D$128,$C75,'GLOBAL LOG'!$R$6:$R$128)</f>
        <v>6.96</v>
      </c>
      <c r="AA75" s="14">
        <f t="shared" si="1"/>
        <v>13.39</v>
      </c>
      <c r="AB75" s="14" t="e">
        <f>SUMIF('GLOBAL LOG'!$D$6:$D$128,C75,'GLOBAL LOG'!#REF!)</f>
        <v>#REF!</v>
      </c>
      <c r="AC75" s="6"/>
      <c r="AD75" s="14" t="str">
        <v>FedEx Corporation</v>
      </c>
      <c r="AE75" s="14" t="e">
        <v>#REF!</v>
      </c>
      <c r="AF75" s="6"/>
      <c r="AG75" s="14" t="str">
        <v>Emirates Airline</v>
      </c>
      <c r="AH75" s="14">
        <v>0</v>
      </c>
      <c r="AI75" s="6"/>
      <c r="AJ75" s="14" t="str">
        <v>Evelop Airlines</v>
      </c>
      <c r="AK75" s="14">
        <v>0</v>
      </c>
      <c r="AL75" s="6"/>
      <c r="AM75" s="14" t="str">
        <v>Emirates Airline</v>
      </c>
      <c r="AN75" s="14">
        <v>0</v>
      </c>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row>
    <row r="76" spans="2:97" s="4" customFormat="1" ht="14.65" hidden="1" customHeight="1">
      <c r="B76" s="6"/>
      <c r="C76" s="13" t="str">
        <v>Fiji Airways</v>
      </c>
      <c r="D76" s="14">
        <f>COUNTIFS('GLOBAL LOG'!$D$6:$D$128,C76,'GLOBAL LOG'!$K$6:$K$128,"&lt;&gt;")</f>
        <v>0</v>
      </c>
      <c r="E76" s="14" t="e">
        <f>COUNTIFS('GLOBAL LOG'!$D$6:$D$128,C76,'GLOBAL LOG'!#REF!,"Yes")</f>
        <v>#REF!</v>
      </c>
      <c r="F76" s="14" t="e">
        <f>SUMIF('GLOBAL LOG'!$D$6:$D$128,COUNT!C76,'GLOBAL LOG'!#REF!)</f>
        <v>#REF!</v>
      </c>
      <c r="G76" s="14">
        <f>COUNTIFS('GLOBAL LOG'!$E$6:$E$128,G$10,'GLOBAL LOG'!$D$6:$D$128,$C76)</f>
        <v>0</v>
      </c>
      <c r="H76" s="14">
        <f>COUNTIFS('GLOBAL LOG'!$E$6:$E$128,H$10,'GLOBAL LOG'!$D$6:$D$128,$C76)</f>
        <v>0</v>
      </c>
      <c r="I76" s="14">
        <f>COUNTIFS('GLOBAL LOG'!$E$6:$E$128,I$10,'GLOBAL LOG'!$D$6:$D$128,$C76)</f>
        <v>0</v>
      </c>
      <c r="J76" s="14">
        <f>COUNTIFS('GLOBAL LOG'!$E$6:$E$128,J$10,'GLOBAL LOG'!$D$6:$D$128,$C76)</f>
        <v>0</v>
      </c>
      <c r="K76" s="14">
        <f>COUNTIFS('GLOBAL LOG'!$E$6:$E$128,K$10,'GLOBAL LOG'!$D$6:$D$128,$C76)</f>
        <v>0</v>
      </c>
      <c r="L76" s="14">
        <f>COUNTIFS('GLOBAL LOG'!$E$6:$E$128,L$10,'GLOBAL LOG'!$D$6:$D$128,$C76)</f>
        <v>0</v>
      </c>
      <c r="M76" s="14">
        <f>COUNTIFS('GLOBAL LOG'!$E$6:$E$128,M$10,'GLOBAL LOG'!$D$6:$D$128,$C76)</f>
        <v>0</v>
      </c>
      <c r="N76" s="14" t="e">
        <f>COUNTIFS('GLOBAL LOG'!$D$6:$D$128,$C76,'GLOBAL LOG'!#REF!,"High")</f>
        <v>#REF!</v>
      </c>
      <c r="O76" s="14" t="e">
        <f>COUNTIFS('GLOBAL LOG'!$D$6:$D$128,$C76,'GLOBAL LOG'!#REF!,"Med")</f>
        <v>#REF!</v>
      </c>
      <c r="P76" s="14" t="e">
        <f>COUNTIFS('GLOBAL LOG'!$D$6:$D$128,$C76,'GLOBAL LOG'!#REF!,"Low")</f>
        <v>#REF!</v>
      </c>
      <c r="Q76" s="14" t="e">
        <f>COUNTIFS('GLOBAL LOG'!$D$6:$D$128,$C76,'GLOBAL LOG'!#REF!,"High")</f>
        <v>#REF!</v>
      </c>
      <c r="R76" s="14" t="e">
        <f>COUNTIFS('GLOBAL LOG'!$D$6:$D$128,$C76,'GLOBAL LOG'!#REF!,"Med")</f>
        <v>#REF!</v>
      </c>
      <c r="S76" s="14" t="e">
        <f>COUNTIFS('GLOBAL LOG'!$D$6:$D$128,$C76,'GLOBAL LOG'!#REF!,"Low")</f>
        <v>#REF!</v>
      </c>
      <c r="T76" s="14" t="e">
        <f>COUNTIFS('GLOBAL LOG'!$D$6:$D$128,$C76,'GLOBAL LOG'!#REF!,"Completed")</f>
        <v>#REF!</v>
      </c>
      <c r="U76" s="14" t="e">
        <f>COUNTIFS('GLOBAL LOG'!$D$6:$D$128,$C76,'GLOBAL LOG'!#REF!,"Contracting")</f>
        <v>#REF!</v>
      </c>
      <c r="V76" s="14" t="e">
        <f>COUNTIFS('GLOBAL LOG'!$D$6:$D$128,$C76,'GLOBAL LOG'!#REF!,"Negotiations")</f>
        <v>#REF!</v>
      </c>
      <c r="W76" s="14" t="e">
        <f>COUNTIFS('GLOBAL LOG'!$D$6:$D$128,$C76,'GLOBAL LOG'!#REF!,"ICT")</f>
        <v>#REF!</v>
      </c>
      <c r="X76" s="14" t="e">
        <f>COUNTIFS('GLOBAL LOG'!$D$6:$D$128,$C76,'GLOBAL LOG'!#REF!,"Hopper")</f>
        <v>#REF!</v>
      </c>
      <c r="Y76" s="14">
        <f>SUMIF('GLOBAL LOG'!$D$6:$D$128,$C76,'GLOBAL LOG'!$Q$6:$Q$128)</f>
        <v>0</v>
      </c>
      <c r="Z76" s="14">
        <f>SUMIF('GLOBAL LOG'!$D$6:$D$128,$C76,'GLOBAL LOG'!$R$6:$R$128)</f>
        <v>0</v>
      </c>
      <c r="AA76" s="14">
        <f t="shared" ref="AA76:AA139" si="2">Y76+Z76</f>
        <v>0</v>
      </c>
      <c r="AB76" s="14" t="e">
        <f>SUMIF('GLOBAL LOG'!$D$6:$D$128,C76,'GLOBAL LOG'!#REF!)</f>
        <v>#REF!</v>
      </c>
      <c r="AC76" s="6"/>
      <c r="AD76" s="14" t="str">
        <v>Fiji Airways</v>
      </c>
      <c r="AE76" s="14" t="e">
        <v>#REF!</v>
      </c>
      <c r="AF76" s="6"/>
      <c r="AG76" s="14" t="str">
        <v>Etihad Airways</v>
      </c>
      <c r="AH76" s="14">
        <v>0</v>
      </c>
      <c r="AI76" s="6"/>
      <c r="AJ76" s="14" t="str">
        <v>Fiji Airways</v>
      </c>
      <c r="AK76" s="14">
        <v>0</v>
      </c>
      <c r="AL76" s="6"/>
      <c r="AM76" s="14" t="str">
        <v>Etihad Airways</v>
      </c>
      <c r="AN76" s="14">
        <v>0</v>
      </c>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row>
    <row r="77" spans="2:97" s="4" customFormat="1" ht="14.65" hidden="1" customHeight="1">
      <c r="B77" s="6"/>
      <c r="C77" s="13" t="str">
        <v>Finnair</v>
      </c>
      <c r="D77" s="14">
        <f>COUNTIFS('GLOBAL LOG'!$D$6:$D$128,C77,'GLOBAL LOG'!$K$6:$K$128,"&lt;&gt;")</f>
        <v>0</v>
      </c>
      <c r="E77" s="14" t="e">
        <f>COUNTIFS('GLOBAL LOG'!$D$6:$D$128,C77,'GLOBAL LOG'!#REF!,"Yes")</f>
        <v>#REF!</v>
      </c>
      <c r="F77" s="14" t="e">
        <f>SUMIF('GLOBAL LOG'!$D$6:$D$128,COUNT!C77,'GLOBAL LOG'!#REF!)</f>
        <v>#REF!</v>
      </c>
      <c r="G77" s="14">
        <f>COUNTIFS('GLOBAL LOG'!$E$6:$E$128,G$10,'GLOBAL LOG'!$D$6:$D$128,$C77)</f>
        <v>0</v>
      </c>
      <c r="H77" s="14">
        <f>COUNTIFS('GLOBAL LOG'!$E$6:$E$128,H$10,'GLOBAL LOG'!$D$6:$D$128,$C77)</f>
        <v>0</v>
      </c>
      <c r="I77" s="14">
        <f>COUNTIFS('GLOBAL LOG'!$E$6:$E$128,I$10,'GLOBAL LOG'!$D$6:$D$128,$C77)</f>
        <v>0</v>
      </c>
      <c r="J77" s="14">
        <f>COUNTIFS('GLOBAL LOG'!$E$6:$E$128,J$10,'GLOBAL LOG'!$D$6:$D$128,$C77)</f>
        <v>0</v>
      </c>
      <c r="K77" s="14">
        <f>COUNTIFS('GLOBAL LOG'!$E$6:$E$128,K$10,'GLOBAL LOG'!$D$6:$D$128,$C77)</f>
        <v>0</v>
      </c>
      <c r="L77" s="14">
        <f>COUNTIFS('GLOBAL LOG'!$E$6:$E$128,L$10,'GLOBAL LOG'!$D$6:$D$128,$C77)</f>
        <v>0</v>
      </c>
      <c r="M77" s="14">
        <f>COUNTIFS('GLOBAL LOG'!$E$6:$E$128,M$10,'GLOBAL LOG'!$D$6:$D$128,$C77)</f>
        <v>0</v>
      </c>
      <c r="N77" s="14" t="e">
        <f>COUNTIFS('GLOBAL LOG'!$D$6:$D$128,$C77,'GLOBAL LOG'!#REF!,"High")</f>
        <v>#REF!</v>
      </c>
      <c r="O77" s="14" t="e">
        <f>COUNTIFS('GLOBAL LOG'!$D$6:$D$128,$C77,'GLOBAL LOG'!#REF!,"Med")</f>
        <v>#REF!</v>
      </c>
      <c r="P77" s="14" t="e">
        <f>COUNTIFS('GLOBAL LOG'!$D$6:$D$128,$C77,'GLOBAL LOG'!#REF!,"Low")</f>
        <v>#REF!</v>
      </c>
      <c r="Q77" s="14" t="e">
        <f>COUNTIFS('GLOBAL LOG'!$D$6:$D$128,$C77,'GLOBAL LOG'!#REF!,"High")</f>
        <v>#REF!</v>
      </c>
      <c r="R77" s="14" t="e">
        <f>COUNTIFS('GLOBAL LOG'!$D$6:$D$128,$C77,'GLOBAL LOG'!#REF!,"Med")</f>
        <v>#REF!</v>
      </c>
      <c r="S77" s="14" t="e">
        <f>COUNTIFS('GLOBAL LOG'!$D$6:$D$128,$C77,'GLOBAL LOG'!#REF!,"Low")</f>
        <v>#REF!</v>
      </c>
      <c r="T77" s="14" t="e">
        <f>COUNTIFS('GLOBAL LOG'!$D$6:$D$128,$C77,'GLOBAL LOG'!#REF!,"Completed")</f>
        <v>#REF!</v>
      </c>
      <c r="U77" s="14" t="e">
        <f>COUNTIFS('GLOBAL LOG'!$D$6:$D$128,$C77,'GLOBAL LOG'!#REF!,"Contracting")</f>
        <v>#REF!</v>
      </c>
      <c r="V77" s="14" t="e">
        <f>COUNTIFS('GLOBAL LOG'!$D$6:$D$128,$C77,'GLOBAL LOG'!#REF!,"Negotiations")</f>
        <v>#REF!</v>
      </c>
      <c r="W77" s="14" t="e">
        <f>COUNTIFS('GLOBAL LOG'!$D$6:$D$128,$C77,'GLOBAL LOG'!#REF!,"ICT")</f>
        <v>#REF!</v>
      </c>
      <c r="X77" s="14" t="e">
        <f>COUNTIFS('GLOBAL LOG'!$D$6:$D$128,$C77,'GLOBAL LOG'!#REF!,"Hopper")</f>
        <v>#REF!</v>
      </c>
      <c r="Y77" s="14">
        <f>SUMIF('GLOBAL LOG'!$D$6:$D$128,$C77,'GLOBAL LOG'!$Q$6:$Q$128)</f>
        <v>0</v>
      </c>
      <c r="Z77" s="14">
        <f>SUMIF('GLOBAL LOG'!$D$6:$D$128,$C77,'GLOBAL LOG'!$R$6:$R$128)</f>
        <v>0</v>
      </c>
      <c r="AA77" s="14">
        <f t="shared" si="2"/>
        <v>0</v>
      </c>
      <c r="AB77" s="14" t="e">
        <f>SUMIF('GLOBAL LOG'!$D$6:$D$128,C77,'GLOBAL LOG'!#REF!)</f>
        <v>#REF!</v>
      </c>
      <c r="AC77" s="6"/>
      <c r="AD77" s="14" t="str">
        <v>Finnair</v>
      </c>
      <c r="AE77" s="14" t="e">
        <v>#REF!</v>
      </c>
      <c r="AF77" s="6"/>
      <c r="AG77" s="14" t="str">
        <v>Evelop Airlines</v>
      </c>
      <c r="AH77" s="14">
        <v>0</v>
      </c>
      <c r="AI77" s="6"/>
      <c r="AJ77" s="14" t="str">
        <v>Finnair</v>
      </c>
      <c r="AK77" s="14">
        <v>0</v>
      </c>
      <c r="AL77" s="6"/>
      <c r="AM77" s="14" t="str">
        <v>Evelop Airlines</v>
      </c>
      <c r="AN77" s="14">
        <v>0</v>
      </c>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row>
    <row r="78" spans="2:97" s="4" customFormat="1" ht="14.65" hidden="1" customHeight="1">
      <c r="B78" s="6"/>
      <c r="C78" s="13" t="str">
        <v>Fitzwalter</v>
      </c>
      <c r="D78" s="14">
        <f>COUNTIFS('GLOBAL LOG'!$D$6:$D$128,C78,'GLOBAL LOG'!$K$6:$K$128,"&lt;&gt;")</f>
        <v>0</v>
      </c>
      <c r="E78" s="14" t="e">
        <f>COUNTIFS('GLOBAL LOG'!$D$6:$D$128,C78,'GLOBAL LOG'!#REF!,"Yes")</f>
        <v>#REF!</v>
      </c>
      <c r="F78" s="14" t="e">
        <f>SUMIF('GLOBAL LOG'!$D$6:$D$128,COUNT!C78,'GLOBAL LOG'!#REF!)</f>
        <v>#REF!</v>
      </c>
      <c r="G78" s="14">
        <f>COUNTIFS('GLOBAL LOG'!$E$6:$E$128,G$10,'GLOBAL LOG'!$D$6:$D$128,$C78)</f>
        <v>0</v>
      </c>
      <c r="H78" s="14">
        <f>COUNTIFS('GLOBAL LOG'!$E$6:$E$128,H$10,'GLOBAL LOG'!$D$6:$D$128,$C78)</f>
        <v>0</v>
      </c>
      <c r="I78" s="14">
        <f>COUNTIFS('GLOBAL LOG'!$E$6:$E$128,I$10,'GLOBAL LOG'!$D$6:$D$128,$C78)</f>
        <v>0</v>
      </c>
      <c r="J78" s="14">
        <f>COUNTIFS('GLOBAL LOG'!$E$6:$E$128,J$10,'GLOBAL LOG'!$D$6:$D$128,$C78)</f>
        <v>0</v>
      </c>
      <c r="K78" s="14">
        <f>COUNTIFS('GLOBAL LOG'!$E$6:$E$128,K$10,'GLOBAL LOG'!$D$6:$D$128,$C78)</f>
        <v>0</v>
      </c>
      <c r="L78" s="14">
        <f>COUNTIFS('GLOBAL LOG'!$E$6:$E$128,L$10,'GLOBAL LOG'!$D$6:$D$128,$C78)</f>
        <v>0</v>
      </c>
      <c r="M78" s="14">
        <f>COUNTIFS('GLOBAL LOG'!$E$6:$E$128,M$10,'GLOBAL LOG'!$D$6:$D$128,$C78)</f>
        <v>0</v>
      </c>
      <c r="N78" s="14" t="e">
        <f>COUNTIFS('GLOBAL LOG'!$D$6:$D$128,$C78,'GLOBAL LOG'!#REF!,"High")</f>
        <v>#REF!</v>
      </c>
      <c r="O78" s="14" t="e">
        <f>COUNTIFS('GLOBAL LOG'!$D$6:$D$128,$C78,'GLOBAL LOG'!#REF!,"Med")</f>
        <v>#REF!</v>
      </c>
      <c r="P78" s="14" t="e">
        <f>COUNTIFS('GLOBAL LOG'!$D$6:$D$128,$C78,'GLOBAL LOG'!#REF!,"Low")</f>
        <v>#REF!</v>
      </c>
      <c r="Q78" s="14" t="e">
        <f>COUNTIFS('GLOBAL LOG'!$D$6:$D$128,$C78,'GLOBAL LOG'!#REF!,"High")</f>
        <v>#REF!</v>
      </c>
      <c r="R78" s="14" t="e">
        <f>COUNTIFS('GLOBAL LOG'!$D$6:$D$128,$C78,'GLOBAL LOG'!#REF!,"Med")</f>
        <v>#REF!</v>
      </c>
      <c r="S78" s="14" t="e">
        <f>COUNTIFS('GLOBAL LOG'!$D$6:$D$128,$C78,'GLOBAL LOG'!#REF!,"Low")</f>
        <v>#REF!</v>
      </c>
      <c r="T78" s="14" t="e">
        <f>COUNTIFS('GLOBAL LOG'!$D$6:$D$128,$C78,'GLOBAL LOG'!#REF!,"Completed")</f>
        <v>#REF!</v>
      </c>
      <c r="U78" s="14" t="e">
        <f>COUNTIFS('GLOBAL LOG'!$D$6:$D$128,$C78,'GLOBAL LOG'!#REF!,"Contracting")</f>
        <v>#REF!</v>
      </c>
      <c r="V78" s="14" t="e">
        <f>COUNTIFS('GLOBAL LOG'!$D$6:$D$128,$C78,'GLOBAL LOG'!#REF!,"Negotiations")</f>
        <v>#REF!</v>
      </c>
      <c r="W78" s="14" t="e">
        <f>COUNTIFS('GLOBAL LOG'!$D$6:$D$128,$C78,'GLOBAL LOG'!#REF!,"ICT")</f>
        <v>#REF!</v>
      </c>
      <c r="X78" s="14" t="e">
        <f>COUNTIFS('GLOBAL LOG'!$D$6:$D$128,$C78,'GLOBAL LOG'!#REF!,"Hopper")</f>
        <v>#REF!</v>
      </c>
      <c r="Y78" s="14">
        <f>SUMIF('GLOBAL LOG'!$D$6:$D$128,$C78,'GLOBAL LOG'!$Q$6:$Q$128)</f>
        <v>0</v>
      </c>
      <c r="Z78" s="14">
        <f>SUMIF('GLOBAL LOG'!$D$6:$D$128,$C78,'GLOBAL LOG'!$R$6:$R$128)</f>
        <v>0</v>
      </c>
      <c r="AA78" s="14">
        <f t="shared" si="2"/>
        <v>0</v>
      </c>
      <c r="AB78" s="14" t="e">
        <f>SUMIF('GLOBAL LOG'!$D$6:$D$128,C78,'GLOBAL LOG'!#REF!)</f>
        <v>#REF!</v>
      </c>
      <c r="AC78" s="6"/>
      <c r="AD78" s="14" t="str">
        <v>Fitzwalter</v>
      </c>
      <c r="AE78" s="14" t="e">
        <v>#REF!</v>
      </c>
      <c r="AF78" s="6"/>
      <c r="AG78" s="14" t="str">
        <v>Fiji Airways</v>
      </c>
      <c r="AH78" s="14">
        <v>0</v>
      </c>
      <c r="AI78" s="6"/>
      <c r="AJ78" s="14" t="str">
        <v>Fitzwalter</v>
      </c>
      <c r="AK78" s="14">
        <v>0</v>
      </c>
      <c r="AL78" s="6"/>
      <c r="AM78" s="14" t="str">
        <v>Fiji Airways</v>
      </c>
      <c r="AN78" s="14">
        <v>0</v>
      </c>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row>
    <row r="79" spans="2:97" s="4" customFormat="1" ht="14.65" hidden="1" customHeight="1">
      <c r="B79" s="6"/>
      <c r="C79" s="13" t="str">
        <v>Fly Gangwon</v>
      </c>
      <c r="D79" s="14">
        <f>COUNTIFS('GLOBAL LOG'!$D$6:$D$128,C79,'GLOBAL LOG'!$K$6:$K$128,"&lt;&gt;")</f>
        <v>0</v>
      </c>
      <c r="E79" s="14" t="e">
        <f>COUNTIFS('GLOBAL LOG'!$D$6:$D$128,C79,'GLOBAL LOG'!#REF!,"Yes")</f>
        <v>#REF!</v>
      </c>
      <c r="F79" s="14" t="e">
        <f>SUMIF('GLOBAL LOG'!$D$6:$D$128,COUNT!C79,'GLOBAL LOG'!#REF!)</f>
        <v>#REF!</v>
      </c>
      <c r="G79" s="14">
        <f>COUNTIFS('GLOBAL LOG'!$E$6:$E$128,G$10,'GLOBAL LOG'!$D$6:$D$128,$C79)</f>
        <v>0</v>
      </c>
      <c r="H79" s="14">
        <f>COUNTIFS('GLOBAL LOG'!$E$6:$E$128,H$10,'GLOBAL LOG'!$D$6:$D$128,$C79)</f>
        <v>0</v>
      </c>
      <c r="I79" s="14">
        <f>COUNTIFS('GLOBAL LOG'!$E$6:$E$128,I$10,'GLOBAL LOG'!$D$6:$D$128,$C79)</f>
        <v>0</v>
      </c>
      <c r="J79" s="14">
        <f>COUNTIFS('GLOBAL LOG'!$E$6:$E$128,J$10,'GLOBAL LOG'!$D$6:$D$128,$C79)</f>
        <v>0</v>
      </c>
      <c r="K79" s="14">
        <f>COUNTIFS('GLOBAL LOG'!$E$6:$E$128,K$10,'GLOBAL LOG'!$D$6:$D$128,$C79)</f>
        <v>0</v>
      </c>
      <c r="L79" s="14">
        <f>COUNTIFS('GLOBAL LOG'!$E$6:$E$128,L$10,'GLOBAL LOG'!$D$6:$D$128,$C79)</f>
        <v>0</v>
      </c>
      <c r="M79" s="14">
        <f>COUNTIFS('GLOBAL LOG'!$E$6:$E$128,M$10,'GLOBAL LOG'!$D$6:$D$128,$C79)</f>
        <v>0</v>
      </c>
      <c r="N79" s="14" t="e">
        <f>COUNTIFS('GLOBAL LOG'!$D$6:$D$128,$C79,'GLOBAL LOG'!#REF!,"High")</f>
        <v>#REF!</v>
      </c>
      <c r="O79" s="14" t="e">
        <f>COUNTIFS('GLOBAL LOG'!$D$6:$D$128,$C79,'GLOBAL LOG'!#REF!,"Med")</f>
        <v>#REF!</v>
      </c>
      <c r="P79" s="14" t="e">
        <f>COUNTIFS('GLOBAL LOG'!$D$6:$D$128,$C79,'GLOBAL LOG'!#REF!,"Low")</f>
        <v>#REF!</v>
      </c>
      <c r="Q79" s="14" t="e">
        <f>COUNTIFS('GLOBAL LOG'!$D$6:$D$128,$C79,'GLOBAL LOG'!#REF!,"High")</f>
        <v>#REF!</v>
      </c>
      <c r="R79" s="14" t="e">
        <f>COUNTIFS('GLOBAL LOG'!$D$6:$D$128,$C79,'GLOBAL LOG'!#REF!,"Med")</f>
        <v>#REF!</v>
      </c>
      <c r="S79" s="14" t="e">
        <f>COUNTIFS('GLOBAL LOG'!$D$6:$D$128,$C79,'GLOBAL LOG'!#REF!,"Low")</f>
        <v>#REF!</v>
      </c>
      <c r="T79" s="14" t="e">
        <f>COUNTIFS('GLOBAL LOG'!$D$6:$D$128,$C79,'GLOBAL LOG'!#REF!,"Completed")</f>
        <v>#REF!</v>
      </c>
      <c r="U79" s="14" t="e">
        <f>COUNTIFS('GLOBAL LOG'!$D$6:$D$128,$C79,'GLOBAL LOG'!#REF!,"Contracting")</f>
        <v>#REF!</v>
      </c>
      <c r="V79" s="14" t="e">
        <f>COUNTIFS('GLOBAL LOG'!$D$6:$D$128,$C79,'GLOBAL LOG'!#REF!,"Negotiations")</f>
        <v>#REF!</v>
      </c>
      <c r="W79" s="14" t="e">
        <f>COUNTIFS('GLOBAL LOG'!$D$6:$D$128,$C79,'GLOBAL LOG'!#REF!,"ICT")</f>
        <v>#REF!</v>
      </c>
      <c r="X79" s="14" t="e">
        <f>COUNTIFS('GLOBAL LOG'!$D$6:$D$128,$C79,'GLOBAL LOG'!#REF!,"Hopper")</f>
        <v>#REF!</v>
      </c>
      <c r="Y79" s="14">
        <f>SUMIF('GLOBAL LOG'!$D$6:$D$128,$C79,'GLOBAL LOG'!$Q$6:$Q$128)</f>
        <v>0</v>
      </c>
      <c r="Z79" s="14">
        <f>SUMIF('GLOBAL LOG'!$D$6:$D$128,$C79,'GLOBAL LOG'!$R$6:$R$128)</f>
        <v>0</v>
      </c>
      <c r="AA79" s="14">
        <f t="shared" si="2"/>
        <v>0</v>
      </c>
      <c r="AB79" s="14" t="e">
        <f>SUMIF('GLOBAL LOG'!$D$6:$D$128,C79,'GLOBAL LOG'!#REF!)</f>
        <v>#REF!</v>
      </c>
      <c r="AC79" s="6"/>
      <c r="AD79" s="14" t="str">
        <v>Fly Gangwon</v>
      </c>
      <c r="AE79" s="14" t="e">
        <v>#REF!</v>
      </c>
      <c r="AF79" s="6"/>
      <c r="AG79" s="14" t="str">
        <v>Finnair</v>
      </c>
      <c r="AH79" s="14">
        <v>0</v>
      </c>
      <c r="AI79" s="6"/>
      <c r="AJ79" s="14" t="str">
        <v>Fly Gangwon</v>
      </c>
      <c r="AK79" s="14">
        <v>0</v>
      </c>
      <c r="AL79" s="6"/>
      <c r="AM79" s="14" t="str">
        <v>Finnair</v>
      </c>
      <c r="AN79" s="14">
        <v>0</v>
      </c>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row>
    <row r="80" spans="2:97" s="4" customFormat="1" ht="14.65" hidden="1" customHeight="1">
      <c r="B80" s="6"/>
      <c r="C80" s="13" t="str">
        <v>Flypop</v>
      </c>
      <c r="D80" s="14">
        <f>COUNTIFS('GLOBAL LOG'!$D$6:$D$128,C80,'GLOBAL LOG'!$K$6:$K$128,"&lt;&gt;")</f>
        <v>0</v>
      </c>
      <c r="E80" s="14" t="e">
        <f>COUNTIFS('GLOBAL LOG'!$D$6:$D$128,C80,'GLOBAL LOG'!#REF!,"Yes")</f>
        <v>#REF!</v>
      </c>
      <c r="F80" s="14" t="e">
        <f>SUMIF('GLOBAL LOG'!$D$6:$D$128,COUNT!C80,'GLOBAL LOG'!#REF!)</f>
        <v>#REF!</v>
      </c>
      <c r="G80" s="14">
        <f>COUNTIFS('GLOBAL LOG'!$E$6:$E$128,G$10,'GLOBAL LOG'!$D$6:$D$128,$C80)</f>
        <v>0</v>
      </c>
      <c r="H80" s="14">
        <f>COUNTIFS('GLOBAL LOG'!$E$6:$E$128,H$10,'GLOBAL LOG'!$D$6:$D$128,$C80)</f>
        <v>0</v>
      </c>
      <c r="I80" s="14">
        <f>COUNTIFS('GLOBAL LOG'!$E$6:$E$128,I$10,'GLOBAL LOG'!$D$6:$D$128,$C80)</f>
        <v>0</v>
      </c>
      <c r="J80" s="14">
        <f>COUNTIFS('GLOBAL LOG'!$E$6:$E$128,J$10,'GLOBAL LOG'!$D$6:$D$128,$C80)</f>
        <v>0</v>
      </c>
      <c r="K80" s="14">
        <f>COUNTIFS('GLOBAL LOG'!$E$6:$E$128,K$10,'GLOBAL LOG'!$D$6:$D$128,$C80)</f>
        <v>0</v>
      </c>
      <c r="L80" s="14">
        <f>COUNTIFS('GLOBAL LOG'!$E$6:$E$128,L$10,'GLOBAL LOG'!$D$6:$D$128,$C80)</f>
        <v>0</v>
      </c>
      <c r="M80" s="14">
        <f>COUNTIFS('GLOBAL LOG'!$E$6:$E$128,M$10,'GLOBAL LOG'!$D$6:$D$128,$C80)</f>
        <v>0</v>
      </c>
      <c r="N80" s="14" t="e">
        <f>COUNTIFS('GLOBAL LOG'!$D$6:$D$128,$C80,'GLOBAL LOG'!#REF!,"High")</f>
        <v>#REF!</v>
      </c>
      <c r="O80" s="14" t="e">
        <f>COUNTIFS('GLOBAL LOG'!$D$6:$D$128,$C80,'GLOBAL LOG'!#REF!,"Med")</f>
        <v>#REF!</v>
      </c>
      <c r="P80" s="14" t="e">
        <f>COUNTIFS('GLOBAL LOG'!$D$6:$D$128,$C80,'GLOBAL LOG'!#REF!,"Low")</f>
        <v>#REF!</v>
      </c>
      <c r="Q80" s="14" t="e">
        <f>COUNTIFS('GLOBAL LOG'!$D$6:$D$128,$C80,'GLOBAL LOG'!#REF!,"High")</f>
        <v>#REF!</v>
      </c>
      <c r="R80" s="14" t="e">
        <f>COUNTIFS('GLOBAL LOG'!$D$6:$D$128,$C80,'GLOBAL LOG'!#REF!,"Med")</f>
        <v>#REF!</v>
      </c>
      <c r="S80" s="14" t="e">
        <f>COUNTIFS('GLOBAL LOG'!$D$6:$D$128,$C80,'GLOBAL LOG'!#REF!,"Low")</f>
        <v>#REF!</v>
      </c>
      <c r="T80" s="14" t="e">
        <f>COUNTIFS('GLOBAL LOG'!$D$6:$D$128,$C80,'GLOBAL LOG'!#REF!,"Completed")</f>
        <v>#REF!</v>
      </c>
      <c r="U80" s="14" t="e">
        <f>COUNTIFS('GLOBAL LOG'!$D$6:$D$128,$C80,'GLOBAL LOG'!#REF!,"Contracting")</f>
        <v>#REF!</v>
      </c>
      <c r="V80" s="14" t="e">
        <f>COUNTIFS('GLOBAL LOG'!$D$6:$D$128,$C80,'GLOBAL LOG'!#REF!,"Negotiations")</f>
        <v>#REF!</v>
      </c>
      <c r="W80" s="14" t="e">
        <f>COUNTIFS('GLOBAL LOG'!$D$6:$D$128,$C80,'GLOBAL LOG'!#REF!,"ICT")</f>
        <v>#REF!</v>
      </c>
      <c r="X80" s="14" t="e">
        <f>COUNTIFS('GLOBAL LOG'!$D$6:$D$128,$C80,'GLOBAL LOG'!#REF!,"Hopper")</f>
        <v>#REF!</v>
      </c>
      <c r="Y80" s="14">
        <f>SUMIF('GLOBAL LOG'!$D$6:$D$128,$C80,'GLOBAL LOG'!$Q$6:$Q$128)</f>
        <v>0</v>
      </c>
      <c r="Z80" s="14">
        <f>SUMIF('GLOBAL LOG'!$D$6:$D$128,$C80,'GLOBAL LOG'!$R$6:$R$128)</f>
        <v>0</v>
      </c>
      <c r="AA80" s="14">
        <f t="shared" si="2"/>
        <v>0</v>
      </c>
      <c r="AB80" s="14" t="e">
        <f>SUMIF('GLOBAL LOG'!$D$6:$D$128,C80,'GLOBAL LOG'!#REF!)</f>
        <v>#REF!</v>
      </c>
      <c r="AC80" s="6"/>
      <c r="AD80" s="14" t="str">
        <v>Flypop</v>
      </c>
      <c r="AE80" s="14" t="e">
        <v>#REF!</v>
      </c>
      <c r="AF80" s="6"/>
      <c r="AG80" s="14" t="str">
        <v>Fitzwalter</v>
      </c>
      <c r="AH80" s="14">
        <v>0</v>
      </c>
      <c r="AI80" s="6"/>
      <c r="AJ80" s="14" t="str">
        <v>Flypop</v>
      </c>
      <c r="AK80" s="14">
        <v>0</v>
      </c>
      <c r="AL80" s="6"/>
      <c r="AM80" s="14" t="str">
        <v>Fitzwalter</v>
      </c>
      <c r="AN80" s="14">
        <v>0</v>
      </c>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row>
    <row r="81" spans="2:97" s="4" customFormat="1" ht="14.65" hidden="1" customHeight="1">
      <c r="B81" s="6"/>
      <c r="C81" s="13" t="str">
        <v>Garuda Indonesia</v>
      </c>
      <c r="D81" s="14">
        <f>COUNTIFS('GLOBAL LOG'!$D$6:$D$128,C81,'GLOBAL LOG'!$K$6:$K$128,"&lt;&gt;")</f>
        <v>0</v>
      </c>
      <c r="E81" s="14" t="e">
        <f>COUNTIFS('GLOBAL LOG'!$D$6:$D$128,C81,'GLOBAL LOG'!#REF!,"Yes")</f>
        <v>#REF!</v>
      </c>
      <c r="F81" s="14" t="e">
        <f>SUMIF('GLOBAL LOG'!$D$6:$D$128,COUNT!C81,'GLOBAL LOG'!#REF!)</f>
        <v>#REF!</v>
      </c>
      <c r="G81" s="14">
        <f>COUNTIFS('GLOBAL LOG'!$E$6:$E$128,G$10,'GLOBAL LOG'!$D$6:$D$128,$C81)</f>
        <v>0</v>
      </c>
      <c r="H81" s="14">
        <f>COUNTIFS('GLOBAL LOG'!$E$6:$E$128,H$10,'GLOBAL LOG'!$D$6:$D$128,$C81)</f>
        <v>0</v>
      </c>
      <c r="I81" s="14">
        <f>COUNTIFS('GLOBAL LOG'!$E$6:$E$128,I$10,'GLOBAL LOG'!$D$6:$D$128,$C81)</f>
        <v>0</v>
      </c>
      <c r="J81" s="14">
        <f>COUNTIFS('GLOBAL LOG'!$E$6:$E$128,J$10,'GLOBAL LOG'!$D$6:$D$128,$C81)</f>
        <v>0</v>
      </c>
      <c r="K81" s="14">
        <f>COUNTIFS('GLOBAL LOG'!$E$6:$E$128,K$10,'GLOBAL LOG'!$D$6:$D$128,$C81)</f>
        <v>0</v>
      </c>
      <c r="L81" s="14">
        <f>COUNTIFS('GLOBAL LOG'!$E$6:$E$128,L$10,'GLOBAL LOG'!$D$6:$D$128,$C81)</f>
        <v>0</v>
      </c>
      <c r="M81" s="14">
        <f>COUNTIFS('GLOBAL LOG'!$E$6:$E$128,M$10,'GLOBAL LOG'!$D$6:$D$128,$C81)</f>
        <v>0</v>
      </c>
      <c r="N81" s="14" t="e">
        <f>COUNTIFS('GLOBAL LOG'!$D$6:$D$128,$C81,'GLOBAL LOG'!#REF!,"High")</f>
        <v>#REF!</v>
      </c>
      <c r="O81" s="14" t="e">
        <f>COUNTIFS('GLOBAL LOG'!$D$6:$D$128,$C81,'GLOBAL LOG'!#REF!,"Med")</f>
        <v>#REF!</v>
      </c>
      <c r="P81" s="14" t="e">
        <f>COUNTIFS('GLOBAL LOG'!$D$6:$D$128,$C81,'GLOBAL LOG'!#REF!,"Low")</f>
        <v>#REF!</v>
      </c>
      <c r="Q81" s="14" t="e">
        <f>COUNTIFS('GLOBAL LOG'!$D$6:$D$128,$C81,'GLOBAL LOG'!#REF!,"High")</f>
        <v>#REF!</v>
      </c>
      <c r="R81" s="14" t="e">
        <f>COUNTIFS('GLOBAL LOG'!$D$6:$D$128,$C81,'GLOBAL LOG'!#REF!,"Med")</f>
        <v>#REF!</v>
      </c>
      <c r="S81" s="14" t="e">
        <f>COUNTIFS('GLOBAL LOG'!$D$6:$D$128,$C81,'GLOBAL LOG'!#REF!,"Low")</f>
        <v>#REF!</v>
      </c>
      <c r="T81" s="14" t="e">
        <f>COUNTIFS('GLOBAL LOG'!$D$6:$D$128,$C81,'GLOBAL LOG'!#REF!,"Completed")</f>
        <v>#REF!</v>
      </c>
      <c r="U81" s="14" t="e">
        <f>COUNTIFS('GLOBAL LOG'!$D$6:$D$128,$C81,'GLOBAL LOG'!#REF!,"Contracting")</f>
        <v>#REF!</v>
      </c>
      <c r="V81" s="14" t="e">
        <f>COUNTIFS('GLOBAL LOG'!$D$6:$D$128,$C81,'GLOBAL LOG'!#REF!,"Negotiations")</f>
        <v>#REF!</v>
      </c>
      <c r="W81" s="14" t="e">
        <f>COUNTIFS('GLOBAL LOG'!$D$6:$D$128,$C81,'GLOBAL LOG'!#REF!,"ICT")</f>
        <v>#REF!</v>
      </c>
      <c r="X81" s="14" t="e">
        <f>COUNTIFS('GLOBAL LOG'!$D$6:$D$128,$C81,'GLOBAL LOG'!#REF!,"Hopper")</f>
        <v>#REF!</v>
      </c>
      <c r="Y81" s="14">
        <f>SUMIF('GLOBAL LOG'!$D$6:$D$128,$C81,'GLOBAL LOG'!$Q$6:$Q$128)</f>
        <v>0</v>
      </c>
      <c r="Z81" s="14">
        <f>SUMIF('GLOBAL LOG'!$D$6:$D$128,$C81,'GLOBAL LOG'!$R$6:$R$128)</f>
        <v>0</v>
      </c>
      <c r="AA81" s="14">
        <f t="shared" si="2"/>
        <v>0</v>
      </c>
      <c r="AB81" s="14" t="e">
        <f>SUMIF('GLOBAL LOG'!$D$6:$D$128,C81,'GLOBAL LOG'!#REF!)</f>
        <v>#REF!</v>
      </c>
      <c r="AC81" s="6"/>
      <c r="AD81" s="14" t="str">
        <v>Garuda Indonesia</v>
      </c>
      <c r="AE81" s="14" t="e">
        <v>#REF!</v>
      </c>
      <c r="AF81" s="6"/>
      <c r="AG81" s="14" t="str">
        <v>Fly Gangwon</v>
      </c>
      <c r="AH81" s="14">
        <v>0</v>
      </c>
      <c r="AI81" s="6"/>
      <c r="AJ81" s="14" t="str">
        <v>Garuda Indonesia</v>
      </c>
      <c r="AK81" s="14">
        <v>0</v>
      </c>
      <c r="AL81" s="6"/>
      <c r="AM81" s="14" t="str">
        <v>Fly Gangwon</v>
      </c>
      <c r="AN81" s="14">
        <v>0</v>
      </c>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row>
    <row r="82" spans="2:97" s="4" customFormat="1" ht="14.65" hidden="1" customHeight="1">
      <c r="B82" s="6"/>
      <c r="C82" s="13" t="str">
        <v>Gulf Air</v>
      </c>
      <c r="D82" s="14">
        <f>COUNTIFS('GLOBAL LOG'!$D$6:$D$128,C82,'GLOBAL LOG'!$K$6:$K$128,"&lt;&gt;")</f>
        <v>0</v>
      </c>
      <c r="E82" s="14" t="e">
        <f>COUNTIFS('GLOBAL LOG'!$D$6:$D$128,C82,'GLOBAL LOG'!#REF!,"Yes")</f>
        <v>#REF!</v>
      </c>
      <c r="F82" s="14" t="e">
        <f>SUMIF('GLOBAL LOG'!$D$6:$D$128,COUNT!C82,'GLOBAL LOG'!#REF!)</f>
        <v>#REF!</v>
      </c>
      <c r="G82" s="14">
        <f>COUNTIFS('GLOBAL LOG'!$E$6:$E$128,G$10,'GLOBAL LOG'!$D$6:$D$128,$C82)</f>
        <v>0</v>
      </c>
      <c r="H82" s="14">
        <f>COUNTIFS('GLOBAL LOG'!$E$6:$E$128,H$10,'GLOBAL LOG'!$D$6:$D$128,$C82)</f>
        <v>0</v>
      </c>
      <c r="I82" s="14">
        <f>COUNTIFS('GLOBAL LOG'!$E$6:$E$128,I$10,'GLOBAL LOG'!$D$6:$D$128,$C82)</f>
        <v>0</v>
      </c>
      <c r="J82" s="14">
        <f>COUNTIFS('GLOBAL LOG'!$E$6:$E$128,J$10,'GLOBAL LOG'!$D$6:$D$128,$C82)</f>
        <v>0</v>
      </c>
      <c r="K82" s="14">
        <f>COUNTIFS('GLOBAL LOG'!$E$6:$E$128,K$10,'GLOBAL LOG'!$D$6:$D$128,$C82)</f>
        <v>0</v>
      </c>
      <c r="L82" s="14">
        <f>COUNTIFS('GLOBAL LOG'!$E$6:$E$128,L$10,'GLOBAL LOG'!$D$6:$D$128,$C82)</f>
        <v>0</v>
      </c>
      <c r="M82" s="14">
        <f>COUNTIFS('GLOBAL LOG'!$E$6:$E$128,M$10,'GLOBAL LOG'!$D$6:$D$128,$C82)</f>
        <v>0</v>
      </c>
      <c r="N82" s="14" t="e">
        <f>COUNTIFS('GLOBAL LOG'!$D$6:$D$128,$C82,'GLOBAL LOG'!#REF!,"High")</f>
        <v>#REF!</v>
      </c>
      <c r="O82" s="14" t="e">
        <f>COUNTIFS('GLOBAL LOG'!$D$6:$D$128,$C82,'GLOBAL LOG'!#REF!,"Med")</f>
        <v>#REF!</v>
      </c>
      <c r="P82" s="14" t="e">
        <f>COUNTIFS('GLOBAL LOG'!$D$6:$D$128,$C82,'GLOBAL LOG'!#REF!,"Low")</f>
        <v>#REF!</v>
      </c>
      <c r="Q82" s="14" t="e">
        <f>COUNTIFS('GLOBAL LOG'!$D$6:$D$128,$C82,'GLOBAL LOG'!#REF!,"High")</f>
        <v>#REF!</v>
      </c>
      <c r="R82" s="14" t="e">
        <f>COUNTIFS('GLOBAL LOG'!$D$6:$D$128,$C82,'GLOBAL LOG'!#REF!,"Med")</f>
        <v>#REF!</v>
      </c>
      <c r="S82" s="14" t="e">
        <f>COUNTIFS('GLOBAL LOG'!$D$6:$D$128,$C82,'GLOBAL LOG'!#REF!,"Low")</f>
        <v>#REF!</v>
      </c>
      <c r="T82" s="14" t="e">
        <f>COUNTIFS('GLOBAL LOG'!$D$6:$D$128,$C82,'GLOBAL LOG'!#REF!,"Completed")</f>
        <v>#REF!</v>
      </c>
      <c r="U82" s="14" t="e">
        <f>COUNTIFS('GLOBAL LOG'!$D$6:$D$128,$C82,'GLOBAL LOG'!#REF!,"Contracting")</f>
        <v>#REF!</v>
      </c>
      <c r="V82" s="14" t="e">
        <f>COUNTIFS('GLOBAL LOG'!$D$6:$D$128,$C82,'GLOBAL LOG'!#REF!,"Negotiations")</f>
        <v>#REF!</v>
      </c>
      <c r="W82" s="14" t="e">
        <f>COUNTIFS('GLOBAL LOG'!$D$6:$D$128,$C82,'GLOBAL LOG'!#REF!,"ICT")</f>
        <v>#REF!</v>
      </c>
      <c r="X82" s="14" t="e">
        <f>COUNTIFS('GLOBAL LOG'!$D$6:$D$128,$C82,'GLOBAL LOG'!#REF!,"Hopper")</f>
        <v>#REF!</v>
      </c>
      <c r="Y82" s="14">
        <f>SUMIF('GLOBAL LOG'!$D$6:$D$128,$C82,'GLOBAL LOG'!$Q$6:$Q$128)</f>
        <v>0</v>
      </c>
      <c r="Z82" s="14">
        <f>SUMIF('GLOBAL LOG'!$D$6:$D$128,$C82,'GLOBAL LOG'!$R$6:$R$128)</f>
        <v>0</v>
      </c>
      <c r="AA82" s="14">
        <f t="shared" si="2"/>
        <v>0</v>
      </c>
      <c r="AB82" s="14" t="e">
        <f>SUMIF('GLOBAL LOG'!$D$6:$D$128,C82,'GLOBAL LOG'!#REF!)</f>
        <v>#REF!</v>
      </c>
      <c r="AC82" s="6"/>
      <c r="AD82" s="14" t="str">
        <v>Gulf Air</v>
      </c>
      <c r="AE82" s="14" t="e">
        <v>#REF!</v>
      </c>
      <c r="AF82" s="6"/>
      <c r="AG82" s="14" t="str">
        <v>Flypop</v>
      </c>
      <c r="AH82" s="14">
        <v>0</v>
      </c>
      <c r="AI82" s="6"/>
      <c r="AJ82" s="14" t="str">
        <v>Gulf Air</v>
      </c>
      <c r="AK82" s="14">
        <v>0</v>
      </c>
      <c r="AL82" s="6"/>
      <c r="AM82" s="14" t="str">
        <v>Flypop</v>
      </c>
      <c r="AN82" s="14">
        <v>0</v>
      </c>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row>
    <row r="83" spans="2:97" s="4" customFormat="1" ht="14.65" hidden="1" customHeight="1">
      <c r="B83" s="6"/>
      <c r="C83" s="13" t="str">
        <v>Hainan Airlines</v>
      </c>
      <c r="D83" s="14">
        <f>COUNTIFS('GLOBAL LOG'!$D$6:$D$128,C83,'GLOBAL LOG'!$K$6:$K$128,"&lt;&gt;")</f>
        <v>0</v>
      </c>
      <c r="E83" s="14" t="e">
        <f>COUNTIFS('GLOBAL LOG'!$D$6:$D$128,C83,'GLOBAL LOG'!#REF!,"Yes")</f>
        <v>#REF!</v>
      </c>
      <c r="F83" s="14" t="e">
        <f>SUMIF('GLOBAL LOG'!$D$6:$D$128,COUNT!C83,'GLOBAL LOG'!#REF!)</f>
        <v>#REF!</v>
      </c>
      <c r="G83" s="14">
        <f>COUNTIFS('GLOBAL LOG'!$E$6:$E$128,G$10,'GLOBAL LOG'!$D$6:$D$128,$C83)</f>
        <v>0</v>
      </c>
      <c r="H83" s="14">
        <f>COUNTIFS('GLOBAL LOG'!$E$6:$E$128,H$10,'GLOBAL LOG'!$D$6:$D$128,$C83)</f>
        <v>0</v>
      </c>
      <c r="I83" s="14">
        <f>COUNTIFS('GLOBAL LOG'!$E$6:$E$128,I$10,'GLOBAL LOG'!$D$6:$D$128,$C83)</f>
        <v>0</v>
      </c>
      <c r="J83" s="14">
        <f>COUNTIFS('GLOBAL LOG'!$E$6:$E$128,J$10,'GLOBAL LOG'!$D$6:$D$128,$C83)</f>
        <v>0</v>
      </c>
      <c r="K83" s="14">
        <f>COUNTIFS('GLOBAL LOG'!$E$6:$E$128,K$10,'GLOBAL LOG'!$D$6:$D$128,$C83)</f>
        <v>0</v>
      </c>
      <c r="L83" s="14">
        <f>COUNTIFS('GLOBAL LOG'!$E$6:$E$128,L$10,'GLOBAL LOG'!$D$6:$D$128,$C83)</f>
        <v>0</v>
      </c>
      <c r="M83" s="14">
        <f>COUNTIFS('GLOBAL LOG'!$E$6:$E$128,M$10,'GLOBAL LOG'!$D$6:$D$128,$C83)</f>
        <v>0</v>
      </c>
      <c r="N83" s="14" t="e">
        <f>COUNTIFS('GLOBAL LOG'!$D$6:$D$128,$C83,'GLOBAL LOG'!#REF!,"High")</f>
        <v>#REF!</v>
      </c>
      <c r="O83" s="14" t="e">
        <f>COUNTIFS('GLOBAL LOG'!$D$6:$D$128,$C83,'GLOBAL LOG'!#REF!,"Med")</f>
        <v>#REF!</v>
      </c>
      <c r="P83" s="14" t="e">
        <f>COUNTIFS('GLOBAL LOG'!$D$6:$D$128,$C83,'GLOBAL LOG'!#REF!,"Low")</f>
        <v>#REF!</v>
      </c>
      <c r="Q83" s="14" t="e">
        <f>COUNTIFS('GLOBAL LOG'!$D$6:$D$128,$C83,'GLOBAL LOG'!#REF!,"High")</f>
        <v>#REF!</v>
      </c>
      <c r="R83" s="14" t="e">
        <f>COUNTIFS('GLOBAL LOG'!$D$6:$D$128,$C83,'GLOBAL LOG'!#REF!,"Med")</f>
        <v>#REF!</v>
      </c>
      <c r="S83" s="14" t="e">
        <f>COUNTIFS('GLOBAL LOG'!$D$6:$D$128,$C83,'GLOBAL LOG'!#REF!,"Low")</f>
        <v>#REF!</v>
      </c>
      <c r="T83" s="14" t="e">
        <f>COUNTIFS('GLOBAL LOG'!$D$6:$D$128,$C83,'GLOBAL LOG'!#REF!,"Completed")</f>
        <v>#REF!</v>
      </c>
      <c r="U83" s="14" t="e">
        <f>COUNTIFS('GLOBAL LOG'!$D$6:$D$128,$C83,'GLOBAL LOG'!#REF!,"Contracting")</f>
        <v>#REF!</v>
      </c>
      <c r="V83" s="14" t="e">
        <f>COUNTIFS('GLOBAL LOG'!$D$6:$D$128,$C83,'GLOBAL LOG'!#REF!,"Negotiations")</f>
        <v>#REF!</v>
      </c>
      <c r="W83" s="14" t="e">
        <f>COUNTIFS('GLOBAL LOG'!$D$6:$D$128,$C83,'GLOBAL LOG'!#REF!,"ICT")</f>
        <v>#REF!</v>
      </c>
      <c r="X83" s="14" t="e">
        <f>COUNTIFS('GLOBAL LOG'!$D$6:$D$128,$C83,'GLOBAL LOG'!#REF!,"Hopper")</f>
        <v>#REF!</v>
      </c>
      <c r="Y83" s="14">
        <f>SUMIF('GLOBAL LOG'!$D$6:$D$128,$C83,'GLOBAL LOG'!$Q$6:$Q$128)</f>
        <v>0</v>
      </c>
      <c r="Z83" s="14">
        <f>SUMIF('GLOBAL LOG'!$D$6:$D$128,$C83,'GLOBAL LOG'!$R$6:$R$128)</f>
        <v>0</v>
      </c>
      <c r="AA83" s="14">
        <f t="shared" si="2"/>
        <v>0</v>
      </c>
      <c r="AB83" s="14" t="e">
        <f>SUMIF('GLOBAL LOG'!$D$6:$D$128,C83,'GLOBAL LOG'!#REF!)</f>
        <v>#REF!</v>
      </c>
      <c r="AC83" s="6"/>
      <c r="AD83" s="14" t="str">
        <v>Hainan Airlines</v>
      </c>
      <c r="AE83" s="14" t="e">
        <v>#REF!</v>
      </c>
      <c r="AF83" s="6"/>
      <c r="AG83" s="14" t="str">
        <v>Garuda Indonesia</v>
      </c>
      <c r="AH83" s="14">
        <v>0</v>
      </c>
      <c r="AI83" s="6"/>
      <c r="AJ83" s="14" t="str">
        <v>Hainan Airlines</v>
      </c>
      <c r="AK83" s="14">
        <v>0</v>
      </c>
      <c r="AL83" s="6"/>
      <c r="AM83" s="14" t="str">
        <v>Garuda Indonesia</v>
      </c>
      <c r="AN83" s="14">
        <v>0</v>
      </c>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row>
    <row r="84" spans="2:97" s="4" customFormat="1" ht="14.65" hidden="1" customHeight="1">
      <c r="B84" s="6"/>
      <c r="C84" s="13" t="str">
        <v>Hawaiian Airlines</v>
      </c>
      <c r="D84" s="14">
        <f>COUNTIFS('GLOBAL LOG'!$D$6:$D$128,C84,'GLOBAL LOG'!$K$6:$K$128,"&lt;&gt;")</f>
        <v>0</v>
      </c>
      <c r="E84" s="14" t="e">
        <f>COUNTIFS('GLOBAL LOG'!$D$6:$D$128,C84,'GLOBAL LOG'!#REF!,"Yes")</f>
        <v>#REF!</v>
      </c>
      <c r="F84" s="14" t="e">
        <f>SUMIF('GLOBAL LOG'!$D$6:$D$128,COUNT!C84,'GLOBAL LOG'!#REF!)</f>
        <v>#REF!</v>
      </c>
      <c r="G84" s="14">
        <f>COUNTIFS('GLOBAL LOG'!$E$6:$E$128,G$10,'GLOBAL LOG'!$D$6:$D$128,$C84)</f>
        <v>0</v>
      </c>
      <c r="H84" s="14">
        <f>COUNTIFS('GLOBAL LOG'!$E$6:$E$128,H$10,'GLOBAL LOG'!$D$6:$D$128,$C84)</f>
        <v>0</v>
      </c>
      <c r="I84" s="14">
        <f>COUNTIFS('GLOBAL LOG'!$E$6:$E$128,I$10,'GLOBAL LOG'!$D$6:$D$128,$C84)</f>
        <v>0</v>
      </c>
      <c r="J84" s="14">
        <f>COUNTIFS('GLOBAL LOG'!$E$6:$E$128,J$10,'GLOBAL LOG'!$D$6:$D$128,$C84)</f>
        <v>0</v>
      </c>
      <c r="K84" s="14">
        <f>COUNTIFS('GLOBAL LOG'!$E$6:$E$128,K$10,'GLOBAL LOG'!$D$6:$D$128,$C84)</f>
        <v>0</v>
      </c>
      <c r="L84" s="14">
        <f>COUNTIFS('GLOBAL LOG'!$E$6:$E$128,L$10,'GLOBAL LOG'!$D$6:$D$128,$C84)</f>
        <v>0</v>
      </c>
      <c r="M84" s="14">
        <f>COUNTIFS('GLOBAL LOG'!$E$6:$E$128,M$10,'GLOBAL LOG'!$D$6:$D$128,$C84)</f>
        <v>0</v>
      </c>
      <c r="N84" s="14" t="e">
        <f>COUNTIFS('GLOBAL LOG'!$D$6:$D$128,$C84,'GLOBAL LOG'!#REF!,"High")</f>
        <v>#REF!</v>
      </c>
      <c r="O84" s="14" t="e">
        <f>COUNTIFS('GLOBAL LOG'!$D$6:$D$128,$C84,'GLOBAL LOG'!#REF!,"Med")</f>
        <v>#REF!</v>
      </c>
      <c r="P84" s="14" t="e">
        <f>COUNTIFS('GLOBAL LOG'!$D$6:$D$128,$C84,'GLOBAL LOG'!#REF!,"Low")</f>
        <v>#REF!</v>
      </c>
      <c r="Q84" s="14" t="e">
        <f>COUNTIFS('GLOBAL LOG'!$D$6:$D$128,$C84,'GLOBAL LOG'!#REF!,"High")</f>
        <v>#REF!</v>
      </c>
      <c r="R84" s="14" t="e">
        <f>COUNTIFS('GLOBAL LOG'!$D$6:$D$128,$C84,'GLOBAL LOG'!#REF!,"Med")</f>
        <v>#REF!</v>
      </c>
      <c r="S84" s="14" t="e">
        <f>COUNTIFS('GLOBAL LOG'!$D$6:$D$128,$C84,'GLOBAL LOG'!#REF!,"Low")</f>
        <v>#REF!</v>
      </c>
      <c r="T84" s="14" t="e">
        <f>COUNTIFS('GLOBAL LOG'!$D$6:$D$128,$C84,'GLOBAL LOG'!#REF!,"Completed")</f>
        <v>#REF!</v>
      </c>
      <c r="U84" s="14" t="e">
        <f>COUNTIFS('GLOBAL LOG'!$D$6:$D$128,$C84,'GLOBAL LOG'!#REF!,"Contracting")</f>
        <v>#REF!</v>
      </c>
      <c r="V84" s="14" t="e">
        <f>COUNTIFS('GLOBAL LOG'!$D$6:$D$128,$C84,'GLOBAL LOG'!#REF!,"Negotiations")</f>
        <v>#REF!</v>
      </c>
      <c r="W84" s="14" t="e">
        <f>COUNTIFS('GLOBAL LOG'!$D$6:$D$128,$C84,'GLOBAL LOG'!#REF!,"ICT")</f>
        <v>#REF!</v>
      </c>
      <c r="X84" s="14" t="e">
        <f>COUNTIFS('GLOBAL LOG'!$D$6:$D$128,$C84,'GLOBAL LOG'!#REF!,"Hopper")</f>
        <v>#REF!</v>
      </c>
      <c r="Y84" s="14">
        <f>SUMIF('GLOBAL LOG'!$D$6:$D$128,$C84,'GLOBAL LOG'!$Q$6:$Q$128)</f>
        <v>0</v>
      </c>
      <c r="Z84" s="14">
        <f>SUMIF('GLOBAL LOG'!$D$6:$D$128,$C84,'GLOBAL LOG'!$R$6:$R$128)</f>
        <v>0</v>
      </c>
      <c r="AA84" s="14">
        <f t="shared" si="2"/>
        <v>0</v>
      </c>
      <c r="AB84" s="14" t="e">
        <f>SUMIF('GLOBAL LOG'!$D$6:$D$128,C84,'GLOBAL LOG'!#REF!)</f>
        <v>#REF!</v>
      </c>
      <c r="AC84" s="6"/>
      <c r="AD84" s="14" t="str">
        <v>Hawaiian Airlines</v>
      </c>
      <c r="AE84" s="14" t="e">
        <v>#REF!</v>
      </c>
      <c r="AF84" s="6"/>
      <c r="AG84" s="14" t="str">
        <v>Gulf Air</v>
      </c>
      <c r="AH84" s="14">
        <v>0</v>
      </c>
      <c r="AI84" s="6"/>
      <c r="AJ84" s="14" t="str">
        <v>Hawaiian Airlines</v>
      </c>
      <c r="AK84" s="14">
        <v>0</v>
      </c>
      <c r="AL84" s="6"/>
      <c r="AM84" s="14" t="str">
        <v>Gulf Air</v>
      </c>
      <c r="AN84" s="14">
        <v>0</v>
      </c>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row>
    <row r="85" spans="2:97" s="4" customFormat="1" ht="14.65" hidden="1" customHeight="1">
      <c r="B85" s="6"/>
      <c r="C85" s="13" t="str">
        <v>Hi Fly</v>
      </c>
      <c r="D85" s="14">
        <f>COUNTIFS('GLOBAL LOG'!$D$6:$D$128,C85,'GLOBAL LOG'!$K$6:$K$128,"&lt;&gt;")</f>
        <v>0</v>
      </c>
      <c r="E85" s="14" t="e">
        <f>COUNTIFS('GLOBAL LOG'!$D$6:$D$128,C85,'GLOBAL LOG'!#REF!,"Yes")</f>
        <v>#REF!</v>
      </c>
      <c r="F85" s="14" t="e">
        <f>SUMIF('GLOBAL LOG'!$D$6:$D$128,COUNT!C85,'GLOBAL LOG'!#REF!)</f>
        <v>#REF!</v>
      </c>
      <c r="G85" s="14">
        <f>COUNTIFS('GLOBAL LOG'!$E$6:$E$128,G$10,'GLOBAL LOG'!$D$6:$D$128,$C85)</f>
        <v>0</v>
      </c>
      <c r="H85" s="14">
        <f>COUNTIFS('GLOBAL LOG'!$E$6:$E$128,H$10,'GLOBAL LOG'!$D$6:$D$128,$C85)</f>
        <v>0</v>
      </c>
      <c r="I85" s="14">
        <f>COUNTIFS('GLOBAL LOG'!$E$6:$E$128,I$10,'GLOBAL LOG'!$D$6:$D$128,$C85)</f>
        <v>0</v>
      </c>
      <c r="J85" s="14">
        <f>COUNTIFS('GLOBAL LOG'!$E$6:$E$128,J$10,'GLOBAL LOG'!$D$6:$D$128,$C85)</f>
        <v>0</v>
      </c>
      <c r="K85" s="14">
        <f>COUNTIFS('GLOBAL LOG'!$E$6:$E$128,K$10,'GLOBAL LOG'!$D$6:$D$128,$C85)</f>
        <v>0</v>
      </c>
      <c r="L85" s="14">
        <f>COUNTIFS('GLOBAL LOG'!$E$6:$E$128,L$10,'GLOBAL LOG'!$D$6:$D$128,$C85)</f>
        <v>0</v>
      </c>
      <c r="M85" s="14">
        <f>COUNTIFS('GLOBAL LOG'!$E$6:$E$128,M$10,'GLOBAL LOG'!$D$6:$D$128,$C85)</f>
        <v>0</v>
      </c>
      <c r="N85" s="14" t="e">
        <f>COUNTIFS('GLOBAL LOG'!$D$6:$D$128,$C85,'GLOBAL LOG'!#REF!,"High")</f>
        <v>#REF!</v>
      </c>
      <c r="O85" s="14" t="e">
        <f>COUNTIFS('GLOBAL LOG'!$D$6:$D$128,$C85,'GLOBAL LOG'!#REF!,"Med")</f>
        <v>#REF!</v>
      </c>
      <c r="P85" s="14" t="e">
        <f>COUNTIFS('GLOBAL LOG'!$D$6:$D$128,$C85,'GLOBAL LOG'!#REF!,"Low")</f>
        <v>#REF!</v>
      </c>
      <c r="Q85" s="14" t="e">
        <f>COUNTIFS('GLOBAL LOG'!$D$6:$D$128,$C85,'GLOBAL LOG'!#REF!,"High")</f>
        <v>#REF!</v>
      </c>
      <c r="R85" s="14" t="e">
        <f>COUNTIFS('GLOBAL LOG'!$D$6:$D$128,$C85,'GLOBAL LOG'!#REF!,"Med")</f>
        <v>#REF!</v>
      </c>
      <c r="S85" s="14" t="e">
        <f>COUNTIFS('GLOBAL LOG'!$D$6:$D$128,$C85,'GLOBAL LOG'!#REF!,"Low")</f>
        <v>#REF!</v>
      </c>
      <c r="T85" s="14" t="e">
        <f>COUNTIFS('GLOBAL LOG'!$D$6:$D$128,$C85,'GLOBAL LOG'!#REF!,"Completed")</f>
        <v>#REF!</v>
      </c>
      <c r="U85" s="14" t="e">
        <f>COUNTIFS('GLOBAL LOG'!$D$6:$D$128,$C85,'GLOBAL LOG'!#REF!,"Contracting")</f>
        <v>#REF!</v>
      </c>
      <c r="V85" s="14" t="e">
        <f>COUNTIFS('GLOBAL LOG'!$D$6:$D$128,$C85,'GLOBAL LOG'!#REF!,"Negotiations")</f>
        <v>#REF!</v>
      </c>
      <c r="W85" s="14" t="e">
        <f>COUNTIFS('GLOBAL LOG'!$D$6:$D$128,$C85,'GLOBAL LOG'!#REF!,"ICT")</f>
        <v>#REF!</v>
      </c>
      <c r="X85" s="14" t="e">
        <f>COUNTIFS('GLOBAL LOG'!$D$6:$D$128,$C85,'GLOBAL LOG'!#REF!,"Hopper")</f>
        <v>#REF!</v>
      </c>
      <c r="Y85" s="14">
        <f>SUMIF('GLOBAL LOG'!$D$6:$D$128,$C85,'GLOBAL LOG'!$Q$6:$Q$128)</f>
        <v>0</v>
      </c>
      <c r="Z85" s="14">
        <f>SUMIF('GLOBAL LOG'!$D$6:$D$128,$C85,'GLOBAL LOG'!$R$6:$R$128)</f>
        <v>0</v>
      </c>
      <c r="AA85" s="14">
        <f t="shared" si="2"/>
        <v>0</v>
      </c>
      <c r="AB85" s="14" t="e">
        <f>SUMIF('GLOBAL LOG'!$D$6:$D$128,C85,'GLOBAL LOG'!#REF!)</f>
        <v>#REF!</v>
      </c>
      <c r="AC85" s="6"/>
      <c r="AD85" s="14" t="str">
        <v>Hi Fly</v>
      </c>
      <c r="AE85" s="14" t="e">
        <v>#REF!</v>
      </c>
      <c r="AF85" s="6"/>
      <c r="AG85" s="14" t="str">
        <v>Hainan Airlines</v>
      </c>
      <c r="AH85" s="14">
        <v>0</v>
      </c>
      <c r="AI85" s="6"/>
      <c r="AJ85" s="14" t="str">
        <v>Hi Fly</v>
      </c>
      <c r="AK85" s="14">
        <v>0</v>
      </c>
      <c r="AL85" s="6"/>
      <c r="AM85" s="14" t="str">
        <v>Hainan Airlines</v>
      </c>
      <c r="AN85" s="14">
        <v>0</v>
      </c>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row>
    <row r="86" spans="2:97" s="4" customFormat="1" ht="14.65" hidden="1" customHeight="1">
      <c r="B86" s="6"/>
      <c r="C86" s="13" t="str">
        <v>HM THE SULTAN’S FLIGHT BRUNEI</v>
      </c>
      <c r="D86" s="14">
        <f>COUNTIFS('GLOBAL LOG'!$D$6:$D$128,C86,'GLOBAL LOG'!$K$6:$K$128,"&lt;&gt;")</f>
        <v>0</v>
      </c>
      <c r="E86" s="14" t="e">
        <f>COUNTIFS('GLOBAL LOG'!$D$6:$D$128,C86,'GLOBAL LOG'!#REF!,"Yes")</f>
        <v>#REF!</v>
      </c>
      <c r="F86" s="14" t="e">
        <f>SUMIF('GLOBAL LOG'!$D$6:$D$128,COUNT!C86,'GLOBAL LOG'!#REF!)</f>
        <v>#REF!</v>
      </c>
      <c r="G86" s="14">
        <f>COUNTIFS('GLOBAL LOG'!$E$6:$E$128,G$10,'GLOBAL LOG'!$D$6:$D$128,$C86)</f>
        <v>0</v>
      </c>
      <c r="H86" s="14">
        <f>COUNTIFS('GLOBAL LOG'!$E$6:$E$128,H$10,'GLOBAL LOG'!$D$6:$D$128,$C86)</f>
        <v>0</v>
      </c>
      <c r="I86" s="14">
        <f>COUNTIFS('GLOBAL LOG'!$E$6:$E$128,I$10,'GLOBAL LOG'!$D$6:$D$128,$C86)</f>
        <v>0</v>
      </c>
      <c r="J86" s="14">
        <f>COUNTIFS('GLOBAL LOG'!$E$6:$E$128,J$10,'GLOBAL LOG'!$D$6:$D$128,$C86)</f>
        <v>0</v>
      </c>
      <c r="K86" s="14">
        <f>COUNTIFS('GLOBAL LOG'!$E$6:$E$128,K$10,'GLOBAL LOG'!$D$6:$D$128,$C86)</f>
        <v>0</v>
      </c>
      <c r="L86" s="14">
        <f>COUNTIFS('GLOBAL LOG'!$E$6:$E$128,L$10,'GLOBAL LOG'!$D$6:$D$128,$C86)</f>
        <v>0</v>
      </c>
      <c r="M86" s="14">
        <f>COUNTIFS('GLOBAL LOG'!$E$6:$E$128,M$10,'GLOBAL LOG'!$D$6:$D$128,$C86)</f>
        <v>0</v>
      </c>
      <c r="N86" s="14" t="e">
        <f>COUNTIFS('GLOBAL LOG'!$D$6:$D$128,$C86,'GLOBAL LOG'!#REF!,"High")</f>
        <v>#REF!</v>
      </c>
      <c r="O86" s="14" t="e">
        <f>COUNTIFS('GLOBAL LOG'!$D$6:$D$128,$C86,'GLOBAL LOG'!#REF!,"Med")</f>
        <v>#REF!</v>
      </c>
      <c r="P86" s="14" t="e">
        <f>COUNTIFS('GLOBAL LOG'!$D$6:$D$128,$C86,'GLOBAL LOG'!#REF!,"Low")</f>
        <v>#REF!</v>
      </c>
      <c r="Q86" s="14" t="e">
        <f>COUNTIFS('GLOBAL LOG'!$D$6:$D$128,$C86,'GLOBAL LOG'!#REF!,"High")</f>
        <v>#REF!</v>
      </c>
      <c r="R86" s="14" t="e">
        <f>COUNTIFS('GLOBAL LOG'!$D$6:$D$128,$C86,'GLOBAL LOG'!#REF!,"Med")</f>
        <v>#REF!</v>
      </c>
      <c r="S86" s="14" t="e">
        <f>COUNTIFS('GLOBAL LOG'!$D$6:$D$128,$C86,'GLOBAL LOG'!#REF!,"Low")</f>
        <v>#REF!</v>
      </c>
      <c r="T86" s="14" t="e">
        <f>COUNTIFS('GLOBAL LOG'!$D$6:$D$128,$C86,'GLOBAL LOG'!#REF!,"Completed")</f>
        <v>#REF!</v>
      </c>
      <c r="U86" s="14" t="e">
        <f>COUNTIFS('GLOBAL LOG'!$D$6:$D$128,$C86,'GLOBAL LOG'!#REF!,"Contracting")</f>
        <v>#REF!</v>
      </c>
      <c r="V86" s="14" t="e">
        <f>COUNTIFS('GLOBAL LOG'!$D$6:$D$128,$C86,'GLOBAL LOG'!#REF!,"Negotiations")</f>
        <v>#REF!</v>
      </c>
      <c r="W86" s="14" t="e">
        <f>COUNTIFS('GLOBAL LOG'!$D$6:$D$128,$C86,'GLOBAL LOG'!#REF!,"ICT")</f>
        <v>#REF!</v>
      </c>
      <c r="X86" s="14" t="e">
        <f>COUNTIFS('GLOBAL LOG'!$D$6:$D$128,$C86,'GLOBAL LOG'!#REF!,"Hopper")</f>
        <v>#REF!</v>
      </c>
      <c r="Y86" s="14">
        <f>SUMIF('GLOBAL LOG'!$D$6:$D$128,$C86,'GLOBAL LOG'!$Q$6:$Q$128)</f>
        <v>0</v>
      </c>
      <c r="Z86" s="14">
        <f>SUMIF('GLOBAL LOG'!$D$6:$D$128,$C86,'GLOBAL LOG'!$R$6:$R$128)</f>
        <v>0</v>
      </c>
      <c r="AA86" s="14">
        <f t="shared" si="2"/>
        <v>0</v>
      </c>
      <c r="AB86" s="14" t="e">
        <f>SUMIF('GLOBAL LOG'!$D$6:$D$128,C86,'GLOBAL LOG'!#REF!)</f>
        <v>#REF!</v>
      </c>
      <c r="AC86" s="6"/>
      <c r="AD86" s="14" t="str">
        <v>HM THE SULTAN’S FLIGHT BRUNEI</v>
      </c>
      <c r="AE86" s="14" t="e">
        <v>#REF!</v>
      </c>
      <c r="AF86" s="6"/>
      <c r="AG86" s="14" t="str">
        <v>Hawaiian Airlines</v>
      </c>
      <c r="AH86" s="14">
        <v>0</v>
      </c>
      <c r="AI86" s="6"/>
      <c r="AJ86" s="14" t="str">
        <v>HM THE SULTAN’S FLIGHT BRUNEI</v>
      </c>
      <c r="AK86" s="14">
        <v>0</v>
      </c>
      <c r="AL86" s="6"/>
      <c r="AM86" s="14" t="str">
        <v>Hawaiian Airlines</v>
      </c>
      <c r="AN86" s="14">
        <v>0</v>
      </c>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row>
    <row r="87" spans="2:97" s="4" customFormat="1" ht="14.65" hidden="1" customHeight="1">
      <c r="B87" s="6"/>
      <c r="C87" s="13" t="str">
        <v>Hong Kong Cargo</v>
      </c>
      <c r="D87" s="14">
        <f>COUNTIFS('GLOBAL LOG'!$D$6:$D$128,C87,'GLOBAL LOG'!$K$6:$K$128,"&lt;&gt;")</f>
        <v>0</v>
      </c>
      <c r="E87" s="14" t="e">
        <f>COUNTIFS('GLOBAL LOG'!$D$6:$D$128,C87,'GLOBAL LOG'!#REF!,"Yes")</f>
        <v>#REF!</v>
      </c>
      <c r="F87" s="14" t="e">
        <f>SUMIF('GLOBAL LOG'!$D$6:$D$128,COUNT!C87,'GLOBAL LOG'!#REF!)</f>
        <v>#REF!</v>
      </c>
      <c r="G87" s="14">
        <f>COUNTIFS('GLOBAL LOG'!$E$6:$E$128,G$10,'GLOBAL LOG'!$D$6:$D$128,$C87)</f>
        <v>0</v>
      </c>
      <c r="H87" s="14">
        <f>COUNTIFS('GLOBAL LOG'!$E$6:$E$128,H$10,'GLOBAL LOG'!$D$6:$D$128,$C87)</f>
        <v>0</v>
      </c>
      <c r="I87" s="14">
        <f>COUNTIFS('GLOBAL LOG'!$E$6:$E$128,I$10,'GLOBAL LOG'!$D$6:$D$128,$C87)</f>
        <v>0</v>
      </c>
      <c r="J87" s="14">
        <f>COUNTIFS('GLOBAL LOG'!$E$6:$E$128,J$10,'GLOBAL LOG'!$D$6:$D$128,$C87)</f>
        <v>0</v>
      </c>
      <c r="K87" s="14">
        <f>COUNTIFS('GLOBAL LOG'!$E$6:$E$128,K$10,'GLOBAL LOG'!$D$6:$D$128,$C87)</f>
        <v>0</v>
      </c>
      <c r="L87" s="14">
        <f>COUNTIFS('GLOBAL LOG'!$E$6:$E$128,L$10,'GLOBAL LOG'!$D$6:$D$128,$C87)</f>
        <v>0</v>
      </c>
      <c r="M87" s="14">
        <f>COUNTIFS('GLOBAL LOG'!$E$6:$E$128,M$10,'GLOBAL LOG'!$D$6:$D$128,$C87)</f>
        <v>0</v>
      </c>
      <c r="N87" s="14" t="e">
        <f>COUNTIFS('GLOBAL LOG'!$D$6:$D$128,$C87,'GLOBAL LOG'!#REF!,"High")</f>
        <v>#REF!</v>
      </c>
      <c r="O87" s="14" t="e">
        <f>COUNTIFS('GLOBAL LOG'!$D$6:$D$128,$C87,'GLOBAL LOG'!#REF!,"Med")</f>
        <v>#REF!</v>
      </c>
      <c r="P87" s="14" t="e">
        <f>COUNTIFS('GLOBAL LOG'!$D$6:$D$128,$C87,'GLOBAL LOG'!#REF!,"Low")</f>
        <v>#REF!</v>
      </c>
      <c r="Q87" s="14" t="e">
        <f>COUNTIFS('GLOBAL LOG'!$D$6:$D$128,$C87,'GLOBAL LOG'!#REF!,"High")</f>
        <v>#REF!</v>
      </c>
      <c r="R87" s="14" t="e">
        <f>COUNTIFS('GLOBAL LOG'!$D$6:$D$128,$C87,'GLOBAL LOG'!#REF!,"Med")</f>
        <v>#REF!</v>
      </c>
      <c r="S87" s="14" t="e">
        <f>COUNTIFS('GLOBAL LOG'!$D$6:$D$128,$C87,'GLOBAL LOG'!#REF!,"Low")</f>
        <v>#REF!</v>
      </c>
      <c r="T87" s="14" t="e">
        <f>COUNTIFS('GLOBAL LOG'!$D$6:$D$128,$C87,'GLOBAL LOG'!#REF!,"Completed")</f>
        <v>#REF!</v>
      </c>
      <c r="U87" s="14" t="e">
        <f>COUNTIFS('GLOBAL LOG'!$D$6:$D$128,$C87,'GLOBAL LOG'!#REF!,"Contracting")</f>
        <v>#REF!</v>
      </c>
      <c r="V87" s="14" t="e">
        <f>COUNTIFS('GLOBAL LOG'!$D$6:$D$128,$C87,'GLOBAL LOG'!#REF!,"Negotiations")</f>
        <v>#REF!</v>
      </c>
      <c r="W87" s="14" t="e">
        <f>COUNTIFS('GLOBAL LOG'!$D$6:$D$128,$C87,'GLOBAL LOG'!#REF!,"ICT")</f>
        <v>#REF!</v>
      </c>
      <c r="X87" s="14" t="e">
        <f>COUNTIFS('GLOBAL LOG'!$D$6:$D$128,$C87,'GLOBAL LOG'!#REF!,"Hopper")</f>
        <v>#REF!</v>
      </c>
      <c r="Y87" s="14">
        <f>SUMIF('GLOBAL LOG'!$D$6:$D$128,$C87,'GLOBAL LOG'!$Q$6:$Q$128)</f>
        <v>0</v>
      </c>
      <c r="Z87" s="14">
        <f>SUMIF('GLOBAL LOG'!$D$6:$D$128,$C87,'GLOBAL LOG'!$R$6:$R$128)</f>
        <v>0</v>
      </c>
      <c r="AA87" s="14">
        <f t="shared" si="2"/>
        <v>0</v>
      </c>
      <c r="AB87" s="14" t="e">
        <f>SUMIF('GLOBAL LOG'!$D$6:$D$128,C87,'GLOBAL LOG'!#REF!)</f>
        <v>#REF!</v>
      </c>
      <c r="AC87" s="6"/>
      <c r="AD87" s="14" t="str">
        <v>Hong Kong Cargo</v>
      </c>
      <c r="AE87" s="14" t="e">
        <v>#REF!</v>
      </c>
      <c r="AF87" s="6"/>
      <c r="AG87" s="14" t="str">
        <v>Hi Fly</v>
      </c>
      <c r="AH87" s="14">
        <v>0</v>
      </c>
      <c r="AI87" s="6"/>
      <c r="AJ87" s="14" t="str">
        <v>Hong Kong Cargo</v>
      </c>
      <c r="AK87" s="14">
        <v>0</v>
      </c>
      <c r="AL87" s="6"/>
      <c r="AM87" s="14" t="str">
        <v>Hi Fly</v>
      </c>
      <c r="AN87" s="14">
        <v>0</v>
      </c>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row>
    <row r="88" spans="2:97" s="4" customFormat="1" ht="14.65" hidden="1" customHeight="1">
      <c r="B88" s="6"/>
      <c r="C88" s="13" t="str">
        <v>Iberia</v>
      </c>
      <c r="D88" s="14">
        <f>COUNTIFS('GLOBAL LOG'!$D$6:$D$128,C88,'GLOBAL LOG'!$K$6:$K$128,"&lt;&gt;")</f>
        <v>2</v>
      </c>
      <c r="E88" s="14" t="e">
        <f>COUNTIFS('GLOBAL LOG'!$D$6:$D$128,C88,'GLOBAL LOG'!#REF!,"Yes")</f>
        <v>#REF!</v>
      </c>
      <c r="F88" s="14" t="e">
        <f>SUMIF('GLOBAL LOG'!$D$6:$D$128,COUNT!C88,'GLOBAL LOG'!#REF!)</f>
        <v>#REF!</v>
      </c>
      <c r="G88" s="14">
        <f>COUNTIFS('GLOBAL LOG'!$E$6:$E$128,G$10,'GLOBAL LOG'!$D$6:$D$128,$C88)</f>
        <v>2</v>
      </c>
      <c r="H88" s="14">
        <f>COUNTIFS('GLOBAL LOG'!$E$6:$E$128,H$10,'GLOBAL LOG'!$D$6:$D$128,$C88)</f>
        <v>0</v>
      </c>
      <c r="I88" s="14">
        <f>COUNTIFS('GLOBAL LOG'!$E$6:$E$128,I$10,'GLOBAL LOG'!$D$6:$D$128,$C88)</f>
        <v>0</v>
      </c>
      <c r="J88" s="14">
        <f>COUNTIFS('GLOBAL LOG'!$E$6:$E$128,J$10,'GLOBAL LOG'!$D$6:$D$128,$C88)</f>
        <v>0</v>
      </c>
      <c r="K88" s="14">
        <f>COUNTIFS('GLOBAL LOG'!$E$6:$E$128,K$10,'GLOBAL LOG'!$D$6:$D$128,$C88)</f>
        <v>0</v>
      </c>
      <c r="L88" s="14">
        <f>COUNTIFS('GLOBAL LOG'!$E$6:$E$128,L$10,'GLOBAL LOG'!$D$6:$D$128,$C88)</f>
        <v>0</v>
      </c>
      <c r="M88" s="14">
        <f>COUNTIFS('GLOBAL LOG'!$E$6:$E$128,M$10,'GLOBAL LOG'!$D$6:$D$128,$C88)</f>
        <v>0</v>
      </c>
      <c r="N88" s="14" t="e">
        <f>COUNTIFS('GLOBAL LOG'!$D$6:$D$128,$C88,'GLOBAL LOG'!#REF!,"High")</f>
        <v>#REF!</v>
      </c>
      <c r="O88" s="14" t="e">
        <f>COUNTIFS('GLOBAL LOG'!$D$6:$D$128,$C88,'GLOBAL LOG'!#REF!,"Med")</f>
        <v>#REF!</v>
      </c>
      <c r="P88" s="14" t="e">
        <f>COUNTIFS('GLOBAL LOG'!$D$6:$D$128,$C88,'GLOBAL LOG'!#REF!,"Low")</f>
        <v>#REF!</v>
      </c>
      <c r="Q88" s="14" t="e">
        <f>COUNTIFS('GLOBAL LOG'!$D$6:$D$128,$C88,'GLOBAL LOG'!#REF!,"High")</f>
        <v>#REF!</v>
      </c>
      <c r="R88" s="14" t="e">
        <f>COUNTIFS('GLOBAL LOG'!$D$6:$D$128,$C88,'GLOBAL LOG'!#REF!,"Med")</f>
        <v>#REF!</v>
      </c>
      <c r="S88" s="14" t="e">
        <f>COUNTIFS('GLOBAL LOG'!$D$6:$D$128,$C88,'GLOBAL LOG'!#REF!,"Low")</f>
        <v>#REF!</v>
      </c>
      <c r="T88" s="14" t="e">
        <f>COUNTIFS('GLOBAL LOG'!$D$6:$D$128,$C88,'GLOBAL LOG'!#REF!,"Completed")</f>
        <v>#REF!</v>
      </c>
      <c r="U88" s="14" t="e">
        <f>COUNTIFS('GLOBAL LOG'!$D$6:$D$128,$C88,'GLOBAL LOG'!#REF!,"Contracting")</f>
        <v>#REF!</v>
      </c>
      <c r="V88" s="14" t="e">
        <f>COUNTIFS('GLOBAL LOG'!$D$6:$D$128,$C88,'GLOBAL LOG'!#REF!,"Negotiations")</f>
        <v>#REF!</v>
      </c>
      <c r="W88" s="14" t="e">
        <f>COUNTIFS('GLOBAL LOG'!$D$6:$D$128,$C88,'GLOBAL LOG'!#REF!,"ICT")</f>
        <v>#REF!</v>
      </c>
      <c r="X88" s="14" t="e">
        <f>COUNTIFS('GLOBAL LOG'!$D$6:$D$128,$C88,'GLOBAL LOG'!#REF!,"Hopper")</f>
        <v>#REF!</v>
      </c>
      <c r="Y88" s="14">
        <f>SUMIF('GLOBAL LOG'!$D$6:$D$128,$C88,'GLOBAL LOG'!$Q$6:$Q$128)</f>
        <v>0</v>
      </c>
      <c r="Z88" s="14">
        <f>SUMIF('GLOBAL LOG'!$D$6:$D$128,$C88,'GLOBAL LOG'!$R$6:$R$128)</f>
        <v>0</v>
      </c>
      <c r="AA88" s="14">
        <f t="shared" si="2"/>
        <v>0</v>
      </c>
      <c r="AB88" s="14" t="e">
        <f>SUMIF('GLOBAL LOG'!$D$6:$D$128,C88,'GLOBAL LOG'!#REF!)</f>
        <v>#REF!</v>
      </c>
      <c r="AC88" s="6"/>
      <c r="AD88" s="14" t="str">
        <v>Iberia</v>
      </c>
      <c r="AE88" s="14" t="e">
        <v>#REF!</v>
      </c>
      <c r="AF88" s="6"/>
      <c r="AG88" s="14" t="str">
        <v>HM THE SULTAN’S FLIGHT BRUNEI</v>
      </c>
      <c r="AH88" s="14">
        <v>0</v>
      </c>
      <c r="AI88" s="6"/>
      <c r="AJ88" s="14" t="str">
        <v>Iberia</v>
      </c>
      <c r="AK88" s="14">
        <v>0</v>
      </c>
      <c r="AL88" s="6"/>
      <c r="AM88" s="14" t="str">
        <v>HM THE SULTAN’S FLIGHT BRUNEI</v>
      </c>
      <c r="AN88" s="14">
        <v>0</v>
      </c>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row>
    <row r="89" spans="2:97" s="4" customFormat="1" ht="14.65" hidden="1" customHeight="1">
      <c r="B89" s="6"/>
      <c r="C89" s="13" t="str">
        <v>Icelandair Group</v>
      </c>
      <c r="D89" s="14">
        <f>COUNTIFS('GLOBAL LOG'!$D$6:$D$128,C89,'GLOBAL LOG'!$K$6:$K$128,"&lt;&gt;")</f>
        <v>0</v>
      </c>
      <c r="E89" s="14" t="e">
        <f>COUNTIFS('GLOBAL LOG'!$D$6:$D$128,C89,'GLOBAL LOG'!#REF!,"Yes")</f>
        <v>#REF!</v>
      </c>
      <c r="F89" s="14" t="e">
        <f>SUMIF('GLOBAL LOG'!$D$6:$D$128,COUNT!C89,'GLOBAL LOG'!#REF!)</f>
        <v>#REF!</v>
      </c>
      <c r="G89" s="14">
        <f>COUNTIFS('GLOBAL LOG'!$E$6:$E$128,G$10,'GLOBAL LOG'!$D$6:$D$128,$C89)</f>
        <v>0</v>
      </c>
      <c r="H89" s="14">
        <f>COUNTIFS('GLOBAL LOG'!$E$6:$E$128,H$10,'GLOBAL LOG'!$D$6:$D$128,$C89)</f>
        <v>0</v>
      </c>
      <c r="I89" s="14">
        <f>COUNTIFS('GLOBAL LOG'!$E$6:$E$128,I$10,'GLOBAL LOG'!$D$6:$D$128,$C89)</f>
        <v>0</v>
      </c>
      <c r="J89" s="14">
        <f>COUNTIFS('GLOBAL LOG'!$E$6:$E$128,J$10,'GLOBAL LOG'!$D$6:$D$128,$C89)</f>
        <v>0</v>
      </c>
      <c r="K89" s="14">
        <f>COUNTIFS('GLOBAL LOG'!$E$6:$E$128,K$10,'GLOBAL LOG'!$D$6:$D$128,$C89)</f>
        <v>0</v>
      </c>
      <c r="L89" s="14">
        <f>COUNTIFS('GLOBAL LOG'!$E$6:$E$128,L$10,'GLOBAL LOG'!$D$6:$D$128,$C89)</f>
        <v>0</v>
      </c>
      <c r="M89" s="14">
        <f>COUNTIFS('GLOBAL LOG'!$E$6:$E$128,M$10,'GLOBAL LOG'!$D$6:$D$128,$C89)</f>
        <v>0</v>
      </c>
      <c r="N89" s="14" t="e">
        <f>COUNTIFS('GLOBAL LOG'!$D$6:$D$128,$C89,'GLOBAL LOG'!#REF!,"High")</f>
        <v>#REF!</v>
      </c>
      <c r="O89" s="14" t="e">
        <f>COUNTIFS('GLOBAL LOG'!$D$6:$D$128,$C89,'GLOBAL LOG'!#REF!,"Med")</f>
        <v>#REF!</v>
      </c>
      <c r="P89" s="14" t="e">
        <f>COUNTIFS('GLOBAL LOG'!$D$6:$D$128,$C89,'GLOBAL LOG'!#REF!,"Low")</f>
        <v>#REF!</v>
      </c>
      <c r="Q89" s="14" t="e">
        <f>COUNTIFS('GLOBAL LOG'!$D$6:$D$128,$C89,'GLOBAL LOG'!#REF!,"High")</f>
        <v>#REF!</v>
      </c>
      <c r="R89" s="14" t="e">
        <f>COUNTIFS('GLOBAL LOG'!$D$6:$D$128,$C89,'GLOBAL LOG'!#REF!,"Med")</f>
        <v>#REF!</v>
      </c>
      <c r="S89" s="14" t="e">
        <f>COUNTIFS('GLOBAL LOG'!$D$6:$D$128,$C89,'GLOBAL LOG'!#REF!,"Low")</f>
        <v>#REF!</v>
      </c>
      <c r="T89" s="14" t="e">
        <f>COUNTIFS('GLOBAL LOG'!$D$6:$D$128,$C89,'GLOBAL LOG'!#REF!,"Completed")</f>
        <v>#REF!</v>
      </c>
      <c r="U89" s="14" t="e">
        <f>COUNTIFS('GLOBAL LOG'!$D$6:$D$128,$C89,'GLOBAL LOG'!#REF!,"Contracting")</f>
        <v>#REF!</v>
      </c>
      <c r="V89" s="14" t="e">
        <f>COUNTIFS('GLOBAL LOG'!$D$6:$D$128,$C89,'GLOBAL LOG'!#REF!,"Negotiations")</f>
        <v>#REF!</v>
      </c>
      <c r="W89" s="14" t="e">
        <f>COUNTIFS('GLOBAL LOG'!$D$6:$D$128,$C89,'GLOBAL LOG'!#REF!,"ICT")</f>
        <v>#REF!</v>
      </c>
      <c r="X89" s="14" t="e">
        <f>COUNTIFS('GLOBAL LOG'!$D$6:$D$128,$C89,'GLOBAL LOG'!#REF!,"Hopper")</f>
        <v>#REF!</v>
      </c>
      <c r="Y89" s="14">
        <f>SUMIF('GLOBAL LOG'!$D$6:$D$128,$C89,'GLOBAL LOG'!$Q$6:$Q$128)</f>
        <v>0</v>
      </c>
      <c r="Z89" s="14">
        <f>SUMIF('GLOBAL LOG'!$D$6:$D$128,$C89,'GLOBAL LOG'!$R$6:$R$128)</f>
        <v>0</v>
      </c>
      <c r="AA89" s="14">
        <f t="shared" si="2"/>
        <v>0</v>
      </c>
      <c r="AB89" s="14" t="e">
        <f>SUMIF('GLOBAL LOG'!$D$6:$D$128,C89,'GLOBAL LOG'!#REF!)</f>
        <v>#REF!</v>
      </c>
      <c r="AC89" s="6"/>
      <c r="AD89" s="14" t="str">
        <v>Icelandair Group</v>
      </c>
      <c r="AE89" s="14" t="e">
        <v>#REF!</v>
      </c>
      <c r="AF89" s="6"/>
      <c r="AG89" s="14" t="str">
        <v>Hong Kong Cargo</v>
      </c>
      <c r="AH89" s="14">
        <v>0</v>
      </c>
      <c r="AI89" s="6"/>
      <c r="AJ89" s="14" t="str">
        <v>Icelandair Group</v>
      </c>
      <c r="AK89" s="14">
        <v>0</v>
      </c>
      <c r="AL89" s="6"/>
      <c r="AM89" s="14" t="str">
        <v>Hong Kong Cargo</v>
      </c>
      <c r="AN89" s="14">
        <v>0</v>
      </c>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row>
    <row r="90" spans="2:97" s="4" customFormat="1" ht="14.65" hidden="1" customHeight="1">
      <c r="B90" s="6"/>
      <c r="C90" s="13" t="str">
        <v>IndiGo</v>
      </c>
      <c r="D90" s="14">
        <f>COUNTIFS('GLOBAL LOG'!$D$6:$D$128,C90,'GLOBAL LOG'!$K$6:$K$128,"&lt;&gt;")</f>
        <v>0</v>
      </c>
      <c r="E90" s="14" t="e">
        <f>COUNTIFS('GLOBAL LOG'!$D$6:$D$128,C90,'GLOBAL LOG'!#REF!,"Yes")</f>
        <v>#REF!</v>
      </c>
      <c r="F90" s="14" t="e">
        <f>SUMIF('GLOBAL LOG'!$D$6:$D$128,COUNT!C90,'GLOBAL LOG'!#REF!)</f>
        <v>#REF!</v>
      </c>
      <c r="G90" s="14">
        <f>COUNTIFS('GLOBAL LOG'!$E$6:$E$128,G$10,'GLOBAL LOG'!$D$6:$D$128,$C90)</f>
        <v>0</v>
      </c>
      <c r="H90" s="14">
        <f>COUNTIFS('GLOBAL LOG'!$E$6:$E$128,H$10,'GLOBAL LOG'!$D$6:$D$128,$C90)</f>
        <v>0</v>
      </c>
      <c r="I90" s="14">
        <f>COUNTIFS('GLOBAL LOG'!$E$6:$E$128,I$10,'GLOBAL LOG'!$D$6:$D$128,$C90)</f>
        <v>0</v>
      </c>
      <c r="J90" s="14">
        <f>COUNTIFS('GLOBAL LOG'!$E$6:$E$128,J$10,'GLOBAL LOG'!$D$6:$D$128,$C90)</f>
        <v>0</v>
      </c>
      <c r="K90" s="14">
        <f>COUNTIFS('GLOBAL LOG'!$E$6:$E$128,K$10,'GLOBAL LOG'!$D$6:$D$128,$C90)</f>
        <v>0</v>
      </c>
      <c r="L90" s="14">
        <f>COUNTIFS('GLOBAL LOG'!$E$6:$E$128,L$10,'GLOBAL LOG'!$D$6:$D$128,$C90)</f>
        <v>0</v>
      </c>
      <c r="M90" s="14">
        <f>COUNTIFS('GLOBAL LOG'!$E$6:$E$128,M$10,'GLOBAL LOG'!$D$6:$D$128,$C90)</f>
        <v>0</v>
      </c>
      <c r="N90" s="14" t="e">
        <f>COUNTIFS('GLOBAL LOG'!$D$6:$D$128,$C90,'GLOBAL LOG'!#REF!,"High")</f>
        <v>#REF!</v>
      </c>
      <c r="O90" s="14" t="e">
        <f>COUNTIFS('GLOBAL LOG'!$D$6:$D$128,$C90,'GLOBAL LOG'!#REF!,"Med")</f>
        <v>#REF!</v>
      </c>
      <c r="P90" s="14" t="e">
        <f>COUNTIFS('GLOBAL LOG'!$D$6:$D$128,$C90,'GLOBAL LOG'!#REF!,"Low")</f>
        <v>#REF!</v>
      </c>
      <c r="Q90" s="14" t="e">
        <f>COUNTIFS('GLOBAL LOG'!$D$6:$D$128,$C90,'GLOBAL LOG'!#REF!,"High")</f>
        <v>#REF!</v>
      </c>
      <c r="R90" s="14" t="e">
        <f>COUNTIFS('GLOBAL LOG'!$D$6:$D$128,$C90,'GLOBAL LOG'!#REF!,"Med")</f>
        <v>#REF!</v>
      </c>
      <c r="S90" s="14" t="e">
        <f>COUNTIFS('GLOBAL LOG'!$D$6:$D$128,$C90,'GLOBAL LOG'!#REF!,"Low")</f>
        <v>#REF!</v>
      </c>
      <c r="T90" s="14" t="e">
        <f>COUNTIFS('GLOBAL LOG'!$D$6:$D$128,$C90,'GLOBAL LOG'!#REF!,"Completed")</f>
        <v>#REF!</v>
      </c>
      <c r="U90" s="14" t="e">
        <f>COUNTIFS('GLOBAL LOG'!$D$6:$D$128,$C90,'GLOBAL LOG'!#REF!,"Contracting")</f>
        <v>#REF!</v>
      </c>
      <c r="V90" s="14" t="e">
        <f>COUNTIFS('GLOBAL LOG'!$D$6:$D$128,$C90,'GLOBAL LOG'!#REF!,"Negotiations")</f>
        <v>#REF!</v>
      </c>
      <c r="W90" s="14" t="e">
        <f>COUNTIFS('GLOBAL LOG'!$D$6:$D$128,$C90,'GLOBAL LOG'!#REF!,"ICT")</f>
        <v>#REF!</v>
      </c>
      <c r="X90" s="14" t="e">
        <f>COUNTIFS('GLOBAL LOG'!$D$6:$D$128,$C90,'GLOBAL LOG'!#REF!,"Hopper")</f>
        <v>#REF!</v>
      </c>
      <c r="Y90" s="14">
        <f>SUMIF('GLOBAL LOG'!$D$6:$D$128,$C90,'GLOBAL LOG'!$Q$6:$Q$128)</f>
        <v>0</v>
      </c>
      <c r="Z90" s="14">
        <f>SUMIF('GLOBAL LOG'!$D$6:$D$128,$C90,'GLOBAL LOG'!$R$6:$R$128)</f>
        <v>0</v>
      </c>
      <c r="AA90" s="14">
        <f t="shared" si="2"/>
        <v>0</v>
      </c>
      <c r="AB90" s="14" t="e">
        <f>SUMIF('GLOBAL LOG'!$D$6:$D$128,C90,'GLOBAL LOG'!#REF!)</f>
        <v>#REF!</v>
      </c>
      <c r="AC90" s="6"/>
      <c r="AD90" s="14" t="str">
        <v>IndiGo</v>
      </c>
      <c r="AE90" s="14" t="e">
        <v>#REF!</v>
      </c>
      <c r="AF90" s="6"/>
      <c r="AG90" s="14" t="str">
        <v>Iberia</v>
      </c>
      <c r="AH90" s="14">
        <v>0</v>
      </c>
      <c r="AI90" s="6"/>
      <c r="AJ90" s="14" t="str">
        <v>IndiGo</v>
      </c>
      <c r="AK90" s="14">
        <v>0</v>
      </c>
      <c r="AL90" s="6"/>
      <c r="AM90" s="14" t="str">
        <v>Iberia</v>
      </c>
      <c r="AN90" s="14">
        <v>0</v>
      </c>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row>
    <row r="91" spans="2:97" s="4" customFormat="1" ht="14.65" hidden="1" customHeight="1">
      <c r="B91" s="6"/>
      <c r="C91" s="13" t="str">
        <v>ITA</v>
      </c>
      <c r="D91" s="14">
        <f>COUNTIFS('GLOBAL LOG'!$D$6:$D$128,C91,'GLOBAL LOG'!$K$6:$K$128,"&lt;&gt;")</f>
        <v>3</v>
      </c>
      <c r="E91" s="14" t="e">
        <f>COUNTIFS('GLOBAL LOG'!$D$6:$D$128,C91,'GLOBAL LOG'!#REF!,"Yes")</f>
        <v>#REF!</v>
      </c>
      <c r="F91" s="14" t="e">
        <f>SUMIF('GLOBAL LOG'!$D$6:$D$128,COUNT!C91,'GLOBAL LOG'!#REF!)</f>
        <v>#REF!</v>
      </c>
      <c r="G91" s="14">
        <f>COUNTIFS('GLOBAL LOG'!$E$6:$E$128,G$10,'GLOBAL LOG'!$D$6:$D$128,$C91)</f>
        <v>1</v>
      </c>
      <c r="H91" s="14">
        <f>COUNTIFS('GLOBAL LOG'!$E$6:$E$128,H$10,'GLOBAL LOG'!$D$6:$D$128,$C91)</f>
        <v>0</v>
      </c>
      <c r="I91" s="14">
        <f>COUNTIFS('GLOBAL LOG'!$E$6:$E$128,I$10,'GLOBAL LOG'!$D$6:$D$128,$C91)</f>
        <v>0</v>
      </c>
      <c r="J91" s="14">
        <f>COUNTIFS('GLOBAL LOG'!$E$6:$E$128,J$10,'GLOBAL LOG'!$D$6:$D$128,$C91)</f>
        <v>0</v>
      </c>
      <c r="K91" s="14">
        <f>COUNTIFS('GLOBAL LOG'!$E$6:$E$128,K$10,'GLOBAL LOG'!$D$6:$D$128,$C91)</f>
        <v>0</v>
      </c>
      <c r="L91" s="14">
        <f>COUNTIFS('GLOBAL LOG'!$E$6:$E$128,L$10,'GLOBAL LOG'!$D$6:$D$128,$C91)</f>
        <v>0</v>
      </c>
      <c r="M91" s="14">
        <f>COUNTIFS('GLOBAL LOG'!$E$6:$E$128,M$10,'GLOBAL LOG'!$D$6:$D$128,$C91)</f>
        <v>2</v>
      </c>
      <c r="N91" s="14" t="e">
        <f>COUNTIFS('GLOBAL LOG'!$D$6:$D$128,$C91,'GLOBAL LOG'!#REF!,"High")</f>
        <v>#REF!</v>
      </c>
      <c r="O91" s="14" t="e">
        <f>COUNTIFS('GLOBAL LOG'!$D$6:$D$128,$C91,'GLOBAL LOG'!#REF!,"Med")</f>
        <v>#REF!</v>
      </c>
      <c r="P91" s="14" t="e">
        <f>COUNTIFS('GLOBAL LOG'!$D$6:$D$128,$C91,'GLOBAL LOG'!#REF!,"Low")</f>
        <v>#REF!</v>
      </c>
      <c r="Q91" s="14" t="e">
        <f>COUNTIFS('GLOBAL LOG'!$D$6:$D$128,$C91,'GLOBAL LOG'!#REF!,"High")</f>
        <v>#REF!</v>
      </c>
      <c r="R91" s="14" t="e">
        <f>COUNTIFS('GLOBAL LOG'!$D$6:$D$128,$C91,'GLOBAL LOG'!#REF!,"Med")</f>
        <v>#REF!</v>
      </c>
      <c r="S91" s="14" t="e">
        <f>COUNTIFS('GLOBAL LOG'!$D$6:$D$128,$C91,'GLOBAL LOG'!#REF!,"Low")</f>
        <v>#REF!</v>
      </c>
      <c r="T91" s="14" t="e">
        <f>COUNTIFS('GLOBAL LOG'!$D$6:$D$128,$C91,'GLOBAL LOG'!#REF!,"Completed")</f>
        <v>#REF!</v>
      </c>
      <c r="U91" s="14" t="e">
        <f>COUNTIFS('GLOBAL LOG'!$D$6:$D$128,$C91,'GLOBAL LOG'!#REF!,"Contracting")</f>
        <v>#REF!</v>
      </c>
      <c r="V91" s="14" t="e">
        <f>COUNTIFS('GLOBAL LOG'!$D$6:$D$128,$C91,'GLOBAL LOG'!#REF!,"Negotiations")</f>
        <v>#REF!</v>
      </c>
      <c r="W91" s="14" t="e">
        <f>COUNTIFS('GLOBAL LOG'!$D$6:$D$128,$C91,'GLOBAL LOG'!#REF!,"ICT")</f>
        <v>#REF!</v>
      </c>
      <c r="X91" s="14" t="e">
        <f>COUNTIFS('GLOBAL LOG'!$D$6:$D$128,$C91,'GLOBAL LOG'!#REF!,"Hopper")</f>
        <v>#REF!</v>
      </c>
      <c r="Y91" s="14">
        <f>SUMIF('GLOBAL LOG'!$D$6:$D$128,$C91,'GLOBAL LOG'!$Q$6:$Q$128)</f>
        <v>0</v>
      </c>
      <c r="Z91" s="14">
        <f>SUMIF('GLOBAL LOG'!$D$6:$D$128,$C91,'GLOBAL LOG'!$R$6:$R$128)</f>
        <v>0</v>
      </c>
      <c r="AA91" s="14">
        <f t="shared" si="2"/>
        <v>0</v>
      </c>
      <c r="AB91" s="14" t="e">
        <f>SUMIF('GLOBAL LOG'!$D$6:$D$128,C91,'GLOBAL LOG'!#REF!)</f>
        <v>#REF!</v>
      </c>
      <c r="AC91" s="6"/>
      <c r="AD91" s="14" t="str">
        <v>ITA</v>
      </c>
      <c r="AE91" s="14" t="e">
        <v>#REF!</v>
      </c>
      <c r="AF91" s="6"/>
      <c r="AG91" s="14" t="str">
        <v>Icelandair Group</v>
      </c>
      <c r="AH91" s="14">
        <v>0</v>
      </c>
      <c r="AI91" s="6"/>
      <c r="AJ91" s="14" t="str">
        <v>ITA</v>
      </c>
      <c r="AK91" s="14">
        <v>0</v>
      </c>
      <c r="AL91" s="6"/>
      <c r="AM91" s="14" t="str">
        <v>Icelandair Group</v>
      </c>
      <c r="AN91" s="14">
        <v>0</v>
      </c>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row>
    <row r="92" spans="2:97" s="4" customFormat="1" ht="14.65" hidden="1" customHeight="1">
      <c r="B92" s="6"/>
      <c r="C92" s="13" t="str">
        <v>Japan Airlines</v>
      </c>
      <c r="D92" s="14">
        <f>COUNTIFS('GLOBAL LOG'!$D$6:$D$128,C92,'GLOBAL LOG'!$K$6:$K$128,"&lt;&gt;")</f>
        <v>3</v>
      </c>
      <c r="E92" s="14" t="e">
        <f>COUNTIFS('GLOBAL LOG'!$D$6:$D$128,C92,'GLOBAL LOG'!#REF!,"Yes")</f>
        <v>#REF!</v>
      </c>
      <c r="F92" s="14" t="e">
        <f>SUMIF('GLOBAL LOG'!$D$6:$D$128,COUNT!C92,'GLOBAL LOG'!#REF!)</f>
        <v>#REF!</v>
      </c>
      <c r="G92" s="14">
        <f>COUNTIFS('GLOBAL LOG'!$E$6:$E$128,G$10,'GLOBAL LOG'!$D$6:$D$128,$C92)</f>
        <v>1</v>
      </c>
      <c r="H92" s="14">
        <f>COUNTIFS('GLOBAL LOG'!$E$6:$E$128,H$10,'GLOBAL LOG'!$D$6:$D$128,$C92)</f>
        <v>2</v>
      </c>
      <c r="I92" s="14">
        <f>COUNTIFS('GLOBAL LOG'!$E$6:$E$128,I$10,'GLOBAL LOG'!$D$6:$D$128,$C92)</f>
        <v>0</v>
      </c>
      <c r="J92" s="14">
        <f>COUNTIFS('GLOBAL LOG'!$E$6:$E$128,J$10,'GLOBAL LOG'!$D$6:$D$128,$C92)</f>
        <v>0</v>
      </c>
      <c r="K92" s="14">
        <f>COUNTIFS('GLOBAL LOG'!$E$6:$E$128,K$10,'GLOBAL LOG'!$D$6:$D$128,$C92)</f>
        <v>0</v>
      </c>
      <c r="L92" s="14">
        <f>COUNTIFS('GLOBAL LOG'!$E$6:$E$128,L$10,'GLOBAL LOG'!$D$6:$D$128,$C92)</f>
        <v>0</v>
      </c>
      <c r="M92" s="14">
        <f>COUNTIFS('GLOBAL LOG'!$E$6:$E$128,M$10,'GLOBAL LOG'!$D$6:$D$128,$C92)</f>
        <v>0</v>
      </c>
      <c r="N92" s="14" t="e">
        <f>COUNTIFS('GLOBAL LOG'!$D$6:$D$128,$C92,'GLOBAL LOG'!#REF!,"High")</f>
        <v>#REF!</v>
      </c>
      <c r="O92" s="14" t="e">
        <f>COUNTIFS('GLOBAL LOG'!$D$6:$D$128,$C92,'GLOBAL LOG'!#REF!,"Med")</f>
        <v>#REF!</v>
      </c>
      <c r="P92" s="14" t="e">
        <f>COUNTIFS('GLOBAL LOG'!$D$6:$D$128,$C92,'GLOBAL LOG'!#REF!,"Low")</f>
        <v>#REF!</v>
      </c>
      <c r="Q92" s="14" t="e">
        <f>COUNTIFS('GLOBAL LOG'!$D$6:$D$128,$C92,'GLOBAL LOG'!#REF!,"High")</f>
        <v>#REF!</v>
      </c>
      <c r="R92" s="14" t="e">
        <f>COUNTIFS('GLOBAL LOG'!$D$6:$D$128,$C92,'GLOBAL LOG'!#REF!,"Med")</f>
        <v>#REF!</v>
      </c>
      <c r="S92" s="14" t="e">
        <f>COUNTIFS('GLOBAL LOG'!$D$6:$D$128,$C92,'GLOBAL LOG'!#REF!,"Low")</f>
        <v>#REF!</v>
      </c>
      <c r="T92" s="14" t="e">
        <f>COUNTIFS('GLOBAL LOG'!$D$6:$D$128,$C92,'GLOBAL LOG'!#REF!,"Completed")</f>
        <v>#REF!</v>
      </c>
      <c r="U92" s="14" t="e">
        <f>COUNTIFS('GLOBAL LOG'!$D$6:$D$128,$C92,'GLOBAL LOG'!#REF!,"Contracting")</f>
        <v>#REF!</v>
      </c>
      <c r="V92" s="14" t="e">
        <f>COUNTIFS('GLOBAL LOG'!$D$6:$D$128,$C92,'GLOBAL LOG'!#REF!,"Negotiations")</f>
        <v>#REF!</v>
      </c>
      <c r="W92" s="14" t="e">
        <f>COUNTIFS('GLOBAL LOG'!$D$6:$D$128,$C92,'GLOBAL LOG'!#REF!,"ICT")</f>
        <v>#REF!</v>
      </c>
      <c r="X92" s="14" t="e">
        <f>COUNTIFS('GLOBAL LOG'!$D$6:$D$128,$C92,'GLOBAL LOG'!#REF!,"Hopper")</f>
        <v>#REF!</v>
      </c>
      <c r="Y92" s="14">
        <f>SUMIF('GLOBAL LOG'!$D$6:$D$128,$C92,'GLOBAL LOG'!$Q$6:$Q$128)</f>
        <v>3.2</v>
      </c>
      <c r="Z92" s="14">
        <f>SUMIF('GLOBAL LOG'!$D$6:$D$128,$C92,'GLOBAL LOG'!$R$6:$R$128)</f>
        <v>0</v>
      </c>
      <c r="AA92" s="14">
        <f t="shared" si="2"/>
        <v>3.2</v>
      </c>
      <c r="AB92" s="14" t="e">
        <f>SUMIF('GLOBAL LOG'!$D$6:$D$128,C92,'GLOBAL LOG'!#REF!)</f>
        <v>#REF!</v>
      </c>
      <c r="AC92" s="6"/>
      <c r="AD92" s="14" t="str">
        <v>Japan Airlines</v>
      </c>
      <c r="AE92" s="14" t="e">
        <v>#REF!</v>
      </c>
      <c r="AF92" s="6"/>
      <c r="AG92" s="14" t="str">
        <v>IndiGo</v>
      </c>
      <c r="AH92" s="14">
        <v>0</v>
      </c>
      <c r="AI92" s="6"/>
      <c r="AJ92" s="14" t="str">
        <v>Japan Airlines</v>
      </c>
      <c r="AK92" s="14">
        <v>0</v>
      </c>
      <c r="AL92" s="6"/>
      <c r="AM92" s="14" t="str">
        <v>IndiGo</v>
      </c>
      <c r="AN92" s="14">
        <v>0</v>
      </c>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row>
    <row r="93" spans="2:97" s="4" customFormat="1" ht="14.65" hidden="1" customHeight="1">
      <c r="B93" s="6"/>
      <c r="C93" s="13" t="str">
        <v>JET MIDWEST INC</v>
      </c>
      <c r="D93" s="14">
        <f>COUNTIFS('GLOBAL LOG'!$D$6:$D$128,C93,'GLOBAL LOG'!$K$6:$K$128,"&lt;&gt;")</f>
        <v>0</v>
      </c>
      <c r="E93" s="14" t="e">
        <f>COUNTIFS('GLOBAL LOG'!$D$6:$D$128,C93,'GLOBAL LOG'!#REF!,"Yes")</f>
        <v>#REF!</v>
      </c>
      <c r="F93" s="14" t="e">
        <f>SUMIF('GLOBAL LOG'!$D$6:$D$128,COUNT!C93,'GLOBAL LOG'!#REF!)</f>
        <v>#REF!</v>
      </c>
      <c r="G93" s="14">
        <f>COUNTIFS('GLOBAL LOG'!$E$6:$E$128,G$10,'GLOBAL LOG'!$D$6:$D$128,$C93)</f>
        <v>0</v>
      </c>
      <c r="H93" s="14">
        <f>COUNTIFS('GLOBAL LOG'!$E$6:$E$128,H$10,'GLOBAL LOG'!$D$6:$D$128,$C93)</f>
        <v>0</v>
      </c>
      <c r="I93" s="14">
        <f>COUNTIFS('GLOBAL LOG'!$E$6:$E$128,I$10,'GLOBAL LOG'!$D$6:$D$128,$C93)</f>
        <v>0</v>
      </c>
      <c r="J93" s="14">
        <f>COUNTIFS('GLOBAL LOG'!$E$6:$E$128,J$10,'GLOBAL LOG'!$D$6:$D$128,$C93)</f>
        <v>0</v>
      </c>
      <c r="K93" s="14">
        <f>COUNTIFS('GLOBAL LOG'!$E$6:$E$128,K$10,'GLOBAL LOG'!$D$6:$D$128,$C93)</f>
        <v>0</v>
      </c>
      <c r="L93" s="14">
        <f>COUNTIFS('GLOBAL LOG'!$E$6:$E$128,L$10,'GLOBAL LOG'!$D$6:$D$128,$C93)</f>
        <v>0</v>
      </c>
      <c r="M93" s="14">
        <f>COUNTIFS('GLOBAL LOG'!$E$6:$E$128,M$10,'GLOBAL LOG'!$D$6:$D$128,$C93)</f>
        <v>0</v>
      </c>
      <c r="N93" s="14" t="e">
        <f>COUNTIFS('GLOBAL LOG'!$D$6:$D$128,$C93,'GLOBAL LOG'!#REF!,"High")</f>
        <v>#REF!</v>
      </c>
      <c r="O93" s="14" t="e">
        <f>COUNTIFS('GLOBAL LOG'!$D$6:$D$128,$C93,'GLOBAL LOG'!#REF!,"Med")</f>
        <v>#REF!</v>
      </c>
      <c r="P93" s="14" t="e">
        <f>COUNTIFS('GLOBAL LOG'!$D$6:$D$128,$C93,'GLOBAL LOG'!#REF!,"Low")</f>
        <v>#REF!</v>
      </c>
      <c r="Q93" s="14" t="e">
        <f>COUNTIFS('GLOBAL LOG'!$D$6:$D$128,$C93,'GLOBAL LOG'!#REF!,"High")</f>
        <v>#REF!</v>
      </c>
      <c r="R93" s="14" t="e">
        <f>COUNTIFS('GLOBAL LOG'!$D$6:$D$128,$C93,'GLOBAL LOG'!#REF!,"Med")</f>
        <v>#REF!</v>
      </c>
      <c r="S93" s="14" t="e">
        <f>COUNTIFS('GLOBAL LOG'!$D$6:$D$128,$C93,'GLOBAL LOG'!#REF!,"Low")</f>
        <v>#REF!</v>
      </c>
      <c r="T93" s="14" t="e">
        <f>COUNTIFS('GLOBAL LOG'!$D$6:$D$128,$C93,'GLOBAL LOG'!#REF!,"Completed")</f>
        <v>#REF!</v>
      </c>
      <c r="U93" s="14" t="e">
        <f>COUNTIFS('GLOBAL LOG'!$D$6:$D$128,$C93,'GLOBAL LOG'!#REF!,"Contracting")</f>
        <v>#REF!</v>
      </c>
      <c r="V93" s="14" t="e">
        <f>COUNTIFS('GLOBAL LOG'!$D$6:$D$128,$C93,'GLOBAL LOG'!#REF!,"Negotiations")</f>
        <v>#REF!</v>
      </c>
      <c r="W93" s="14" t="e">
        <f>COUNTIFS('GLOBAL LOG'!$D$6:$D$128,$C93,'GLOBAL LOG'!#REF!,"ICT")</f>
        <v>#REF!</v>
      </c>
      <c r="X93" s="14" t="e">
        <f>COUNTIFS('GLOBAL LOG'!$D$6:$D$128,$C93,'GLOBAL LOG'!#REF!,"Hopper")</f>
        <v>#REF!</v>
      </c>
      <c r="Y93" s="14">
        <f>SUMIF('GLOBAL LOG'!$D$6:$D$128,$C93,'GLOBAL LOG'!$Q$6:$Q$128)</f>
        <v>0</v>
      </c>
      <c r="Z93" s="14">
        <f>SUMIF('GLOBAL LOG'!$D$6:$D$128,$C93,'GLOBAL LOG'!$R$6:$R$128)</f>
        <v>0</v>
      </c>
      <c r="AA93" s="14">
        <f t="shared" si="2"/>
        <v>0</v>
      </c>
      <c r="AB93" s="14" t="e">
        <f>SUMIF('GLOBAL LOG'!$D$6:$D$128,C93,'GLOBAL LOG'!#REF!)</f>
        <v>#REF!</v>
      </c>
      <c r="AC93" s="6"/>
      <c r="AD93" s="14" t="str">
        <v>JET MIDWEST INC</v>
      </c>
      <c r="AE93" s="14" t="e">
        <v>#REF!</v>
      </c>
      <c r="AF93" s="6"/>
      <c r="AG93" s="14" t="str">
        <v>ITA</v>
      </c>
      <c r="AH93" s="14">
        <v>0</v>
      </c>
      <c r="AI93" s="6"/>
      <c r="AJ93" s="14" t="str">
        <v>JET MIDWEST INC</v>
      </c>
      <c r="AK93" s="14">
        <v>0</v>
      </c>
      <c r="AL93" s="6"/>
      <c r="AM93" s="14" t="str">
        <v>ITA</v>
      </c>
      <c r="AN93" s="14">
        <v>0</v>
      </c>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row>
    <row r="94" spans="2:97" s="4" customFormat="1" ht="14.65" hidden="1" customHeight="1">
      <c r="B94" s="6"/>
      <c r="C94" s="13" t="str">
        <v xml:space="preserve">KLM Group </v>
      </c>
      <c r="D94" s="14">
        <f>COUNTIFS('GLOBAL LOG'!$D$6:$D$128,C94,'GLOBAL LOG'!$K$6:$K$128,"&lt;&gt;")</f>
        <v>0</v>
      </c>
      <c r="E94" s="14" t="e">
        <f>COUNTIFS('GLOBAL LOG'!$D$6:$D$128,C94,'GLOBAL LOG'!#REF!,"Yes")</f>
        <v>#REF!</v>
      </c>
      <c r="F94" s="14" t="e">
        <f>SUMIF('GLOBAL LOG'!$D$6:$D$128,COUNT!C94,'GLOBAL LOG'!#REF!)</f>
        <v>#REF!</v>
      </c>
      <c r="G94" s="14">
        <f>COUNTIFS('GLOBAL LOG'!$E$6:$E$128,G$10,'GLOBAL LOG'!$D$6:$D$128,$C94)</f>
        <v>0</v>
      </c>
      <c r="H94" s="14">
        <f>COUNTIFS('GLOBAL LOG'!$E$6:$E$128,H$10,'GLOBAL LOG'!$D$6:$D$128,$C94)</f>
        <v>0</v>
      </c>
      <c r="I94" s="14">
        <f>COUNTIFS('GLOBAL LOG'!$E$6:$E$128,I$10,'GLOBAL LOG'!$D$6:$D$128,$C94)</f>
        <v>0</v>
      </c>
      <c r="J94" s="14">
        <f>COUNTIFS('GLOBAL LOG'!$E$6:$E$128,J$10,'GLOBAL LOG'!$D$6:$D$128,$C94)</f>
        <v>0</v>
      </c>
      <c r="K94" s="14">
        <f>COUNTIFS('GLOBAL LOG'!$E$6:$E$128,K$10,'GLOBAL LOG'!$D$6:$D$128,$C94)</f>
        <v>0</v>
      </c>
      <c r="L94" s="14">
        <f>COUNTIFS('GLOBAL LOG'!$E$6:$E$128,L$10,'GLOBAL LOG'!$D$6:$D$128,$C94)</f>
        <v>0</v>
      </c>
      <c r="M94" s="14">
        <f>COUNTIFS('GLOBAL LOG'!$E$6:$E$128,M$10,'GLOBAL LOG'!$D$6:$D$128,$C94)</f>
        <v>0</v>
      </c>
      <c r="N94" s="14" t="e">
        <f>COUNTIFS('GLOBAL LOG'!$D$6:$D$128,$C94,'GLOBAL LOG'!#REF!,"High")</f>
        <v>#REF!</v>
      </c>
      <c r="O94" s="14" t="e">
        <f>COUNTIFS('GLOBAL LOG'!$D$6:$D$128,$C94,'GLOBAL LOG'!#REF!,"Med")</f>
        <v>#REF!</v>
      </c>
      <c r="P94" s="14" t="e">
        <f>COUNTIFS('GLOBAL LOG'!$D$6:$D$128,$C94,'GLOBAL LOG'!#REF!,"Low")</f>
        <v>#REF!</v>
      </c>
      <c r="Q94" s="14" t="e">
        <f>COUNTIFS('GLOBAL LOG'!$D$6:$D$128,$C94,'GLOBAL LOG'!#REF!,"High")</f>
        <v>#REF!</v>
      </c>
      <c r="R94" s="14" t="e">
        <f>COUNTIFS('GLOBAL LOG'!$D$6:$D$128,$C94,'GLOBAL LOG'!#REF!,"Med")</f>
        <v>#REF!</v>
      </c>
      <c r="S94" s="14" t="e">
        <f>COUNTIFS('GLOBAL LOG'!$D$6:$D$128,$C94,'GLOBAL LOG'!#REF!,"Low")</f>
        <v>#REF!</v>
      </c>
      <c r="T94" s="14" t="e">
        <f>COUNTIFS('GLOBAL LOG'!$D$6:$D$128,$C94,'GLOBAL LOG'!#REF!,"Completed")</f>
        <v>#REF!</v>
      </c>
      <c r="U94" s="14" t="e">
        <f>COUNTIFS('GLOBAL LOG'!$D$6:$D$128,$C94,'GLOBAL LOG'!#REF!,"Contracting")</f>
        <v>#REF!</v>
      </c>
      <c r="V94" s="14" t="e">
        <f>COUNTIFS('GLOBAL LOG'!$D$6:$D$128,$C94,'GLOBAL LOG'!#REF!,"Negotiations")</f>
        <v>#REF!</v>
      </c>
      <c r="W94" s="14" t="e">
        <f>COUNTIFS('GLOBAL LOG'!$D$6:$D$128,$C94,'GLOBAL LOG'!#REF!,"ICT")</f>
        <v>#REF!</v>
      </c>
      <c r="X94" s="14" t="e">
        <f>COUNTIFS('GLOBAL LOG'!$D$6:$D$128,$C94,'GLOBAL LOG'!#REF!,"Hopper")</f>
        <v>#REF!</v>
      </c>
      <c r="Y94" s="14">
        <f>SUMIF('GLOBAL LOG'!$D$6:$D$128,$C94,'GLOBAL LOG'!$Q$6:$Q$128)</f>
        <v>0</v>
      </c>
      <c r="Z94" s="14">
        <f>SUMIF('GLOBAL LOG'!$D$6:$D$128,$C94,'GLOBAL LOG'!$R$6:$R$128)</f>
        <v>0</v>
      </c>
      <c r="AA94" s="14">
        <f t="shared" si="2"/>
        <v>0</v>
      </c>
      <c r="AB94" s="14" t="e">
        <f>SUMIF('GLOBAL LOG'!$D$6:$D$128,C94,'GLOBAL LOG'!#REF!)</f>
        <v>#REF!</v>
      </c>
      <c r="AC94" s="6"/>
      <c r="AD94" s="14" t="str">
        <v xml:space="preserve">KLM Group </v>
      </c>
      <c r="AE94" s="14" t="e">
        <v>#REF!</v>
      </c>
      <c r="AF94" s="6"/>
      <c r="AG94" s="14" t="str">
        <v>JET MIDWEST INC</v>
      </c>
      <c r="AH94" s="14">
        <v>0</v>
      </c>
      <c r="AI94" s="6"/>
      <c r="AJ94" s="14" t="str">
        <v xml:space="preserve">KLM Group </v>
      </c>
      <c r="AK94" s="14">
        <v>0</v>
      </c>
      <c r="AL94" s="6"/>
      <c r="AM94" s="14" t="str">
        <v>JET MIDWEST INC</v>
      </c>
      <c r="AN94" s="14">
        <v>0</v>
      </c>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row>
    <row r="95" spans="2:97" s="4" customFormat="1" ht="14.65" hidden="1" customHeight="1">
      <c r="B95" s="6"/>
      <c r="C95" s="13" t="str">
        <v>Korean Airlines</v>
      </c>
      <c r="D95" s="14">
        <f>COUNTIFS('GLOBAL LOG'!$D$6:$D$128,C95,'GLOBAL LOG'!$K$6:$K$128,"&lt;&gt;")</f>
        <v>0</v>
      </c>
      <c r="E95" s="14" t="e">
        <f>COUNTIFS('GLOBAL LOG'!$D$6:$D$128,C95,'GLOBAL LOG'!#REF!,"Yes")</f>
        <v>#REF!</v>
      </c>
      <c r="F95" s="14" t="e">
        <f>SUMIF('GLOBAL LOG'!$D$6:$D$128,COUNT!C95,'GLOBAL LOG'!#REF!)</f>
        <v>#REF!</v>
      </c>
      <c r="G95" s="14">
        <f>COUNTIFS('GLOBAL LOG'!$E$6:$E$128,G$10,'GLOBAL LOG'!$D$6:$D$128,$C95)</f>
        <v>0</v>
      </c>
      <c r="H95" s="14">
        <f>COUNTIFS('GLOBAL LOG'!$E$6:$E$128,H$10,'GLOBAL LOG'!$D$6:$D$128,$C95)</f>
        <v>0</v>
      </c>
      <c r="I95" s="14">
        <f>COUNTIFS('GLOBAL LOG'!$E$6:$E$128,I$10,'GLOBAL LOG'!$D$6:$D$128,$C95)</f>
        <v>0</v>
      </c>
      <c r="J95" s="14">
        <f>COUNTIFS('GLOBAL LOG'!$E$6:$E$128,J$10,'GLOBAL LOG'!$D$6:$D$128,$C95)</f>
        <v>0</v>
      </c>
      <c r="K95" s="14">
        <f>COUNTIFS('GLOBAL LOG'!$E$6:$E$128,K$10,'GLOBAL LOG'!$D$6:$D$128,$C95)</f>
        <v>0</v>
      </c>
      <c r="L95" s="14">
        <f>COUNTIFS('GLOBAL LOG'!$E$6:$E$128,L$10,'GLOBAL LOG'!$D$6:$D$128,$C95)</f>
        <v>0</v>
      </c>
      <c r="M95" s="14">
        <f>COUNTIFS('GLOBAL LOG'!$E$6:$E$128,M$10,'GLOBAL LOG'!$D$6:$D$128,$C95)</f>
        <v>0</v>
      </c>
      <c r="N95" s="14" t="e">
        <f>COUNTIFS('GLOBAL LOG'!$D$6:$D$128,$C95,'GLOBAL LOG'!#REF!,"High")</f>
        <v>#REF!</v>
      </c>
      <c r="O95" s="14" t="e">
        <f>COUNTIFS('GLOBAL LOG'!$D$6:$D$128,$C95,'GLOBAL LOG'!#REF!,"Med")</f>
        <v>#REF!</v>
      </c>
      <c r="P95" s="14" t="e">
        <f>COUNTIFS('GLOBAL LOG'!$D$6:$D$128,$C95,'GLOBAL LOG'!#REF!,"Low")</f>
        <v>#REF!</v>
      </c>
      <c r="Q95" s="14" t="e">
        <f>COUNTIFS('GLOBAL LOG'!$D$6:$D$128,$C95,'GLOBAL LOG'!#REF!,"High")</f>
        <v>#REF!</v>
      </c>
      <c r="R95" s="14" t="e">
        <f>COUNTIFS('GLOBAL LOG'!$D$6:$D$128,$C95,'GLOBAL LOG'!#REF!,"Med")</f>
        <v>#REF!</v>
      </c>
      <c r="S95" s="14" t="e">
        <f>COUNTIFS('GLOBAL LOG'!$D$6:$D$128,$C95,'GLOBAL LOG'!#REF!,"Low")</f>
        <v>#REF!</v>
      </c>
      <c r="T95" s="14" t="e">
        <f>COUNTIFS('GLOBAL LOG'!$D$6:$D$128,$C95,'GLOBAL LOG'!#REF!,"Completed")</f>
        <v>#REF!</v>
      </c>
      <c r="U95" s="14" t="e">
        <f>COUNTIFS('GLOBAL LOG'!$D$6:$D$128,$C95,'GLOBAL LOG'!#REF!,"Contracting")</f>
        <v>#REF!</v>
      </c>
      <c r="V95" s="14" t="e">
        <f>COUNTIFS('GLOBAL LOG'!$D$6:$D$128,$C95,'GLOBAL LOG'!#REF!,"Negotiations")</f>
        <v>#REF!</v>
      </c>
      <c r="W95" s="14" t="e">
        <f>COUNTIFS('GLOBAL LOG'!$D$6:$D$128,$C95,'GLOBAL LOG'!#REF!,"ICT")</f>
        <v>#REF!</v>
      </c>
      <c r="X95" s="14" t="e">
        <f>COUNTIFS('GLOBAL LOG'!$D$6:$D$128,$C95,'GLOBAL LOG'!#REF!,"Hopper")</f>
        <v>#REF!</v>
      </c>
      <c r="Y95" s="14">
        <f>SUMIF('GLOBAL LOG'!$D$6:$D$128,$C95,'GLOBAL LOG'!$Q$6:$Q$128)</f>
        <v>0</v>
      </c>
      <c r="Z95" s="14">
        <f>SUMIF('GLOBAL LOG'!$D$6:$D$128,$C95,'GLOBAL LOG'!$R$6:$R$128)</f>
        <v>0</v>
      </c>
      <c r="AA95" s="14">
        <f t="shared" si="2"/>
        <v>0</v>
      </c>
      <c r="AB95" s="14" t="e">
        <f>SUMIF('GLOBAL LOG'!$D$6:$D$128,C95,'GLOBAL LOG'!#REF!)</f>
        <v>#REF!</v>
      </c>
      <c r="AC95" s="6"/>
      <c r="AD95" s="14" t="str">
        <v>Korean Airlines</v>
      </c>
      <c r="AE95" s="14" t="e">
        <v>#REF!</v>
      </c>
      <c r="AF95" s="6"/>
      <c r="AG95" s="14" t="str">
        <v xml:space="preserve">KLM Group </v>
      </c>
      <c r="AH95" s="14">
        <v>0</v>
      </c>
      <c r="AI95" s="6"/>
      <c r="AJ95" s="14" t="str">
        <v>Korean Airlines</v>
      </c>
      <c r="AK95" s="14">
        <v>0</v>
      </c>
      <c r="AL95" s="6"/>
      <c r="AM95" s="14" t="str">
        <v xml:space="preserve">KLM Group </v>
      </c>
      <c r="AN95" s="14">
        <v>0</v>
      </c>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row>
    <row r="96" spans="2:97" s="4" customFormat="1" ht="14.65" hidden="1" customHeight="1">
      <c r="B96" s="6"/>
      <c r="C96" s="13" t="str">
        <v>Kuwait Airways</v>
      </c>
      <c r="D96" s="14">
        <f>COUNTIFS('GLOBAL LOG'!$D$6:$D$128,C96,'GLOBAL LOG'!$K$6:$K$128,"&lt;&gt;")</f>
        <v>0</v>
      </c>
      <c r="E96" s="14" t="e">
        <f>COUNTIFS('GLOBAL LOG'!$D$6:$D$128,C96,'GLOBAL LOG'!#REF!,"Yes")</f>
        <v>#REF!</v>
      </c>
      <c r="F96" s="14" t="e">
        <f>SUMIF('GLOBAL LOG'!$D$6:$D$128,COUNT!C96,'GLOBAL LOG'!#REF!)</f>
        <v>#REF!</v>
      </c>
      <c r="G96" s="14">
        <f>COUNTIFS('GLOBAL LOG'!$E$6:$E$128,G$10,'GLOBAL LOG'!$D$6:$D$128,$C96)</f>
        <v>0</v>
      </c>
      <c r="H96" s="14">
        <f>COUNTIFS('GLOBAL LOG'!$E$6:$E$128,H$10,'GLOBAL LOG'!$D$6:$D$128,$C96)</f>
        <v>0</v>
      </c>
      <c r="I96" s="14">
        <f>COUNTIFS('GLOBAL LOG'!$E$6:$E$128,I$10,'GLOBAL LOG'!$D$6:$D$128,$C96)</f>
        <v>0</v>
      </c>
      <c r="J96" s="14">
        <f>COUNTIFS('GLOBAL LOG'!$E$6:$E$128,J$10,'GLOBAL LOG'!$D$6:$D$128,$C96)</f>
        <v>0</v>
      </c>
      <c r="K96" s="14">
        <f>COUNTIFS('GLOBAL LOG'!$E$6:$E$128,K$10,'GLOBAL LOG'!$D$6:$D$128,$C96)</f>
        <v>0</v>
      </c>
      <c r="L96" s="14">
        <f>COUNTIFS('GLOBAL LOG'!$E$6:$E$128,L$10,'GLOBAL LOG'!$D$6:$D$128,$C96)</f>
        <v>0</v>
      </c>
      <c r="M96" s="14">
        <f>COUNTIFS('GLOBAL LOG'!$E$6:$E$128,M$10,'GLOBAL LOG'!$D$6:$D$128,$C96)</f>
        <v>0</v>
      </c>
      <c r="N96" s="14" t="e">
        <f>COUNTIFS('GLOBAL LOG'!$D$6:$D$128,$C96,'GLOBAL LOG'!#REF!,"High")</f>
        <v>#REF!</v>
      </c>
      <c r="O96" s="14" t="e">
        <f>COUNTIFS('GLOBAL LOG'!$D$6:$D$128,$C96,'GLOBAL LOG'!#REF!,"Med")</f>
        <v>#REF!</v>
      </c>
      <c r="P96" s="14" t="e">
        <f>COUNTIFS('GLOBAL LOG'!$D$6:$D$128,$C96,'GLOBAL LOG'!#REF!,"Low")</f>
        <v>#REF!</v>
      </c>
      <c r="Q96" s="14" t="e">
        <f>COUNTIFS('GLOBAL LOG'!$D$6:$D$128,$C96,'GLOBAL LOG'!#REF!,"High")</f>
        <v>#REF!</v>
      </c>
      <c r="R96" s="14" t="e">
        <f>COUNTIFS('GLOBAL LOG'!$D$6:$D$128,$C96,'GLOBAL LOG'!#REF!,"Med")</f>
        <v>#REF!</v>
      </c>
      <c r="S96" s="14" t="e">
        <f>COUNTIFS('GLOBAL LOG'!$D$6:$D$128,$C96,'GLOBAL LOG'!#REF!,"Low")</f>
        <v>#REF!</v>
      </c>
      <c r="T96" s="14" t="e">
        <f>COUNTIFS('GLOBAL LOG'!$D$6:$D$128,$C96,'GLOBAL LOG'!#REF!,"Completed")</f>
        <v>#REF!</v>
      </c>
      <c r="U96" s="14" t="e">
        <f>COUNTIFS('GLOBAL LOG'!$D$6:$D$128,$C96,'GLOBAL LOG'!#REF!,"Contracting")</f>
        <v>#REF!</v>
      </c>
      <c r="V96" s="14" t="e">
        <f>COUNTIFS('GLOBAL LOG'!$D$6:$D$128,$C96,'GLOBAL LOG'!#REF!,"Negotiations")</f>
        <v>#REF!</v>
      </c>
      <c r="W96" s="14" t="e">
        <f>COUNTIFS('GLOBAL LOG'!$D$6:$D$128,$C96,'GLOBAL LOG'!#REF!,"ICT")</f>
        <v>#REF!</v>
      </c>
      <c r="X96" s="14" t="e">
        <f>COUNTIFS('GLOBAL LOG'!$D$6:$D$128,$C96,'GLOBAL LOG'!#REF!,"Hopper")</f>
        <v>#REF!</v>
      </c>
      <c r="Y96" s="14">
        <f>SUMIF('GLOBAL LOG'!$D$6:$D$128,$C96,'GLOBAL LOG'!$Q$6:$Q$128)</f>
        <v>0</v>
      </c>
      <c r="Z96" s="14">
        <f>SUMIF('GLOBAL LOG'!$D$6:$D$128,$C96,'GLOBAL LOG'!$R$6:$R$128)</f>
        <v>0</v>
      </c>
      <c r="AA96" s="14">
        <f t="shared" si="2"/>
        <v>0</v>
      </c>
      <c r="AB96" s="14" t="e">
        <f>SUMIF('GLOBAL LOG'!$D$6:$D$128,C96,'GLOBAL LOG'!#REF!)</f>
        <v>#REF!</v>
      </c>
      <c r="AC96" s="6"/>
      <c r="AD96" s="14" t="str">
        <v>Kuwait Airways</v>
      </c>
      <c r="AE96" s="14" t="e">
        <v>#REF!</v>
      </c>
      <c r="AF96" s="6"/>
      <c r="AG96" s="14" t="str">
        <v>Korean Airlines</v>
      </c>
      <c r="AH96" s="14">
        <v>0</v>
      </c>
      <c r="AI96" s="6"/>
      <c r="AJ96" s="14" t="str">
        <v>Kuwait Airways</v>
      </c>
      <c r="AK96" s="14">
        <v>0</v>
      </c>
      <c r="AL96" s="6"/>
      <c r="AM96" s="14" t="str">
        <v>Korean Airlines</v>
      </c>
      <c r="AN96" s="14">
        <v>0</v>
      </c>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row>
    <row r="97" spans="2:97" s="4" customFormat="1" ht="14.65" hidden="1" customHeight="1">
      <c r="B97" s="6"/>
      <c r="C97" s="13" t="str">
        <v>LATAM Airlines Group S.A.</v>
      </c>
      <c r="D97" s="14">
        <f>COUNTIFS('GLOBAL LOG'!$D$6:$D$128,C97,'GLOBAL LOG'!$K$6:$K$128,"&lt;&gt;")</f>
        <v>0</v>
      </c>
      <c r="E97" s="14" t="e">
        <f>COUNTIFS('GLOBAL LOG'!$D$6:$D$128,C97,'GLOBAL LOG'!#REF!,"Yes")</f>
        <v>#REF!</v>
      </c>
      <c r="F97" s="14" t="e">
        <f>SUMIF('GLOBAL LOG'!$D$6:$D$128,COUNT!C97,'GLOBAL LOG'!#REF!)</f>
        <v>#REF!</v>
      </c>
      <c r="G97" s="14">
        <f>COUNTIFS('GLOBAL LOG'!$E$6:$E$128,G$10,'GLOBAL LOG'!$D$6:$D$128,$C97)</f>
        <v>0</v>
      </c>
      <c r="H97" s="14">
        <f>COUNTIFS('GLOBAL LOG'!$E$6:$E$128,H$10,'GLOBAL LOG'!$D$6:$D$128,$C97)</f>
        <v>0</v>
      </c>
      <c r="I97" s="14">
        <f>COUNTIFS('GLOBAL LOG'!$E$6:$E$128,I$10,'GLOBAL LOG'!$D$6:$D$128,$C97)</f>
        <v>0</v>
      </c>
      <c r="J97" s="14">
        <f>COUNTIFS('GLOBAL LOG'!$E$6:$E$128,J$10,'GLOBAL LOG'!$D$6:$D$128,$C97)</f>
        <v>0</v>
      </c>
      <c r="K97" s="14">
        <f>COUNTIFS('GLOBAL LOG'!$E$6:$E$128,K$10,'GLOBAL LOG'!$D$6:$D$128,$C97)</f>
        <v>0</v>
      </c>
      <c r="L97" s="14">
        <f>COUNTIFS('GLOBAL LOG'!$E$6:$E$128,L$10,'GLOBAL LOG'!$D$6:$D$128,$C97)</f>
        <v>0</v>
      </c>
      <c r="M97" s="14">
        <f>COUNTIFS('GLOBAL LOG'!$E$6:$E$128,M$10,'GLOBAL LOG'!$D$6:$D$128,$C97)</f>
        <v>0</v>
      </c>
      <c r="N97" s="14" t="e">
        <f>COUNTIFS('GLOBAL LOG'!$D$6:$D$128,$C97,'GLOBAL LOG'!#REF!,"High")</f>
        <v>#REF!</v>
      </c>
      <c r="O97" s="14" t="e">
        <f>COUNTIFS('GLOBAL LOG'!$D$6:$D$128,$C97,'GLOBAL LOG'!#REF!,"Med")</f>
        <v>#REF!</v>
      </c>
      <c r="P97" s="14" t="e">
        <f>COUNTIFS('GLOBAL LOG'!$D$6:$D$128,$C97,'GLOBAL LOG'!#REF!,"Low")</f>
        <v>#REF!</v>
      </c>
      <c r="Q97" s="14" t="e">
        <f>COUNTIFS('GLOBAL LOG'!$D$6:$D$128,$C97,'GLOBAL LOG'!#REF!,"High")</f>
        <v>#REF!</v>
      </c>
      <c r="R97" s="14" t="e">
        <f>COUNTIFS('GLOBAL LOG'!$D$6:$D$128,$C97,'GLOBAL LOG'!#REF!,"Med")</f>
        <v>#REF!</v>
      </c>
      <c r="S97" s="14" t="e">
        <f>COUNTIFS('GLOBAL LOG'!$D$6:$D$128,$C97,'GLOBAL LOG'!#REF!,"Low")</f>
        <v>#REF!</v>
      </c>
      <c r="T97" s="14" t="e">
        <f>COUNTIFS('GLOBAL LOG'!$D$6:$D$128,$C97,'GLOBAL LOG'!#REF!,"Completed")</f>
        <v>#REF!</v>
      </c>
      <c r="U97" s="14" t="e">
        <f>COUNTIFS('GLOBAL LOG'!$D$6:$D$128,$C97,'GLOBAL LOG'!#REF!,"Contracting")</f>
        <v>#REF!</v>
      </c>
      <c r="V97" s="14" t="e">
        <f>COUNTIFS('GLOBAL LOG'!$D$6:$D$128,$C97,'GLOBAL LOG'!#REF!,"Negotiations")</f>
        <v>#REF!</v>
      </c>
      <c r="W97" s="14" t="e">
        <f>COUNTIFS('GLOBAL LOG'!$D$6:$D$128,$C97,'GLOBAL LOG'!#REF!,"ICT")</f>
        <v>#REF!</v>
      </c>
      <c r="X97" s="14" t="e">
        <f>COUNTIFS('GLOBAL LOG'!$D$6:$D$128,$C97,'GLOBAL LOG'!#REF!,"Hopper")</f>
        <v>#REF!</v>
      </c>
      <c r="Y97" s="14">
        <f>SUMIF('GLOBAL LOG'!$D$6:$D$128,$C97,'GLOBAL LOG'!$Q$6:$Q$128)</f>
        <v>0</v>
      </c>
      <c r="Z97" s="14">
        <f>SUMIF('GLOBAL LOG'!$D$6:$D$128,$C97,'GLOBAL LOG'!$R$6:$R$128)</f>
        <v>0</v>
      </c>
      <c r="AA97" s="14">
        <f t="shared" si="2"/>
        <v>0</v>
      </c>
      <c r="AB97" s="14" t="e">
        <f>SUMIF('GLOBAL LOG'!$D$6:$D$128,C97,'GLOBAL LOG'!#REF!)</f>
        <v>#REF!</v>
      </c>
      <c r="AC97" s="6"/>
      <c r="AD97" s="14" t="str">
        <v>LATAM Airlines Group S.A.</v>
      </c>
      <c r="AE97" s="14" t="e">
        <v>#REF!</v>
      </c>
      <c r="AF97" s="6"/>
      <c r="AG97" s="14" t="str">
        <v>Kuwait Airways</v>
      </c>
      <c r="AH97" s="14">
        <v>0</v>
      </c>
      <c r="AI97" s="6"/>
      <c r="AJ97" s="14" t="str">
        <v>LATAM Airlines Group S.A.</v>
      </c>
      <c r="AK97" s="14">
        <v>0</v>
      </c>
      <c r="AL97" s="6"/>
      <c r="AM97" s="14" t="str">
        <v>Kuwait Airways</v>
      </c>
      <c r="AN97" s="14">
        <v>0</v>
      </c>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row>
    <row r="98" spans="2:97" s="4" customFormat="1" ht="14.65" hidden="1" customHeight="1">
      <c r="B98" s="6"/>
      <c r="C98" s="13" t="str">
        <v>Lessors Other</v>
      </c>
      <c r="D98" s="14">
        <f>COUNTIFS('GLOBAL LOG'!$D$6:$D$128,C98,'GLOBAL LOG'!$K$6:$K$128,"&lt;&gt;")</f>
        <v>0</v>
      </c>
      <c r="E98" s="14" t="e">
        <f>COUNTIFS('GLOBAL LOG'!$D$6:$D$128,C98,'GLOBAL LOG'!#REF!,"Yes")</f>
        <v>#REF!</v>
      </c>
      <c r="F98" s="14" t="e">
        <f>SUMIF('GLOBAL LOG'!$D$6:$D$128,COUNT!C98,'GLOBAL LOG'!#REF!)</f>
        <v>#REF!</v>
      </c>
      <c r="G98" s="14">
        <f>COUNTIFS('GLOBAL LOG'!$E$6:$E$128,G$10,'GLOBAL LOG'!$D$6:$D$128,$C98)</f>
        <v>0</v>
      </c>
      <c r="H98" s="14">
        <f>COUNTIFS('GLOBAL LOG'!$E$6:$E$128,H$10,'GLOBAL LOG'!$D$6:$D$128,$C98)</f>
        <v>0</v>
      </c>
      <c r="I98" s="14">
        <f>COUNTIFS('GLOBAL LOG'!$E$6:$E$128,I$10,'GLOBAL LOG'!$D$6:$D$128,$C98)</f>
        <v>0</v>
      </c>
      <c r="J98" s="14">
        <f>COUNTIFS('GLOBAL LOG'!$E$6:$E$128,J$10,'GLOBAL LOG'!$D$6:$D$128,$C98)</f>
        <v>0</v>
      </c>
      <c r="K98" s="14">
        <f>COUNTIFS('GLOBAL LOG'!$E$6:$E$128,K$10,'GLOBAL LOG'!$D$6:$D$128,$C98)</f>
        <v>0</v>
      </c>
      <c r="L98" s="14">
        <f>COUNTIFS('GLOBAL LOG'!$E$6:$E$128,L$10,'GLOBAL LOG'!$D$6:$D$128,$C98)</f>
        <v>0</v>
      </c>
      <c r="M98" s="14">
        <f>COUNTIFS('GLOBAL LOG'!$E$6:$E$128,M$10,'GLOBAL LOG'!$D$6:$D$128,$C98)</f>
        <v>0</v>
      </c>
      <c r="N98" s="14" t="e">
        <f>COUNTIFS('GLOBAL LOG'!$D$6:$D$128,$C98,'GLOBAL LOG'!#REF!,"High")</f>
        <v>#REF!</v>
      </c>
      <c r="O98" s="14" t="e">
        <f>COUNTIFS('GLOBAL LOG'!$D$6:$D$128,$C98,'GLOBAL LOG'!#REF!,"Med")</f>
        <v>#REF!</v>
      </c>
      <c r="P98" s="14" t="e">
        <f>COUNTIFS('GLOBAL LOG'!$D$6:$D$128,$C98,'GLOBAL LOG'!#REF!,"Low")</f>
        <v>#REF!</v>
      </c>
      <c r="Q98" s="14" t="e">
        <f>COUNTIFS('GLOBAL LOG'!$D$6:$D$128,$C98,'GLOBAL LOG'!#REF!,"High")</f>
        <v>#REF!</v>
      </c>
      <c r="R98" s="14" t="e">
        <f>COUNTIFS('GLOBAL LOG'!$D$6:$D$128,$C98,'GLOBAL LOG'!#REF!,"Med")</f>
        <v>#REF!</v>
      </c>
      <c r="S98" s="14" t="e">
        <f>COUNTIFS('GLOBAL LOG'!$D$6:$D$128,$C98,'GLOBAL LOG'!#REF!,"Low")</f>
        <v>#REF!</v>
      </c>
      <c r="T98" s="14" t="e">
        <f>COUNTIFS('GLOBAL LOG'!$D$6:$D$128,$C98,'GLOBAL LOG'!#REF!,"Completed")</f>
        <v>#REF!</v>
      </c>
      <c r="U98" s="14" t="e">
        <f>COUNTIFS('GLOBAL LOG'!$D$6:$D$128,$C98,'GLOBAL LOG'!#REF!,"Contracting")</f>
        <v>#REF!</v>
      </c>
      <c r="V98" s="14" t="e">
        <f>COUNTIFS('GLOBAL LOG'!$D$6:$D$128,$C98,'GLOBAL LOG'!#REF!,"Negotiations")</f>
        <v>#REF!</v>
      </c>
      <c r="W98" s="14" t="e">
        <f>COUNTIFS('GLOBAL LOG'!$D$6:$D$128,$C98,'GLOBAL LOG'!#REF!,"ICT")</f>
        <v>#REF!</v>
      </c>
      <c r="X98" s="14" t="e">
        <f>COUNTIFS('GLOBAL LOG'!$D$6:$D$128,$C98,'GLOBAL LOG'!#REF!,"Hopper")</f>
        <v>#REF!</v>
      </c>
      <c r="Y98" s="14">
        <f>SUMIF('GLOBAL LOG'!$D$6:$D$128,$C98,'GLOBAL LOG'!$Q$6:$Q$128)</f>
        <v>0</v>
      </c>
      <c r="Z98" s="14">
        <f>SUMIF('GLOBAL LOG'!$D$6:$D$128,$C98,'GLOBAL LOG'!$R$6:$R$128)</f>
        <v>0</v>
      </c>
      <c r="AA98" s="14">
        <f t="shared" si="2"/>
        <v>0</v>
      </c>
      <c r="AB98" s="14" t="e">
        <f>SUMIF('GLOBAL LOG'!$D$6:$D$128,C98,'GLOBAL LOG'!#REF!)</f>
        <v>#REF!</v>
      </c>
      <c r="AC98" s="6"/>
      <c r="AD98" s="14" t="str">
        <v>Lessors Other</v>
      </c>
      <c r="AE98" s="14" t="e">
        <v>#REF!</v>
      </c>
      <c r="AF98" s="6"/>
      <c r="AG98" s="14" t="str">
        <v>LATAM Airlines Group S.A.</v>
      </c>
      <c r="AH98" s="14">
        <v>0</v>
      </c>
      <c r="AI98" s="6"/>
      <c r="AJ98" s="14" t="str">
        <v>Lessors Other</v>
      </c>
      <c r="AK98" s="14">
        <v>0</v>
      </c>
      <c r="AL98" s="6"/>
      <c r="AM98" s="14" t="str">
        <v>LATAM Airlines Group S.A.</v>
      </c>
      <c r="AN98" s="14">
        <v>0</v>
      </c>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row>
    <row r="99" spans="2:97" s="4" customFormat="1" ht="14.65" hidden="1" customHeight="1">
      <c r="B99" s="6"/>
      <c r="C99" s="13" t="str">
        <v>Level</v>
      </c>
      <c r="D99" s="14">
        <f>COUNTIFS('GLOBAL LOG'!$D$6:$D$128,C99,'GLOBAL LOG'!$K$6:$K$128,"&lt;&gt;")</f>
        <v>0</v>
      </c>
      <c r="E99" s="14" t="e">
        <f>COUNTIFS('GLOBAL LOG'!$D$6:$D$128,C99,'GLOBAL LOG'!#REF!,"Yes")</f>
        <v>#REF!</v>
      </c>
      <c r="F99" s="14" t="e">
        <f>SUMIF('GLOBAL LOG'!$D$6:$D$128,COUNT!C99,'GLOBAL LOG'!#REF!)</f>
        <v>#REF!</v>
      </c>
      <c r="G99" s="14">
        <f>COUNTIFS('GLOBAL LOG'!$E$6:$E$128,G$10,'GLOBAL LOG'!$D$6:$D$128,$C99)</f>
        <v>0</v>
      </c>
      <c r="H99" s="14">
        <f>COUNTIFS('GLOBAL LOG'!$E$6:$E$128,H$10,'GLOBAL LOG'!$D$6:$D$128,$C99)</f>
        <v>0</v>
      </c>
      <c r="I99" s="14">
        <f>COUNTIFS('GLOBAL LOG'!$E$6:$E$128,I$10,'GLOBAL LOG'!$D$6:$D$128,$C99)</f>
        <v>0</v>
      </c>
      <c r="J99" s="14">
        <f>COUNTIFS('GLOBAL LOG'!$E$6:$E$128,J$10,'GLOBAL LOG'!$D$6:$D$128,$C99)</f>
        <v>0</v>
      </c>
      <c r="K99" s="14">
        <f>COUNTIFS('GLOBAL LOG'!$E$6:$E$128,K$10,'GLOBAL LOG'!$D$6:$D$128,$C99)</f>
        <v>0</v>
      </c>
      <c r="L99" s="14">
        <f>COUNTIFS('GLOBAL LOG'!$E$6:$E$128,L$10,'GLOBAL LOG'!$D$6:$D$128,$C99)</f>
        <v>0</v>
      </c>
      <c r="M99" s="14">
        <f>COUNTIFS('GLOBAL LOG'!$E$6:$E$128,M$10,'GLOBAL LOG'!$D$6:$D$128,$C99)</f>
        <v>0</v>
      </c>
      <c r="N99" s="14" t="e">
        <f>COUNTIFS('GLOBAL LOG'!$D$6:$D$128,$C99,'GLOBAL LOG'!#REF!,"High")</f>
        <v>#REF!</v>
      </c>
      <c r="O99" s="14" t="e">
        <f>COUNTIFS('GLOBAL LOG'!$D$6:$D$128,$C99,'GLOBAL LOG'!#REF!,"Med")</f>
        <v>#REF!</v>
      </c>
      <c r="P99" s="14" t="e">
        <f>COUNTIFS('GLOBAL LOG'!$D$6:$D$128,$C99,'GLOBAL LOG'!#REF!,"Low")</f>
        <v>#REF!</v>
      </c>
      <c r="Q99" s="14" t="e">
        <f>COUNTIFS('GLOBAL LOG'!$D$6:$D$128,$C99,'GLOBAL LOG'!#REF!,"High")</f>
        <v>#REF!</v>
      </c>
      <c r="R99" s="14" t="e">
        <f>COUNTIFS('GLOBAL LOG'!$D$6:$D$128,$C99,'GLOBAL LOG'!#REF!,"Med")</f>
        <v>#REF!</v>
      </c>
      <c r="S99" s="14" t="e">
        <f>COUNTIFS('GLOBAL LOG'!$D$6:$D$128,$C99,'GLOBAL LOG'!#REF!,"Low")</f>
        <v>#REF!</v>
      </c>
      <c r="T99" s="14" t="e">
        <f>COUNTIFS('GLOBAL LOG'!$D$6:$D$128,$C99,'GLOBAL LOG'!#REF!,"Completed")</f>
        <v>#REF!</v>
      </c>
      <c r="U99" s="14" t="e">
        <f>COUNTIFS('GLOBAL LOG'!$D$6:$D$128,$C99,'GLOBAL LOG'!#REF!,"Contracting")</f>
        <v>#REF!</v>
      </c>
      <c r="V99" s="14" t="e">
        <f>COUNTIFS('GLOBAL LOG'!$D$6:$D$128,$C99,'GLOBAL LOG'!#REF!,"Negotiations")</f>
        <v>#REF!</v>
      </c>
      <c r="W99" s="14" t="e">
        <f>COUNTIFS('GLOBAL LOG'!$D$6:$D$128,$C99,'GLOBAL LOG'!#REF!,"ICT")</f>
        <v>#REF!</v>
      </c>
      <c r="X99" s="14" t="e">
        <f>COUNTIFS('GLOBAL LOG'!$D$6:$D$128,$C99,'GLOBAL LOG'!#REF!,"Hopper")</f>
        <v>#REF!</v>
      </c>
      <c r="Y99" s="14">
        <f>SUMIF('GLOBAL LOG'!$D$6:$D$128,$C99,'GLOBAL LOG'!$Q$6:$Q$128)</f>
        <v>0</v>
      </c>
      <c r="Z99" s="14">
        <f>SUMIF('GLOBAL LOG'!$D$6:$D$128,$C99,'GLOBAL LOG'!$R$6:$R$128)</f>
        <v>0</v>
      </c>
      <c r="AA99" s="14">
        <f t="shared" si="2"/>
        <v>0</v>
      </c>
      <c r="AB99" s="14" t="e">
        <f>SUMIF('GLOBAL LOG'!$D$6:$D$128,C99,'GLOBAL LOG'!#REF!)</f>
        <v>#REF!</v>
      </c>
      <c r="AC99" s="6"/>
      <c r="AD99" s="14" t="str">
        <v>Level</v>
      </c>
      <c r="AE99" s="14" t="e">
        <v>#REF!</v>
      </c>
      <c r="AF99" s="6"/>
      <c r="AG99" s="14" t="str">
        <v>Lessors Other</v>
      </c>
      <c r="AH99" s="14">
        <v>0</v>
      </c>
      <c r="AI99" s="6"/>
      <c r="AJ99" s="14" t="str">
        <v>Level</v>
      </c>
      <c r="AK99" s="14">
        <v>0</v>
      </c>
      <c r="AL99" s="6"/>
      <c r="AM99" s="14" t="str">
        <v>Lessors Other</v>
      </c>
      <c r="AN99" s="14">
        <v>0</v>
      </c>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row>
    <row r="100" spans="2:97" s="4" customFormat="1" ht="14.65" hidden="1" customHeight="1">
      <c r="B100" s="6"/>
      <c r="C100" s="13" t="str">
        <v>Lion Air</v>
      </c>
      <c r="D100" s="14">
        <f>COUNTIFS('GLOBAL LOG'!$D$6:$D$128,C100,'GLOBAL LOG'!$K$6:$K$128,"&lt;&gt;")</f>
        <v>0</v>
      </c>
      <c r="E100" s="14" t="e">
        <f>COUNTIFS('GLOBAL LOG'!$D$6:$D$128,C100,'GLOBAL LOG'!#REF!,"Yes")</f>
        <v>#REF!</v>
      </c>
      <c r="F100" s="14" t="e">
        <f>SUMIF('GLOBAL LOG'!$D$6:$D$128,COUNT!C100,'GLOBAL LOG'!#REF!)</f>
        <v>#REF!</v>
      </c>
      <c r="G100" s="14">
        <f>COUNTIFS('GLOBAL LOG'!$E$6:$E$128,G$10,'GLOBAL LOG'!$D$6:$D$128,$C100)</f>
        <v>0</v>
      </c>
      <c r="H100" s="14">
        <f>COUNTIFS('GLOBAL LOG'!$E$6:$E$128,H$10,'GLOBAL LOG'!$D$6:$D$128,$C100)</f>
        <v>0</v>
      </c>
      <c r="I100" s="14">
        <f>COUNTIFS('GLOBAL LOG'!$E$6:$E$128,I$10,'GLOBAL LOG'!$D$6:$D$128,$C100)</f>
        <v>0</v>
      </c>
      <c r="J100" s="14">
        <f>COUNTIFS('GLOBAL LOG'!$E$6:$E$128,J$10,'GLOBAL LOG'!$D$6:$D$128,$C100)</f>
        <v>0</v>
      </c>
      <c r="K100" s="14">
        <f>COUNTIFS('GLOBAL LOG'!$E$6:$E$128,K$10,'GLOBAL LOG'!$D$6:$D$128,$C100)</f>
        <v>0</v>
      </c>
      <c r="L100" s="14">
        <f>COUNTIFS('GLOBAL LOG'!$E$6:$E$128,L$10,'GLOBAL LOG'!$D$6:$D$128,$C100)</f>
        <v>0</v>
      </c>
      <c r="M100" s="14">
        <f>COUNTIFS('GLOBAL LOG'!$E$6:$E$128,M$10,'GLOBAL LOG'!$D$6:$D$128,$C100)</f>
        <v>0</v>
      </c>
      <c r="N100" s="14" t="e">
        <f>COUNTIFS('GLOBAL LOG'!$D$6:$D$128,$C100,'GLOBAL LOG'!#REF!,"High")</f>
        <v>#REF!</v>
      </c>
      <c r="O100" s="14" t="e">
        <f>COUNTIFS('GLOBAL LOG'!$D$6:$D$128,$C100,'GLOBAL LOG'!#REF!,"Med")</f>
        <v>#REF!</v>
      </c>
      <c r="P100" s="14" t="e">
        <f>COUNTIFS('GLOBAL LOG'!$D$6:$D$128,$C100,'GLOBAL LOG'!#REF!,"Low")</f>
        <v>#REF!</v>
      </c>
      <c r="Q100" s="14" t="e">
        <f>COUNTIFS('GLOBAL LOG'!$D$6:$D$128,$C100,'GLOBAL LOG'!#REF!,"High")</f>
        <v>#REF!</v>
      </c>
      <c r="R100" s="14" t="e">
        <f>COUNTIFS('GLOBAL LOG'!$D$6:$D$128,$C100,'GLOBAL LOG'!#REF!,"Med")</f>
        <v>#REF!</v>
      </c>
      <c r="S100" s="14" t="e">
        <f>COUNTIFS('GLOBAL LOG'!$D$6:$D$128,$C100,'GLOBAL LOG'!#REF!,"Low")</f>
        <v>#REF!</v>
      </c>
      <c r="T100" s="14" t="e">
        <f>COUNTIFS('GLOBAL LOG'!$D$6:$D$128,$C100,'GLOBAL LOG'!#REF!,"Completed")</f>
        <v>#REF!</v>
      </c>
      <c r="U100" s="14" t="e">
        <f>COUNTIFS('GLOBAL LOG'!$D$6:$D$128,$C100,'GLOBAL LOG'!#REF!,"Contracting")</f>
        <v>#REF!</v>
      </c>
      <c r="V100" s="14" t="e">
        <f>COUNTIFS('GLOBAL LOG'!$D$6:$D$128,$C100,'GLOBAL LOG'!#REF!,"Negotiations")</f>
        <v>#REF!</v>
      </c>
      <c r="W100" s="14" t="e">
        <f>COUNTIFS('GLOBAL LOG'!$D$6:$D$128,$C100,'GLOBAL LOG'!#REF!,"ICT")</f>
        <v>#REF!</v>
      </c>
      <c r="X100" s="14" t="e">
        <f>COUNTIFS('GLOBAL LOG'!$D$6:$D$128,$C100,'GLOBAL LOG'!#REF!,"Hopper")</f>
        <v>#REF!</v>
      </c>
      <c r="Y100" s="14">
        <f>SUMIF('GLOBAL LOG'!$D$6:$D$128,$C100,'GLOBAL LOG'!$Q$6:$Q$128)</f>
        <v>0</v>
      </c>
      <c r="Z100" s="14">
        <f>SUMIF('GLOBAL LOG'!$D$6:$D$128,$C100,'GLOBAL LOG'!$R$6:$R$128)</f>
        <v>0</v>
      </c>
      <c r="AA100" s="14">
        <f t="shared" si="2"/>
        <v>0</v>
      </c>
      <c r="AB100" s="14" t="e">
        <f>SUMIF('GLOBAL LOG'!$D$6:$D$128,C100,'GLOBAL LOG'!#REF!)</f>
        <v>#REF!</v>
      </c>
      <c r="AC100" s="6"/>
      <c r="AD100" s="14" t="str">
        <v>Lion Air</v>
      </c>
      <c r="AE100" s="14" t="e">
        <v>#REF!</v>
      </c>
      <c r="AF100" s="6"/>
      <c r="AG100" s="14" t="str">
        <v>Level</v>
      </c>
      <c r="AH100" s="14">
        <v>0</v>
      </c>
      <c r="AI100" s="6"/>
      <c r="AJ100" s="14" t="str">
        <v>Lion Air</v>
      </c>
      <c r="AK100" s="14">
        <v>0</v>
      </c>
      <c r="AL100" s="6"/>
      <c r="AM100" s="14" t="str">
        <v>Level</v>
      </c>
      <c r="AN100" s="14">
        <v>0</v>
      </c>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row>
    <row r="101" spans="2:97" s="4" customFormat="1" ht="14.65" hidden="1" customHeight="1">
      <c r="B101" s="6"/>
      <c r="C101" s="13" t="str">
        <v>Loganair</v>
      </c>
      <c r="D101" s="14">
        <f>COUNTIFS('GLOBAL LOG'!$D$6:$D$128,C101,'GLOBAL LOG'!$K$6:$K$128,"&lt;&gt;")</f>
        <v>0</v>
      </c>
      <c r="E101" s="14" t="e">
        <f>COUNTIFS('GLOBAL LOG'!$D$6:$D$128,C101,'GLOBAL LOG'!#REF!,"Yes")</f>
        <v>#REF!</v>
      </c>
      <c r="F101" s="14" t="e">
        <f>SUMIF('GLOBAL LOG'!$D$6:$D$128,COUNT!C101,'GLOBAL LOG'!#REF!)</f>
        <v>#REF!</v>
      </c>
      <c r="G101" s="14">
        <f>COUNTIFS('GLOBAL LOG'!$E$6:$E$128,G$10,'GLOBAL LOG'!$D$6:$D$128,$C101)</f>
        <v>0</v>
      </c>
      <c r="H101" s="14">
        <f>COUNTIFS('GLOBAL LOG'!$E$6:$E$128,H$10,'GLOBAL LOG'!$D$6:$D$128,$C101)</f>
        <v>0</v>
      </c>
      <c r="I101" s="14">
        <f>COUNTIFS('GLOBAL LOG'!$E$6:$E$128,I$10,'GLOBAL LOG'!$D$6:$D$128,$C101)</f>
        <v>0</v>
      </c>
      <c r="J101" s="14">
        <f>COUNTIFS('GLOBAL LOG'!$E$6:$E$128,J$10,'GLOBAL LOG'!$D$6:$D$128,$C101)</f>
        <v>0</v>
      </c>
      <c r="K101" s="14">
        <f>COUNTIFS('GLOBAL LOG'!$E$6:$E$128,K$10,'GLOBAL LOG'!$D$6:$D$128,$C101)</f>
        <v>0</v>
      </c>
      <c r="L101" s="14">
        <f>COUNTIFS('GLOBAL LOG'!$E$6:$E$128,L$10,'GLOBAL LOG'!$D$6:$D$128,$C101)</f>
        <v>0</v>
      </c>
      <c r="M101" s="14">
        <f>COUNTIFS('GLOBAL LOG'!$E$6:$E$128,M$10,'GLOBAL LOG'!$D$6:$D$128,$C101)</f>
        <v>0</v>
      </c>
      <c r="N101" s="14" t="e">
        <f>COUNTIFS('GLOBAL LOG'!$D$6:$D$128,$C101,'GLOBAL LOG'!#REF!,"High")</f>
        <v>#REF!</v>
      </c>
      <c r="O101" s="14" t="e">
        <f>COUNTIFS('GLOBAL LOG'!$D$6:$D$128,$C101,'GLOBAL LOG'!#REF!,"Med")</f>
        <v>#REF!</v>
      </c>
      <c r="P101" s="14" t="e">
        <f>COUNTIFS('GLOBAL LOG'!$D$6:$D$128,$C101,'GLOBAL LOG'!#REF!,"Low")</f>
        <v>#REF!</v>
      </c>
      <c r="Q101" s="14" t="e">
        <f>COUNTIFS('GLOBAL LOG'!$D$6:$D$128,$C101,'GLOBAL LOG'!#REF!,"High")</f>
        <v>#REF!</v>
      </c>
      <c r="R101" s="14" t="e">
        <f>COUNTIFS('GLOBAL LOG'!$D$6:$D$128,$C101,'GLOBAL LOG'!#REF!,"Med")</f>
        <v>#REF!</v>
      </c>
      <c r="S101" s="14" t="e">
        <f>COUNTIFS('GLOBAL LOG'!$D$6:$D$128,$C101,'GLOBAL LOG'!#REF!,"Low")</f>
        <v>#REF!</v>
      </c>
      <c r="T101" s="14" t="e">
        <f>COUNTIFS('GLOBAL LOG'!$D$6:$D$128,$C101,'GLOBAL LOG'!#REF!,"Completed")</f>
        <v>#REF!</v>
      </c>
      <c r="U101" s="14" t="e">
        <f>COUNTIFS('GLOBAL LOG'!$D$6:$D$128,$C101,'GLOBAL LOG'!#REF!,"Contracting")</f>
        <v>#REF!</v>
      </c>
      <c r="V101" s="14" t="e">
        <f>COUNTIFS('GLOBAL LOG'!$D$6:$D$128,$C101,'GLOBAL LOG'!#REF!,"Negotiations")</f>
        <v>#REF!</v>
      </c>
      <c r="W101" s="14" t="e">
        <f>COUNTIFS('GLOBAL LOG'!$D$6:$D$128,$C101,'GLOBAL LOG'!#REF!,"ICT")</f>
        <v>#REF!</v>
      </c>
      <c r="X101" s="14" t="e">
        <f>COUNTIFS('GLOBAL LOG'!$D$6:$D$128,$C101,'GLOBAL LOG'!#REF!,"Hopper")</f>
        <v>#REF!</v>
      </c>
      <c r="Y101" s="14">
        <f>SUMIF('GLOBAL LOG'!$D$6:$D$128,$C101,'GLOBAL LOG'!$Q$6:$Q$128)</f>
        <v>0</v>
      </c>
      <c r="Z101" s="14">
        <f>SUMIF('GLOBAL LOG'!$D$6:$D$128,$C101,'GLOBAL LOG'!$R$6:$R$128)</f>
        <v>0</v>
      </c>
      <c r="AA101" s="14">
        <f t="shared" si="2"/>
        <v>0</v>
      </c>
      <c r="AB101" s="14" t="e">
        <f>SUMIF('GLOBAL LOG'!$D$6:$D$128,C101,'GLOBAL LOG'!#REF!)</f>
        <v>#REF!</v>
      </c>
      <c r="AC101" s="6"/>
      <c r="AD101" s="14" t="str">
        <v>Loganair</v>
      </c>
      <c r="AE101" s="14" t="e">
        <v>#REF!</v>
      </c>
      <c r="AF101" s="6"/>
      <c r="AG101" s="14" t="str">
        <v>Lion Air</v>
      </c>
      <c r="AH101" s="14">
        <v>0</v>
      </c>
      <c r="AI101" s="6"/>
      <c r="AJ101" s="14" t="str">
        <v>Loganair</v>
      </c>
      <c r="AK101" s="14">
        <v>0</v>
      </c>
      <c r="AL101" s="6"/>
      <c r="AM101" s="14" t="str">
        <v>Lion Air</v>
      </c>
      <c r="AN101" s="14">
        <v>0</v>
      </c>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row>
    <row r="102" spans="2:97" s="4" customFormat="1" ht="14.65" hidden="1" customHeight="1">
      <c r="B102" s="6"/>
      <c r="C102" s="13" t="str">
        <v>LOT Polish Airlines</v>
      </c>
      <c r="D102" s="14">
        <f>COUNTIFS('GLOBAL LOG'!$D$6:$D$128,C102,'GLOBAL LOG'!$K$6:$K$128,"&lt;&gt;")</f>
        <v>0</v>
      </c>
      <c r="E102" s="14" t="e">
        <f>COUNTIFS('GLOBAL LOG'!$D$6:$D$128,C102,'GLOBAL LOG'!#REF!,"Yes")</f>
        <v>#REF!</v>
      </c>
      <c r="F102" s="14" t="e">
        <f>SUMIF('GLOBAL LOG'!$D$6:$D$128,COUNT!C102,'GLOBAL LOG'!#REF!)</f>
        <v>#REF!</v>
      </c>
      <c r="G102" s="14">
        <f>COUNTIFS('GLOBAL LOG'!$E$6:$E$128,G$10,'GLOBAL LOG'!$D$6:$D$128,$C102)</f>
        <v>0</v>
      </c>
      <c r="H102" s="14">
        <f>COUNTIFS('GLOBAL LOG'!$E$6:$E$128,H$10,'GLOBAL LOG'!$D$6:$D$128,$C102)</f>
        <v>0</v>
      </c>
      <c r="I102" s="14">
        <f>COUNTIFS('GLOBAL LOG'!$E$6:$E$128,I$10,'GLOBAL LOG'!$D$6:$D$128,$C102)</f>
        <v>0</v>
      </c>
      <c r="J102" s="14">
        <f>COUNTIFS('GLOBAL LOG'!$E$6:$E$128,J$10,'GLOBAL LOG'!$D$6:$D$128,$C102)</f>
        <v>0</v>
      </c>
      <c r="K102" s="14">
        <f>COUNTIFS('GLOBAL LOG'!$E$6:$E$128,K$10,'GLOBAL LOG'!$D$6:$D$128,$C102)</f>
        <v>0</v>
      </c>
      <c r="L102" s="14">
        <f>COUNTIFS('GLOBAL LOG'!$E$6:$E$128,L$10,'GLOBAL LOG'!$D$6:$D$128,$C102)</f>
        <v>0</v>
      </c>
      <c r="M102" s="14">
        <f>COUNTIFS('GLOBAL LOG'!$E$6:$E$128,M$10,'GLOBAL LOG'!$D$6:$D$128,$C102)</f>
        <v>0</v>
      </c>
      <c r="N102" s="14" t="e">
        <f>COUNTIFS('GLOBAL LOG'!$D$6:$D$128,$C102,'GLOBAL LOG'!#REF!,"High")</f>
        <v>#REF!</v>
      </c>
      <c r="O102" s="14" t="e">
        <f>COUNTIFS('GLOBAL LOG'!$D$6:$D$128,$C102,'GLOBAL LOG'!#REF!,"Med")</f>
        <v>#REF!</v>
      </c>
      <c r="P102" s="14" t="e">
        <f>COUNTIFS('GLOBAL LOG'!$D$6:$D$128,$C102,'GLOBAL LOG'!#REF!,"Low")</f>
        <v>#REF!</v>
      </c>
      <c r="Q102" s="14" t="e">
        <f>COUNTIFS('GLOBAL LOG'!$D$6:$D$128,$C102,'GLOBAL LOG'!#REF!,"High")</f>
        <v>#REF!</v>
      </c>
      <c r="R102" s="14" t="e">
        <f>COUNTIFS('GLOBAL LOG'!$D$6:$D$128,$C102,'GLOBAL LOG'!#REF!,"Med")</f>
        <v>#REF!</v>
      </c>
      <c r="S102" s="14" t="e">
        <f>COUNTIFS('GLOBAL LOG'!$D$6:$D$128,$C102,'GLOBAL LOG'!#REF!,"Low")</f>
        <v>#REF!</v>
      </c>
      <c r="T102" s="14" t="e">
        <f>COUNTIFS('GLOBAL LOG'!$D$6:$D$128,$C102,'GLOBAL LOG'!#REF!,"Completed")</f>
        <v>#REF!</v>
      </c>
      <c r="U102" s="14" t="e">
        <f>COUNTIFS('GLOBAL LOG'!$D$6:$D$128,$C102,'GLOBAL LOG'!#REF!,"Contracting")</f>
        <v>#REF!</v>
      </c>
      <c r="V102" s="14" t="e">
        <f>COUNTIFS('GLOBAL LOG'!$D$6:$D$128,$C102,'GLOBAL LOG'!#REF!,"Negotiations")</f>
        <v>#REF!</v>
      </c>
      <c r="W102" s="14" t="e">
        <f>COUNTIFS('GLOBAL LOG'!$D$6:$D$128,$C102,'GLOBAL LOG'!#REF!,"ICT")</f>
        <v>#REF!</v>
      </c>
      <c r="X102" s="14" t="e">
        <f>COUNTIFS('GLOBAL LOG'!$D$6:$D$128,$C102,'GLOBAL LOG'!#REF!,"Hopper")</f>
        <v>#REF!</v>
      </c>
      <c r="Y102" s="14">
        <f>SUMIF('GLOBAL LOG'!$D$6:$D$128,$C102,'GLOBAL LOG'!$Q$6:$Q$128)</f>
        <v>0</v>
      </c>
      <c r="Z102" s="14">
        <f>SUMIF('GLOBAL LOG'!$D$6:$D$128,$C102,'GLOBAL LOG'!$R$6:$R$128)</f>
        <v>0</v>
      </c>
      <c r="AA102" s="14">
        <f t="shared" si="2"/>
        <v>0</v>
      </c>
      <c r="AB102" s="14" t="e">
        <f>SUMIF('GLOBAL LOG'!$D$6:$D$128,C102,'GLOBAL LOG'!#REF!)</f>
        <v>#REF!</v>
      </c>
      <c r="AC102" s="6"/>
      <c r="AD102" s="14" t="str">
        <v>LOT Polish Airlines</v>
      </c>
      <c r="AE102" s="14" t="e">
        <v>#REF!</v>
      </c>
      <c r="AF102" s="6"/>
      <c r="AG102" s="14" t="str">
        <v>Loganair</v>
      </c>
      <c r="AH102" s="14">
        <v>0</v>
      </c>
      <c r="AI102" s="6"/>
      <c r="AJ102" s="14" t="str">
        <v>LOT Polish Airlines</v>
      </c>
      <c r="AK102" s="14">
        <v>0</v>
      </c>
      <c r="AL102" s="6"/>
      <c r="AM102" s="14" t="str">
        <v>Loganair</v>
      </c>
      <c r="AN102" s="14">
        <v>0</v>
      </c>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row>
    <row r="103" spans="2:97" s="4" customFormat="1" ht="14.65" hidden="1" customHeight="1">
      <c r="B103" s="6"/>
      <c r="C103" s="13" t="str">
        <v>Lucky Air</v>
      </c>
      <c r="D103" s="14">
        <f>COUNTIFS('GLOBAL LOG'!$D$6:$D$128,C103,'GLOBAL LOG'!$K$6:$K$128,"&lt;&gt;")</f>
        <v>0</v>
      </c>
      <c r="E103" s="14" t="e">
        <f>COUNTIFS('GLOBAL LOG'!$D$6:$D$128,C103,'GLOBAL LOG'!#REF!,"Yes")</f>
        <v>#REF!</v>
      </c>
      <c r="F103" s="14" t="e">
        <f>SUMIF('GLOBAL LOG'!$D$6:$D$128,COUNT!C103,'GLOBAL LOG'!#REF!)</f>
        <v>#REF!</v>
      </c>
      <c r="G103" s="14">
        <f>COUNTIFS('GLOBAL LOG'!$E$6:$E$128,G$10,'GLOBAL LOG'!$D$6:$D$128,$C103)</f>
        <v>0</v>
      </c>
      <c r="H103" s="14">
        <f>COUNTIFS('GLOBAL LOG'!$E$6:$E$128,H$10,'GLOBAL LOG'!$D$6:$D$128,$C103)</f>
        <v>0</v>
      </c>
      <c r="I103" s="14">
        <f>COUNTIFS('GLOBAL LOG'!$E$6:$E$128,I$10,'GLOBAL LOG'!$D$6:$D$128,$C103)</f>
        <v>0</v>
      </c>
      <c r="J103" s="14">
        <f>COUNTIFS('GLOBAL LOG'!$E$6:$E$128,J$10,'GLOBAL LOG'!$D$6:$D$128,$C103)</f>
        <v>0</v>
      </c>
      <c r="K103" s="14">
        <f>COUNTIFS('GLOBAL LOG'!$E$6:$E$128,K$10,'GLOBAL LOG'!$D$6:$D$128,$C103)</f>
        <v>0</v>
      </c>
      <c r="L103" s="14">
        <f>COUNTIFS('GLOBAL LOG'!$E$6:$E$128,L$10,'GLOBAL LOG'!$D$6:$D$128,$C103)</f>
        <v>0</v>
      </c>
      <c r="M103" s="14">
        <f>COUNTIFS('GLOBAL LOG'!$E$6:$E$128,M$10,'GLOBAL LOG'!$D$6:$D$128,$C103)</f>
        <v>0</v>
      </c>
      <c r="N103" s="14" t="e">
        <f>COUNTIFS('GLOBAL LOG'!$D$6:$D$128,$C103,'GLOBAL LOG'!#REF!,"High")</f>
        <v>#REF!</v>
      </c>
      <c r="O103" s="14" t="e">
        <f>COUNTIFS('GLOBAL LOG'!$D$6:$D$128,$C103,'GLOBAL LOG'!#REF!,"Med")</f>
        <v>#REF!</v>
      </c>
      <c r="P103" s="14" t="e">
        <f>COUNTIFS('GLOBAL LOG'!$D$6:$D$128,$C103,'GLOBAL LOG'!#REF!,"Low")</f>
        <v>#REF!</v>
      </c>
      <c r="Q103" s="14" t="e">
        <f>COUNTIFS('GLOBAL LOG'!$D$6:$D$128,$C103,'GLOBAL LOG'!#REF!,"High")</f>
        <v>#REF!</v>
      </c>
      <c r="R103" s="14" t="e">
        <f>COUNTIFS('GLOBAL LOG'!$D$6:$D$128,$C103,'GLOBAL LOG'!#REF!,"Med")</f>
        <v>#REF!</v>
      </c>
      <c r="S103" s="14" t="e">
        <f>COUNTIFS('GLOBAL LOG'!$D$6:$D$128,$C103,'GLOBAL LOG'!#REF!,"Low")</f>
        <v>#REF!</v>
      </c>
      <c r="T103" s="14" t="e">
        <f>COUNTIFS('GLOBAL LOG'!$D$6:$D$128,$C103,'GLOBAL LOG'!#REF!,"Completed")</f>
        <v>#REF!</v>
      </c>
      <c r="U103" s="14" t="e">
        <f>COUNTIFS('GLOBAL LOG'!$D$6:$D$128,$C103,'GLOBAL LOG'!#REF!,"Contracting")</f>
        <v>#REF!</v>
      </c>
      <c r="V103" s="14" t="e">
        <f>COUNTIFS('GLOBAL LOG'!$D$6:$D$128,$C103,'GLOBAL LOG'!#REF!,"Negotiations")</f>
        <v>#REF!</v>
      </c>
      <c r="W103" s="14" t="e">
        <f>COUNTIFS('GLOBAL LOG'!$D$6:$D$128,$C103,'GLOBAL LOG'!#REF!,"ICT")</f>
        <v>#REF!</v>
      </c>
      <c r="X103" s="14" t="e">
        <f>COUNTIFS('GLOBAL LOG'!$D$6:$D$128,$C103,'GLOBAL LOG'!#REF!,"Hopper")</f>
        <v>#REF!</v>
      </c>
      <c r="Y103" s="14">
        <f>SUMIF('GLOBAL LOG'!$D$6:$D$128,$C103,'GLOBAL LOG'!$Q$6:$Q$128)</f>
        <v>0</v>
      </c>
      <c r="Z103" s="14">
        <f>SUMIF('GLOBAL LOG'!$D$6:$D$128,$C103,'GLOBAL LOG'!$R$6:$R$128)</f>
        <v>0</v>
      </c>
      <c r="AA103" s="14">
        <f t="shared" si="2"/>
        <v>0</v>
      </c>
      <c r="AB103" s="14" t="e">
        <f>SUMIF('GLOBAL LOG'!$D$6:$D$128,C103,'GLOBAL LOG'!#REF!)</f>
        <v>#REF!</v>
      </c>
      <c r="AC103" s="6"/>
      <c r="AD103" s="14" t="str">
        <v>Lucky Air</v>
      </c>
      <c r="AE103" s="14" t="e">
        <v>#REF!</v>
      </c>
      <c r="AF103" s="6"/>
      <c r="AG103" s="14" t="str">
        <v>LOT Polish Airlines</v>
      </c>
      <c r="AH103" s="14">
        <v>0</v>
      </c>
      <c r="AI103" s="6"/>
      <c r="AJ103" s="14" t="str">
        <v>Lucky Air</v>
      </c>
      <c r="AK103" s="14">
        <v>0</v>
      </c>
      <c r="AL103" s="6"/>
      <c r="AM103" s="14" t="str">
        <v>LOT Polish Airlines</v>
      </c>
      <c r="AN103" s="14">
        <v>0</v>
      </c>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row>
    <row r="104" spans="2:97" s="4" customFormat="1" ht="14.65" hidden="1" customHeight="1">
      <c r="B104" s="6"/>
      <c r="C104" s="13" t="str">
        <v>Lufthansa</v>
      </c>
      <c r="D104" s="14">
        <f>COUNTIFS('GLOBAL LOG'!$D$6:$D$128,C104,'GLOBAL LOG'!$K$6:$K$128,"&lt;&gt;")</f>
        <v>2</v>
      </c>
      <c r="E104" s="14" t="e">
        <f>COUNTIFS('GLOBAL LOG'!$D$6:$D$128,C104,'GLOBAL LOG'!#REF!,"Yes")</f>
        <v>#REF!</v>
      </c>
      <c r="F104" s="14" t="e">
        <f>SUMIF('GLOBAL LOG'!$D$6:$D$128,COUNT!C104,'GLOBAL LOG'!#REF!)</f>
        <v>#REF!</v>
      </c>
      <c r="G104" s="14">
        <f>COUNTIFS('GLOBAL LOG'!$E$6:$E$128,G$10,'GLOBAL LOG'!$D$6:$D$128,$C104)</f>
        <v>2</v>
      </c>
      <c r="H104" s="14">
        <f>COUNTIFS('GLOBAL LOG'!$E$6:$E$128,H$10,'GLOBAL LOG'!$D$6:$D$128,$C104)</f>
        <v>0</v>
      </c>
      <c r="I104" s="14">
        <f>COUNTIFS('GLOBAL LOG'!$E$6:$E$128,I$10,'GLOBAL LOG'!$D$6:$D$128,$C104)</f>
        <v>0</v>
      </c>
      <c r="J104" s="14">
        <f>COUNTIFS('GLOBAL LOG'!$E$6:$E$128,J$10,'GLOBAL LOG'!$D$6:$D$128,$C104)</f>
        <v>0</v>
      </c>
      <c r="K104" s="14">
        <f>COUNTIFS('GLOBAL LOG'!$E$6:$E$128,K$10,'GLOBAL LOG'!$D$6:$D$128,$C104)</f>
        <v>0</v>
      </c>
      <c r="L104" s="14">
        <f>COUNTIFS('GLOBAL LOG'!$E$6:$E$128,L$10,'GLOBAL LOG'!$D$6:$D$128,$C104)</f>
        <v>0</v>
      </c>
      <c r="M104" s="14">
        <f>COUNTIFS('GLOBAL LOG'!$E$6:$E$128,M$10,'GLOBAL LOG'!$D$6:$D$128,$C104)</f>
        <v>0</v>
      </c>
      <c r="N104" s="14" t="e">
        <f>COUNTIFS('GLOBAL LOG'!$D$6:$D$128,$C104,'GLOBAL LOG'!#REF!,"High")</f>
        <v>#REF!</v>
      </c>
      <c r="O104" s="14" t="e">
        <f>COUNTIFS('GLOBAL LOG'!$D$6:$D$128,$C104,'GLOBAL LOG'!#REF!,"Med")</f>
        <v>#REF!</v>
      </c>
      <c r="P104" s="14" t="e">
        <f>COUNTIFS('GLOBAL LOG'!$D$6:$D$128,$C104,'GLOBAL LOG'!#REF!,"Low")</f>
        <v>#REF!</v>
      </c>
      <c r="Q104" s="14" t="e">
        <f>COUNTIFS('GLOBAL LOG'!$D$6:$D$128,$C104,'GLOBAL LOG'!#REF!,"High")</f>
        <v>#REF!</v>
      </c>
      <c r="R104" s="14" t="e">
        <f>COUNTIFS('GLOBAL LOG'!$D$6:$D$128,$C104,'GLOBAL LOG'!#REF!,"Med")</f>
        <v>#REF!</v>
      </c>
      <c r="S104" s="14" t="e">
        <f>COUNTIFS('GLOBAL LOG'!$D$6:$D$128,$C104,'GLOBAL LOG'!#REF!,"Low")</f>
        <v>#REF!</v>
      </c>
      <c r="T104" s="14" t="e">
        <f>COUNTIFS('GLOBAL LOG'!$D$6:$D$128,$C104,'GLOBAL LOG'!#REF!,"Completed")</f>
        <v>#REF!</v>
      </c>
      <c r="U104" s="14" t="e">
        <f>COUNTIFS('GLOBAL LOG'!$D$6:$D$128,$C104,'GLOBAL LOG'!#REF!,"Contracting")</f>
        <v>#REF!</v>
      </c>
      <c r="V104" s="14" t="e">
        <f>COUNTIFS('GLOBAL LOG'!$D$6:$D$128,$C104,'GLOBAL LOG'!#REF!,"Negotiations")</f>
        <v>#REF!</v>
      </c>
      <c r="W104" s="14" t="e">
        <f>COUNTIFS('GLOBAL LOG'!$D$6:$D$128,$C104,'GLOBAL LOG'!#REF!,"ICT")</f>
        <v>#REF!</v>
      </c>
      <c r="X104" s="14" t="e">
        <f>COUNTIFS('GLOBAL LOG'!$D$6:$D$128,$C104,'GLOBAL LOG'!#REF!,"Hopper")</f>
        <v>#REF!</v>
      </c>
      <c r="Y104" s="14">
        <f>SUMIF('GLOBAL LOG'!$D$6:$D$128,$C104,'GLOBAL LOG'!$Q$6:$Q$128)</f>
        <v>0</v>
      </c>
      <c r="Z104" s="14">
        <f>SUMIF('GLOBAL LOG'!$D$6:$D$128,$C104,'GLOBAL LOG'!$R$6:$R$128)</f>
        <v>0</v>
      </c>
      <c r="AA104" s="14">
        <f t="shared" si="2"/>
        <v>0</v>
      </c>
      <c r="AB104" s="14" t="e">
        <f>SUMIF('GLOBAL LOG'!$D$6:$D$128,C104,'GLOBAL LOG'!#REF!)</f>
        <v>#REF!</v>
      </c>
      <c r="AC104" s="6"/>
      <c r="AD104" s="14" t="str">
        <v>Lufthansa</v>
      </c>
      <c r="AE104" s="14" t="e">
        <v>#REF!</v>
      </c>
      <c r="AF104" s="6"/>
      <c r="AG104" s="14" t="str">
        <v>Lucky Air</v>
      </c>
      <c r="AH104" s="14">
        <v>0</v>
      </c>
      <c r="AI104" s="6"/>
      <c r="AJ104" s="14" t="str">
        <v>Lufthansa</v>
      </c>
      <c r="AK104" s="14">
        <v>0</v>
      </c>
      <c r="AL104" s="6"/>
      <c r="AM104" s="14" t="str">
        <v>Lucky Air</v>
      </c>
      <c r="AN104" s="14">
        <v>0</v>
      </c>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row>
    <row r="105" spans="2:97" s="4" customFormat="1" ht="14.65" hidden="1" customHeight="1">
      <c r="B105" s="6"/>
      <c r="C105" s="13" t="str">
        <v>MACQUARIE AIRCRAFT LEASING</v>
      </c>
      <c r="D105" s="14">
        <f>COUNTIFS('GLOBAL LOG'!$D$6:$D$128,C105,'GLOBAL LOG'!$K$6:$K$128,"&lt;&gt;")</f>
        <v>0</v>
      </c>
      <c r="E105" s="14" t="e">
        <f>COUNTIFS('GLOBAL LOG'!$D$6:$D$128,C105,'GLOBAL LOG'!#REF!,"Yes")</f>
        <v>#REF!</v>
      </c>
      <c r="F105" s="14" t="e">
        <f>SUMIF('GLOBAL LOG'!$D$6:$D$128,COUNT!C105,'GLOBAL LOG'!#REF!)</f>
        <v>#REF!</v>
      </c>
      <c r="G105" s="14">
        <f>COUNTIFS('GLOBAL LOG'!$E$6:$E$128,G$10,'GLOBAL LOG'!$D$6:$D$128,$C105)</f>
        <v>0</v>
      </c>
      <c r="H105" s="14">
        <f>COUNTIFS('GLOBAL LOG'!$E$6:$E$128,H$10,'GLOBAL LOG'!$D$6:$D$128,$C105)</f>
        <v>0</v>
      </c>
      <c r="I105" s="14">
        <f>COUNTIFS('GLOBAL LOG'!$E$6:$E$128,I$10,'GLOBAL LOG'!$D$6:$D$128,$C105)</f>
        <v>0</v>
      </c>
      <c r="J105" s="14">
        <f>COUNTIFS('GLOBAL LOG'!$E$6:$E$128,J$10,'GLOBAL LOG'!$D$6:$D$128,$C105)</f>
        <v>0</v>
      </c>
      <c r="K105" s="14">
        <f>COUNTIFS('GLOBAL LOG'!$E$6:$E$128,K$10,'GLOBAL LOG'!$D$6:$D$128,$C105)</f>
        <v>0</v>
      </c>
      <c r="L105" s="14">
        <f>COUNTIFS('GLOBAL LOG'!$E$6:$E$128,L$10,'GLOBAL LOG'!$D$6:$D$128,$C105)</f>
        <v>0</v>
      </c>
      <c r="M105" s="14">
        <f>COUNTIFS('GLOBAL LOG'!$E$6:$E$128,M$10,'GLOBAL LOG'!$D$6:$D$128,$C105)</f>
        <v>0</v>
      </c>
      <c r="N105" s="14" t="e">
        <f>COUNTIFS('GLOBAL LOG'!$D$6:$D$128,$C105,'GLOBAL LOG'!#REF!,"High")</f>
        <v>#REF!</v>
      </c>
      <c r="O105" s="14" t="e">
        <f>COUNTIFS('GLOBAL LOG'!$D$6:$D$128,$C105,'GLOBAL LOG'!#REF!,"Med")</f>
        <v>#REF!</v>
      </c>
      <c r="P105" s="14" t="e">
        <f>COUNTIFS('GLOBAL LOG'!$D$6:$D$128,$C105,'GLOBAL LOG'!#REF!,"Low")</f>
        <v>#REF!</v>
      </c>
      <c r="Q105" s="14" t="e">
        <f>COUNTIFS('GLOBAL LOG'!$D$6:$D$128,$C105,'GLOBAL LOG'!#REF!,"High")</f>
        <v>#REF!</v>
      </c>
      <c r="R105" s="14" t="e">
        <f>COUNTIFS('GLOBAL LOG'!$D$6:$D$128,$C105,'GLOBAL LOG'!#REF!,"Med")</f>
        <v>#REF!</v>
      </c>
      <c r="S105" s="14" t="e">
        <f>COUNTIFS('GLOBAL LOG'!$D$6:$D$128,$C105,'GLOBAL LOG'!#REF!,"Low")</f>
        <v>#REF!</v>
      </c>
      <c r="T105" s="14" t="e">
        <f>COUNTIFS('GLOBAL LOG'!$D$6:$D$128,$C105,'GLOBAL LOG'!#REF!,"Completed")</f>
        <v>#REF!</v>
      </c>
      <c r="U105" s="14" t="e">
        <f>COUNTIFS('GLOBAL LOG'!$D$6:$D$128,$C105,'GLOBAL LOG'!#REF!,"Contracting")</f>
        <v>#REF!</v>
      </c>
      <c r="V105" s="14" t="e">
        <f>COUNTIFS('GLOBAL LOG'!$D$6:$D$128,$C105,'GLOBAL LOG'!#REF!,"Negotiations")</f>
        <v>#REF!</v>
      </c>
      <c r="W105" s="14" t="e">
        <f>COUNTIFS('GLOBAL LOG'!$D$6:$D$128,$C105,'GLOBAL LOG'!#REF!,"ICT")</f>
        <v>#REF!</v>
      </c>
      <c r="X105" s="14" t="e">
        <f>COUNTIFS('GLOBAL LOG'!$D$6:$D$128,$C105,'GLOBAL LOG'!#REF!,"Hopper")</f>
        <v>#REF!</v>
      </c>
      <c r="Y105" s="14">
        <f>SUMIF('GLOBAL LOG'!$D$6:$D$128,$C105,'GLOBAL LOG'!$Q$6:$Q$128)</f>
        <v>0</v>
      </c>
      <c r="Z105" s="14">
        <f>SUMIF('GLOBAL LOG'!$D$6:$D$128,$C105,'GLOBAL LOG'!$R$6:$R$128)</f>
        <v>0</v>
      </c>
      <c r="AA105" s="14">
        <f t="shared" si="2"/>
        <v>0</v>
      </c>
      <c r="AB105" s="14" t="e">
        <f>SUMIF('GLOBAL LOG'!$D$6:$D$128,C105,'GLOBAL LOG'!#REF!)</f>
        <v>#REF!</v>
      </c>
      <c r="AC105" s="6"/>
      <c r="AD105" s="14" t="str">
        <v>MACQUARIE AIRCRAFT LEASING</v>
      </c>
      <c r="AE105" s="14" t="e">
        <v>#REF!</v>
      </c>
      <c r="AF105" s="6"/>
      <c r="AG105" s="14" t="str">
        <v>Lufthansa</v>
      </c>
      <c r="AH105" s="14">
        <v>0</v>
      </c>
      <c r="AI105" s="6"/>
      <c r="AJ105" s="14" t="str">
        <v>MACQUARIE AIRCRAFT LEASING</v>
      </c>
      <c r="AK105" s="14">
        <v>0</v>
      </c>
      <c r="AL105" s="6"/>
      <c r="AM105" s="14" t="str">
        <v>Lufthansa</v>
      </c>
      <c r="AN105" s="14">
        <v>0</v>
      </c>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row>
    <row r="106" spans="2:97" s="4" customFormat="1" ht="14.65" hidden="1" customHeight="1">
      <c r="B106" s="6"/>
      <c r="C106" s="13" t="str">
        <v>Malaysia Airlines</v>
      </c>
      <c r="D106" s="14">
        <f>COUNTIFS('GLOBAL LOG'!$D$6:$D$128,C106,'GLOBAL LOG'!$K$6:$K$128,"&lt;&gt;")</f>
        <v>0</v>
      </c>
      <c r="E106" s="14" t="e">
        <f>COUNTIFS('GLOBAL LOG'!$D$6:$D$128,C106,'GLOBAL LOG'!#REF!,"Yes")</f>
        <v>#REF!</v>
      </c>
      <c r="F106" s="14" t="e">
        <f>SUMIF('GLOBAL LOG'!$D$6:$D$128,COUNT!C106,'GLOBAL LOG'!#REF!)</f>
        <v>#REF!</v>
      </c>
      <c r="G106" s="14">
        <f>COUNTIFS('GLOBAL LOG'!$E$6:$E$128,G$10,'GLOBAL LOG'!$D$6:$D$128,$C106)</f>
        <v>0</v>
      </c>
      <c r="H106" s="14">
        <f>COUNTIFS('GLOBAL LOG'!$E$6:$E$128,H$10,'GLOBAL LOG'!$D$6:$D$128,$C106)</f>
        <v>0</v>
      </c>
      <c r="I106" s="14">
        <f>COUNTIFS('GLOBAL LOG'!$E$6:$E$128,I$10,'GLOBAL LOG'!$D$6:$D$128,$C106)</f>
        <v>0</v>
      </c>
      <c r="J106" s="14">
        <f>COUNTIFS('GLOBAL LOG'!$E$6:$E$128,J$10,'GLOBAL LOG'!$D$6:$D$128,$C106)</f>
        <v>0</v>
      </c>
      <c r="K106" s="14">
        <f>COUNTIFS('GLOBAL LOG'!$E$6:$E$128,K$10,'GLOBAL LOG'!$D$6:$D$128,$C106)</f>
        <v>0</v>
      </c>
      <c r="L106" s="14">
        <f>COUNTIFS('GLOBAL LOG'!$E$6:$E$128,L$10,'GLOBAL LOG'!$D$6:$D$128,$C106)</f>
        <v>0</v>
      </c>
      <c r="M106" s="14">
        <f>COUNTIFS('GLOBAL LOG'!$E$6:$E$128,M$10,'GLOBAL LOG'!$D$6:$D$128,$C106)</f>
        <v>0</v>
      </c>
      <c r="N106" s="14" t="e">
        <f>COUNTIFS('GLOBAL LOG'!$D$6:$D$128,$C106,'GLOBAL LOG'!#REF!,"High")</f>
        <v>#REF!</v>
      </c>
      <c r="O106" s="14" t="e">
        <f>COUNTIFS('GLOBAL LOG'!$D$6:$D$128,$C106,'GLOBAL LOG'!#REF!,"Med")</f>
        <v>#REF!</v>
      </c>
      <c r="P106" s="14" t="e">
        <f>COUNTIFS('GLOBAL LOG'!$D$6:$D$128,$C106,'GLOBAL LOG'!#REF!,"Low")</f>
        <v>#REF!</v>
      </c>
      <c r="Q106" s="14" t="e">
        <f>COUNTIFS('GLOBAL LOG'!$D$6:$D$128,$C106,'GLOBAL LOG'!#REF!,"High")</f>
        <v>#REF!</v>
      </c>
      <c r="R106" s="14" t="e">
        <f>COUNTIFS('GLOBAL LOG'!$D$6:$D$128,$C106,'GLOBAL LOG'!#REF!,"Med")</f>
        <v>#REF!</v>
      </c>
      <c r="S106" s="14" t="e">
        <f>COUNTIFS('GLOBAL LOG'!$D$6:$D$128,$C106,'GLOBAL LOG'!#REF!,"Low")</f>
        <v>#REF!</v>
      </c>
      <c r="T106" s="14" t="e">
        <f>COUNTIFS('GLOBAL LOG'!$D$6:$D$128,$C106,'GLOBAL LOG'!#REF!,"Completed")</f>
        <v>#REF!</v>
      </c>
      <c r="U106" s="14" t="e">
        <f>COUNTIFS('GLOBAL LOG'!$D$6:$D$128,$C106,'GLOBAL LOG'!#REF!,"Contracting")</f>
        <v>#REF!</v>
      </c>
      <c r="V106" s="14" t="e">
        <f>COUNTIFS('GLOBAL LOG'!$D$6:$D$128,$C106,'GLOBAL LOG'!#REF!,"Negotiations")</f>
        <v>#REF!</v>
      </c>
      <c r="W106" s="14" t="e">
        <f>COUNTIFS('GLOBAL LOG'!$D$6:$D$128,$C106,'GLOBAL LOG'!#REF!,"ICT")</f>
        <v>#REF!</v>
      </c>
      <c r="X106" s="14" t="e">
        <f>COUNTIFS('GLOBAL LOG'!$D$6:$D$128,$C106,'GLOBAL LOG'!#REF!,"Hopper")</f>
        <v>#REF!</v>
      </c>
      <c r="Y106" s="14">
        <f>SUMIF('GLOBAL LOG'!$D$6:$D$128,$C106,'GLOBAL LOG'!$Q$6:$Q$128)</f>
        <v>0</v>
      </c>
      <c r="Z106" s="14">
        <f>SUMIF('GLOBAL LOG'!$D$6:$D$128,$C106,'GLOBAL LOG'!$R$6:$R$128)</f>
        <v>0</v>
      </c>
      <c r="AA106" s="14">
        <f t="shared" si="2"/>
        <v>0</v>
      </c>
      <c r="AB106" s="14" t="e">
        <f>SUMIF('GLOBAL LOG'!$D$6:$D$128,C106,'GLOBAL LOG'!#REF!)</f>
        <v>#REF!</v>
      </c>
      <c r="AC106" s="6"/>
      <c r="AD106" s="14" t="str">
        <v>Malaysia Airlines</v>
      </c>
      <c r="AE106" s="14" t="e">
        <v>#REF!</v>
      </c>
      <c r="AF106" s="6"/>
      <c r="AG106" s="14" t="str">
        <v>MACQUARIE AIRCRAFT LEASING</v>
      </c>
      <c r="AH106" s="14">
        <v>0</v>
      </c>
      <c r="AI106" s="6"/>
      <c r="AJ106" s="14" t="str">
        <v>Malaysia Airlines</v>
      </c>
      <c r="AK106" s="14">
        <v>0</v>
      </c>
      <c r="AL106" s="6"/>
      <c r="AM106" s="14" t="str">
        <v>MACQUARIE AIRCRAFT LEASING</v>
      </c>
      <c r="AN106" s="14">
        <v>0</v>
      </c>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row>
    <row r="107" spans="2:97" s="4" customFormat="1" ht="14.65" hidden="1" customHeight="1">
      <c r="B107" s="6"/>
      <c r="C107" s="13" t="str">
        <v>MasAir</v>
      </c>
      <c r="D107" s="14">
        <f>COUNTIFS('GLOBAL LOG'!$D$6:$D$128,C107,'GLOBAL LOG'!$K$6:$K$128,"&lt;&gt;")</f>
        <v>0</v>
      </c>
      <c r="E107" s="14" t="e">
        <f>COUNTIFS('GLOBAL LOG'!$D$6:$D$128,C107,'GLOBAL LOG'!#REF!,"Yes")</f>
        <v>#REF!</v>
      </c>
      <c r="F107" s="14" t="e">
        <f>SUMIF('GLOBAL LOG'!$D$6:$D$128,COUNT!C107,'GLOBAL LOG'!#REF!)</f>
        <v>#REF!</v>
      </c>
      <c r="G107" s="14">
        <f>COUNTIFS('GLOBAL LOG'!$E$6:$E$128,G$10,'GLOBAL LOG'!$D$6:$D$128,$C107)</f>
        <v>0</v>
      </c>
      <c r="H107" s="14">
        <f>COUNTIFS('GLOBAL LOG'!$E$6:$E$128,H$10,'GLOBAL LOG'!$D$6:$D$128,$C107)</f>
        <v>0</v>
      </c>
      <c r="I107" s="14">
        <f>COUNTIFS('GLOBAL LOG'!$E$6:$E$128,I$10,'GLOBAL LOG'!$D$6:$D$128,$C107)</f>
        <v>0</v>
      </c>
      <c r="J107" s="14">
        <f>COUNTIFS('GLOBAL LOG'!$E$6:$E$128,J$10,'GLOBAL LOG'!$D$6:$D$128,$C107)</f>
        <v>0</v>
      </c>
      <c r="K107" s="14">
        <f>COUNTIFS('GLOBAL LOG'!$E$6:$E$128,K$10,'GLOBAL LOG'!$D$6:$D$128,$C107)</f>
        <v>0</v>
      </c>
      <c r="L107" s="14">
        <f>COUNTIFS('GLOBAL LOG'!$E$6:$E$128,L$10,'GLOBAL LOG'!$D$6:$D$128,$C107)</f>
        <v>0</v>
      </c>
      <c r="M107" s="14">
        <f>COUNTIFS('GLOBAL LOG'!$E$6:$E$128,M$10,'GLOBAL LOG'!$D$6:$D$128,$C107)</f>
        <v>0</v>
      </c>
      <c r="N107" s="14" t="e">
        <f>COUNTIFS('GLOBAL LOG'!$D$6:$D$128,$C107,'GLOBAL LOG'!#REF!,"High")</f>
        <v>#REF!</v>
      </c>
      <c r="O107" s="14" t="e">
        <f>COUNTIFS('GLOBAL LOG'!$D$6:$D$128,$C107,'GLOBAL LOG'!#REF!,"Med")</f>
        <v>#REF!</v>
      </c>
      <c r="P107" s="14" t="e">
        <f>COUNTIFS('GLOBAL LOG'!$D$6:$D$128,$C107,'GLOBAL LOG'!#REF!,"Low")</f>
        <v>#REF!</v>
      </c>
      <c r="Q107" s="14" t="e">
        <f>COUNTIFS('GLOBAL LOG'!$D$6:$D$128,$C107,'GLOBAL LOG'!#REF!,"High")</f>
        <v>#REF!</v>
      </c>
      <c r="R107" s="14" t="e">
        <f>COUNTIFS('GLOBAL LOG'!$D$6:$D$128,$C107,'GLOBAL LOG'!#REF!,"Med")</f>
        <v>#REF!</v>
      </c>
      <c r="S107" s="14" t="e">
        <f>COUNTIFS('GLOBAL LOG'!$D$6:$D$128,$C107,'GLOBAL LOG'!#REF!,"Low")</f>
        <v>#REF!</v>
      </c>
      <c r="T107" s="14" t="e">
        <f>COUNTIFS('GLOBAL LOG'!$D$6:$D$128,$C107,'GLOBAL LOG'!#REF!,"Completed")</f>
        <v>#REF!</v>
      </c>
      <c r="U107" s="14" t="e">
        <f>COUNTIFS('GLOBAL LOG'!$D$6:$D$128,$C107,'GLOBAL LOG'!#REF!,"Contracting")</f>
        <v>#REF!</v>
      </c>
      <c r="V107" s="14" t="e">
        <f>COUNTIFS('GLOBAL LOG'!$D$6:$D$128,$C107,'GLOBAL LOG'!#REF!,"Negotiations")</f>
        <v>#REF!</v>
      </c>
      <c r="W107" s="14" t="e">
        <f>COUNTIFS('GLOBAL LOG'!$D$6:$D$128,$C107,'GLOBAL LOG'!#REF!,"ICT")</f>
        <v>#REF!</v>
      </c>
      <c r="X107" s="14" t="e">
        <f>COUNTIFS('GLOBAL LOG'!$D$6:$D$128,$C107,'GLOBAL LOG'!#REF!,"Hopper")</f>
        <v>#REF!</v>
      </c>
      <c r="Y107" s="14">
        <f>SUMIF('GLOBAL LOG'!$D$6:$D$128,$C107,'GLOBAL LOG'!$Q$6:$Q$128)</f>
        <v>0</v>
      </c>
      <c r="Z107" s="14">
        <f>SUMIF('GLOBAL LOG'!$D$6:$D$128,$C107,'GLOBAL LOG'!$R$6:$R$128)</f>
        <v>0</v>
      </c>
      <c r="AA107" s="14">
        <f t="shared" si="2"/>
        <v>0</v>
      </c>
      <c r="AB107" s="14" t="e">
        <f>SUMIF('GLOBAL LOG'!$D$6:$D$128,C107,'GLOBAL LOG'!#REF!)</f>
        <v>#REF!</v>
      </c>
      <c r="AC107" s="6"/>
      <c r="AD107" s="14" t="str">
        <v>MasAir</v>
      </c>
      <c r="AE107" s="14" t="e">
        <v>#REF!</v>
      </c>
      <c r="AF107" s="6"/>
      <c r="AG107" s="14" t="str">
        <v>Malaysia Airlines</v>
      </c>
      <c r="AH107" s="14">
        <v>0</v>
      </c>
      <c r="AI107" s="6"/>
      <c r="AJ107" s="14" t="str">
        <v>MasAir</v>
      </c>
      <c r="AK107" s="14">
        <v>0</v>
      </c>
      <c r="AL107" s="6"/>
      <c r="AM107" s="14" t="str">
        <v>Malaysia Airlines</v>
      </c>
      <c r="AN107" s="14">
        <v>0</v>
      </c>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row>
    <row r="108" spans="2:97" s="4" customFormat="1" ht="14.65" hidden="1" customHeight="1">
      <c r="B108" s="6"/>
      <c r="C108" s="13" t="str">
        <v>Middle East Airlines</v>
      </c>
      <c r="D108" s="14">
        <f>COUNTIFS('GLOBAL LOG'!$D$6:$D$128,C108,'GLOBAL LOG'!$K$6:$K$128,"&lt;&gt;")</f>
        <v>0</v>
      </c>
      <c r="E108" s="14" t="e">
        <f>COUNTIFS('GLOBAL LOG'!$D$6:$D$128,C108,'GLOBAL LOG'!#REF!,"Yes")</f>
        <v>#REF!</v>
      </c>
      <c r="F108" s="14" t="e">
        <f>SUMIF('GLOBAL LOG'!$D$6:$D$128,COUNT!C108,'GLOBAL LOG'!#REF!)</f>
        <v>#REF!</v>
      </c>
      <c r="G108" s="14">
        <f>COUNTIFS('GLOBAL LOG'!$E$6:$E$128,G$10,'GLOBAL LOG'!$D$6:$D$128,$C108)</f>
        <v>0</v>
      </c>
      <c r="H108" s="14">
        <f>COUNTIFS('GLOBAL LOG'!$E$6:$E$128,H$10,'GLOBAL LOG'!$D$6:$D$128,$C108)</f>
        <v>0</v>
      </c>
      <c r="I108" s="14">
        <f>COUNTIFS('GLOBAL LOG'!$E$6:$E$128,I$10,'GLOBAL LOG'!$D$6:$D$128,$C108)</f>
        <v>0</v>
      </c>
      <c r="J108" s="14">
        <f>COUNTIFS('GLOBAL LOG'!$E$6:$E$128,J$10,'GLOBAL LOG'!$D$6:$D$128,$C108)</f>
        <v>0</v>
      </c>
      <c r="K108" s="14">
        <f>COUNTIFS('GLOBAL LOG'!$E$6:$E$128,K$10,'GLOBAL LOG'!$D$6:$D$128,$C108)</f>
        <v>0</v>
      </c>
      <c r="L108" s="14">
        <f>COUNTIFS('GLOBAL LOG'!$E$6:$E$128,L$10,'GLOBAL LOG'!$D$6:$D$128,$C108)</f>
        <v>0</v>
      </c>
      <c r="M108" s="14">
        <f>COUNTIFS('GLOBAL LOG'!$E$6:$E$128,M$10,'GLOBAL LOG'!$D$6:$D$128,$C108)</f>
        <v>0</v>
      </c>
      <c r="N108" s="14" t="e">
        <f>COUNTIFS('GLOBAL LOG'!$D$6:$D$128,$C108,'GLOBAL LOG'!#REF!,"High")</f>
        <v>#REF!</v>
      </c>
      <c r="O108" s="14" t="e">
        <f>COUNTIFS('GLOBAL LOG'!$D$6:$D$128,$C108,'GLOBAL LOG'!#REF!,"Med")</f>
        <v>#REF!</v>
      </c>
      <c r="P108" s="14" t="e">
        <f>COUNTIFS('GLOBAL LOG'!$D$6:$D$128,$C108,'GLOBAL LOG'!#REF!,"Low")</f>
        <v>#REF!</v>
      </c>
      <c r="Q108" s="14" t="e">
        <f>COUNTIFS('GLOBAL LOG'!$D$6:$D$128,$C108,'GLOBAL LOG'!#REF!,"High")</f>
        <v>#REF!</v>
      </c>
      <c r="R108" s="14" t="e">
        <f>COUNTIFS('GLOBAL LOG'!$D$6:$D$128,$C108,'GLOBAL LOG'!#REF!,"Med")</f>
        <v>#REF!</v>
      </c>
      <c r="S108" s="14" t="e">
        <f>COUNTIFS('GLOBAL LOG'!$D$6:$D$128,$C108,'GLOBAL LOG'!#REF!,"Low")</f>
        <v>#REF!</v>
      </c>
      <c r="T108" s="14" t="e">
        <f>COUNTIFS('GLOBAL LOG'!$D$6:$D$128,$C108,'GLOBAL LOG'!#REF!,"Completed")</f>
        <v>#REF!</v>
      </c>
      <c r="U108" s="14" t="e">
        <f>COUNTIFS('GLOBAL LOG'!$D$6:$D$128,$C108,'GLOBAL LOG'!#REF!,"Contracting")</f>
        <v>#REF!</v>
      </c>
      <c r="V108" s="14" t="e">
        <f>COUNTIFS('GLOBAL LOG'!$D$6:$D$128,$C108,'GLOBAL LOG'!#REF!,"Negotiations")</f>
        <v>#REF!</v>
      </c>
      <c r="W108" s="14" t="e">
        <f>COUNTIFS('GLOBAL LOG'!$D$6:$D$128,$C108,'GLOBAL LOG'!#REF!,"ICT")</f>
        <v>#REF!</v>
      </c>
      <c r="X108" s="14" t="e">
        <f>COUNTIFS('GLOBAL LOG'!$D$6:$D$128,$C108,'GLOBAL LOG'!#REF!,"Hopper")</f>
        <v>#REF!</v>
      </c>
      <c r="Y108" s="14">
        <f>SUMIF('GLOBAL LOG'!$D$6:$D$128,$C108,'GLOBAL LOG'!$Q$6:$Q$128)</f>
        <v>0</v>
      </c>
      <c r="Z108" s="14">
        <f>SUMIF('GLOBAL LOG'!$D$6:$D$128,$C108,'GLOBAL LOG'!$R$6:$R$128)</f>
        <v>0</v>
      </c>
      <c r="AA108" s="14">
        <f t="shared" si="2"/>
        <v>0</v>
      </c>
      <c r="AB108" s="14" t="e">
        <f>SUMIF('GLOBAL LOG'!$D$6:$D$128,C108,'GLOBAL LOG'!#REF!)</f>
        <v>#REF!</v>
      </c>
      <c r="AC108" s="6"/>
      <c r="AD108" s="14" t="str">
        <v>Middle East Airlines</v>
      </c>
      <c r="AE108" s="14" t="e">
        <v>#REF!</v>
      </c>
      <c r="AF108" s="6"/>
      <c r="AG108" s="14" t="str">
        <v>MasAir</v>
      </c>
      <c r="AH108" s="14">
        <v>0</v>
      </c>
      <c r="AI108" s="6"/>
      <c r="AJ108" s="14" t="str">
        <v>Middle East Airlines</v>
      </c>
      <c r="AK108" s="14">
        <v>0</v>
      </c>
      <c r="AL108" s="6"/>
      <c r="AM108" s="14" t="str">
        <v>MasAir</v>
      </c>
      <c r="AN108" s="14">
        <v>0</v>
      </c>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row>
    <row r="109" spans="2:97" s="4" customFormat="1" ht="14.65" hidden="1" customHeight="1">
      <c r="B109" s="6"/>
      <c r="C109" s="13" t="str">
        <v>MNG Airlines</v>
      </c>
      <c r="D109" s="14">
        <f>COUNTIFS('GLOBAL LOG'!$D$6:$D$128,C109,'GLOBAL LOG'!$K$6:$K$128,"&lt;&gt;")</f>
        <v>0</v>
      </c>
      <c r="E109" s="14" t="e">
        <f>COUNTIFS('GLOBAL LOG'!$D$6:$D$128,C109,'GLOBAL LOG'!#REF!,"Yes")</f>
        <v>#REF!</v>
      </c>
      <c r="F109" s="14" t="e">
        <f>SUMIF('GLOBAL LOG'!$D$6:$D$128,COUNT!C109,'GLOBAL LOG'!#REF!)</f>
        <v>#REF!</v>
      </c>
      <c r="G109" s="14">
        <f>COUNTIFS('GLOBAL LOG'!$E$6:$E$128,G$10,'GLOBAL LOG'!$D$6:$D$128,$C109)</f>
        <v>0</v>
      </c>
      <c r="H109" s="14">
        <f>COUNTIFS('GLOBAL LOG'!$E$6:$E$128,H$10,'GLOBAL LOG'!$D$6:$D$128,$C109)</f>
        <v>0</v>
      </c>
      <c r="I109" s="14">
        <f>COUNTIFS('GLOBAL LOG'!$E$6:$E$128,I$10,'GLOBAL LOG'!$D$6:$D$128,$C109)</f>
        <v>0</v>
      </c>
      <c r="J109" s="14">
        <f>COUNTIFS('GLOBAL LOG'!$E$6:$E$128,J$10,'GLOBAL LOG'!$D$6:$D$128,$C109)</f>
        <v>0</v>
      </c>
      <c r="K109" s="14">
        <f>COUNTIFS('GLOBAL LOG'!$E$6:$E$128,K$10,'GLOBAL LOG'!$D$6:$D$128,$C109)</f>
        <v>0</v>
      </c>
      <c r="L109" s="14">
        <f>COUNTIFS('GLOBAL LOG'!$E$6:$E$128,L$10,'GLOBAL LOG'!$D$6:$D$128,$C109)</f>
        <v>0</v>
      </c>
      <c r="M109" s="14">
        <f>COUNTIFS('GLOBAL LOG'!$E$6:$E$128,M$10,'GLOBAL LOG'!$D$6:$D$128,$C109)</f>
        <v>0</v>
      </c>
      <c r="N109" s="14" t="e">
        <f>COUNTIFS('GLOBAL LOG'!$D$6:$D$128,$C109,'GLOBAL LOG'!#REF!,"High")</f>
        <v>#REF!</v>
      </c>
      <c r="O109" s="14" t="e">
        <f>COUNTIFS('GLOBAL LOG'!$D$6:$D$128,$C109,'GLOBAL LOG'!#REF!,"Med")</f>
        <v>#REF!</v>
      </c>
      <c r="P109" s="14" t="e">
        <f>COUNTIFS('GLOBAL LOG'!$D$6:$D$128,$C109,'GLOBAL LOG'!#REF!,"Low")</f>
        <v>#REF!</v>
      </c>
      <c r="Q109" s="14" t="e">
        <f>COUNTIFS('GLOBAL LOG'!$D$6:$D$128,$C109,'GLOBAL LOG'!#REF!,"High")</f>
        <v>#REF!</v>
      </c>
      <c r="R109" s="14" t="e">
        <f>COUNTIFS('GLOBAL LOG'!$D$6:$D$128,$C109,'GLOBAL LOG'!#REF!,"Med")</f>
        <v>#REF!</v>
      </c>
      <c r="S109" s="14" t="e">
        <f>COUNTIFS('GLOBAL LOG'!$D$6:$D$128,$C109,'GLOBAL LOG'!#REF!,"Low")</f>
        <v>#REF!</v>
      </c>
      <c r="T109" s="14" t="e">
        <f>COUNTIFS('GLOBAL LOG'!$D$6:$D$128,$C109,'GLOBAL LOG'!#REF!,"Completed")</f>
        <v>#REF!</v>
      </c>
      <c r="U109" s="14" t="e">
        <f>COUNTIFS('GLOBAL LOG'!$D$6:$D$128,$C109,'GLOBAL LOG'!#REF!,"Contracting")</f>
        <v>#REF!</v>
      </c>
      <c r="V109" s="14" t="e">
        <f>COUNTIFS('GLOBAL LOG'!$D$6:$D$128,$C109,'GLOBAL LOG'!#REF!,"Negotiations")</f>
        <v>#REF!</v>
      </c>
      <c r="W109" s="14" t="e">
        <f>COUNTIFS('GLOBAL LOG'!$D$6:$D$128,$C109,'GLOBAL LOG'!#REF!,"ICT")</f>
        <v>#REF!</v>
      </c>
      <c r="X109" s="14" t="e">
        <f>COUNTIFS('GLOBAL LOG'!$D$6:$D$128,$C109,'GLOBAL LOG'!#REF!,"Hopper")</f>
        <v>#REF!</v>
      </c>
      <c r="Y109" s="14">
        <f>SUMIF('GLOBAL LOG'!$D$6:$D$128,$C109,'GLOBAL LOG'!$Q$6:$Q$128)</f>
        <v>0</v>
      </c>
      <c r="Z109" s="14">
        <f>SUMIF('GLOBAL LOG'!$D$6:$D$128,$C109,'GLOBAL LOG'!$R$6:$R$128)</f>
        <v>0</v>
      </c>
      <c r="AA109" s="14">
        <f t="shared" si="2"/>
        <v>0</v>
      </c>
      <c r="AB109" s="14" t="e">
        <f>SUMIF('GLOBAL LOG'!$D$6:$D$128,C109,'GLOBAL LOG'!#REF!)</f>
        <v>#REF!</v>
      </c>
      <c r="AC109" s="6"/>
      <c r="AD109" s="14" t="str">
        <v>MNG Airlines</v>
      </c>
      <c r="AE109" s="14" t="e">
        <v>#REF!</v>
      </c>
      <c r="AF109" s="6"/>
      <c r="AG109" s="14" t="str">
        <v>Middle East Airlines</v>
      </c>
      <c r="AH109" s="14">
        <v>0</v>
      </c>
      <c r="AI109" s="6"/>
      <c r="AJ109" s="14" t="str">
        <v>MNG Airlines</v>
      </c>
      <c r="AK109" s="14">
        <v>0</v>
      </c>
      <c r="AL109" s="6"/>
      <c r="AM109" s="14" t="str">
        <v>Middle East Airlines</v>
      </c>
      <c r="AN109" s="14">
        <v>0</v>
      </c>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row>
    <row r="110" spans="2:97" s="4" customFormat="1" ht="14.65" hidden="1" customHeight="1">
      <c r="B110" s="6"/>
      <c r="C110" s="13" t="str">
        <v>Mozambique</v>
      </c>
      <c r="D110" s="14">
        <f>COUNTIFS('GLOBAL LOG'!$D$6:$D$128,C110,'GLOBAL LOG'!$K$6:$K$128,"&lt;&gt;")</f>
        <v>0</v>
      </c>
      <c r="E110" s="14" t="e">
        <f>COUNTIFS('GLOBAL LOG'!$D$6:$D$128,C110,'GLOBAL LOG'!#REF!,"Yes")</f>
        <v>#REF!</v>
      </c>
      <c r="F110" s="14" t="e">
        <f>SUMIF('GLOBAL LOG'!$D$6:$D$128,COUNT!C110,'GLOBAL LOG'!#REF!)</f>
        <v>#REF!</v>
      </c>
      <c r="G110" s="14">
        <f>COUNTIFS('GLOBAL LOG'!$E$6:$E$128,G$10,'GLOBAL LOG'!$D$6:$D$128,$C110)</f>
        <v>0</v>
      </c>
      <c r="H110" s="14">
        <f>COUNTIFS('GLOBAL LOG'!$E$6:$E$128,H$10,'GLOBAL LOG'!$D$6:$D$128,$C110)</f>
        <v>0</v>
      </c>
      <c r="I110" s="14">
        <f>COUNTIFS('GLOBAL LOG'!$E$6:$E$128,I$10,'GLOBAL LOG'!$D$6:$D$128,$C110)</f>
        <v>0</v>
      </c>
      <c r="J110" s="14">
        <f>COUNTIFS('GLOBAL LOG'!$E$6:$E$128,J$10,'GLOBAL LOG'!$D$6:$D$128,$C110)</f>
        <v>0</v>
      </c>
      <c r="K110" s="14">
        <f>COUNTIFS('GLOBAL LOG'!$E$6:$E$128,K$10,'GLOBAL LOG'!$D$6:$D$128,$C110)</f>
        <v>0</v>
      </c>
      <c r="L110" s="14">
        <f>COUNTIFS('GLOBAL LOG'!$E$6:$E$128,L$10,'GLOBAL LOG'!$D$6:$D$128,$C110)</f>
        <v>0</v>
      </c>
      <c r="M110" s="14">
        <f>COUNTIFS('GLOBAL LOG'!$E$6:$E$128,M$10,'GLOBAL LOG'!$D$6:$D$128,$C110)</f>
        <v>0</v>
      </c>
      <c r="N110" s="14" t="e">
        <f>COUNTIFS('GLOBAL LOG'!$D$6:$D$128,$C110,'GLOBAL LOG'!#REF!,"High")</f>
        <v>#REF!</v>
      </c>
      <c r="O110" s="14" t="e">
        <f>COUNTIFS('GLOBAL LOG'!$D$6:$D$128,$C110,'GLOBAL LOG'!#REF!,"Med")</f>
        <v>#REF!</v>
      </c>
      <c r="P110" s="14" t="e">
        <f>COUNTIFS('GLOBAL LOG'!$D$6:$D$128,$C110,'GLOBAL LOG'!#REF!,"Low")</f>
        <v>#REF!</v>
      </c>
      <c r="Q110" s="14" t="e">
        <f>COUNTIFS('GLOBAL LOG'!$D$6:$D$128,$C110,'GLOBAL LOG'!#REF!,"High")</f>
        <v>#REF!</v>
      </c>
      <c r="R110" s="14" t="e">
        <f>COUNTIFS('GLOBAL LOG'!$D$6:$D$128,$C110,'GLOBAL LOG'!#REF!,"Med")</f>
        <v>#REF!</v>
      </c>
      <c r="S110" s="14" t="e">
        <f>COUNTIFS('GLOBAL LOG'!$D$6:$D$128,$C110,'GLOBAL LOG'!#REF!,"Low")</f>
        <v>#REF!</v>
      </c>
      <c r="T110" s="14" t="e">
        <f>COUNTIFS('GLOBAL LOG'!$D$6:$D$128,$C110,'GLOBAL LOG'!#REF!,"Completed")</f>
        <v>#REF!</v>
      </c>
      <c r="U110" s="14" t="e">
        <f>COUNTIFS('GLOBAL LOG'!$D$6:$D$128,$C110,'GLOBAL LOG'!#REF!,"Contracting")</f>
        <v>#REF!</v>
      </c>
      <c r="V110" s="14" t="e">
        <f>COUNTIFS('GLOBAL LOG'!$D$6:$D$128,$C110,'GLOBAL LOG'!#REF!,"Negotiations")</f>
        <v>#REF!</v>
      </c>
      <c r="W110" s="14" t="e">
        <f>COUNTIFS('GLOBAL LOG'!$D$6:$D$128,$C110,'GLOBAL LOG'!#REF!,"ICT")</f>
        <v>#REF!</v>
      </c>
      <c r="X110" s="14" t="e">
        <f>COUNTIFS('GLOBAL LOG'!$D$6:$D$128,$C110,'GLOBAL LOG'!#REF!,"Hopper")</f>
        <v>#REF!</v>
      </c>
      <c r="Y110" s="14">
        <f>SUMIF('GLOBAL LOG'!$D$6:$D$128,$C110,'GLOBAL LOG'!$Q$6:$Q$128)</f>
        <v>0</v>
      </c>
      <c r="Z110" s="14">
        <f>SUMIF('GLOBAL LOG'!$D$6:$D$128,$C110,'GLOBAL LOG'!$R$6:$R$128)</f>
        <v>0</v>
      </c>
      <c r="AA110" s="14">
        <f t="shared" si="2"/>
        <v>0</v>
      </c>
      <c r="AB110" s="14" t="e">
        <f>SUMIF('GLOBAL LOG'!$D$6:$D$128,C110,'GLOBAL LOG'!#REF!)</f>
        <v>#REF!</v>
      </c>
      <c r="AC110" s="6"/>
      <c r="AD110" s="14" t="str">
        <v>Mozambique</v>
      </c>
      <c r="AE110" s="14" t="e">
        <v>#REF!</v>
      </c>
      <c r="AF110" s="6"/>
      <c r="AG110" s="14" t="str">
        <v>MNG Airlines</v>
      </c>
      <c r="AH110" s="14">
        <v>0</v>
      </c>
      <c r="AI110" s="6"/>
      <c r="AJ110" s="14" t="str">
        <v>Mozambique</v>
      </c>
      <c r="AK110" s="14">
        <v>0</v>
      </c>
      <c r="AL110" s="6"/>
      <c r="AM110" s="14" t="str">
        <v>MNG Airlines</v>
      </c>
      <c r="AN110" s="14">
        <v>0</v>
      </c>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row>
    <row r="111" spans="2:97" s="4" customFormat="1" ht="14.65" hidden="1" customHeight="1">
      <c r="B111" s="6"/>
      <c r="C111" s="13" t="str">
        <v>Neos SpA</v>
      </c>
      <c r="D111" s="14">
        <f>COUNTIFS('GLOBAL LOG'!$D$6:$D$128,C111,'GLOBAL LOG'!$K$6:$K$128,"&lt;&gt;")</f>
        <v>0</v>
      </c>
      <c r="E111" s="14" t="e">
        <f>COUNTIFS('GLOBAL LOG'!$D$6:$D$128,C111,'GLOBAL LOG'!#REF!,"Yes")</f>
        <v>#REF!</v>
      </c>
      <c r="F111" s="14" t="e">
        <f>SUMIF('GLOBAL LOG'!$D$6:$D$128,COUNT!C111,'GLOBAL LOG'!#REF!)</f>
        <v>#REF!</v>
      </c>
      <c r="G111" s="14">
        <f>COUNTIFS('GLOBAL LOG'!$E$6:$E$128,G$10,'GLOBAL LOG'!$D$6:$D$128,$C111)</f>
        <v>0</v>
      </c>
      <c r="H111" s="14">
        <f>COUNTIFS('GLOBAL LOG'!$E$6:$E$128,H$10,'GLOBAL LOG'!$D$6:$D$128,$C111)</f>
        <v>0</v>
      </c>
      <c r="I111" s="14">
        <f>COUNTIFS('GLOBAL LOG'!$E$6:$E$128,I$10,'GLOBAL LOG'!$D$6:$D$128,$C111)</f>
        <v>0</v>
      </c>
      <c r="J111" s="14">
        <f>COUNTIFS('GLOBAL LOG'!$E$6:$E$128,J$10,'GLOBAL LOG'!$D$6:$D$128,$C111)</f>
        <v>0</v>
      </c>
      <c r="K111" s="14">
        <f>COUNTIFS('GLOBAL LOG'!$E$6:$E$128,K$10,'GLOBAL LOG'!$D$6:$D$128,$C111)</f>
        <v>0</v>
      </c>
      <c r="L111" s="14">
        <f>COUNTIFS('GLOBAL LOG'!$E$6:$E$128,L$10,'GLOBAL LOG'!$D$6:$D$128,$C111)</f>
        <v>0</v>
      </c>
      <c r="M111" s="14">
        <f>COUNTIFS('GLOBAL LOG'!$E$6:$E$128,M$10,'GLOBAL LOG'!$D$6:$D$128,$C111)</f>
        <v>0</v>
      </c>
      <c r="N111" s="14" t="e">
        <f>COUNTIFS('GLOBAL LOG'!$D$6:$D$128,$C111,'GLOBAL LOG'!#REF!,"High")</f>
        <v>#REF!</v>
      </c>
      <c r="O111" s="14" t="e">
        <f>COUNTIFS('GLOBAL LOG'!$D$6:$D$128,$C111,'GLOBAL LOG'!#REF!,"Med")</f>
        <v>#REF!</v>
      </c>
      <c r="P111" s="14" t="e">
        <f>COUNTIFS('GLOBAL LOG'!$D$6:$D$128,$C111,'GLOBAL LOG'!#REF!,"Low")</f>
        <v>#REF!</v>
      </c>
      <c r="Q111" s="14" t="e">
        <f>COUNTIFS('GLOBAL LOG'!$D$6:$D$128,$C111,'GLOBAL LOG'!#REF!,"High")</f>
        <v>#REF!</v>
      </c>
      <c r="R111" s="14" t="e">
        <f>COUNTIFS('GLOBAL LOG'!$D$6:$D$128,$C111,'GLOBAL LOG'!#REF!,"Med")</f>
        <v>#REF!</v>
      </c>
      <c r="S111" s="14" t="e">
        <f>COUNTIFS('GLOBAL LOG'!$D$6:$D$128,$C111,'GLOBAL LOG'!#REF!,"Low")</f>
        <v>#REF!</v>
      </c>
      <c r="T111" s="14" t="e">
        <f>COUNTIFS('GLOBAL LOG'!$D$6:$D$128,$C111,'GLOBAL LOG'!#REF!,"Completed")</f>
        <v>#REF!</v>
      </c>
      <c r="U111" s="14" t="e">
        <f>COUNTIFS('GLOBAL LOG'!$D$6:$D$128,$C111,'GLOBAL LOG'!#REF!,"Contracting")</f>
        <v>#REF!</v>
      </c>
      <c r="V111" s="14" t="e">
        <f>COUNTIFS('GLOBAL LOG'!$D$6:$D$128,$C111,'GLOBAL LOG'!#REF!,"Negotiations")</f>
        <v>#REF!</v>
      </c>
      <c r="W111" s="14" t="e">
        <f>COUNTIFS('GLOBAL LOG'!$D$6:$D$128,$C111,'GLOBAL LOG'!#REF!,"ICT")</f>
        <v>#REF!</v>
      </c>
      <c r="X111" s="14" t="e">
        <f>COUNTIFS('GLOBAL LOG'!$D$6:$D$128,$C111,'GLOBAL LOG'!#REF!,"Hopper")</f>
        <v>#REF!</v>
      </c>
      <c r="Y111" s="14">
        <f>SUMIF('GLOBAL LOG'!$D$6:$D$128,$C111,'GLOBAL LOG'!$Q$6:$Q$128)</f>
        <v>0</v>
      </c>
      <c r="Z111" s="14">
        <f>SUMIF('GLOBAL LOG'!$D$6:$D$128,$C111,'GLOBAL LOG'!$R$6:$R$128)</f>
        <v>0</v>
      </c>
      <c r="AA111" s="14">
        <f t="shared" si="2"/>
        <v>0</v>
      </c>
      <c r="AB111" s="14" t="e">
        <f>SUMIF('GLOBAL LOG'!$D$6:$D$128,C111,'GLOBAL LOG'!#REF!)</f>
        <v>#REF!</v>
      </c>
      <c r="AC111" s="6"/>
      <c r="AD111" s="14" t="str">
        <v>Neos SpA</v>
      </c>
      <c r="AE111" s="14" t="e">
        <v>#REF!</v>
      </c>
      <c r="AF111" s="6"/>
      <c r="AG111" s="14" t="str">
        <v>Mozambique</v>
      </c>
      <c r="AH111" s="14">
        <v>0</v>
      </c>
      <c r="AI111" s="6"/>
      <c r="AJ111" s="14" t="str">
        <v>Neos SpA</v>
      </c>
      <c r="AK111" s="14">
        <v>0</v>
      </c>
      <c r="AL111" s="6"/>
      <c r="AM111" s="14" t="str">
        <v>Mozambique</v>
      </c>
      <c r="AN111" s="14">
        <v>0</v>
      </c>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row>
    <row r="112" spans="2:97" s="4" customFormat="1" ht="14.65" hidden="1" customHeight="1">
      <c r="B112" s="6"/>
      <c r="C112" s="13" t="str">
        <v>NokScoot</v>
      </c>
      <c r="D112" s="14">
        <f>COUNTIFS('GLOBAL LOG'!$D$6:$D$128,C112,'GLOBAL LOG'!$K$6:$K$128,"&lt;&gt;")</f>
        <v>0</v>
      </c>
      <c r="E112" s="14" t="e">
        <f>COUNTIFS('GLOBAL LOG'!$D$6:$D$128,C112,'GLOBAL LOG'!#REF!,"Yes")</f>
        <v>#REF!</v>
      </c>
      <c r="F112" s="14" t="e">
        <f>SUMIF('GLOBAL LOG'!$D$6:$D$128,COUNT!C112,'GLOBAL LOG'!#REF!)</f>
        <v>#REF!</v>
      </c>
      <c r="G112" s="14">
        <f>COUNTIFS('GLOBAL LOG'!$E$6:$E$128,G$10,'GLOBAL LOG'!$D$6:$D$128,$C112)</f>
        <v>0</v>
      </c>
      <c r="H112" s="14">
        <f>COUNTIFS('GLOBAL LOG'!$E$6:$E$128,H$10,'GLOBAL LOG'!$D$6:$D$128,$C112)</f>
        <v>0</v>
      </c>
      <c r="I112" s="14">
        <f>COUNTIFS('GLOBAL LOG'!$E$6:$E$128,I$10,'GLOBAL LOG'!$D$6:$D$128,$C112)</f>
        <v>0</v>
      </c>
      <c r="J112" s="14">
        <f>COUNTIFS('GLOBAL LOG'!$E$6:$E$128,J$10,'GLOBAL LOG'!$D$6:$D$128,$C112)</f>
        <v>0</v>
      </c>
      <c r="K112" s="14">
        <f>COUNTIFS('GLOBAL LOG'!$E$6:$E$128,K$10,'GLOBAL LOG'!$D$6:$D$128,$C112)</f>
        <v>0</v>
      </c>
      <c r="L112" s="14">
        <f>COUNTIFS('GLOBAL LOG'!$E$6:$E$128,L$10,'GLOBAL LOG'!$D$6:$D$128,$C112)</f>
        <v>0</v>
      </c>
      <c r="M112" s="14">
        <f>COUNTIFS('GLOBAL LOG'!$E$6:$E$128,M$10,'GLOBAL LOG'!$D$6:$D$128,$C112)</f>
        <v>0</v>
      </c>
      <c r="N112" s="14" t="e">
        <f>COUNTIFS('GLOBAL LOG'!$D$6:$D$128,$C112,'GLOBAL LOG'!#REF!,"High")</f>
        <v>#REF!</v>
      </c>
      <c r="O112" s="14" t="e">
        <f>COUNTIFS('GLOBAL LOG'!$D$6:$D$128,$C112,'GLOBAL LOG'!#REF!,"Med")</f>
        <v>#REF!</v>
      </c>
      <c r="P112" s="14" t="e">
        <f>COUNTIFS('GLOBAL LOG'!$D$6:$D$128,$C112,'GLOBAL LOG'!#REF!,"Low")</f>
        <v>#REF!</v>
      </c>
      <c r="Q112" s="14" t="e">
        <f>COUNTIFS('GLOBAL LOG'!$D$6:$D$128,$C112,'GLOBAL LOG'!#REF!,"High")</f>
        <v>#REF!</v>
      </c>
      <c r="R112" s="14" t="e">
        <f>COUNTIFS('GLOBAL LOG'!$D$6:$D$128,$C112,'GLOBAL LOG'!#REF!,"Med")</f>
        <v>#REF!</v>
      </c>
      <c r="S112" s="14" t="e">
        <f>COUNTIFS('GLOBAL LOG'!$D$6:$D$128,$C112,'GLOBAL LOG'!#REF!,"Low")</f>
        <v>#REF!</v>
      </c>
      <c r="T112" s="14" t="e">
        <f>COUNTIFS('GLOBAL LOG'!$D$6:$D$128,$C112,'GLOBAL LOG'!#REF!,"Completed")</f>
        <v>#REF!</v>
      </c>
      <c r="U112" s="14" t="e">
        <f>COUNTIFS('GLOBAL LOG'!$D$6:$D$128,$C112,'GLOBAL LOG'!#REF!,"Contracting")</f>
        <v>#REF!</v>
      </c>
      <c r="V112" s="14" t="e">
        <f>COUNTIFS('GLOBAL LOG'!$D$6:$D$128,$C112,'GLOBAL LOG'!#REF!,"Negotiations")</f>
        <v>#REF!</v>
      </c>
      <c r="W112" s="14" t="e">
        <f>COUNTIFS('GLOBAL LOG'!$D$6:$D$128,$C112,'GLOBAL LOG'!#REF!,"ICT")</f>
        <v>#REF!</v>
      </c>
      <c r="X112" s="14" t="e">
        <f>COUNTIFS('GLOBAL LOG'!$D$6:$D$128,$C112,'GLOBAL LOG'!#REF!,"Hopper")</f>
        <v>#REF!</v>
      </c>
      <c r="Y112" s="14">
        <f>SUMIF('GLOBAL LOG'!$D$6:$D$128,$C112,'GLOBAL LOG'!$Q$6:$Q$128)</f>
        <v>0</v>
      </c>
      <c r="Z112" s="14">
        <f>SUMIF('GLOBAL LOG'!$D$6:$D$128,$C112,'GLOBAL LOG'!$R$6:$R$128)</f>
        <v>0</v>
      </c>
      <c r="AA112" s="14">
        <f t="shared" si="2"/>
        <v>0</v>
      </c>
      <c r="AB112" s="14" t="e">
        <f>SUMIF('GLOBAL LOG'!$D$6:$D$128,C112,'GLOBAL LOG'!#REF!)</f>
        <v>#REF!</v>
      </c>
      <c r="AC112" s="6"/>
      <c r="AD112" s="14" t="str">
        <v>NokScoot</v>
      </c>
      <c r="AE112" s="14" t="e">
        <v>#REF!</v>
      </c>
      <c r="AF112" s="6"/>
      <c r="AG112" s="14" t="str">
        <v>Neos SpA</v>
      </c>
      <c r="AH112" s="14">
        <v>0</v>
      </c>
      <c r="AI112" s="6"/>
      <c r="AJ112" s="14" t="str">
        <v>NokScoot</v>
      </c>
      <c r="AK112" s="14">
        <v>0</v>
      </c>
      <c r="AL112" s="6"/>
      <c r="AM112" s="14" t="str">
        <v>Neos SpA</v>
      </c>
      <c r="AN112" s="14">
        <v>0</v>
      </c>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row>
    <row r="113" spans="2:97" s="4" customFormat="1" ht="14.65" hidden="1" customHeight="1">
      <c r="B113" s="6"/>
      <c r="C113" s="13" t="str">
        <v>Norse</v>
      </c>
      <c r="D113" s="14">
        <f>COUNTIFS('GLOBAL LOG'!$D$6:$D$128,C113,'GLOBAL LOG'!$K$6:$K$128,"&lt;&gt;")</f>
        <v>0</v>
      </c>
      <c r="E113" s="14" t="e">
        <f>COUNTIFS('GLOBAL LOG'!$D$6:$D$128,C113,'GLOBAL LOG'!#REF!,"Yes")</f>
        <v>#REF!</v>
      </c>
      <c r="F113" s="14" t="e">
        <f>SUMIF('GLOBAL LOG'!$D$6:$D$128,COUNT!C113,'GLOBAL LOG'!#REF!)</f>
        <v>#REF!</v>
      </c>
      <c r="G113" s="14">
        <f>COUNTIFS('GLOBAL LOG'!$E$6:$E$128,G$10,'GLOBAL LOG'!$D$6:$D$128,$C113)</f>
        <v>0</v>
      </c>
      <c r="H113" s="14">
        <f>COUNTIFS('GLOBAL LOG'!$E$6:$E$128,H$10,'GLOBAL LOG'!$D$6:$D$128,$C113)</f>
        <v>0</v>
      </c>
      <c r="I113" s="14">
        <f>COUNTIFS('GLOBAL LOG'!$E$6:$E$128,I$10,'GLOBAL LOG'!$D$6:$D$128,$C113)</f>
        <v>0</v>
      </c>
      <c r="J113" s="14">
        <f>COUNTIFS('GLOBAL LOG'!$E$6:$E$128,J$10,'GLOBAL LOG'!$D$6:$D$128,$C113)</f>
        <v>0</v>
      </c>
      <c r="K113" s="14">
        <f>COUNTIFS('GLOBAL LOG'!$E$6:$E$128,K$10,'GLOBAL LOG'!$D$6:$D$128,$C113)</f>
        <v>0</v>
      </c>
      <c r="L113" s="14">
        <f>COUNTIFS('GLOBAL LOG'!$E$6:$E$128,L$10,'GLOBAL LOG'!$D$6:$D$128,$C113)</f>
        <v>0</v>
      </c>
      <c r="M113" s="14">
        <f>COUNTIFS('GLOBAL LOG'!$E$6:$E$128,M$10,'GLOBAL LOG'!$D$6:$D$128,$C113)</f>
        <v>0</v>
      </c>
      <c r="N113" s="14" t="e">
        <f>COUNTIFS('GLOBAL LOG'!$D$6:$D$128,$C113,'GLOBAL LOG'!#REF!,"High")</f>
        <v>#REF!</v>
      </c>
      <c r="O113" s="14" t="e">
        <f>COUNTIFS('GLOBAL LOG'!$D$6:$D$128,$C113,'GLOBAL LOG'!#REF!,"Med")</f>
        <v>#REF!</v>
      </c>
      <c r="P113" s="14" t="e">
        <f>COUNTIFS('GLOBAL LOG'!$D$6:$D$128,$C113,'GLOBAL LOG'!#REF!,"Low")</f>
        <v>#REF!</v>
      </c>
      <c r="Q113" s="14" t="e">
        <f>COUNTIFS('GLOBAL LOG'!$D$6:$D$128,$C113,'GLOBAL LOG'!#REF!,"High")</f>
        <v>#REF!</v>
      </c>
      <c r="R113" s="14" t="e">
        <f>COUNTIFS('GLOBAL LOG'!$D$6:$D$128,$C113,'GLOBAL LOG'!#REF!,"Med")</f>
        <v>#REF!</v>
      </c>
      <c r="S113" s="14" t="e">
        <f>COUNTIFS('GLOBAL LOG'!$D$6:$D$128,$C113,'GLOBAL LOG'!#REF!,"Low")</f>
        <v>#REF!</v>
      </c>
      <c r="T113" s="14" t="e">
        <f>COUNTIFS('GLOBAL LOG'!$D$6:$D$128,$C113,'GLOBAL LOG'!#REF!,"Completed")</f>
        <v>#REF!</v>
      </c>
      <c r="U113" s="14" t="e">
        <f>COUNTIFS('GLOBAL LOG'!$D$6:$D$128,$C113,'GLOBAL LOG'!#REF!,"Contracting")</f>
        <v>#REF!</v>
      </c>
      <c r="V113" s="14" t="e">
        <f>COUNTIFS('GLOBAL LOG'!$D$6:$D$128,$C113,'GLOBAL LOG'!#REF!,"Negotiations")</f>
        <v>#REF!</v>
      </c>
      <c r="W113" s="14" t="e">
        <f>COUNTIFS('GLOBAL LOG'!$D$6:$D$128,$C113,'GLOBAL LOG'!#REF!,"ICT")</f>
        <v>#REF!</v>
      </c>
      <c r="X113" s="14" t="e">
        <f>COUNTIFS('GLOBAL LOG'!$D$6:$D$128,$C113,'GLOBAL LOG'!#REF!,"Hopper")</f>
        <v>#REF!</v>
      </c>
      <c r="Y113" s="14">
        <f>SUMIF('GLOBAL LOG'!$D$6:$D$128,$C113,'GLOBAL LOG'!$Q$6:$Q$128)</f>
        <v>0</v>
      </c>
      <c r="Z113" s="14">
        <f>SUMIF('GLOBAL LOG'!$D$6:$D$128,$C113,'GLOBAL LOG'!$R$6:$R$128)</f>
        <v>0</v>
      </c>
      <c r="AA113" s="14">
        <f t="shared" si="2"/>
        <v>0</v>
      </c>
      <c r="AB113" s="14" t="e">
        <f>SUMIF('GLOBAL LOG'!$D$6:$D$128,C113,'GLOBAL LOG'!#REF!)</f>
        <v>#REF!</v>
      </c>
      <c r="AC113" s="6"/>
      <c r="AD113" s="14" t="str">
        <v>Norse</v>
      </c>
      <c r="AE113" s="14" t="e">
        <v>#REF!</v>
      </c>
      <c r="AF113" s="6"/>
      <c r="AG113" s="14" t="str">
        <v>NokScoot</v>
      </c>
      <c r="AH113" s="14">
        <v>0</v>
      </c>
      <c r="AI113" s="6"/>
      <c r="AJ113" s="14" t="str">
        <v>Norse</v>
      </c>
      <c r="AK113" s="14">
        <v>0</v>
      </c>
      <c r="AL113" s="6"/>
      <c r="AM113" s="14" t="str">
        <v>NokScoot</v>
      </c>
      <c r="AN113" s="14">
        <v>0</v>
      </c>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row>
    <row r="114" spans="2:97" s="4" customFormat="1" ht="14.65" hidden="1" customHeight="1">
      <c r="B114" s="6"/>
      <c r="C114" s="13" t="str">
        <v>Oman Air</v>
      </c>
      <c r="D114" s="14">
        <f>COUNTIFS('GLOBAL LOG'!$D$6:$D$128,C114,'GLOBAL LOG'!$K$6:$K$128,"&lt;&gt;")</f>
        <v>0</v>
      </c>
      <c r="E114" s="14" t="e">
        <f>COUNTIFS('GLOBAL LOG'!$D$6:$D$128,C114,'GLOBAL LOG'!#REF!,"Yes")</f>
        <v>#REF!</v>
      </c>
      <c r="F114" s="14" t="e">
        <f>SUMIF('GLOBAL LOG'!$D$6:$D$128,COUNT!C114,'GLOBAL LOG'!#REF!)</f>
        <v>#REF!</v>
      </c>
      <c r="G114" s="14">
        <f>COUNTIFS('GLOBAL LOG'!$E$6:$E$128,G$10,'GLOBAL LOG'!$D$6:$D$128,$C114)</f>
        <v>0</v>
      </c>
      <c r="H114" s="14">
        <f>COUNTIFS('GLOBAL LOG'!$E$6:$E$128,H$10,'GLOBAL LOG'!$D$6:$D$128,$C114)</f>
        <v>0</v>
      </c>
      <c r="I114" s="14">
        <f>COUNTIFS('GLOBAL LOG'!$E$6:$E$128,I$10,'GLOBAL LOG'!$D$6:$D$128,$C114)</f>
        <v>0</v>
      </c>
      <c r="J114" s="14">
        <f>COUNTIFS('GLOBAL LOG'!$E$6:$E$128,J$10,'GLOBAL LOG'!$D$6:$D$128,$C114)</f>
        <v>0</v>
      </c>
      <c r="K114" s="14">
        <f>COUNTIFS('GLOBAL LOG'!$E$6:$E$128,K$10,'GLOBAL LOG'!$D$6:$D$128,$C114)</f>
        <v>0</v>
      </c>
      <c r="L114" s="14">
        <f>COUNTIFS('GLOBAL LOG'!$E$6:$E$128,L$10,'GLOBAL LOG'!$D$6:$D$128,$C114)</f>
        <v>0</v>
      </c>
      <c r="M114" s="14">
        <f>COUNTIFS('GLOBAL LOG'!$E$6:$E$128,M$10,'GLOBAL LOG'!$D$6:$D$128,$C114)</f>
        <v>0</v>
      </c>
      <c r="N114" s="14" t="e">
        <f>COUNTIFS('GLOBAL LOG'!$D$6:$D$128,$C114,'GLOBAL LOG'!#REF!,"High")</f>
        <v>#REF!</v>
      </c>
      <c r="O114" s="14" t="e">
        <f>COUNTIFS('GLOBAL LOG'!$D$6:$D$128,$C114,'GLOBAL LOG'!#REF!,"Med")</f>
        <v>#REF!</v>
      </c>
      <c r="P114" s="14" t="e">
        <f>COUNTIFS('GLOBAL LOG'!$D$6:$D$128,$C114,'GLOBAL LOG'!#REF!,"Low")</f>
        <v>#REF!</v>
      </c>
      <c r="Q114" s="14" t="e">
        <f>COUNTIFS('GLOBAL LOG'!$D$6:$D$128,$C114,'GLOBAL LOG'!#REF!,"High")</f>
        <v>#REF!</v>
      </c>
      <c r="R114" s="14" t="e">
        <f>COUNTIFS('GLOBAL LOG'!$D$6:$D$128,$C114,'GLOBAL LOG'!#REF!,"Med")</f>
        <v>#REF!</v>
      </c>
      <c r="S114" s="14" t="e">
        <f>COUNTIFS('GLOBAL LOG'!$D$6:$D$128,$C114,'GLOBAL LOG'!#REF!,"Low")</f>
        <v>#REF!</v>
      </c>
      <c r="T114" s="14" t="e">
        <f>COUNTIFS('GLOBAL LOG'!$D$6:$D$128,$C114,'GLOBAL LOG'!#REF!,"Completed")</f>
        <v>#REF!</v>
      </c>
      <c r="U114" s="14" t="e">
        <f>COUNTIFS('GLOBAL LOG'!$D$6:$D$128,$C114,'GLOBAL LOG'!#REF!,"Contracting")</f>
        <v>#REF!</v>
      </c>
      <c r="V114" s="14" t="e">
        <f>COUNTIFS('GLOBAL LOG'!$D$6:$D$128,$C114,'GLOBAL LOG'!#REF!,"Negotiations")</f>
        <v>#REF!</v>
      </c>
      <c r="W114" s="14" t="e">
        <f>COUNTIFS('GLOBAL LOG'!$D$6:$D$128,$C114,'GLOBAL LOG'!#REF!,"ICT")</f>
        <v>#REF!</v>
      </c>
      <c r="X114" s="14" t="e">
        <f>COUNTIFS('GLOBAL LOG'!$D$6:$D$128,$C114,'GLOBAL LOG'!#REF!,"Hopper")</f>
        <v>#REF!</v>
      </c>
      <c r="Y114" s="14">
        <f>SUMIF('GLOBAL LOG'!$D$6:$D$128,$C114,'GLOBAL LOG'!$Q$6:$Q$128)</f>
        <v>0</v>
      </c>
      <c r="Z114" s="14">
        <f>SUMIF('GLOBAL LOG'!$D$6:$D$128,$C114,'GLOBAL LOG'!$R$6:$R$128)</f>
        <v>0</v>
      </c>
      <c r="AA114" s="14">
        <f t="shared" si="2"/>
        <v>0</v>
      </c>
      <c r="AB114" s="14" t="e">
        <f>SUMIF('GLOBAL LOG'!$D$6:$D$128,C114,'GLOBAL LOG'!#REF!)</f>
        <v>#REF!</v>
      </c>
      <c r="AC114" s="6"/>
      <c r="AD114" s="14" t="str">
        <v>Oman Air</v>
      </c>
      <c r="AE114" s="14" t="e">
        <v>#REF!</v>
      </c>
      <c r="AF114" s="6"/>
      <c r="AG114" s="14" t="str">
        <v>Norse</v>
      </c>
      <c r="AH114" s="14">
        <v>0</v>
      </c>
      <c r="AI114" s="6"/>
      <c r="AJ114" s="14" t="str">
        <v>Oman Air</v>
      </c>
      <c r="AK114" s="14">
        <v>0</v>
      </c>
      <c r="AL114" s="6"/>
      <c r="AM114" s="14" t="str">
        <v>Norse</v>
      </c>
      <c r="AN114" s="14">
        <v>0</v>
      </c>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row>
    <row r="115" spans="2:97" s="4" customFormat="1" ht="14.65" hidden="1" customHeight="1">
      <c r="B115" s="6"/>
      <c r="C115" s="13" t="str">
        <v>Orbest SA</v>
      </c>
      <c r="D115" s="14">
        <f>COUNTIFS('GLOBAL LOG'!$D$6:$D$128,C115,'GLOBAL LOG'!$K$6:$K$128,"&lt;&gt;")</f>
        <v>0</v>
      </c>
      <c r="E115" s="14" t="e">
        <f>COUNTIFS('GLOBAL LOG'!$D$6:$D$128,C115,'GLOBAL LOG'!#REF!,"Yes")</f>
        <v>#REF!</v>
      </c>
      <c r="F115" s="14" t="e">
        <f>SUMIF('GLOBAL LOG'!$D$6:$D$128,COUNT!C115,'GLOBAL LOG'!#REF!)</f>
        <v>#REF!</v>
      </c>
      <c r="G115" s="14">
        <f>COUNTIFS('GLOBAL LOG'!$E$6:$E$128,G$10,'GLOBAL LOG'!$D$6:$D$128,$C115)</f>
        <v>0</v>
      </c>
      <c r="H115" s="14">
        <f>COUNTIFS('GLOBAL LOG'!$E$6:$E$128,H$10,'GLOBAL LOG'!$D$6:$D$128,$C115)</f>
        <v>0</v>
      </c>
      <c r="I115" s="14">
        <f>COUNTIFS('GLOBAL LOG'!$E$6:$E$128,I$10,'GLOBAL LOG'!$D$6:$D$128,$C115)</f>
        <v>0</v>
      </c>
      <c r="J115" s="14">
        <f>COUNTIFS('GLOBAL LOG'!$E$6:$E$128,J$10,'GLOBAL LOG'!$D$6:$D$128,$C115)</f>
        <v>0</v>
      </c>
      <c r="K115" s="14">
        <f>COUNTIFS('GLOBAL LOG'!$E$6:$E$128,K$10,'GLOBAL LOG'!$D$6:$D$128,$C115)</f>
        <v>0</v>
      </c>
      <c r="L115" s="14">
        <f>COUNTIFS('GLOBAL LOG'!$E$6:$E$128,L$10,'GLOBAL LOG'!$D$6:$D$128,$C115)</f>
        <v>0</v>
      </c>
      <c r="M115" s="14">
        <f>COUNTIFS('GLOBAL LOG'!$E$6:$E$128,M$10,'GLOBAL LOG'!$D$6:$D$128,$C115)</f>
        <v>0</v>
      </c>
      <c r="N115" s="14" t="e">
        <f>COUNTIFS('GLOBAL LOG'!$D$6:$D$128,$C115,'GLOBAL LOG'!#REF!,"High")</f>
        <v>#REF!</v>
      </c>
      <c r="O115" s="14" t="e">
        <f>COUNTIFS('GLOBAL LOG'!$D$6:$D$128,$C115,'GLOBAL LOG'!#REF!,"Med")</f>
        <v>#REF!</v>
      </c>
      <c r="P115" s="14" t="e">
        <f>COUNTIFS('GLOBAL LOG'!$D$6:$D$128,$C115,'GLOBAL LOG'!#REF!,"Low")</f>
        <v>#REF!</v>
      </c>
      <c r="Q115" s="14" t="e">
        <f>COUNTIFS('GLOBAL LOG'!$D$6:$D$128,$C115,'GLOBAL LOG'!#REF!,"High")</f>
        <v>#REF!</v>
      </c>
      <c r="R115" s="14" t="e">
        <f>COUNTIFS('GLOBAL LOG'!$D$6:$D$128,$C115,'GLOBAL LOG'!#REF!,"Med")</f>
        <v>#REF!</v>
      </c>
      <c r="S115" s="14" t="e">
        <f>COUNTIFS('GLOBAL LOG'!$D$6:$D$128,$C115,'GLOBAL LOG'!#REF!,"Low")</f>
        <v>#REF!</v>
      </c>
      <c r="T115" s="14" t="e">
        <f>COUNTIFS('GLOBAL LOG'!$D$6:$D$128,$C115,'GLOBAL LOG'!#REF!,"Completed")</f>
        <v>#REF!</v>
      </c>
      <c r="U115" s="14" t="e">
        <f>COUNTIFS('GLOBAL LOG'!$D$6:$D$128,$C115,'GLOBAL LOG'!#REF!,"Contracting")</f>
        <v>#REF!</v>
      </c>
      <c r="V115" s="14" t="e">
        <f>COUNTIFS('GLOBAL LOG'!$D$6:$D$128,$C115,'GLOBAL LOG'!#REF!,"Negotiations")</f>
        <v>#REF!</v>
      </c>
      <c r="W115" s="14" t="e">
        <f>COUNTIFS('GLOBAL LOG'!$D$6:$D$128,$C115,'GLOBAL LOG'!#REF!,"ICT")</f>
        <v>#REF!</v>
      </c>
      <c r="X115" s="14" t="e">
        <f>COUNTIFS('GLOBAL LOG'!$D$6:$D$128,$C115,'GLOBAL LOG'!#REF!,"Hopper")</f>
        <v>#REF!</v>
      </c>
      <c r="Y115" s="14">
        <f>SUMIF('GLOBAL LOG'!$D$6:$D$128,$C115,'GLOBAL LOG'!$Q$6:$Q$128)</f>
        <v>0</v>
      </c>
      <c r="Z115" s="14">
        <f>SUMIF('GLOBAL LOG'!$D$6:$D$128,$C115,'GLOBAL LOG'!$R$6:$R$128)</f>
        <v>0</v>
      </c>
      <c r="AA115" s="14">
        <f t="shared" si="2"/>
        <v>0</v>
      </c>
      <c r="AB115" s="14" t="e">
        <f>SUMIF('GLOBAL LOG'!$D$6:$D$128,C115,'GLOBAL LOG'!#REF!)</f>
        <v>#REF!</v>
      </c>
      <c r="AC115" s="6"/>
      <c r="AD115" s="14" t="str">
        <v>Orbest SA</v>
      </c>
      <c r="AE115" s="14" t="e">
        <v>#REF!</v>
      </c>
      <c r="AF115" s="6"/>
      <c r="AG115" s="14" t="str">
        <v>Oman Air</v>
      </c>
      <c r="AH115" s="14">
        <v>0</v>
      </c>
      <c r="AI115" s="6"/>
      <c r="AJ115" s="14" t="str">
        <v>Orbest SA</v>
      </c>
      <c r="AK115" s="14">
        <v>0</v>
      </c>
      <c r="AL115" s="6"/>
      <c r="AM115" s="14" t="str">
        <v>Oman Air</v>
      </c>
      <c r="AN115" s="14">
        <v>0</v>
      </c>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row>
    <row r="116" spans="2:97" s="4" customFormat="1" ht="14.65" hidden="1" customHeight="1">
      <c r="B116" s="6"/>
      <c r="C116" s="13" t="str">
        <v>Orix</v>
      </c>
      <c r="D116" s="14">
        <f>COUNTIFS('GLOBAL LOG'!$D$6:$D$128,C116,'GLOBAL LOG'!$K$6:$K$128,"&lt;&gt;")</f>
        <v>0</v>
      </c>
      <c r="E116" s="14" t="e">
        <f>COUNTIFS('GLOBAL LOG'!$D$6:$D$128,C116,'GLOBAL LOG'!#REF!,"Yes")</f>
        <v>#REF!</v>
      </c>
      <c r="F116" s="14" t="e">
        <f>SUMIF('GLOBAL LOG'!$D$6:$D$128,COUNT!C116,'GLOBAL LOG'!#REF!)</f>
        <v>#REF!</v>
      </c>
      <c r="G116" s="14">
        <f>COUNTIFS('GLOBAL LOG'!$E$6:$E$128,G$10,'GLOBAL LOG'!$D$6:$D$128,$C116)</f>
        <v>0</v>
      </c>
      <c r="H116" s="14">
        <f>COUNTIFS('GLOBAL LOG'!$E$6:$E$128,H$10,'GLOBAL LOG'!$D$6:$D$128,$C116)</f>
        <v>0</v>
      </c>
      <c r="I116" s="14">
        <f>COUNTIFS('GLOBAL LOG'!$E$6:$E$128,I$10,'GLOBAL LOG'!$D$6:$D$128,$C116)</f>
        <v>0</v>
      </c>
      <c r="J116" s="14">
        <f>COUNTIFS('GLOBAL LOG'!$E$6:$E$128,J$10,'GLOBAL LOG'!$D$6:$D$128,$C116)</f>
        <v>0</v>
      </c>
      <c r="K116" s="14">
        <f>COUNTIFS('GLOBAL LOG'!$E$6:$E$128,K$10,'GLOBAL LOG'!$D$6:$D$128,$C116)</f>
        <v>0</v>
      </c>
      <c r="L116" s="14">
        <f>COUNTIFS('GLOBAL LOG'!$E$6:$E$128,L$10,'GLOBAL LOG'!$D$6:$D$128,$C116)</f>
        <v>0</v>
      </c>
      <c r="M116" s="14">
        <f>COUNTIFS('GLOBAL LOG'!$E$6:$E$128,M$10,'GLOBAL LOG'!$D$6:$D$128,$C116)</f>
        <v>0</v>
      </c>
      <c r="N116" s="14" t="e">
        <f>COUNTIFS('GLOBAL LOG'!$D$6:$D$128,$C116,'GLOBAL LOG'!#REF!,"High")</f>
        <v>#REF!</v>
      </c>
      <c r="O116" s="14" t="e">
        <f>COUNTIFS('GLOBAL LOG'!$D$6:$D$128,$C116,'GLOBAL LOG'!#REF!,"Med")</f>
        <v>#REF!</v>
      </c>
      <c r="P116" s="14" t="e">
        <f>COUNTIFS('GLOBAL LOG'!$D$6:$D$128,$C116,'GLOBAL LOG'!#REF!,"Low")</f>
        <v>#REF!</v>
      </c>
      <c r="Q116" s="14" t="e">
        <f>COUNTIFS('GLOBAL LOG'!$D$6:$D$128,$C116,'GLOBAL LOG'!#REF!,"High")</f>
        <v>#REF!</v>
      </c>
      <c r="R116" s="14" t="e">
        <f>COUNTIFS('GLOBAL LOG'!$D$6:$D$128,$C116,'GLOBAL LOG'!#REF!,"Med")</f>
        <v>#REF!</v>
      </c>
      <c r="S116" s="14" t="e">
        <f>COUNTIFS('GLOBAL LOG'!$D$6:$D$128,$C116,'GLOBAL LOG'!#REF!,"Low")</f>
        <v>#REF!</v>
      </c>
      <c r="T116" s="14" t="e">
        <f>COUNTIFS('GLOBAL LOG'!$D$6:$D$128,$C116,'GLOBAL LOG'!#REF!,"Completed")</f>
        <v>#REF!</v>
      </c>
      <c r="U116" s="14" t="e">
        <f>COUNTIFS('GLOBAL LOG'!$D$6:$D$128,$C116,'GLOBAL LOG'!#REF!,"Contracting")</f>
        <v>#REF!</v>
      </c>
      <c r="V116" s="14" t="e">
        <f>COUNTIFS('GLOBAL LOG'!$D$6:$D$128,$C116,'GLOBAL LOG'!#REF!,"Negotiations")</f>
        <v>#REF!</v>
      </c>
      <c r="W116" s="14" t="e">
        <f>COUNTIFS('GLOBAL LOG'!$D$6:$D$128,$C116,'GLOBAL LOG'!#REF!,"ICT")</f>
        <v>#REF!</v>
      </c>
      <c r="X116" s="14" t="e">
        <f>COUNTIFS('GLOBAL LOG'!$D$6:$D$128,$C116,'GLOBAL LOG'!#REF!,"Hopper")</f>
        <v>#REF!</v>
      </c>
      <c r="Y116" s="14">
        <f>SUMIF('GLOBAL LOG'!$D$6:$D$128,$C116,'GLOBAL LOG'!$Q$6:$Q$128)</f>
        <v>0</v>
      </c>
      <c r="Z116" s="14">
        <f>SUMIF('GLOBAL LOG'!$D$6:$D$128,$C116,'GLOBAL LOG'!$R$6:$R$128)</f>
        <v>0</v>
      </c>
      <c r="AA116" s="14">
        <f t="shared" si="2"/>
        <v>0</v>
      </c>
      <c r="AB116" s="14" t="e">
        <f>SUMIF('GLOBAL LOG'!$D$6:$D$128,C116,'GLOBAL LOG'!#REF!)</f>
        <v>#REF!</v>
      </c>
      <c r="AC116" s="6"/>
      <c r="AD116" s="14" t="str">
        <v>Orix</v>
      </c>
      <c r="AE116" s="14" t="e">
        <v>#REF!</v>
      </c>
      <c r="AF116" s="6"/>
      <c r="AG116" s="14" t="str">
        <v>Orbest SA</v>
      </c>
      <c r="AH116" s="14">
        <v>0</v>
      </c>
      <c r="AI116" s="6"/>
      <c r="AJ116" s="14" t="str">
        <v>Orix</v>
      </c>
      <c r="AK116" s="14">
        <v>0</v>
      </c>
      <c r="AL116" s="6"/>
      <c r="AM116" s="14" t="str">
        <v>Orbest SA</v>
      </c>
      <c r="AN116" s="14">
        <v>0</v>
      </c>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row>
    <row r="117" spans="2:97" s="4" customFormat="1" ht="14.65" hidden="1" customHeight="1">
      <c r="B117" s="6"/>
      <c r="C117" s="13" t="str">
        <v>Other Americas</v>
      </c>
      <c r="D117" s="14">
        <f>COUNTIFS('GLOBAL LOG'!$D$6:$D$128,C117,'GLOBAL LOG'!$K$6:$K$128,"&lt;&gt;")</f>
        <v>0</v>
      </c>
      <c r="E117" s="14" t="e">
        <f>COUNTIFS('GLOBAL LOG'!$D$6:$D$128,C117,'GLOBAL LOG'!#REF!,"Yes")</f>
        <v>#REF!</v>
      </c>
      <c r="F117" s="14" t="e">
        <f>SUMIF('GLOBAL LOG'!$D$6:$D$128,COUNT!C117,'GLOBAL LOG'!#REF!)</f>
        <v>#REF!</v>
      </c>
      <c r="G117" s="14">
        <f>COUNTIFS('GLOBAL LOG'!$E$6:$E$128,G$10,'GLOBAL LOG'!$D$6:$D$128,$C117)</f>
        <v>0</v>
      </c>
      <c r="H117" s="14">
        <f>COUNTIFS('GLOBAL LOG'!$E$6:$E$128,H$10,'GLOBAL LOG'!$D$6:$D$128,$C117)</f>
        <v>0</v>
      </c>
      <c r="I117" s="14">
        <f>COUNTIFS('GLOBAL LOG'!$E$6:$E$128,I$10,'GLOBAL LOG'!$D$6:$D$128,$C117)</f>
        <v>0</v>
      </c>
      <c r="J117" s="14">
        <f>COUNTIFS('GLOBAL LOG'!$E$6:$E$128,J$10,'GLOBAL LOG'!$D$6:$D$128,$C117)</f>
        <v>0</v>
      </c>
      <c r="K117" s="14">
        <f>COUNTIFS('GLOBAL LOG'!$E$6:$E$128,K$10,'GLOBAL LOG'!$D$6:$D$128,$C117)</f>
        <v>0</v>
      </c>
      <c r="L117" s="14">
        <f>COUNTIFS('GLOBAL LOG'!$E$6:$E$128,L$10,'GLOBAL LOG'!$D$6:$D$128,$C117)</f>
        <v>0</v>
      </c>
      <c r="M117" s="14">
        <f>COUNTIFS('GLOBAL LOG'!$E$6:$E$128,M$10,'GLOBAL LOG'!$D$6:$D$128,$C117)</f>
        <v>0</v>
      </c>
      <c r="N117" s="14" t="e">
        <f>COUNTIFS('GLOBAL LOG'!$D$6:$D$128,$C117,'GLOBAL LOG'!#REF!,"High")</f>
        <v>#REF!</v>
      </c>
      <c r="O117" s="14" t="e">
        <f>COUNTIFS('GLOBAL LOG'!$D$6:$D$128,$C117,'GLOBAL LOG'!#REF!,"Med")</f>
        <v>#REF!</v>
      </c>
      <c r="P117" s="14" t="e">
        <f>COUNTIFS('GLOBAL LOG'!$D$6:$D$128,$C117,'GLOBAL LOG'!#REF!,"Low")</f>
        <v>#REF!</v>
      </c>
      <c r="Q117" s="14" t="e">
        <f>COUNTIFS('GLOBAL LOG'!$D$6:$D$128,$C117,'GLOBAL LOG'!#REF!,"High")</f>
        <v>#REF!</v>
      </c>
      <c r="R117" s="14" t="e">
        <f>COUNTIFS('GLOBAL LOG'!$D$6:$D$128,$C117,'GLOBAL LOG'!#REF!,"Med")</f>
        <v>#REF!</v>
      </c>
      <c r="S117" s="14" t="e">
        <f>COUNTIFS('GLOBAL LOG'!$D$6:$D$128,$C117,'GLOBAL LOG'!#REF!,"Low")</f>
        <v>#REF!</v>
      </c>
      <c r="T117" s="14" t="e">
        <f>COUNTIFS('GLOBAL LOG'!$D$6:$D$128,$C117,'GLOBAL LOG'!#REF!,"Completed")</f>
        <v>#REF!</v>
      </c>
      <c r="U117" s="14" t="e">
        <f>COUNTIFS('GLOBAL LOG'!$D$6:$D$128,$C117,'GLOBAL LOG'!#REF!,"Contracting")</f>
        <v>#REF!</v>
      </c>
      <c r="V117" s="14" t="e">
        <f>COUNTIFS('GLOBAL LOG'!$D$6:$D$128,$C117,'GLOBAL LOG'!#REF!,"Negotiations")</f>
        <v>#REF!</v>
      </c>
      <c r="W117" s="14" t="e">
        <f>COUNTIFS('GLOBAL LOG'!$D$6:$D$128,$C117,'GLOBAL LOG'!#REF!,"ICT")</f>
        <v>#REF!</v>
      </c>
      <c r="X117" s="14" t="e">
        <f>COUNTIFS('GLOBAL LOG'!$D$6:$D$128,$C117,'GLOBAL LOG'!#REF!,"Hopper")</f>
        <v>#REF!</v>
      </c>
      <c r="Y117" s="14">
        <f>SUMIF('GLOBAL LOG'!$D$6:$D$128,$C117,'GLOBAL LOG'!$Q$6:$Q$128)</f>
        <v>0</v>
      </c>
      <c r="Z117" s="14">
        <f>SUMIF('GLOBAL LOG'!$D$6:$D$128,$C117,'GLOBAL LOG'!$R$6:$R$128)</f>
        <v>0</v>
      </c>
      <c r="AA117" s="14">
        <f t="shared" si="2"/>
        <v>0</v>
      </c>
      <c r="AB117" s="14" t="e">
        <f>SUMIF('GLOBAL LOG'!$D$6:$D$128,C117,'GLOBAL LOG'!#REF!)</f>
        <v>#REF!</v>
      </c>
      <c r="AC117" s="6"/>
      <c r="AD117" s="14" t="str">
        <v>Other Americas</v>
      </c>
      <c r="AE117" s="14" t="e">
        <v>#REF!</v>
      </c>
      <c r="AF117" s="6"/>
      <c r="AG117" s="14" t="str">
        <v>Orix</v>
      </c>
      <c r="AH117" s="14">
        <v>0</v>
      </c>
      <c r="AI117" s="6"/>
      <c r="AJ117" s="14" t="str">
        <v>Other Americas</v>
      </c>
      <c r="AK117" s="14">
        <v>0</v>
      </c>
      <c r="AL117" s="6"/>
      <c r="AM117" s="14" t="str">
        <v>Orix</v>
      </c>
      <c r="AN117" s="14">
        <v>0</v>
      </c>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row>
    <row r="118" spans="2:97" s="4" customFormat="1" ht="14.65" hidden="1" customHeight="1">
      <c r="B118" s="6"/>
      <c r="C118" s="13" t="str">
        <v>Other APAC</v>
      </c>
      <c r="D118" s="14">
        <f>COUNTIFS('GLOBAL LOG'!$D$6:$D$128,C118,'GLOBAL LOG'!$K$6:$K$128,"&lt;&gt;")</f>
        <v>0</v>
      </c>
      <c r="E118" s="14" t="e">
        <f>COUNTIFS('GLOBAL LOG'!$D$6:$D$128,C118,'GLOBAL LOG'!#REF!,"Yes")</f>
        <v>#REF!</v>
      </c>
      <c r="F118" s="14" t="e">
        <f>SUMIF('GLOBAL LOG'!$D$6:$D$128,COUNT!C118,'GLOBAL LOG'!#REF!)</f>
        <v>#REF!</v>
      </c>
      <c r="G118" s="14">
        <f>COUNTIFS('GLOBAL LOG'!$E$6:$E$128,G$10,'GLOBAL LOG'!$D$6:$D$128,$C118)</f>
        <v>0</v>
      </c>
      <c r="H118" s="14">
        <f>COUNTIFS('GLOBAL LOG'!$E$6:$E$128,H$10,'GLOBAL LOG'!$D$6:$D$128,$C118)</f>
        <v>0</v>
      </c>
      <c r="I118" s="14">
        <f>COUNTIFS('GLOBAL LOG'!$E$6:$E$128,I$10,'GLOBAL LOG'!$D$6:$D$128,$C118)</f>
        <v>0</v>
      </c>
      <c r="J118" s="14">
        <f>COUNTIFS('GLOBAL LOG'!$E$6:$E$128,J$10,'GLOBAL LOG'!$D$6:$D$128,$C118)</f>
        <v>0</v>
      </c>
      <c r="K118" s="14">
        <f>COUNTIFS('GLOBAL LOG'!$E$6:$E$128,K$10,'GLOBAL LOG'!$D$6:$D$128,$C118)</f>
        <v>0</v>
      </c>
      <c r="L118" s="14">
        <f>COUNTIFS('GLOBAL LOG'!$E$6:$E$128,L$10,'GLOBAL LOG'!$D$6:$D$128,$C118)</f>
        <v>0</v>
      </c>
      <c r="M118" s="14">
        <f>COUNTIFS('GLOBAL LOG'!$E$6:$E$128,M$10,'GLOBAL LOG'!$D$6:$D$128,$C118)</f>
        <v>0</v>
      </c>
      <c r="N118" s="14" t="e">
        <f>COUNTIFS('GLOBAL LOG'!$D$6:$D$128,$C118,'GLOBAL LOG'!#REF!,"High")</f>
        <v>#REF!</v>
      </c>
      <c r="O118" s="14" t="e">
        <f>COUNTIFS('GLOBAL LOG'!$D$6:$D$128,$C118,'GLOBAL LOG'!#REF!,"Med")</f>
        <v>#REF!</v>
      </c>
      <c r="P118" s="14" t="e">
        <f>COUNTIFS('GLOBAL LOG'!$D$6:$D$128,$C118,'GLOBAL LOG'!#REF!,"Low")</f>
        <v>#REF!</v>
      </c>
      <c r="Q118" s="14" t="e">
        <f>COUNTIFS('GLOBAL LOG'!$D$6:$D$128,$C118,'GLOBAL LOG'!#REF!,"High")</f>
        <v>#REF!</v>
      </c>
      <c r="R118" s="14" t="e">
        <f>COUNTIFS('GLOBAL LOG'!$D$6:$D$128,$C118,'GLOBAL LOG'!#REF!,"Med")</f>
        <v>#REF!</v>
      </c>
      <c r="S118" s="14" t="e">
        <f>COUNTIFS('GLOBAL LOG'!$D$6:$D$128,$C118,'GLOBAL LOG'!#REF!,"Low")</f>
        <v>#REF!</v>
      </c>
      <c r="T118" s="14" t="e">
        <f>COUNTIFS('GLOBAL LOG'!$D$6:$D$128,$C118,'GLOBAL LOG'!#REF!,"Completed")</f>
        <v>#REF!</v>
      </c>
      <c r="U118" s="14" t="e">
        <f>COUNTIFS('GLOBAL LOG'!$D$6:$D$128,$C118,'GLOBAL LOG'!#REF!,"Contracting")</f>
        <v>#REF!</v>
      </c>
      <c r="V118" s="14" t="e">
        <f>COUNTIFS('GLOBAL LOG'!$D$6:$D$128,$C118,'GLOBAL LOG'!#REF!,"Negotiations")</f>
        <v>#REF!</v>
      </c>
      <c r="W118" s="14" t="e">
        <f>COUNTIFS('GLOBAL LOG'!$D$6:$D$128,$C118,'GLOBAL LOG'!#REF!,"ICT")</f>
        <v>#REF!</v>
      </c>
      <c r="X118" s="14" t="e">
        <f>COUNTIFS('GLOBAL LOG'!$D$6:$D$128,$C118,'GLOBAL LOG'!#REF!,"Hopper")</f>
        <v>#REF!</v>
      </c>
      <c r="Y118" s="14">
        <f>SUMIF('GLOBAL LOG'!$D$6:$D$128,$C118,'GLOBAL LOG'!$Q$6:$Q$128)</f>
        <v>0</v>
      </c>
      <c r="Z118" s="14">
        <f>SUMIF('GLOBAL LOG'!$D$6:$D$128,$C118,'GLOBAL LOG'!$R$6:$R$128)</f>
        <v>0</v>
      </c>
      <c r="AA118" s="14">
        <f t="shared" si="2"/>
        <v>0</v>
      </c>
      <c r="AB118" s="14" t="e">
        <f>SUMIF('GLOBAL LOG'!$D$6:$D$128,C118,'GLOBAL LOG'!#REF!)</f>
        <v>#REF!</v>
      </c>
      <c r="AC118" s="6"/>
      <c r="AD118" s="14" t="str">
        <v>Other APAC</v>
      </c>
      <c r="AE118" s="14" t="e">
        <v>#REF!</v>
      </c>
      <c r="AF118" s="6"/>
      <c r="AG118" s="14" t="str">
        <v>Other Americas</v>
      </c>
      <c r="AH118" s="14">
        <v>0</v>
      </c>
      <c r="AI118" s="6"/>
      <c r="AJ118" s="14" t="str">
        <v>Other APAC</v>
      </c>
      <c r="AK118" s="14">
        <v>0</v>
      </c>
      <c r="AL118" s="6"/>
      <c r="AM118" s="14" t="str">
        <v>Other Americas</v>
      </c>
      <c r="AN118" s="14">
        <v>0</v>
      </c>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row>
    <row r="119" spans="2:97" s="4" customFormat="1" ht="14.65" hidden="1" customHeight="1">
      <c r="B119" s="6"/>
      <c r="C119" s="13" t="str">
        <v>Other Europe</v>
      </c>
      <c r="D119" s="14">
        <f>COUNTIFS('GLOBAL LOG'!$D$6:$D$128,C119,'GLOBAL LOG'!$K$6:$K$128,"&lt;&gt;")</f>
        <v>0</v>
      </c>
      <c r="E119" s="14" t="e">
        <f>COUNTIFS('GLOBAL LOG'!$D$6:$D$128,C119,'GLOBAL LOG'!#REF!,"Yes")</f>
        <v>#REF!</v>
      </c>
      <c r="F119" s="14" t="e">
        <f>SUMIF('GLOBAL LOG'!$D$6:$D$128,COUNT!C119,'GLOBAL LOG'!#REF!)</f>
        <v>#REF!</v>
      </c>
      <c r="G119" s="14">
        <f>COUNTIFS('GLOBAL LOG'!$E$6:$E$128,G$10,'GLOBAL LOG'!$D$6:$D$128,$C119)</f>
        <v>0</v>
      </c>
      <c r="H119" s="14">
        <f>COUNTIFS('GLOBAL LOG'!$E$6:$E$128,H$10,'GLOBAL LOG'!$D$6:$D$128,$C119)</f>
        <v>0</v>
      </c>
      <c r="I119" s="14">
        <f>COUNTIFS('GLOBAL LOG'!$E$6:$E$128,I$10,'GLOBAL LOG'!$D$6:$D$128,$C119)</f>
        <v>0</v>
      </c>
      <c r="J119" s="14">
        <f>COUNTIFS('GLOBAL LOG'!$E$6:$E$128,J$10,'GLOBAL LOG'!$D$6:$D$128,$C119)</f>
        <v>0</v>
      </c>
      <c r="K119" s="14">
        <f>COUNTIFS('GLOBAL LOG'!$E$6:$E$128,K$10,'GLOBAL LOG'!$D$6:$D$128,$C119)</f>
        <v>0</v>
      </c>
      <c r="L119" s="14">
        <f>COUNTIFS('GLOBAL LOG'!$E$6:$E$128,L$10,'GLOBAL LOG'!$D$6:$D$128,$C119)</f>
        <v>0</v>
      </c>
      <c r="M119" s="14">
        <f>COUNTIFS('GLOBAL LOG'!$E$6:$E$128,M$10,'GLOBAL LOG'!$D$6:$D$128,$C119)</f>
        <v>0</v>
      </c>
      <c r="N119" s="14" t="e">
        <f>COUNTIFS('GLOBAL LOG'!$D$6:$D$128,$C119,'GLOBAL LOG'!#REF!,"High")</f>
        <v>#REF!</v>
      </c>
      <c r="O119" s="14" t="e">
        <f>COUNTIFS('GLOBAL LOG'!$D$6:$D$128,$C119,'GLOBAL LOG'!#REF!,"Med")</f>
        <v>#REF!</v>
      </c>
      <c r="P119" s="14" t="e">
        <f>COUNTIFS('GLOBAL LOG'!$D$6:$D$128,$C119,'GLOBAL LOG'!#REF!,"Low")</f>
        <v>#REF!</v>
      </c>
      <c r="Q119" s="14" t="e">
        <f>COUNTIFS('GLOBAL LOG'!$D$6:$D$128,$C119,'GLOBAL LOG'!#REF!,"High")</f>
        <v>#REF!</v>
      </c>
      <c r="R119" s="14" t="e">
        <f>COUNTIFS('GLOBAL LOG'!$D$6:$D$128,$C119,'GLOBAL LOG'!#REF!,"Med")</f>
        <v>#REF!</v>
      </c>
      <c r="S119" s="14" t="e">
        <f>COUNTIFS('GLOBAL LOG'!$D$6:$D$128,$C119,'GLOBAL LOG'!#REF!,"Low")</f>
        <v>#REF!</v>
      </c>
      <c r="T119" s="14" t="e">
        <f>COUNTIFS('GLOBAL LOG'!$D$6:$D$128,$C119,'GLOBAL LOG'!#REF!,"Completed")</f>
        <v>#REF!</v>
      </c>
      <c r="U119" s="14" t="e">
        <f>COUNTIFS('GLOBAL LOG'!$D$6:$D$128,$C119,'GLOBAL LOG'!#REF!,"Contracting")</f>
        <v>#REF!</v>
      </c>
      <c r="V119" s="14" t="e">
        <f>COUNTIFS('GLOBAL LOG'!$D$6:$D$128,$C119,'GLOBAL LOG'!#REF!,"Negotiations")</f>
        <v>#REF!</v>
      </c>
      <c r="W119" s="14" t="e">
        <f>COUNTIFS('GLOBAL LOG'!$D$6:$D$128,$C119,'GLOBAL LOG'!#REF!,"ICT")</f>
        <v>#REF!</v>
      </c>
      <c r="X119" s="14" t="e">
        <f>COUNTIFS('GLOBAL LOG'!$D$6:$D$128,$C119,'GLOBAL LOG'!#REF!,"Hopper")</f>
        <v>#REF!</v>
      </c>
      <c r="Y119" s="14">
        <f>SUMIF('GLOBAL LOG'!$D$6:$D$128,$C119,'GLOBAL LOG'!$Q$6:$Q$128)</f>
        <v>0</v>
      </c>
      <c r="Z119" s="14">
        <f>SUMIF('GLOBAL LOG'!$D$6:$D$128,$C119,'GLOBAL LOG'!$R$6:$R$128)</f>
        <v>0</v>
      </c>
      <c r="AA119" s="14">
        <f t="shared" si="2"/>
        <v>0</v>
      </c>
      <c r="AB119" s="14" t="e">
        <f>SUMIF('GLOBAL LOG'!$D$6:$D$128,C119,'GLOBAL LOG'!#REF!)</f>
        <v>#REF!</v>
      </c>
      <c r="AC119" s="6"/>
      <c r="AD119" s="14" t="str">
        <v>Other Europe</v>
      </c>
      <c r="AE119" s="14" t="e">
        <v>#REF!</v>
      </c>
      <c r="AF119" s="6"/>
      <c r="AG119" s="14" t="str">
        <v>Other APAC</v>
      </c>
      <c r="AH119" s="14">
        <v>0</v>
      </c>
      <c r="AI119" s="6"/>
      <c r="AJ119" s="14" t="str">
        <v>Other Europe</v>
      </c>
      <c r="AK119" s="14">
        <v>0</v>
      </c>
      <c r="AL119" s="6"/>
      <c r="AM119" s="14" t="str">
        <v>Other APAC</v>
      </c>
      <c r="AN119" s="14">
        <v>0</v>
      </c>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row>
    <row r="120" spans="2:97" s="4" customFormat="1" ht="14.65" hidden="1" customHeight="1">
      <c r="B120" s="6"/>
      <c r="C120" s="13" t="str">
        <v>Other Greater China</v>
      </c>
      <c r="D120" s="14">
        <f>COUNTIFS('GLOBAL LOG'!$D$6:$D$128,C120,'GLOBAL LOG'!$K$6:$K$128,"&lt;&gt;")</f>
        <v>0</v>
      </c>
      <c r="E120" s="14" t="e">
        <f>COUNTIFS('GLOBAL LOG'!$D$6:$D$128,C120,'GLOBAL LOG'!#REF!,"Yes")</f>
        <v>#REF!</v>
      </c>
      <c r="F120" s="14" t="e">
        <f>SUMIF('GLOBAL LOG'!$D$6:$D$128,COUNT!C120,'GLOBAL LOG'!#REF!)</f>
        <v>#REF!</v>
      </c>
      <c r="G120" s="14">
        <f>COUNTIFS('GLOBAL LOG'!$E$6:$E$128,G$10,'GLOBAL LOG'!$D$6:$D$128,$C120)</f>
        <v>0</v>
      </c>
      <c r="H120" s="14">
        <f>COUNTIFS('GLOBAL LOG'!$E$6:$E$128,H$10,'GLOBAL LOG'!$D$6:$D$128,$C120)</f>
        <v>0</v>
      </c>
      <c r="I120" s="14">
        <f>COUNTIFS('GLOBAL LOG'!$E$6:$E$128,I$10,'GLOBAL LOG'!$D$6:$D$128,$C120)</f>
        <v>0</v>
      </c>
      <c r="J120" s="14">
        <f>COUNTIFS('GLOBAL LOG'!$E$6:$E$128,J$10,'GLOBAL LOG'!$D$6:$D$128,$C120)</f>
        <v>0</v>
      </c>
      <c r="K120" s="14">
        <f>COUNTIFS('GLOBAL LOG'!$E$6:$E$128,K$10,'GLOBAL LOG'!$D$6:$D$128,$C120)</f>
        <v>0</v>
      </c>
      <c r="L120" s="14">
        <f>COUNTIFS('GLOBAL LOG'!$E$6:$E$128,L$10,'GLOBAL LOG'!$D$6:$D$128,$C120)</f>
        <v>0</v>
      </c>
      <c r="M120" s="14">
        <f>COUNTIFS('GLOBAL LOG'!$E$6:$E$128,M$10,'GLOBAL LOG'!$D$6:$D$128,$C120)</f>
        <v>0</v>
      </c>
      <c r="N120" s="14" t="e">
        <f>COUNTIFS('GLOBAL LOG'!$D$6:$D$128,$C120,'GLOBAL LOG'!#REF!,"High")</f>
        <v>#REF!</v>
      </c>
      <c r="O120" s="14" t="e">
        <f>COUNTIFS('GLOBAL LOG'!$D$6:$D$128,$C120,'GLOBAL LOG'!#REF!,"Med")</f>
        <v>#REF!</v>
      </c>
      <c r="P120" s="14" t="e">
        <f>COUNTIFS('GLOBAL LOG'!$D$6:$D$128,$C120,'GLOBAL LOG'!#REF!,"Low")</f>
        <v>#REF!</v>
      </c>
      <c r="Q120" s="14" t="e">
        <f>COUNTIFS('GLOBAL LOG'!$D$6:$D$128,$C120,'GLOBAL LOG'!#REF!,"High")</f>
        <v>#REF!</v>
      </c>
      <c r="R120" s="14" t="e">
        <f>COUNTIFS('GLOBAL LOG'!$D$6:$D$128,$C120,'GLOBAL LOG'!#REF!,"Med")</f>
        <v>#REF!</v>
      </c>
      <c r="S120" s="14" t="e">
        <f>COUNTIFS('GLOBAL LOG'!$D$6:$D$128,$C120,'GLOBAL LOG'!#REF!,"Low")</f>
        <v>#REF!</v>
      </c>
      <c r="T120" s="14" t="e">
        <f>COUNTIFS('GLOBAL LOG'!$D$6:$D$128,$C120,'GLOBAL LOG'!#REF!,"Completed")</f>
        <v>#REF!</v>
      </c>
      <c r="U120" s="14" t="e">
        <f>COUNTIFS('GLOBAL LOG'!$D$6:$D$128,$C120,'GLOBAL LOG'!#REF!,"Contracting")</f>
        <v>#REF!</v>
      </c>
      <c r="V120" s="14" t="e">
        <f>COUNTIFS('GLOBAL LOG'!$D$6:$D$128,$C120,'GLOBAL LOG'!#REF!,"Negotiations")</f>
        <v>#REF!</v>
      </c>
      <c r="W120" s="14" t="e">
        <f>COUNTIFS('GLOBAL LOG'!$D$6:$D$128,$C120,'GLOBAL LOG'!#REF!,"ICT")</f>
        <v>#REF!</v>
      </c>
      <c r="X120" s="14" t="e">
        <f>COUNTIFS('GLOBAL LOG'!$D$6:$D$128,$C120,'GLOBAL LOG'!#REF!,"Hopper")</f>
        <v>#REF!</v>
      </c>
      <c r="Y120" s="14">
        <f>SUMIF('GLOBAL LOG'!$D$6:$D$128,$C120,'GLOBAL LOG'!$Q$6:$Q$128)</f>
        <v>0</v>
      </c>
      <c r="Z120" s="14">
        <f>SUMIF('GLOBAL LOG'!$D$6:$D$128,$C120,'GLOBAL LOG'!$R$6:$R$128)</f>
        <v>0</v>
      </c>
      <c r="AA120" s="14">
        <f t="shared" si="2"/>
        <v>0</v>
      </c>
      <c r="AB120" s="14" t="e">
        <f>SUMIF('GLOBAL LOG'!$D$6:$D$128,C120,'GLOBAL LOG'!#REF!)</f>
        <v>#REF!</v>
      </c>
      <c r="AC120" s="6"/>
      <c r="AD120" s="14" t="str">
        <v>Other Greater China</v>
      </c>
      <c r="AE120" s="14" t="e">
        <v>#REF!</v>
      </c>
      <c r="AF120" s="6"/>
      <c r="AG120" s="14" t="str">
        <v>Other Europe</v>
      </c>
      <c r="AH120" s="14">
        <v>0</v>
      </c>
      <c r="AI120" s="6"/>
      <c r="AJ120" s="14" t="str">
        <v>Other Greater China</v>
      </c>
      <c r="AK120" s="14">
        <v>0</v>
      </c>
      <c r="AL120" s="6"/>
      <c r="AM120" s="14" t="str">
        <v>Other Europe</v>
      </c>
      <c r="AN120" s="14">
        <v>0</v>
      </c>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row>
    <row r="121" spans="2:97" s="4" customFormat="1" ht="14.65" hidden="1" customHeight="1">
      <c r="B121" s="6"/>
      <c r="C121" s="13" t="str">
        <v>Other Lessors</v>
      </c>
      <c r="D121" s="14">
        <f>COUNTIFS('GLOBAL LOG'!$D$6:$D$128,C121,'GLOBAL LOG'!$K$6:$K$128,"&lt;&gt;")</f>
        <v>0</v>
      </c>
      <c r="E121" s="14" t="e">
        <f>COUNTIFS('GLOBAL LOG'!$D$6:$D$128,C121,'GLOBAL LOG'!#REF!,"Yes")</f>
        <v>#REF!</v>
      </c>
      <c r="F121" s="14" t="e">
        <f>SUMIF('GLOBAL LOG'!$D$6:$D$128,COUNT!C121,'GLOBAL LOG'!#REF!)</f>
        <v>#REF!</v>
      </c>
      <c r="G121" s="14">
        <f>COUNTIFS('GLOBAL LOG'!$E$6:$E$128,G$10,'GLOBAL LOG'!$D$6:$D$128,$C121)</f>
        <v>0</v>
      </c>
      <c r="H121" s="14">
        <f>COUNTIFS('GLOBAL LOG'!$E$6:$E$128,H$10,'GLOBAL LOG'!$D$6:$D$128,$C121)</f>
        <v>0</v>
      </c>
      <c r="I121" s="14">
        <f>COUNTIFS('GLOBAL LOG'!$E$6:$E$128,I$10,'GLOBAL LOG'!$D$6:$D$128,$C121)</f>
        <v>0</v>
      </c>
      <c r="J121" s="14">
        <f>COUNTIFS('GLOBAL LOG'!$E$6:$E$128,J$10,'GLOBAL LOG'!$D$6:$D$128,$C121)</f>
        <v>0</v>
      </c>
      <c r="K121" s="14">
        <f>COUNTIFS('GLOBAL LOG'!$E$6:$E$128,K$10,'GLOBAL LOG'!$D$6:$D$128,$C121)</f>
        <v>0</v>
      </c>
      <c r="L121" s="14">
        <f>COUNTIFS('GLOBAL LOG'!$E$6:$E$128,L$10,'GLOBAL LOG'!$D$6:$D$128,$C121)</f>
        <v>0</v>
      </c>
      <c r="M121" s="14">
        <f>COUNTIFS('GLOBAL LOG'!$E$6:$E$128,M$10,'GLOBAL LOG'!$D$6:$D$128,$C121)</f>
        <v>0</v>
      </c>
      <c r="N121" s="14" t="e">
        <f>COUNTIFS('GLOBAL LOG'!$D$6:$D$128,$C121,'GLOBAL LOG'!#REF!,"High")</f>
        <v>#REF!</v>
      </c>
      <c r="O121" s="14" t="e">
        <f>COUNTIFS('GLOBAL LOG'!$D$6:$D$128,$C121,'GLOBAL LOG'!#REF!,"Med")</f>
        <v>#REF!</v>
      </c>
      <c r="P121" s="14" t="e">
        <f>COUNTIFS('GLOBAL LOG'!$D$6:$D$128,$C121,'GLOBAL LOG'!#REF!,"Low")</f>
        <v>#REF!</v>
      </c>
      <c r="Q121" s="14" t="e">
        <f>COUNTIFS('GLOBAL LOG'!$D$6:$D$128,$C121,'GLOBAL LOG'!#REF!,"High")</f>
        <v>#REF!</v>
      </c>
      <c r="R121" s="14" t="e">
        <f>COUNTIFS('GLOBAL LOG'!$D$6:$D$128,$C121,'GLOBAL LOG'!#REF!,"Med")</f>
        <v>#REF!</v>
      </c>
      <c r="S121" s="14" t="e">
        <f>COUNTIFS('GLOBAL LOG'!$D$6:$D$128,$C121,'GLOBAL LOG'!#REF!,"Low")</f>
        <v>#REF!</v>
      </c>
      <c r="T121" s="14" t="e">
        <f>COUNTIFS('GLOBAL LOG'!$D$6:$D$128,$C121,'GLOBAL LOG'!#REF!,"Completed")</f>
        <v>#REF!</v>
      </c>
      <c r="U121" s="14" t="e">
        <f>COUNTIFS('GLOBAL LOG'!$D$6:$D$128,$C121,'GLOBAL LOG'!#REF!,"Contracting")</f>
        <v>#REF!</v>
      </c>
      <c r="V121" s="14" t="e">
        <f>COUNTIFS('GLOBAL LOG'!$D$6:$D$128,$C121,'GLOBAL LOG'!#REF!,"Negotiations")</f>
        <v>#REF!</v>
      </c>
      <c r="W121" s="14" t="e">
        <f>COUNTIFS('GLOBAL LOG'!$D$6:$D$128,$C121,'GLOBAL LOG'!#REF!,"ICT")</f>
        <v>#REF!</v>
      </c>
      <c r="X121" s="14" t="e">
        <f>COUNTIFS('GLOBAL LOG'!$D$6:$D$128,$C121,'GLOBAL LOG'!#REF!,"Hopper")</f>
        <v>#REF!</v>
      </c>
      <c r="Y121" s="14">
        <f>SUMIF('GLOBAL LOG'!$D$6:$D$128,$C121,'GLOBAL LOG'!$Q$6:$Q$128)</f>
        <v>0</v>
      </c>
      <c r="Z121" s="14">
        <f>SUMIF('GLOBAL LOG'!$D$6:$D$128,$C121,'GLOBAL LOG'!$R$6:$R$128)</f>
        <v>0</v>
      </c>
      <c r="AA121" s="14">
        <f t="shared" si="2"/>
        <v>0</v>
      </c>
      <c r="AB121" s="14" t="e">
        <f>SUMIF('GLOBAL LOG'!$D$6:$D$128,C121,'GLOBAL LOG'!#REF!)</f>
        <v>#REF!</v>
      </c>
      <c r="AC121" s="6"/>
      <c r="AD121" s="14" t="str">
        <v>Other Lessors</v>
      </c>
      <c r="AE121" s="14" t="e">
        <v>#REF!</v>
      </c>
      <c r="AF121" s="6"/>
      <c r="AG121" s="14" t="str">
        <v>Other Greater China</v>
      </c>
      <c r="AH121" s="14">
        <v>0</v>
      </c>
      <c r="AI121" s="6"/>
      <c r="AJ121" s="14" t="str">
        <v>Other Lessors</v>
      </c>
      <c r="AK121" s="14">
        <v>0</v>
      </c>
      <c r="AL121" s="6"/>
      <c r="AM121" s="14" t="str">
        <v>Other Greater China</v>
      </c>
      <c r="AN121" s="14">
        <v>0</v>
      </c>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row>
    <row r="122" spans="2:97" s="4" customFormat="1" ht="14.65" hidden="1" customHeight="1">
      <c r="B122" s="6"/>
      <c r="C122" s="13" t="str">
        <v>Other ME&amp;A</v>
      </c>
      <c r="D122" s="14">
        <f>COUNTIFS('GLOBAL LOG'!$D$6:$D$128,C122,'GLOBAL LOG'!$K$6:$K$128,"&lt;&gt;")</f>
        <v>0</v>
      </c>
      <c r="E122" s="14" t="e">
        <f>COUNTIFS('GLOBAL LOG'!$D$6:$D$128,C122,'GLOBAL LOG'!#REF!,"Yes")</f>
        <v>#REF!</v>
      </c>
      <c r="F122" s="14" t="e">
        <f>SUMIF('GLOBAL LOG'!$D$6:$D$128,COUNT!C122,'GLOBAL LOG'!#REF!)</f>
        <v>#REF!</v>
      </c>
      <c r="G122" s="14">
        <f>COUNTIFS('GLOBAL LOG'!$E$6:$E$128,G$10,'GLOBAL LOG'!$D$6:$D$128,$C122)</f>
        <v>0</v>
      </c>
      <c r="H122" s="14">
        <f>COUNTIFS('GLOBAL LOG'!$E$6:$E$128,H$10,'GLOBAL LOG'!$D$6:$D$128,$C122)</f>
        <v>0</v>
      </c>
      <c r="I122" s="14">
        <f>COUNTIFS('GLOBAL LOG'!$E$6:$E$128,I$10,'GLOBAL LOG'!$D$6:$D$128,$C122)</f>
        <v>0</v>
      </c>
      <c r="J122" s="14">
        <f>COUNTIFS('GLOBAL LOG'!$E$6:$E$128,J$10,'GLOBAL LOG'!$D$6:$D$128,$C122)</f>
        <v>0</v>
      </c>
      <c r="K122" s="14">
        <f>COUNTIFS('GLOBAL LOG'!$E$6:$E$128,K$10,'GLOBAL LOG'!$D$6:$D$128,$C122)</f>
        <v>0</v>
      </c>
      <c r="L122" s="14">
        <f>COUNTIFS('GLOBAL LOG'!$E$6:$E$128,L$10,'GLOBAL LOG'!$D$6:$D$128,$C122)</f>
        <v>0</v>
      </c>
      <c r="M122" s="14">
        <f>COUNTIFS('GLOBAL LOG'!$E$6:$E$128,M$10,'GLOBAL LOG'!$D$6:$D$128,$C122)</f>
        <v>0</v>
      </c>
      <c r="N122" s="14" t="e">
        <f>COUNTIFS('GLOBAL LOG'!$D$6:$D$128,$C122,'GLOBAL LOG'!#REF!,"High")</f>
        <v>#REF!</v>
      </c>
      <c r="O122" s="14" t="e">
        <f>COUNTIFS('GLOBAL LOG'!$D$6:$D$128,$C122,'GLOBAL LOG'!#REF!,"Med")</f>
        <v>#REF!</v>
      </c>
      <c r="P122" s="14" t="e">
        <f>COUNTIFS('GLOBAL LOG'!$D$6:$D$128,$C122,'GLOBAL LOG'!#REF!,"Low")</f>
        <v>#REF!</v>
      </c>
      <c r="Q122" s="14" t="e">
        <f>COUNTIFS('GLOBAL LOG'!$D$6:$D$128,$C122,'GLOBAL LOG'!#REF!,"High")</f>
        <v>#REF!</v>
      </c>
      <c r="R122" s="14" t="e">
        <f>COUNTIFS('GLOBAL LOG'!$D$6:$D$128,$C122,'GLOBAL LOG'!#REF!,"Med")</f>
        <v>#REF!</v>
      </c>
      <c r="S122" s="14" t="e">
        <f>COUNTIFS('GLOBAL LOG'!$D$6:$D$128,$C122,'GLOBAL LOG'!#REF!,"Low")</f>
        <v>#REF!</v>
      </c>
      <c r="T122" s="14" t="e">
        <f>COUNTIFS('GLOBAL LOG'!$D$6:$D$128,$C122,'GLOBAL LOG'!#REF!,"Completed")</f>
        <v>#REF!</v>
      </c>
      <c r="U122" s="14" t="e">
        <f>COUNTIFS('GLOBAL LOG'!$D$6:$D$128,$C122,'GLOBAL LOG'!#REF!,"Contracting")</f>
        <v>#REF!</v>
      </c>
      <c r="V122" s="14" t="e">
        <f>COUNTIFS('GLOBAL LOG'!$D$6:$D$128,$C122,'GLOBAL LOG'!#REF!,"Negotiations")</f>
        <v>#REF!</v>
      </c>
      <c r="W122" s="14" t="e">
        <f>COUNTIFS('GLOBAL LOG'!$D$6:$D$128,$C122,'GLOBAL LOG'!#REF!,"ICT")</f>
        <v>#REF!</v>
      </c>
      <c r="X122" s="14" t="e">
        <f>COUNTIFS('GLOBAL LOG'!$D$6:$D$128,$C122,'GLOBAL LOG'!#REF!,"Hopper")</f>
        <v>#REF!</v>
      </c>
      <c r="Y122" s="14">
        <f>SUMIF('GLOBAL LOG'!$D$6:$D$128,$C122,'GLOBAL LOG'!$Q$6:$Q$128)</f>
        <v>0</v>
      </c>
      <c r="Z122" s="14">
        <f>SUMIF('GLOBAL LOG'!$D$6:$D$128,$C122,'GLOBAL LOG'!$R$6:$R$128)</f>
        <v>0</v>
      </c>
      <c r="AA122" s="14">
        <f t="shared" si="2"/>
        <v>0</v>
      </c>
      <c r="AB122" s="14" t="e">
        <f>SUMIF('GLOBAL LOG'!$D$6:$D$128,C122,'GLOBAL LOG'!#REF!)</f>
        <v>#REF!</v>
      </c>
      <c r="AC122" s="6"/>
      <c r="AD122" s="14" t="str">
        <v>Other ME&amp;A</v>
      </c>
      <c r="AE122" s="14" t="e">
        <v>#REF!</v>
      </c>
      <c r="AF122" s="6"/>
      <c r="AG122" s="14" t="str">
        <v>Other Lessors</v>
      </c>
      <c r="AH122" s="14">
        <v>0</v>
      </c>
      <c r="AI122" s="6"/>
      <c r="AJ122" s="14" t="str">
        <v>Other ME&amp;A</v>
      </c>
      <c r="AK122" s="14">
        <v>0</v>
      </c>
      <c r="AL122" s="6"/>
      <c r="AM122" s="14" t="str">
        <v>Other Lessors</v>
      </c>
      <c r="AN122" s="14">
        <v>0</v>
      </c>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row>
    <row r="123" spans="2:97" s="4" customFormat="1" ht="14.65" hidden="1" customHeight="1">
      <c r="B123" s="6"/>
      <c r="C123" s="13" t="str">
        <v>Other MEA</v>
      </c>
      <c r="D123" s="14">
        <f>COUNTIFS('GLOBAL LOG'!$D$6:$D$128,C123,'GLOBAL LOG'!$K$6:$K$128,"&lt;&gt;")</f>
        <v>0</v>
      </c>
      <c r="E123" s="14" t="e">
        <f>COUNTIFS('GLOBAL LOG'!$D$6:$D$128,C123,'GLOBAL LOG'!#REF!,"Yes")</f>
        <v>#REF!</v>
      </c>
      <c r="F123" s="14" t="e">
        <f>SUMIF('GLOBAL LOG'!$D$6:$D$128,COUNT!C123,'GLOBAL LOG'!#REF!)</f>
        <v>#REF!</v>
      </c>
      <c r="G123" s="14">
        <f>COUNTIFS('GLOBAL LOG'!$E$6:$E$128,G$10,'GLOBAL LOG'!$D$6:$D$128,$C123)</f>
        <v>0</v>
      </c>
      <c r="H123" s="14">
        <f>COUNTIFS('GLOBAL LOG'!$E$6:$E$128,H$10,'GLOBAL LOG'!$D$6:$D$128,$C123)</f>
        <v>0</v>
      </c>
      <c r="I123" s="14">
        <f>COUNTIFS('GLOBAL LOG'!$E$6:$E$128,I$10,'GLOBAL LOG'!$D$6:$D$128,$C123)</f>
        <v>0</v>
      </c>
      <c r="J123" s="14">
        <f>COUNTIFS('GLOBAL LOG'!$E$6:$E$128,J$10,'GLOBAL LOG'!$D$6:$D$128,$C123)</f>
        <v>0</v>
      </c>
      <c r="K123" s="14">
        <f>COUNTIFS('GLOBAL LOG'!$E$6:$E$128,K$10,'GLOBAL LOG'!$D$6:$D$128,$C123)</f>
        <v>0</v>
      </c>
      <c r="L123" s="14">
        <f>COUNTIFS('GLOBAL LOG'!$E$6:$E$128,L$10,'GLOBAL LOG'!$D$6:$D$128,$C123)</f>
        <v>0</v>
      </c>
      <c r="M123" s="14">
        <f>COUNTIFS('GLOBAL LOG'!$E$6:$E$128,M$10,'GLOBAL LOG'!$D$6:$D$128,$C123)</f>
        <v>0</v>
      </c>
      <c r="N123" s="14" t="e">
        <f>COUNTIFS('GLOBAL LOG'!$D$6:$D$128,$C123,'GLOBAL LOG'!#REF!,"High")</f>
        <v>#REF!</v>
      </c>
      <c r="O123" s="14" t="e">
        <f>COUNTIFS('GLOBAL LOG'!$D$6:$D$128,$C123,'GLOBAL LOG'!#REF!,"Med")</f>
        <v>#REF!</v>
      </c>
      <c r="P123" s="14" t="e">
        <f>COUNTIFS('GLOBAL LOG'!$D$6:$D$128,$C123,'GLOBAL LOG'!#REF!,"Low")</f>
        <v>#REF!</v>
      </c>
      <c r="Q123" s="14" t="e">
        <f>COUNTIFS('GLOBAL LOG'!$D$6:$D$128,$C123,'GLOBAL LOG'!#REF!,"High")</f>
        <v>#REF!</v>
      </c>
      <c r="R123" s="14" t="e">
        <f>COUNTIFS('GLOBAL LOG'!$D$6:$D$128,$C123,'GLOBAL LOG'!#REF!,"Med")</f>
        <v>#REF!</v>
      </c>
      <c r="S123" s="14" t="e">
        <f>COUNTIFS('GLOBAL LOG'!$D$6:$D$128,$C123,'GLOBAL LOG'!#REF!,"Low")</f>
        <v>#REF!</v>
      </c>
      <c r="T123" s="14" t="e">
        <f>COUNTIFS('GLOBAL LOG'!$D$6:$D$128,$C123,'GLOBAL LOG'!#REF!,"Completed")</f>
        <v>#REF!</v>
      </c>
      <c r="U123" s="14" t="e">
        <f>COUNTIFS('GLOBAL LOG'!$D$6:$D$128,$C123,'GLOBAL LOG'!#REF!,"Contracting")</f>
        <v>#REF!</v>
      </c>
      <c r="V123" s="14" t="e">
        <f>COUNTIFS('GLOBAL LOG'!$D$6:$D$128,$C123,'GLOBAL LOG'!#REF!,"Negotiations")</f>
        <v>#REF!</v>
      </c>
      <c r="W123" s="14" t="e">
        <f>COUNTIFS('GLOBAL LOG'!$D$6:$D$128,$C123,'GLOBAL LOG'!#REF!,"ICT")</f>
        <v>#REF!</v>
      </c>
      <c r="X123" s="14" t="e">
        <f>COUNTIFS('GLOBAL LOG'!$D$6:$D$128,$C123,'GLOBAL LOG'!#REF!,"Hopper")</f>
        <v>#REF!</v>
      </c>
      <c r="Y123" s="14">
        <f>SUMIF('GLOBAL LOG'!$D$6:$D$128,$C123,'GLOBAL LOG'!$Q$6:$Q$128)</f>
        <v>0</v>
      </c>
      <c r="Z123" s="14">
        <f>SUMIF('GLOBAL LOG'!$D$6:$D$128,$C123,'GLOBAL LOG'!$R$6:$R$128)</f>
        <v>0</v>
      </c>
      <c r="AA123" s="14">
        <f t="shared" si="2"/>
        <v>0</v>
      </c>
      <c r="AB123" s="14" t="e">
        <f>SUMIF('GLOBAL LOG'!$D$6:$D$128,C123,'GLOBAL LOG'!#REF!)</f>
        <v>#REF!</v>
      </c>
      <c r="AC123" s="6"/>
      <c r="AD123" s="14" t="str">
        <v>Other MEA</v>
      </c>
      <c r="AE123" s="14" t="e">
        <v>#REF!</v>
      </c>
      <c r="AF123" s="6"/>
      <c r="AG123" s="14" t="str">
        <v>Other ME&amp;A</v>
      </c>
      <c r="AH123" s="14">
        <v>0</v>
      </c>
      <c r="AI123" s="6"/>
      <c r="AJ123" s="14" t="str">
        <v>Other MEA</v>
      </c>
      <c r="AK123" s="14">
        <v>0</v>
      </c>
      <c r="AL123" s="6"/>
      <c r="AM123" s="14" t="str">
        <v>Other ME&amp;A</v>
      </c>
      <c r="AN123" s="14">
        <v>0</v>
      </c>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row>
    <row r="124" spans="2:97" s="4" customFormat="1" ht="14.65" hidden="1" customHeight="1">
      <c r="B124" s="6"/>
      <c r="C124" s="13" t="str">
        <v>Philippine Airlines</v>
      </c>
      <c r="D124" s="14">
        <f>COUNTIFS('GLOBAL LOG'!$D$6:$D$128,C124,'GLOBAL LOG'!$K$6:$K$128,"&lt;&gt;")</f>
        <v>2</v>
      </c>
      <c r="E124" s="14" t="e">
        <f>COUNTIFS('GLOBAL LOG'!$D$6:$D$128,C124,'GLOBAL LOG'!#REF!,"Yes")</f>
        <v>#REF!</v>
      </c>
      <c r="F124" s="14" t="e">
        <f>SUMIF('GLOBAL LOG'!$D$6:$D$128,COUNT!C124,'GLOBAL LOG'!#REF!)</f>
        <v>#REF!</v>
      </c>
      <c r="G124" s="14">
        <f>COUNTIFS('GLOBAL LOG'!$E$6:$E$128,G$10,'GLOBAL LOG'!$D$6:$D$128,$C124)</f>
        <v>1</v>
      </c>
      <c r="H124" s="14">
        <f>COUNTIFS('GLOBAL LOG'!$E$6:$E$128,H$10,'GLOBAL LOG'!$D$6:$D$128,$C124)</f>
        <v>1</v>
      </c>
      <c r="I124" s="14">
        <f>COUNTIFS('GLOBAL LOG'!$E$6:$E$128,I$10,'GLOBAL LOG'!$D$6:$D$128,$C124)</f>
        <v>0</v>
      </c>
      <c r="J124" s="14">
        <f>COUNTIFS('GLOBAL LOG'!$E$6:$E$128,J$10,'GLOBAL LOG'!$D$6:$D$128,$C124)</f>
        <v>0</v>
      </c>
      <c r="K124" s="14">
        <f>COUNTIFS('GLOBAL LOG'!$E$6:$E$128,K$10,'GLOBAL LOG'!$D$6:$D$128,$C124)</f>
        <v>0</v>
      </c>
      <c r="L124" s="14">
        <f>COUNTIFS('GLOBAL LOG'!$E$6:$E$128,L$10,'GLOBAL LOG'!$D$6:$D$128,$C124)</f>
        <v>0</v>
      </c>
      <c r="M124" s="14">
        <f>COUNTIFS('GLOBAL LOG'!$E$6:$E$128,M$10,'GLOBAL LOG'!$D$6:$D$128,$C124)</f>
        <v>0</v>
      </c>
      <c r="N124" s="14" t="e">
        <f>COUNTIFS('GLOBAL LOG'!$D$6:$D$128,$C124,'GLOBAL LOG'!#REF!,"High")</f>
        <v>#REF!</v>
      </c>
      <c r="O124" s="14" t="e">
        <f>COUNTIFS('GLOBAL LOG'!$D$6:$D$128,$C124,'GLOBAL LOG'!#REF!,"Med")</f>
        <v>#REF!</v>
      </c>
      <c r="P124" s="14" t="e">
        <f>COUNTIFS('GLOBAL LOG'!$D$6:$D$128,$C124,'GLOBAL LOG'!#REF!,"Low")</f>
        <v>#REF!</v>
      </c>
      <c r="Q124" s="14" t="e">
        <f>COUNTIFS('GLOBAL LOG'!$D$6:$D$128,$C124,'GLOBAL LOG'!#REF!,"High")</f>
        <v>#REF!</v>
      </c>
      <c r="R124" s="14" t="e">
        <f>COUNTIFS('GLOBAL LOG'!$D$6:$D$128,$C124,'GLOBAL LOG'!#REF!,"Med")</f>
        <v>#REF!</v>
      </c>
      <c r="S124" s="14" t="e">
        <f>COUNTIFS('GLOBAL LOG'!$D$6:$D$128,$C124,'GLOBAL LOG'!#REF!,"Low")</f>
        <v>#REF!</v>
      </c>
      <c r="T124" s="14" t="e">
        <f>COUNTIFS('GLOBAL LOG'!$D$6:$D$128,$C124,'GLOBAL LOG'!#REF!,"Completed")</f>
        <v>#REF!</v>
      </c>
      <c r="U124" s="14" t="e">
        <f>COUNTIFS('GLOBAL LOG'!$D$6:$D$128,$C124,'GLOBAL LOG'!#REF!,"Contracting")</f>
        <v>#REF!</v>
      </c>
      <c r="V124" s="14" t="e">
        <f>COUNTIFS('GLOBAL LOG'!$D$6:$D$128,$C124,'GLOBAL LOG'!#REF!,"Negotiations")</f>
        <v>#REF!</v>
      </c>
      <c r="W124" s="14" t="e">
        <f>COUNTIFS('GLOBAL LOG'!$D$6:$D$128,$C124,'GLOBAL LOG'!#REF!,"ICT")</f>
        <v>#REF!</v>
      </c>
      <c r="X124" s="14" t="e">
        <f>COUNTIFS('GLOBAL LOG'!$D$6:$D$128,$C124,'GLOBAL LOG'!#REF!,"Hopper")</f>
        <v>#REF!</v>
      </c>
      <c r="Y124" s="14">
        <f>SUMIF('GLOBAL LOG'!$D$6:$D$128,$C124,'GLOBAL LOG'!$Q$6:$Q$128)</f>
        <v>0</v>
      </c>
      <c r="Z124" s="14">
        <f>SUMIF('GLOBAL LOG'!$D$6:$D$128,$C124,'GLOBAL LOG'!$R$6:$R$128)</f>
        <v>0</v>
      </c>
      <c r="AA124" s="14">
        <f t="shared" si="2"/>
        <v>0</v>
      </c>
      <c r="AB124" s="14" t="e">
        <f>SUMIF('GLOBAL LOG'!$D$6:$D$128,C124,'GLOBAL LOG'!#REF!)</f>
        <v>#REF!</v>
      </c>
      <c r="AC124" s="6"/>
      <c r="AD124" s="14" t="str">
        <v>Philippine Airlines</v>
      </c>
      <c r="AE124" s="14" t="e">
        <v>#REF!</v>
      </c>
      <c r="AF124" s="6"/>
      <c r="AG124" s="14" t="str">
        <v>Other MEA</v>
      </c>
      <c r="AH124" s="14">
        <v>0</v>
      </c>
      <c r="AI124" s="6"/>
      <c r="AJ124" s="14" t="str">
        <v>Philippine Airlines</v>
      </c>
      <c r="AK124" s="14">
        <v>0</v>
      </c>
      <c r="AL124" s="6"/>
      <c r="AM124" s="14" t="str">
        <v>Other MEA</v>
      </c>
      <c r="AN124" s="14">
        <v>0</v>
      </c>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row>
    <row r="125" spans="2:97" s="4" customFormat="1" ht="14.65" hidden="1" customHeight="1">
      <c r="B125" s="6"/>
      <c r="C125" s="13" t="str">
        <v>Qantas Airways</v>
      </c>
      <c r="D125" s="14">
        <f>COUNTIFS('GLOBAL LOG'!$D$6:$D$128,C125,'GLOBAL LOG'!$K$6:$K$128,"&lt;&gt;")</f>
        <v>0</v>
      </c>
      <c r="E125" s="14" t="e">
        <f>COUNTIFS('GLOBAL LOG'!$D$6:$D$128,C125,'GLOBAL LOG'!#REF!,"Yes")</f>
        <v>#REF!</v>
      </c>
      <c r="F125" s="14" t="e">
        <f>SUMIF('GLOBAL LOG'!$D$6:$D$128,COUNT!C125,'GLOBAL LOG'!#REF!)</f>
        <v>#REF!</v>
      </c>
      <c r="G125" s="14">
        <f>COUNTIFS('GLOBAL LOG'!$E$6:$E$128,G$10,'GLOBAL LOG'!$D$6:$D$128,$C125)</f>
        <v>0</v>
      </c>
      <c r="H125" s="14">
        <f>COUNTIFS('GLOBAL LOG'!$E$6:$E$128,H$10,'GLOBAL LOG'!$D$6:$D$128,$C125)</f>
        <v>0</v>
      </c>
      <c r="I125" s="14">
        <f>COUNTIFS('GLOBAL LOG'!$E$6:$E$128,I$10,'GLOBAL LOG'!$D$6:$D$128,$C125)</f>
        <v>0</v>
      </c>
      <c r="J125" s="14">
        <f>COUNTIFS('GLOBAL LOG'!$E$6:$E$128,J$10,'GLOBAL LOG'!$D$6:$D$128,$C125)</f>
        <v>0</v>
      </c>
      <c r="K125" s="14">
        <f>COUNTIFS('GLOBAL LOG'!$E$6:$E$128,K$10,'GLOBAL LOG'!$D$6:$D$128,$C125)</f>
        <v>0</v>
      </c>
      <c r="L125" s="14">
        <f>COUNTIFS('GLOBAL LOG'!$E$6:$E$128,L$10,'GLOBAL LOG'!$D$6:$D$128,$C125)</f>
        <v>0</v>
      </c>
      <c r="M125" s="14">
        <f>COUNTIFS('GLOBAL LOG'!$E$6:$E$128,M$10,'GLOBAL LOG'!$D$6:$D$128,$C125)</f>
        <v>0</v>
      </c>
      <c r="N125" s="14" t="e">
        <f>COUNTIFS('GLOBAL LOG'!$D$6:$D$128,$C125,'GLOBAL LOG'!#REF!,"High")</f>
        <v>#REF!</v>
      </c>
      <c r="O125" s="14" t="e">
        <f>COUNTIFS('GLOBAL LOG'!$D$6:$D$128,$C125,'GLOBAL LOG'!#REF!,"Med")</f>
        <v>#REF!</v>
      </c>
      <c r="P125" s="14" t="e">
        <f>COUNTIFS('GLOBAL LOG'!$D$6:$D$128,$C125,'GLOBAL LOG'!#REF!,"Low")</f>
        <v>#REF!</v>
      </c>
      <c r="Q125" s="14" t="e">
        <f>COUNTIFS('GLOBAL LOG'!$D$6:$D$128,$C125,'GLOBAL LOG'!#REF!,"High")</f>
        <v>#REF!</v>
      </c>
      <c r="R125" s="14" t="e">
        <f>COUNTIFS('GLOBAL LOG'!$D$6:$D$128,$C125,'GLOBAL LOG'!#REF!,"Med")</f>
        <v>#REF!</v>
      </c>
      <c r="S125" s="14" t="e">
        <f>COUNTIFS('GLOBAL LOG'!$D$6:$D$128,$C125,'GLOBAL LOG'!#REF!,"Low")</f>
        <v>#REF!</v>
      </c>
      <c r="T125" s="14" t="e">
        <f>COUNTIFS('GLOBAL LOG'!$D$6:$D$128,$C125,'GLOBAL LOG'!#REF!,"Completed")</f>
        <v>#REF!</v>
      </c>
      <c r="U125" s="14" t="e">
        <f>COUNTIFS('GLOBAL LOG'!$D$6:$D$128,$C125,'GLOBAL LOG'!#REF!,"Contracting")</f>
        <v>#REF!</v>
      </c>
      <c r="V125" s="14" t="e">
        <f>COUNTIFS('GLOBAL LOG'!$D$6:$D$128,$C125,'GLOBAL LOG'!#REF!,"Negotiations")</f>
        <v>#REF!</v>
      </c>
      <c r="W125" s="14" t="e">
        <f>COUNTIFS('GLOBAL LOG'!$D$6:$D$128,$C125,'GLOBAL LOG'!#REF!,"ICT")</f>
        <v>#REF!</v>
      </c>
      <c r="X125" s="14" t="e">
        <f>COUNTIFS('GLOBAL LOG'!$D$6:$D$128,$C125,'GLOBAL LOG'!#REF!,"Hopper")</f>
        <v>#REF!</v>
      </c>
      <c r="Y125" s="14">
        <f>SUMIF('GLOBAL LOG'!$D$6:$D$128,$C125,'GLOBAL LOG'!$Q$6:$Q$128)</f>
        <v>0</v>
      </c>
      <c r="Z125" s="14">
        <f>SUMIF('GLOBAL LOG'!$D$6:$D$128,$C125,'GLOBAL LOG'!$R$6:$R$128)</f>
        <v>0</v>
      </c>
      <c r="AA125" s="14">
        <f t="shared" si="2"/>
        <v>0</v>
      </c>
      <c r="AB125" s="14" t="e">
        <f>SUMIF('GLOBAL LOG'!$D$6:$D$128,C125,'GLOBAL LOG'!#REF!)</f>
        <v>#REF!</v>
      </c>
      <c r="AC125" s="6"/>
      <c r="AD125" s="14" t="str">
        <v>Qantas Airways</v>
      </c>
      <c r="AE125" s="14" t="e">
        <v>#REF!</v>
      </c>
      <c r="AF125" s="6"/>
      <c r="AG125" s="14" t="str">
        <v>Philippine Airlines</v>
      </c>
      <c r="AH125" s="14">
        <v>0</v>
      </c>
      <c r="AI125" s="6"/>
      <c r="AJ125" s="14" t="str">
        <v>Qantas Airways</v>
      </c>
      <c r="AK125" s="14">
        <v>0</v>
      </c>
      <c r="AL125" s="6"/>
      <c r="AM125" s="14" t="str">
        <v>Philippine Airlines</v>
      </c>
      <c r="AN125" s="14">
        <v>0</v>
      </c>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row>
    <row r="126" spans="2:97" s="4" customFormat="1" ht="14.65" hidden="1" customHeight="1">
      <c r="B126" s="6"/>
      <c r="C126" s="13" t="str">
        <v>Qatar Airways</v>
      </c>
      <c r="D126" s="14">
        <f>COUNTIFS('GLOBAL LOG'!$D$6:$D$128,C126,'GLOBAL LOG'!$K$6:$K$128,"&lt;&gt;")</f>
        <v>0</v>
      </c>
      <c r="E126" s="14" t="e">
        <f>COUNTIFS('GLOBAL LOG'!$D$6:$D$128,C126,'GLOBAL LOG'!#REF!,"Yes")</f>
        <v>#REF!</v>
      </c>
      <c r="F126" s="14" t="e">
        <f>SUMIF('GLOBAL LOG'!$D$6:$D$128,COUNT!C126,'GLOBAL LOG'!#REF!)</f>
        <v>#REF!</v>
      </c>
      <c r="G126" s="14">
        <f>COUNTIFS('GLOBAL LOG'!$E$6:$E$128,G$10,'GLOBAL LOG'!$D$6:$D$128,$C126)</f>
        <v>0</v>
      </c>
      <c r="H126" s="14">
        <f>COUNTIFS('GLOBAL LOG'!$E$6:$E$128,H$10,'GLOBAL LOG'!$D$6:$D$128,$C126)</f>
        <v>0</v>
      </c>
      <c r="I126" s="14">
        <f>COUNTIFS('GLOBAL LOG'!$E$6:$E$128,I$10,'GLOBAL LOG'!$D$6:$D$128,$C126)</f>
        <v>0</v>
      </c>
      <c r="J126" s="14">
        <f>COUNTIFS('GLOBAL LOG'!$E$6:$E$128,J$10,'GLOBAL LOG'!$D$6:$D$128,$C126)</f>
        <v>0</v>
      </c>
      <c r="K126" s="14">
        <f>COUNTIFS('GLOBAL LOG'!$E$6:$E$128,K$10,'GLOBAL LOG'!$D$6:$D$128,$C126)</f>
        <v>0</v>
      </c>
      <c r="L126" s="14">
        <f>COUNTIFS('GLOBAL LOG'!$E$6:$E$128,L$10,'GLOBAL LOG'!$D$6:$D$128,$C126)</f>
        <v>0</v>
      </c>
      <c r="M126" s="14">
        <f>COUNTIFS('GLOBAL LOG'!$E$6:$E$128,M$10,'GLOBAL LOG'!$D$6:$D$128,$C126)</f>
        <v>0</v>
      </c>
      <c r="N126" s="14" t="e">
        <f>COUNTIFS('GLOBAL LOG'!$D$6:$D$128,$C126,'GLOBAL LOG'!#REF!,"High")</f>
        <v>#REF!</v>
      </c>
      <c r="O126" s="14" t="e">
        <f>COUNTIFS('GLOBAL LOG'!$D$6:$D$128,$C126,'GLOBAL LOG'!#REF!,"Med")</f>
        <v>#REF!</v>
      </c>
      <c r="P126" s="14" t="e">
        <f>COUNTIFS('GLOBAL LOG'!$D$6:$D$128,$C126,'GLOBAL LOG'!#REF!,"Low")</f>
        <v>#REF!</v>
      </c>
      <c r="Q126" s="14" t="e">
        <f>COUNTIFS('GLOBAL LOG'!$D$6:$D$128,$C126,'GLOBAL LOG'!#REF!,"High")</f>
        <v>#REF!</v>
      </c>
      <c r="R126" s="14" t="e">
        <f>COUNTIFS('GLOBAL LOG'!$D$6:$D$128,$C126,'GLOBAL LOG'!#REF!,"Med")</f>
        <v>#REF!</v>
      </c>
      <c r="S126" s="14" t="e">
        <f>COUNTIFS('GLOBAL LOG'!$D$6:$D$128,$C126,'GLOBAL LOG'!#REF!,"Low")</f>
        <v>#REF!</v>
      </c>
      <c r="T126" s="14" t="e">
        <f>COUNTIFS('GLOBAL LOG'!$D$6:$D$128,$C126,'GLOBAL LOG'!#REF!,"Completed")</f>
        <v>#REF!</v>
      </c>
      <c r="U126" s="14" t="e">
        <f>COUNTIFS('GLOBAL LOG'!$D$6:$D$128,$C126,'GLOBAL LOG'!#REF!,"Contracting")</f>
        <v>#REF!</v>
      </c>
      <c r="V126" s="14" t="e">
        <f>COUNTIFS('GLOBAL LOG'!$D$6:$D$128,$C126,'GLOBAL LOG'!#REF!,"Negotiations")</f>
        <v>#REF!</v>
      </c>
      <c r="W126" s="14" t="e">
        <f>COUNTIFS('GLOBAL LOG'!$D$6:$D$128,$C126,'GLOBAL LOG'!#REF!,"ICT")</f>
        <v>#REF!</v>
      </c>
      <c r="X126" s="14" t="e">
        <f>COUNTIFS('GLOBAL LOG'!$D$6:$D$128,$C126,'GLOBAL LOG'!#REF!,"Hopper")</f>
        <v>#REF!</v>
      </c>
      <c r="Y126" s="14">
        <f>SUMIF('GLOBAL LOG'!$D$6:$D$128,$C126,'GLOBAL LOG'!$Q$6:$Q$128)</f>
        <v>0</v>
      </c>
      <c r="Z126" s="14">
        <f>SUMIF('GLOBAL LOG'!$D$6:$D$128,$C126,'GLOBAL LOG'!$R$6:$R$128)</f>
        <v>0</v>
      </c>
      <c r="AA126" s="14">
        <f t="shared" si="2"/>
        <v>0</v>
      </c>
      <c r="AB126" s="14" t="e">
        <f>SUMIF('GLOBAL LOG'!$D$6:$D$128,C126,'GLOBAL LOG'!#REF!)</f>
        <v>#REF!</v>
      </c>
      <c r="AC126" s="6"/>
      <c r="AD126" s="14" t="str">
        <v>Qatar Airways</v>
      </c>
      <c r="AE126" s="14" t="e">
        <v>#REF!</v>
      </c>
      <c r="AF126" s="6"/>
      <c r="AG126" s="14" t="str">
        <v>Qantas Airways</v>
      </c>
      <c r="AH126" s="14">
        <v>0</v>
      </c>
      <c r="AI126" s="6"/>
      <c r="AJ126" s="14" t="str">
        <v>Qatar Airways</v>
      </c>
      <c r="AK126" s="14">
        <v>0</v>
      </c>
      <c r="AL126" s="6"/>
      <c r="AM126" s="14" t="str">
        <v>Qantas Airways</v>
      </c>
      <c r="AN126" s="14">
        <v>0</v>
      </c>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row>
    <row r="127" spans="2:97" s="4" customFormat="1" ht="14.65" hidden="1" customHeight="1">
      <c r="B127" s="6"/>
      <c r="C127" s="13" t="str">
        <v>Rossiya - Russian Airlines</v>
      </c>
      <c r="D127" s="14">
        <f>COUNTIFS('GLOBAL LOG'!$D$6:$D$128,C127,'GLOBAL LOG'!$K$6:$K$128,"&lt;&gt;")</f>
        <v>0</v>
      </c>
      <c r="E127" s="14" t="e">
        <f>COUNTIFS('GLOBAL LOG'!$D$6:$D$128,C127,'GLOBAL LOG'!#REF!,"Yes")</f>
        <v>#REF!</v>
      </c>
      <c r="F127" s="14" t="e">
        <f>SUMIF('GLOBAL LOG'!$D$6:$D$128,COUNT!C127,'GLOBAL LOG'!#REF!)</f>
        <v>#REF!</v>
      </c>
      <c r="G127" s="14">
        <f>COUNTIFS('GLOBAL LOG'!$E$6:$E$128,G$10,'GLOBAL LOG'!$D$6:$D$128,$C127)</f>
        <v>0</v>
      </c>
      <c r="H127" s="14">
        <f>COUNTIFS('GLOBAL LOG'!$E$6:$E$128,H$10,'GLOBAL LOG'!$D$6:$D$128,$C127)</f>
        <v>0</v>
      </c>
      <c r="I127" s="14">
        <f>COUNTIFS('GLOBAL LOG'!$E$6:$E$128,I$10,'GLOBAL LOG'!$D$6:$D$128,$C127)</f>
        <v>0</v>
      </c>
      <c r="J127" s="14">
        <f>COUNTIFS('GLOBAL LOG'!$E$6:$E$128,J$10,'GLOBAL LOG'!$D$6:$D$128,$C127)</f>
        <v>0</v>
      </c>
      <c r="K127" s="14">
        <f>COUNTIFS('GLOBAL LOG'!$E$6:$E$128,K$10,'GLOBAL LOG'!$D$6:$D$128,$C127)</f>
        <v>0</v>
      </c>
      <c r="L127" s="14">
        <f>COUNTIFS('GLOBAL LOG'!$E$6:$E$128,L$10,'GLOBAL LOG'!$D$6:$D$128,$C127)</f>
        <v>0</v>
      </c>
      <c r="M127" s="14">
        <f>COUNTIFS('GLOBAL LOG'!$E$6:$E$128,M$10,'GLOBAL LOG'!$D$6:$D$128,$C127)</f>
        <v>0</v>
      </c>
      <c r="N127" s="14" t="e">
        <f>COUNTIFS('GLOBAL LOG'!$D$6:$D$128,$C127,'GLOBAL LOG'!#REF!,"High")</f>
        <v>#REF!</v>
      </c>
      <c r="O127" s="14" t="e">
        <f>COUNTIFS('GLOBAL LOG'!$D$6:$D$128,$C127,'GLOBAL LOG'!#REF!,"Med")</f>
        <v>#REF!</v>
      </c>
      <c r="P127" s="14" t="e">
        <f>COUNTIFS('GLOBAL LOG'!$D$6:$D$128,$C127,'GLOBAL LOG'!#REF!,"Low")</f>
        <v>#REF!</v>
      </c>
      <c r="Q127" s="14" t="e">
        <f>COUNTIFS('GLOBAL LOG'!$D$6:$D$128,$C127,'GLOBAL LOG'!#REF!,"High")</f>
        <v>#REF!</v>
      </c>
      <c r="R127" s="14" t="e">
        <f>COUNTIFS('GLOBAL LOG'!$D$6:$D$128,$C127,'GLOBAL LOG'!#REF!,"Med")</f>
        <v>#REF!</v>
      </c>
      <c r="S127" s="14" t="e">
        <f>COUNTIFS('GLOBAL LOG'!$D$6:$D$128,$C127,'GLOBAL LOG'!#REF!,"Low")</f>
        <v>#REF!</v>
      </c>
      <c r="T127" s="14" t="e">
        <f>COUNTIFS('GLOBAL LOG'!$D$6:$D$128,$C127,'GLOBAL LOG'!#REF!,"Completed")</f>
        <v>#REF!</v>
      </c>
      <c r="U127" s="14" t="e">
        <f>COUNTIFS('GLOBAL LOG'!$D$6:$D$128,$C127,'GLOBAL LOG'!#REF!,"Contracting")</f>
        <v>#REF!</v>
      </c>
      <c r="V127" s="14" t="e">
        <f>COUNTIFS('GLOBAL LOG'!$D$6:$D$128,$C127,'GLOBAL LOG'!#REF!,"Negotiations")</f>
        <v>#REF!</v>
      </c>
      <c r="W127" s="14" t="e">
        <f>COUNTIFS('GLOBAL LOG'!$D$6:$D$128,$C127,'GLOBAL LOG'!#REF!,"ICT")</f>
        <v>#REF!</v>
      </c>
      <c r="X127" s="14" t="e">
        <f>COUNTIFS('GLOBAL LOG'!$D$6:$D$128,$C127,'GLOBAL LOG'!#REF!,"Hopper")</f>
        <v>#REF!</v>
      </c>
      <c r="Y127" s="14">
        <f>SUMIF('GLOBAL LOG'!$D$6:$D$128,$C127,'GLOBAL LOG'!$Q$6:$Q$128)</f>
        <v>0</v>
      </c>
      <c r="Z127" s="14">
        <f>SUMIF('GLOBAL LOG'!$D$6:$D$128,$C127,'GLOBAL LOG'!$R$6:$R$128)</f>
        <v>0</v>
      </c>
      <c r="AA127" s="14">
        <f t="shared" si="2"/>
        <v>0</v>
      </c>
      <c r="AB127" s="14" t="e">
        <f>SUMIF('GLOBAL LOG'!$D$6:$D$128,C127,'GLOBAL LOG'!#REF!)</f>
        <v>#REF!</v>
      </c>
      <c r="AC127" s="6"/>
      <c r="AD127" s="14" t="str">
        <v>Rossiya - Russian Airlines</v>
      </c>
      <c r="AE127" s="14" t="e">
        <v>#REF!</v>
      </c>
      <c r="AF127" s="6"/>
      <c r="AG127" s="14" t="str">
        <v>Qatar Airways</v>
      </c>
      <c r="AH127" s="14">
        <v>0</v>
      </c>
      <c r="AI127" s="6"/>
      <c r="AJ127" s="14" t="str">
        <v>Rossiya - Russian Airlines</v>
      </c>
      <c r="AK127" s="14">
        <v>0</v>
      </c>
      <c r="AL127" s="6"/>
      <c r="AM127" s="14" t="str">
        <v>Qatar Airways</v>
      </c>
      <c r="AN127" s="14">
        <v>0</v>
      </c>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row>
    <row r="128" spans="2:97" s="4" customFormat="1" ht="14.65" hidden="1" customHeight="1">
      <c r="B128" s="6"/>
      <c r="C128" s="13" t="str">
        <v>Royal Brunei Airlines</v>
      </c>
      <c r="D128" s="14">
        <f>COUNTIFS('GLOBAL LOG'!$D$6:$D$128,C128,'GLOBAL LOG'!$K$6:$K$128,"&lt;&gt;")</f>
        <v>0</v>
      </c>
      <c r="E128" s="14" t="e">
        <f>COUNTIFS('GLOBAL LOG'!$D$6:$D$128,C128,'GLOBAL LOG'!#REF!,"Yes")</f>
        <v>#REF!</v>
      </c>
      <c r="F128" s="14" t="e">
        <f>SUMIF('GLOBAL LOG'!$D$6:$D$128,COUNT!C128,'GLOBAL LOG'!#REF!)</f>
        <v>#REF!</v>
      </c>
      <c r="G128" s="14">
        <f>COUNTIFS('GLOBAL LOG'!$E$6:$E$128,G$10,'GLOBAL LOG'!$D$6:$D$128,$C128)</f>
        <v>0</v>
      </c>
      <c r="H128" s="14">
        <f>COUNTIFS('GLOBAL LOG'!$E$6:$E$128,H$10,'GLOBAL LOG'!$D$6:$D$128,$C128)</f>
        <v>0</v>
      </c>
      <c r="I128" s="14">
        <f>COUNTIFS('GLOBAL LOG'!$E$6:$E$128,I$10,'GLOBAL LOG'!$D$6:$D$128,$C128)</f>
        <v>0</v>
      </c>
      <c r="J128" s="14">
        <f>COUNTIFS('GLOBAL LOG'!$E$6:$E$128,J$10,'GLOBAL LOG'!$D$6:$D$128,$C128)</f>
        <v>0</v>
      </c>
      <c r="K128" s="14">
        <f>COUNTIFS('GLOBAL LOG'!$E$6:$E$128,K$10,'GLOBAL LOG'!$D$6:$D$128,$C128)</f>
        <v>0</v>
      </c>
      <c r="L128" s="14">
        <f>COUNTIFS('GLOBAL LOG'!$E$6:$E$128,L$10,'GLOBAL LOG'!$D$6:$D$128,$C128)</f>
        <v>0</v>
      </c>
      <c r="M128" s="14">
        <f>COUNTIFS('GLOBAL LOG'!$E$6:$E$128,M$10,'GLOBAL LOG'!$D$6:$D$128,$C128)</f>
        <v>0</v>
      </c>
      <c r="N128" s="14" t="e">
        <f>COUNTIFS('GLOBAL LOG'!$D$6:$D$128,$C128,'GLOBAL LOG'!#REF!,"High")</f>
        <v>#REF!</v>
      </c>
      <c r="O128" s="14" t="e">
        <f>COUNTIFS('GLOBAL LOG'!$D$6:$D$128,$C128,'GLOBAL LOG'!#REF!,"Med")</f>
        <v>#REF!</v>
      </c>
      <c r="P128" s="14" t="e">
        <f>COUNTIFS('GLOBAL LOG'!$D$6:$D$128,$C128,'GLOBAL LOG'!#REF!,"Low")</f>
        <v>#REF!</v>
      </c>
      <c r="Q128" s="14" t="e">
        <f>COUNTIFS('GLOBAL LOG'!$D$6:$D$128,$C128,'GLOBAL LOG'!#REF!,"High")</f>
        <v>#REF!</v>
      </c>
      <c r="R128" s="14" t="e">
        <f>COUNTIFS('GLOBAL LOG'!$D$6:$D$128,$C128,'GLOBAL LOG'!#REF!,"Med")</f>
        <v>#REF!</v>
      </c>
      <c r="S128" s="14" t="e">
        <f>COUNTIFS('GLOBAL LOG'!$D$6:$D$128,$C128,'GLOBAL LOG'!#REF!,"Low")</f>
        <v>#REF!</v>
      </c>
      <c r="T128" s="14" t="e">
        <f>COUNTIFS('GLOBAL LOG'!$D$6:$D$128,$C128,'GLOBAL LOG'!#REF!,"Completed")</f>
        <v>#REF!</v>
      </c>
      <c r="U128" s="14" t="e">
        <f>COUNTIFS('GLOBAL LOG'!$D$6:$D$128,$C128,'GLOBAL LOG'!#REF!,"Contracting")</f>
        <v>#REF!</v>
      </c>
      <c r="V128" s="14" t="e">
        <f>COUNTIFS('GLOBAL LOG'!$D$6:$D$128,$C128,'GLOBAL LOG'!#REF!,"Negotiations")</f>
        <v>#REF!</v>
      </c>
      <c r="W128" s="14" t="e">
        <f>COUNTIFS('GLOBAL LOG'!$D$6:$D$128,$C128,'GLOBAL LOG'!#REF!,"ICT")</f>
        <v>#REF!</v>
      </c>
      <c r="X128" s="14" t="e">
        <f>COUNTIFS('GLOBAL LOG'!$D$6:$D$128,$C128,'GLOBAL LOG'!#REF!,"Hopper")</f>
        <v>#REF!</v>
      </c>
      <c r="Y128" s="14">
        <f>SUMIF('GLOBAL LOG'!$D$6:$D$128,$C128,'GLOBAL LOG'!$Q$6:$Q$128)</f>
        <v>0</v>
      </c>
      <c r="Z128" s="14">
        <f>SUMIF('GLOBAL LOG'!$D$6:$D$128,$C128,'GLOBAL LOG'!$R$6:$R$128)</f>
        <v>0</v>
      </c>
      <c r="AA128" s="14">
        <f t="shared" si="2"/>
        <v>0</v>
      </c>
      <c r="AB128" s="14" t="e">
        <f>SUMIF('GLOBAL LOG'!$D$6:$D$128,C128,'GLOBAL LOG'!#REF!)</f>
        <v>#REF!</v>
      </c>
      <c r="AC128" s="6"/>
      <c r="AD128" s="14" t="str">
        <v>Royal Brunei Airlines</v>
      </c>
      <c r="AE128" s="14" t="e">
        <v>#REF!</v>
      </c>
      <c r="AF128" s="6"/>
      <c r="AG128" s="14" t="str">
        <v>Rossiya - Russian Airlines</v>
      </c>
      <c r="AH128" s="14">
        <v>0</v>
      </c>
      <c r="AI128" s="6"/>
      <c r="AJ128" s="14" t="str">
        <v>Royal Brunei Airlines</v>
      </c>
      <c r="AK128" s="14">
        <v>0</v>
      </c>
      <c r="AL128" s="6"/>
      <c r="AM128" s="14" t="str">
        <v>Rossiya - Russian Airlines</v>
      </c>
      <c r="AN128" s="14">
        <v>0</v>
      </c>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row>
    <row r="129" spans="2:97" s="4" customFormat="1" ht="14.65" hidden="1" customHeight="1">
      <c r="B129" s="6"/>
      <c r="C129" s="13" t="str">
        <v>Rwandair</v>
      </c>
      <c r="D129" s="14">
        <f>COUNTIFS('GLOBAL LOG'!$D$6:$D$128,C129,'GLOBAL LOG'!$K$6:$K$128,"&lt;&gt;")</f>
        <v>0</v>
      </c>
      <c r="E129" s="14" t="e">
        <f>COUNTIFS('GLOBAL LOG'!$D$6:$D$128,C129,'GLOBAL LOG'!#REF!,"Yes")</f>
        <v>#REF!</v>
      </c>
      <c r="F129" s="14" t="e">
        <f>SUMIF('GLOBAL LOG'!$D$6:$D$128,COUNT!C129,'GLOBAL LOG'!#REF!)</f>
        <v>#REF!</v>
      </c>
      <c r="G129" s="14">
        <f>COUNTIFS('GLOBAL LOG'!$E$6:$E$128,G$10,'GLOBAL LOG'!$D$6:$D$128,$C129)</f>
        <v>0</v>
      </c>
      <c r="H129" s="14">
        <f>COUNTIFS('GLOBAL LOG'!$E$6:$E$128,H$10,'GLOBAL LOG'!$D$6:$D$128,$C129)</f>
        <v>0</v>
      </c>
      <c r="I129" s="14">
        <f>COUNTIFS('GLOBAL LOG'!$E$6:$E$128,I$10,'GLOBAL LOG'!$D$6:$D$128,$C129)</f>
        <v>0</v>
      </c>
      <c r="J129" s="14">
        <f>COUNTIFS('GLOBAL LOG'!$E$6:$E$128,J$10,'GLOBAL LOG'!$D$6:$D$128,$C129)</f>
        <v>0</v>
      </c>
      <c r="K129" s="14">
        <f>COUNTIFS('GLOBAL LOG'!$E$6:$E$128,K$10,'GLOBAL LOG'!$D$6:$D$128,$C129)</f>
        <v>0</v>
      </c>
      <c r="L129" s="14">
        <f>COUNTIFS('GLOBAL LOG'!$E$6:$E$128,L$10,'GLOBAL LOG'!$D$6:$D$128,$C129)</f>
        <v>0</v>
      </c>
      <c r="M129" s="14">
        <f>COUNTIFS('GLOBAL LOG'!$E$6:$E$128,M$10,'GLOBAL LOG'!$D$6:$D$128,$C129)</f>
        <v>0</v>
      </c>
      <c r="N129" s="14" t="e">
        <f>COUNTIFS('GLOBAL LOG'!$D$6:$D$128,$C129,'GLOBAL LOG'!#REF!,"High")</f>
        <v>#REF!</v>
      </c>
      <c r="O129" s="14" t="e">
        <f>COUNTIFS('GLOBAL LOG'!$D$6:$D$128,$C129,'GLOBAL LOG'!#REF!,"Med")</f>
        <v>#REF!</v>
      </c>
      <c r="P129" s="14" t="e">
        <f>COUNTIFS('GLOBAL LOG'!$D$6:$D$128,$C129,'GLOBAL LOG'!#REF!,"Low")</f>
        <v>#REF!</v>
      </c>
      <c r="Q129" s="14" t="e">
        <f>COUNTIFS('GLOBAL LOG'!$D$6:$D$128,$C129,'GLOBAL LOG'!#REF!,"High")</f>
        <v>#REF!</v>
      </c>
      <c r="R129" s="14" t="e">
        <f>COUNTIFS('GLOBAL LOG'!$D$6:$D$128,$C129,'GLOBAL LOG'!#REF!,"Med")</f>
        <v>#REF!</v>
      </c>
      <c r="S129" s="14" t="e">
        <f>COUNTIFS('GLOBAL LOG'!$D$6:$D$128,$C129,'GLOBAL LOG'!#REF!,"Low")</f>
        <v>#REF!</v>
      </c>
      <c r="T129" s="14" t="e">
        <f>COUNTIFS('GLOBAL LOG'!$D$6:$D$128,$C129,'GLOBAL LOG'!#REF!,"Completed")</f>
        <v>#REF!</v>
      </c>
      <c r="U129" s="14" t="e">
        <f>COUNTIFS('GLOBAL LOG'!$D$6:$D$128,$C129,'GLOBAL LOG'!#REF!,"Contracting")</f>
        <v>#REF!</v>
      </c>
      <c r="V129" s="14" t="e">
        <f>COUNTIFS('GLOBAL LOG'!$D$6:$D$128,$C129,'GLOBAL LOG'!#REF!,"Negotiations")</f>
        <v>#REF!</v>
      </c>
      <c r="W129" s="14" t="e">
        <f>COUNTIFS('GLOBAL LOG'!$D$6:$D$128,$C129,'GLOBAL LOG'!#REF!,"ICT")</f>
        <v>#REF!</v>
      </c>
      <c r="X129" s="14" t="e">
        <f>COUNTIFS('GLOBAL LOG'!$D$6:$D$128,$C129,'GLOBAL LOG'!#REF!,"Hopper")</f>
        <v>#REF!</v>
      </c>
      <c r="Y129" s="14">
        <f>SUMIF('GLOBAL LOG'!$D$6:$D$128,$C129,'GLOBAL LOG'!$Q$6:$Q$128)</f>
        <v>0</v>
      </c>
      <c r="Z129" s="14">
        <f>SUMIF('GLOBAL LOG'!$D$6:$D$128,$C129,'GLOBAL LOG'!$R$6:$R$128)</f>
        <v>0</v>
      </c>
      <c r="AA129" s="14">
        <f t="shared" si="2"/>
        <v>0</v>
      </c>
      <c r="AB129" s="14" t="e">
        <f>SUMIF('GLOBAL LOG'!$D$6:$D$128,C129,'GLOBAL LOG'!#REF!)</f>
        <v>#REF!</v>
      </c>
      <c r="AC129" s="6"/>
      <c r="AD129" s="14" t="str">
        <v>Rwandair</v>
      </c>
      <c r="AE129" s="14" t="e">
        <v>#REF!</v>
      </c>
      <c r="AF129" s="6"/>
      <c r="AG129" s="14" t="str">
        <v>Royal Brunei Airlines</v>
      </c>
      <c r="AH129" s="14">
        <v>0</v>
      </c>
      <c r="AI129" s="6"/>
      <c r="AJ129" s="14" t="str">
        <v>Rwandair</v>
      </c>
      <c r="AK129" s="14">
        <v>0</v>
      </c>
      <c r="AL129" s="6"/>
      <c r="AM129" s="14" t="str">
        <v>Royal Brunei Airlines</v>
      </c>
      <c r="AN129" s="14">
        <v>0</v>
      </c>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row>
    <row r="130" spans="2:97" s="4" customFormat="1" ht="14.65" hidden="1" customHeight="1">
      <c r="B130" s="6"/>
      <c r="C130" s="13" t="str">
        <v>SAAB</v>
      </c>
      <c r="D130" s="14">
        <f>COUNTIFS('GLOBAL LOG'!$D$6:$D$128,C130,'GLOBAL LOG'!$K$6:$K$128,"&lt;&gt;")</f>
        <v>0</v>
      </c>
      <c r="E130" s="14" t="e">
        <f>COUNTIFS('GLOBAL LOG'!$D$6:$D$128,C130,'GLOBAL LOG'!#REF!,"Yes")</f>
        <v>#REF!</v>
      </c>
      <c r="F130" s="14" t="e">
        <f>SUMIF('GLOBAL LOG'!$D$6:$D$128,COUNT!C130,'GLOBAL LOG'!#REF!)</f>
        <v>#REF!</v>
      </c>
      <c r="G130" s="14">
        <f>COUNTIFS('GLOBAL LOG'!$E$6:$E$128,G$10,'GLOBAL LOG'!$D$6:$D$128,$C130)</f>
        <v>0</v>
      </c>
      <c r="H130" s="14">
        <f>COUNTIFS('GLOBAL LOG'!$E$6:$E$128,H$10,'GLOBAL LOG'!$D$6:$D$128,$C130)</f>
        <v>0</v>
      </c>
      <c r="I130" s="14">
        <f>COUNTIFS('GLOBAL LOG'!$E$6:$E$128,I$10,'GLOBAL LOG'!$D$6:$D$128,$C130)</f>
        <v>0</v>
      </c>
      <c r="J130" s="14">
        <f>COUNTIFS('GLOBAL LOG'!$E$6:$E$128,J$10,'GLOBAL LOG'!$D$6:$D$128,$C130)</f>
        <v>0</v>
      </c>
      <c r="K130" s="14">
        <f>COUNTIFS('GLOBAL LOG'!$E$6:$E$128,K$10,'GLOBAL LOG'!$D$6:$D$128,$C130)</f>
        <v>0</v>
      </c>
      <c r="L130" s="14">
        <f>COUNTIFS('GLOBAL LOG'!$E$6:$E$128,L$10,'GLOBAL LOG'!$D$6:$D$128,$C130)</f>
        <v>0</v>
      </c>
      <c r="M130" s="14">
        <f>COUNTIFS('GLOBAL LOG'!$E$6:$E$128,M$10,'GLOBAL LOG'!$D$6:$D$128,$C130)</f>
        <v>0</v>
      </c>
      <c r="N130" s="14" t="e">
        <f>COUNTIFS('GLOBAL LOG'!$D$6:$D$128,$C130,'GLOBAL LOG'!#REF!,"High")</f>
        <v>#REF!</v>
      </c>
      <c r="O130" s="14" t="e">
        <f>COUNTIFS('GLOBAL LOG'!$D$6:$D$128,$C130,'GLOBAL LOG'!#REF!,"Med")</f>
        <v>#REF!</v>
      </c>
      <c r="P130" s="14" t="e">
        <f>COUNTIFS('GLOBAL LOG'!$D$6:$D$128,$C130,'GLOBAL LOG'!#REF!,"Low")</f>
        <v>#REF!</v>
      </c>
      <c r="Q130" s="14" t="e">
        <f>COUNTIFS('GLOBAL LOG'!$D$6:$D$128,$C130,'GLOBAL LOG'!#REF!,"High")</f>
        <v>#REF!</v>
      </c>
      <c r="R130" s="14" t="e">
        <f>COUNTIFS('GLOBAL LOG'!$D$6:$D$128,$C130,'GLOBAL LOG'!#REF!,"Med")</f>
        <v>#REF!</v>
      </c>
      <c r="S130" s="14" t="e">
        <f>COUNTIFS('GLOBAL LOG'!$D$6:$D$128,$C130,'GLOBAL LOG'!#REF!,"Low")</f>
        <v>#REF!</v>
      </c>
      <c r="T130" s="14" t="e">
        <f>COUNTIFS('GLOBAL LOG'!$D$6:$D$128,$C130,'GLOBAL LOG'!#REF!,"Completed")</f>
        <v>#REF!</v>
      </c>
      <c r="U130" s="14" t="e">
        <f>COUNTIFS('GLOBAL LOG'!$D$6:$D$128,$C130,'GLOBAL LOG'!#REF!,"Contracting")</f>
        <v>#REF!</v>
      </c>
      <c r="V130" s="14" t="e">
        <f>COUNTIFS('GLOBAL LOG'!$D$6:$D$128,$C130,'GLOBAL LOG'!#REF!,"Negotiations")</f>
        <v>#REF!</v>
      </c>
      <c r="W130" s="14" t="e">
        <f>COUNTIFS('GLOBAL LOG'!$D$6:$D$128,$C130,'GLOBAL LOG'!#REF!,"ICT")</f>
        <v>#REF!</v>
      </c>
      <c r="X130" s="14" t="e">
        <f>COUNTIFS('GLOBAL LOG'!$D$6:$D$128,$C130,'GLOBAL LOG'!#REF!,"Hopper")</f>
        <v>#REF!</v>
      </c>
      <c r="Y130" s="14">
        <f>SUMIF('GLOBAL LOG'!$D$6:$D$128,$C130,'GLOBAL LOG'!$Q$6:$Q$128)</f>
        <v>0</v>
      </c>
      <c r="Z130" s="14">
        <f>SUMIF('GLOBAL LOG'!$D$6:$D$128,$C130,'GLOBAL LOG'!$R$6:$R$128)</f>
        <v>0</v>
      </c>
      <c r="AA130" s="14">
        <f t="shared" si="2"/>
        <v>0</v>
      </c>
      <c r="AB130" s="14" t="e">
        <f>SUMIF('GLOBAL LOG'!$D$6:$D$128,C130,'GLOBAL LOG'!#REF!)</f>
        <v>#REF!</v>
      </c>
      <c r="AC130" s="6"/>
      <c r="AD130" s="14" t="str">
        <v>SAAB</v>
      </c>
      <c r="AE130" s="14" t="e">
        <v>#REF!</v>
      </c>
      <c r="AF130" s="6"/>
      <c r="AG130" s="14" t="str">
        <v>Rwandair</v>
      </c>
      <c r="AH130" s="14">
        <v>0</v>
      </c>
      <c r="AI130" s="6"/>
      <c r="AJ130" s="14" t="str">
        <v>SAAB</v>
      </c>
      <c r="AK130" s="14">
        <v>0</v>
      </c>
      <c r="AL130" s="6"/>
      <c r="AM130" s="14" t="str">
        <v>Rwandair</v>
      </c>
      <c r="AN130" s="14">
        <v>0</v>
      </c>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row>
    <row r="131" spans="2:97" s="4" customFormat="1" ht="14.65" hidden="1" customHeight="1">
      <c r="B131" s="6"/>
      <c r="C131" s="13" t="str">
        <v>SAS Group</v>
      </c>
      <c r="D131" s="14">
        <f>COUNTIFS('GLOBAL LOG'!$D$6:$D$128,C131,'GLOBAL LOG'!$K$6:$K$128,"&lt;&gt;")</f>
        <v>1</v>
      </c>
      <c r="E131" s="14" t="e">
        <f>COUNTIFS('GLOBAL LOG'!$D$6:$D$128,C131,'GLOBAL LOG'!#REF!,"Yes")</f>
        <v>#REF!</v>
      </c>
      <c r="F131" s="14" t="e">
        <f>SUMIF('GLOBAL LOG'!$D$6:$D$128,COUNT!C131,'GLOBAL LOG'!#REF!)</f>
        <v>#REF!</v>
      </c>
      <c r="G131" s="14">
        <f>COUNTIFS('GLOBAL LOG'!$E$6:$E$128,G$10,'GLOBAL LOG'!$D$6:$D$128,$C131)</f>
        <v>1</v>
      </c>
      <c r="H131" s="14">
        <f>COUNTIFS('GLOBAL LOG'!$E$6:$E$128,H$10,'GLOBAL LOG'!$D$6:$D$128,$C131)</f>
        <v>0</v>
      </c>
      <c r="I131" s="14">
        <f>COUNTIFS('GLOBAL LOG'!$E$6:$E$128,I$10,'GLOBAL LOG'!$D$6:$D$128,$C131)</f>
        <v>0</v>
      </c>
      <c r="J131" s="14">
        <f>COUNTIFS('GLOBAL LOG'!$E$6:$E$128,J$10,'GLOBAL LOG'!$D$6:$D$128,$C131)</f>
        <v>0</v>
      </c>
      <c r="K131" s="14">
        <f>COUNTIFS('GLOBAL LOG'!$E$6:$E$128,K$10,'GLOBAL LOG'!$D$6:$D$128,$C131)</f>
        <v>0</v>
      </c>
      <c r="L131" s="14">
        <f>COUNTIFS('GLOBAL LOG'!$E$6:$E$128,L$10,'GLOBAL LOG'!$D$6:$D$128,$C131)</f>
        <v>0</v>
      </c>
      <c r="M131" s="14">
        <f>COUNTIFS('GLOBAL LOG'!$E$6:$E$128,M$10,'GLOBAL LOG'!$D$6:$D$128,$C131)</f>
        <v>0</v>
      </c>
      <c r="N131" s="14" t="e">
        <f>COUNTIFS('GLOBAL LOG'!$D$6:$D$128,$C131,'GLOBAL LOG'!#REF!,"High")</f>
        <v>#REF!</v>
      </c>
      <c r="O131" s="14" t="e">
        <f>COUNTIFS('GLOBAL LOG'!$D$6:$D$128,$C131,'GLOBAL LOG'!#REF!,"Med")</f>
        <v>#REF!</v>
      </c>
      <c r="P131" s="14" t="e">
        <f>COUNTIFS('GLOBAL LOG'!$D$6:$D$128,$C131,'GLOBAL LOG'!#REF!,"Low")</f>
        <v>#REF!</v>
      </c>
      <c r="Q131" s="14" t="e">
        <f>COUNTIFS('GLOBAL LOG'!$D$6:$D$128,$C131,'GLOBAL LOG'!#REF!,"High")</f>
        <v>#REF!</v>
      </c>
      <c r="R131" s="14" t="e">
        <f>COUNTIFS('GLOBAL LOG'!$D$6:$D$128,$C131,'GLOBAL LOG'!#REF!,"Med")</f>
        <v>#REF!</v>
      </c>
      <c r="S131" s="14" t="e">
        <f>COUNTIFS('GLOBAL LOG'!$D$6:$D$128,$C131,'GLOBAL LOG'!#REF!,"Low")</f>
        <v>#REF!</v>
      </c>
      <c r="T131" s="14" t="e">
        <f>COUNTIFS('GLOBAL LOG'!$D$6:$D$128,$C131,'GLOBAL LOG'!#REF!,"Completed")</f>
        <v>#REF!</v>
      </c>
      <c r="U131" s="14" t="e">
        <f>COUNTIFS('GLOBAL LOG'!$D$6:$D$128,$C131,'GLOBAL LOG'!#REF!,"Contracting")</f>
        <v>#REF!</v>
      </c>
      <c r="V131" s="14" t="e">
        <f>COUNTIFS('GLOBAL LOG'!$D$6:$D$128,$C131,'GLOBAL LOG'!#REF!,"Negotiations")</f>
        <v>#REF!</v>
      </c>
      <c r="W131" s="14" t="e">
        <f>COUNTIFS('GLOBAL LOG'!$D$6:$D$128,$C131,'GLOBAL LOG'!#REF!,"ICT")</f>
        <v>#REF!</v>
      </c>
      <c r="X131" s="14" t="e">
        <f>COUNTIFS('GLOBAL LOG'!$D$6:$D$128,$C131,'GLOBAL LOG'!#REF!,"Hopper")</f>
        <v>#REF!</v>
      </c>
      <c r="Y131" s="14">
        <f>SUMIF('GLOBAL LOG'!$D$6:$D$128,$C131,'GLOBAL LOG'!$Q$6:$Q$128)</f>
        <v>0</v>
      </c>
      <c r="Z131" s="14">
        <f>SUMIF('GLOBAL LOG'!$D$6:$D$128,$C131,'GLOBAL LOG'!$R$6:$R$128)</f>
        <v>0</v>
      </c>
      <c r="AA131" s="14">
        <f t="shared" si="2"/>
        <v>0</v>
      </c>
      <c r="AB131" s="14" t="e">
        <f>SUMIF('GLOBAL LOG'!$D$6:$D$128,C131,'GLOBAL LOG'!#REF!)</f>
        <v>#REF!</v>
      </c>
      <c r="AC131" s="6"/>
      <c r="AD131" s="14" t="str">
        <v>SAS Group</v>
      </c>
      <c r="AE131" s="14" t="e">
        <v>#REF!</v>
      </c>
      <c r="AF131" s="6"/>
      <c r="AG131" s="14" t="str">
        <v>SAAB</v>
      </c>
      <c r="AH131" s="14">
        <v>0</v>
      </c>
      <c r="AI131" s="6"/>
      <c r="AJ131" s="14" t="str">
        <v>SAS Group</v>
      </c>
      <c r="AK131" s="14">
        <v>0</v>
      </c>
      <c r="AL131" s="6"/>
      <c r="AM131" s="14" t="str">
        <v>SAAB</v>
      </c>
      <c r="AN131" s="14">
        <v>0</v>
      </c>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row>
    <row r="132" spans="2:97" s="4" customFormat="1" ht="14.65" hidden="1" customHeight="1">
      <c r="B132" s="6"/>
      <c r="C132" s="13" t="str">
        <v>Saudi Royal Aviation</v>
      </c>
      <c r="D132" s="14">
        <f>COUNTIFS('GLOBAL LOG'!$D$6:$D$128,C132,'GLOBAL LOG'!$K$6:$K$128,"&lt;&gt;")</f>
        <v>0</v>
      </c>
      <c r="E132" s="14" t="e">
        <f>COUNTIFS('GLOBAL LOG'!$D$6:$D$128,C132,'GLOBAL LOG'!#REF!,"Yes")</f>
        <v>#REF!</v>
      </c>
      <c r="F132" s="14" t="e">
        <f>SUMIF('GLOBAL LOG'!$D$6:$D$128,COUNT!C132,'GLOBAL LOG'!#REF!)</f>
        <v>#REF!</v>
      </c>
      <c r="G132" s="14">
        <f>COUNTIFS('GLOBAL LOG'!$E$6:$E$128,G$10,'GLOBAL LOG'!$D$6:$D$128,$C132)</f>
        <v>0</v>
      </c>
      <c r="H132" s="14">
        <f>COUNTIFS('GLOBAL LOG'!$E$6:$E$128,H$10,'GLOBAL LOG'!$D$6:$D$128,$C132)</f>
        <v>0</v>
      </c>
      <c r="I132" s="14">
        <f>COUNTIFS('GLOBAL LOG'!$E$6:$E$128,I$10,'GLOBAL LOG'!$D$6:$D$128,$C132)</f>
        <v>0</v>
      </c>
      <c r="J132" s="14">
        <f>COUNTIFS('GLOBAL LOG'!$E$6:$E$128,J$10,'GLOBAL LOG'!$D$6:$D$128,$C132)</f>
        <v>0</v>
      </c>
      <c r="K132" s="14">
        <f>COUNTIFS('GLOBAL LOG'!$E$6:$E$128,K$10,'GLOBAL LOG'!$D$6:$D$128,$C132)</f>
        <v>0</v>
      </c>
      <c r="L132" s="14">
        <f>COUNTIFS('GLOBAL LOG'!$E$6:$E$128,L$10,'GLOBAL LOG'!$D$6:$D$128,$C132)</f>
        <v>0</v>
      </c>
      <c r="M132" s="14">
        <f>COUNTIFS('GLOBAL LOG'!$E$6:$E$128,M$10,'GLOBAL LOG'!$D$6:$D$128,$C132)</f>
        <v>0</v>
      </c>
      <c r="N132" s="14" t="e">
        <f>COUNTIFS('GLOBAL LOG'!$D$6:$D$128,$C132,'GLOBAL LOG'!#REF!,"High")</f>
        <v>#REF!</v>
      </c>
      <c r="O132" s="14" t="e">
        <f>COUNTIFS('GLOBAL LOG'!$D$6:$D$128,$C132,'GLOBAL LOG'!#REF!,"Med")</f>
        <v>#REF!</v>
      </c>
      <c r="P132" s="14" t="e">
        <f>COUNTIFS('GLOBAL LOG'!$D$6:$D$128,$C132,'GLOBAL LOG'!#REF!,"Low")</f>
        <v>#REF!</v>
      </c>
      <c r="Q132" s="14" t="e">
        <f>COUNTIFS('GLOBAL LOG'!$D$6:$D$128,$C132,'GLOBAL LOG'!#REF!,"High")</f>
        <v>#REF!</v>
      </c>
      <c r="R132" s="14" t="e">
        <f>COUNTIFS('GLOBAL LOG'!$D$6:$D$128,$C132,'GLOBAL LOG'!#REF!,"Med")</f>
        <v>#REF!</v>
      </c>
      <c r="S132" s="14" t="e">
        <f>COUNTIFS('GLOBAL LOG'!$D$6:$D$128,$C132,'GLOBAL LOG'!#REF!,"Low")</f>
        <v>#REF!</v>
      </c>
      <c r="T132" s="14" t="e">
        <f>COUNTIFS('GLOBAL LOG'!$D$6:$D$128,$C132,'GLOBAL LOG'!#REF!,"Completed")</f>
        <v>#REF!</v>
      </c>
      <c r="U132" s="14" t="e">
        <f>COUNTIFS('GLOBAL LOG'!$D$6:$D$128,$C132,'GLOBAL LOG'!#REF!,"Contracting")</f>
        <v>#REF!</v>
      </c>
      <c r="V132" s="14" t="e">
        <f>COUNTIFS('GLOBAL LOG'!$D$6:$D$128,$C132,'GLOBAL LOG'!#REF!,"Negotiations")</f>
        <v>#REF!</v>
      </c>
      <c r="W132" s="14" t="e">
        <f>COUNTIFS('GLOBAL LOG'!$D$6:$D$128,$C132,'GLOBAL LOG'!#REF!,"ICT")</f>
        <v>#REF!</v>
      </c>
      <c r="X132" s="14" t="e">
        <f>COUNTIFS('GLOBAL LOG'!$D$6:$D$128,$C132,'GLOBAL LOG'!#REF!,"Hopper")</f>
        <v>#REF!</v>
      </c>
      <c r="Y132" s="14">
        <f>SUMIF('GLOBAL LOG'!$D$6:$D$128,$C132,'GLOBAL LOG'!$Q$6:$Q$128)</f>
        <v>0</v>
      </c>
      <c r="Z132" s="14">
        <f>SUMIF('GLOBAL LOG'!$D$6:$D$128,$C132,'GLOBAL LOG'!$R$6:$R$128)</f>
        <v>0</v>
      </c>
      <c r="AA132" s="14">
        <f t="shared" si="2"/>
        <v>0</v>
      </c>
      <c r="AB132" s="14" t="e">
        <f>SUMIF('GLOBAL LOG'!$D$6:$D$128,C132,'GLOBAL LOG'!#REF!)</f>
        <v>#REF!</v>
      </c>
      <c r="AC132" s="6"/>
      <c r="AD132" s="14" t="str">
        <v>Saudi Royal Aviation</v>
      </c>
      <c r="AE132" s="14" t="e">
        <v>#REF!</v>
      </c>
      <c r="AF132" s="6"/>
      <c r="AG132" s="14" t="str">
        <v>SAS Group</v>
      </c>
      <c r="AH132" s="14">
        <v>0</v>
      </c>
      <c r="AI132" s="6"/>
      <c r="AJ132" s="14" t="str">
        <v>Saudi Royal Aviation</v>
      </c>
      <c r="AK132" s="14">
        <v>0</v>
      </c>
      <c r="AL132" s="6"/>
      <c r="AM132" s="14" t="str">
        <v>SAS Group</v>
      </c>
      <c r="AN132" s="14">
        <v>0</v>
      </c>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row>
    <row r="133" spans="2:97" s="4" customFormat="1" ht="14.65" hidden="1" customHeight="1">
      <c r="B133" s="6"/>
      <c r="C133" s="13" t="str">
        <v>Saudia</v>
      </c>
      <c r="D133" s="14">
        <f>COUNTIFS('GLOBAL LOG'!$D$6:$D$128,C133,'GLOBAL LOG'!$K$6:$K$128,"&lt;&gt;")</f>
        <v>1</v>
      </c>
      <c r="E133" s="14" t="e">
        <f>COUNTIFS('GLOBAL LOG'!$D$6:$D$128,C133,'GLOBAL LOG'!#REF!,"Yes")</f>
        <v>#REF!</v>
      </c>
      <c r="F133" s="14" t="e">
        <f>SUMIF('GLOBAL LOG'!$D$6:$D$128,COUNT!C133,'GLOBAL LOG'!#REF!)</f>
        <v>#REF!</v>
      </c>
      <c r="G133" s="14">
        <f>COUNTIFS('GLOBAL LOG'!$E$6:$E$128,G$10,'GLOBAL LOG'!$D$6:$D$128,$C133)</f>
        <v>0</v>
      </c>
      <c r="H133" s="14">
        <f>COUNTIFS('GLOBAL LOG'!$E$6:$E$128,H$10,'GLOBAL LOG'!$D$6:$D$128,$C133)</f>
        <v>0</v>
      </c>
      <c r="I133" s="14">
        <f>COUNTIFS('GLOBAL LOG'!$E$6:$E$128,I$10,'GLOBAL LOG'!$D$6:$D$128,$C133)</f>
        <v>0</v>
      </c>
      <c r="J133" s="14">
        <f>COUNTIFS('GLOBAL LOG'!$E$6:$E$128,J$10,'GLOBAL LOG'!$D$6:$D$128,$C133)</f>
        <v>0</v>
      </c>
      <c r="K133" s="14">
        <f>COUNTIFS('GLOBAL LOG'!$E$6:$E$128,K$10,'GLOBAL LOG'!$D$6:$D$128,$C133)</f>
        <v>1</v>
      </c>
      <c r="L133" s="14">
        <f>COUNTIFS('GLOBAL LOG'!$E$6:$E$128,L$10,'GLOBAL LOG'!$D$6:$D$128,$C133)</f>
        <v>0</v>
      </c>
      <c r="M133" s="14">
        <f>COUNTIFS('GLOBAL LOG'!$E$6:$E$128,M$10,'GLOBAL LOG'!$D$6:$D$128,$C133)</f>
        <v>0</v>
      </c>
      <c r="N133" s="14" t="e">
        <f>COUNTIFS('GLOBAL LOG'!$D$6:$D$128,$C133,'GLOBAL LOG'!#REF!,"High")</f>
        <v>#REF!</v>
      </c>
      <c r="O133" s="14" t="e">
        <f>COUNTIFS('GLOBAL LOG'!$D$6:$D$128,$C133,'GLOBAL LOG'!#REF!,"Med")</f>
        <v>#REF!</v>
      </c>
      <c r="P133" s="14" t="e">
        <f>COUNTIFS('GLOBAL LOG'!$D$6:$D$128,$C133,'GLOBAL LOG'!#REF!,"Low")</f>
        <v>#REF!</v>
      </c>
      <c r="Q133" s="14" t="e">
        <f>COUNTIFS('GLOBAL LOG'!$D$6:$D$128,$C133,'GLOBAL LOG'!#REF!,"High")</f>
        <v>#REF!</v>
      </c>
      <c r="R133" s="14" t="e">
        <f>COUNTIFS('GLOBAL LOG'!$D$6:$D$128,$C133,'GLOBAL LOG'!#REF!,"Med")</f>
        <v>#REF!</v>
      </c>
      <c r="S133" s="14" t="e">
        <f>COUNTIFS('GLOBAL LOG'!$D$6:$D$128,$C133,'GLOBAL LOG'!#REF!,"Low")</f>
        <v>#REF!</v>
      </c>
      <c r="T133" s="14" t="e">
        <f>COUNTIFS('GLOBAL LOG'!$D$6:$D$128,$C133,'GLOBAL LOG'!#REF!,"Completed")</f>
        <v>#REF!</v>
      </c>
      <c r="U133" s="14" t="e">
        <f>COUNTIFS('GLOBAL LOG'!$D$6:$D$128,$C133,'GLOBAL LOG'!#REF!,"Contracting")</f>
        <v>#REF!</v>
      </c>
      <c r="V133" s="14" t="e">
        <f>COUNTIFS('GLOBAL LOG'!$D$6:$D$128,$C133,'GLOBAL LOG'!#REF!,"Negotiations")</f>
        <v>#REF!</v>
      </c>
      <c r="W133" s="14" t="e">
        <f>COUNTIFS('GLOBAL LOG'!$D$6:$D$128,$C133,'GLOBAL LOG'!#REF!,"ICT")</f>
        <v>#REF!</v>
      </c>
      <c r="X133" s="14" t="e">
        <f>COUNTIFS('GLOBAL LOG'!$D$6:$D$128,$C133,'GLOBAL LOG'!#REF!,"Hopper")</f>
        <v>#REF!</v>
      </c>
      <c r="Y133" s="14">
        <f>SUMIF('GLOBAL LOG'!$D$6:$D$128,$C133,'GLOBAL LOG'!$Q$6:$Q$128)</f>
        <v>0</v>
      </c>
      <c r="Z133" s="14">
        <f>SUMIF('GLOBAL LOG'!$D$6:$D$128,$C133,'GLOBAL LOG'!$R$6:$R$128)</f>
        <v>0</v>
      </c>
      <c r="AA133" s="14">
        <f t="shared" si="2"/>
        <v>0</v>
      </c>
      <c r="AB133" s="14" t="e">
        <f>SUMIF('GLOBAL LOG'!$D$6:$D$128,C133,'GLOBAL LOG'!#REF!)</f>
        <v>#REF!</v>
      </c>
      <c r="AC133" s="6"/>
      <c r="AD133" s="14" t="str">
        <v>Saudia</v>
      </c>
      <c r="AE133" s="14" t="e">
        <v>#REF!</v>
      </c>
      <c r="AF133" s="6"/>
      <c r="AG133" s="14" t="str">
        <v>Saudi Royal Aviation</v>
      </c>
      <c r="AH133" s="14">
        <v>0</v>
      </c>
      <c r="AI133" s="6"/>
      <c r="AJ133" s="14" t="str">
        <v>Saudia</v>
      </c>
      <c r="AK133" s="14">
        <v>0</v>
      </c>
      <c r="AL133" s="6"/>
      <c r="AM133" s="14" t="str">
        <v>Saudi Royal Aviation</v>
      </c>
      <c r="AN133" s="14">
        <v>0</v>
      </c>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row>
    <row r="134" spans="2:97" s="4" customFormat="1" ht="14.65" hidden="1" customHeight="1">
      <c r="B134" s="6"/>
      <c r="C134" s="13" t="str">
        <v>Scoot</v>
      </c>
      <c r="D134" s="14">
        <f>COUNTIFS('GLOBAL LOG'!$D$6:$D$128,C134,'GLOBAL LOG'!$K$6:$K$128,"&lt;&gt;")</f>
        <v>0</v>
      </c>
      <c r="E134" s="14" t="e">
        <f>COUNTIFS('GLOBAL LOG'!$D$6:$D$128,C134,'GLOBAL LOG'!#REF!,"Yes")</f>
        <v>#REF!</v>
      </c>
      <c r="F134" s="14" t="e">
        <f>SUMIF('GLOBAL LOG'!$D$6:$D$128,COUNT!C134,'GLOBAL LOG'!#REF!)</f>
        <v>#REF!</v>
      </c>
      <c r="G134" s="14">
        <f>COUNTIFS('GLOBAL LOG'!$E$6:$E$128,G$10,'GLOBAL LOG'!$D$6:$D$128,$C134)</f>
        <v>0</v>
      </c>
      <c r="H134" s="14">
        <f>COUNTIFS('GLOBAL LOG'!$E$6:$E$128,H$10,'GLOBAL LOG'!$D$6:$D$128,$C134)</f>
        <v>0</v>
      </c>
      <c r="I134" s="14">
        <f>COUNTIFS('GLOBAL LOG'!$E$6:$E$128,I$10,'GLOBAL LOG'!$D$6:$D$128,$C134)</f>
        <v>0</v>
      </c>
      <c r="J134" s="14">
        <f>COUNTIFS('GLOBAL LOG'!$E$6:$E$128,J$10,'GLOBAL LOG'!$D$6:$D$128,$C134)</f>
        <v>0</v>
      </c>
      <c r="K134" s="14">
        <f>COUNTIFS('GLOBAL LOG'!$E$6:$E$128,K$10,'GLOBAL LOG'!$D$6:$D$128,$C134)</f>
        <v>0</v>
      </c>
      <c r="L134" s="14">
        <f>COUNTIFS('GLOBAL LOG'!$E$6:$E$128,L$10,'GLOBAL LOG'!$D$6:$D$128,$C134)</f>
        <v>0</v>
      </c>
      <c r="M134" s="14">
        <f>COUNTIFS('GLOBAL LOG'!$E$6:$E$128,M$10,'GLOBAL LOG'!$D$6:$D$128,$C134)</f>
        <v>0</v>
      </c>
      <c r="N134" s="14" t="e">
        <f>COUNTIFS('GLOBAL LOG'!$D$6:$D$128,$C134,'GLOBAL LOG'!#REF!,"High")</f>
        <v>#REF!</v>
      </c>
      <c r="O134" s="14" t="e">
        <f>COUNTIFS('GLOBAL LOG'!$D$6:$D$128,$C134,'GLOBAL LOG'!#REF!,"Med")</f>
        <v>#REF!</v>
      </c>
      <c r="P134" s="14" t="e">
        <f>COUNTIFS('GLOBAL LOG'!$D$6:$D$128,$C134,'GLOBAL LOG'!#REF!,"Low")</f>
        <v>#REF!</v>
      </c>
      <c r="Q134" s="14" t="e">
        <f>COUNTIFS('GLOBAL LOG'!$D$6:$D$128,$C134,'GLOBAL LOG'!#REF!,"High")</f>
        <v>#REF!</v>
      </c>
      <c r="R134" s="14" t="e">
        <f>COUNTIFS('GLOBAL LOG'!$D$6:$D$128,$C134,'GLOBAL LOG'!#REF!,"Med")</f>
        <v>#REF!</v>
      </c>
      <c r="S134" s="14" t="e">
        <f>COUNTIFS('GLOBAL LOG'!$D$6:$D$128,$C134,'GLOBAL LOG'!#REF!,"Low")</f>
        <v>#REF!</v>
      </c>
      <c r="T134" s="14" t="e">
        <f>COUNTIFS('GLOBAL LOG'!$D$6:$D$128,$C134,'GLOBAL LOG'!#REF!,"Completed")</f>
        <v>#REF!</v>
      </c>
      <c r="U134" s="14" t="e">
        <f>COUNTIFS('GLOBAL LOG'!$D$6:$D$128,$C134,'GLOBAL LOG'!#REF!,"Contracting")</f>
        <v>#REF!</v>
      </c>
      <c r="V134" s="14" t="e">
        <f>COUNTIFS('GLOBAL LOG'!$D$6:$D$128,$C134,'GLOBAL LOG'!#REF!,"Negotiations")</f>
        <v>#REF!</v>
      </c>
      <c r="W134" s="14" t="e">
        <f>COUNTIFS('GLOBAL LOG'!$D$6:$D$128,$C134,'GLOBAL LOG'!#REF!,"ICT")</f>
        <v>#REF!</v>
      </c>
      <c r="X134" s="14" t="e">
        <f>COUNTIFS('GLOBAL LOG'!$D$6:$D$128,$C134,'GLOBAL LOG'!#REF!,"Hopper")</f>
        <v>#REF!</v>
      </c>
      <c r="Y134" s="14">
        <f>SUMIF('GLOBAL LOG'!$D$6:$D$128,$C134,'GLOBAL LOG'!$Q$6:$Q$128)</f>
        <v>0</v>
      </c>
      <c r="Z134" s="14">
        <f>SUMIF('GLOBAL LOG'!$D$6:$D$128,$C134,'GLOBAL LOG'!$R$6:$R$128)</f>
        <v>0</v>
      </c>
      <c r="AA134" s="14">
        <f t="shared" si="2"/>
        <v>0</v>
      </c>
      <c r="AB134" s="14" t="e">
        <f>SUMIF('GLOBAL LOG'!$D$6:$D$128,C134,'GLOBAL LOG'!#REF!)</f>
        <v>#REF!</v>
      </c>
      <c r="AC134" s="6"/>
      <c r="AD134" s="14" t="str">
        <v>Scoot</v>
      </c>
      <c r="AE134" s="14" t="e">
        <v>#REF!</v>
      </c>
      <c r="AF134" s="6"/>
      <c r="AG134" s="14" t="str">
        <v>Saudia</v>
      </c>
      <c r="AH134" s="14">
        <v>0</v>
      </c>
      <c r="AI134" s="6"/>
      <c r="AJ134" s="14" t="str">
        <v>Scoot</v>
      </c>
      <c r="AK134" s="14">
        <v>0</v>
      </c>
      <c r="AL134" s="6"/>
      <c r="AM134" s="14" t="str">
        <v>Saudia</v>
      </c>
      <c r="AN134" s="14">
        <v>0</v>
      </c>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row>
    <row r="135" spans="2:97" s="4" customFormat="1" ht="14.65" hidden="1" customHeight="1">
      <c r="B135" s="6"/>
      <c r="C135" s="13" t="str">
        <v>Shenzhen Airlines</v>
      </c>
      <c r="D135" s="14">
        <f>COUNTIFS('GLOBAL LOG'!$D$6:$D$128,C135,'GLOBAL LOG'!$K$6:$K$128,"&lt;&gt;")</f>
        <v>0</v>
      </c>
      <c r="E135" s="14" t="e">
        <f>COUNTIFS('GLOBAL LOG'!$D$6:$D$128,C135,'GLOBAL LOG'!#REF!,"Yes")</f>
        <v>#REF!</v>
      </c>
      <c r="F135" s="14" t="e">
        <f>SUMIF('GLOBAL LOG'!$D$6:$D$128,COUNT!C135,'GLOBAL LOG'!#REF!)</f>
        <v>#REF!</v>
      </c>
      <c r="G135" s="14">
        <f>COUNTIFS('GLOBAL LOG'!$E$6:$E$128,G$10,'GLOBAL LOG'!$D$6:$D$128,$C135)</f>
        <v>0</v>
      </c>
      <c r="H135" s="14">
        <f>COUNTIFS('GLOBAL LOG'!$E$6:$E$128,H$10,'GLOBAL LOG'!$D$6:$D$128,$C135)</f>
        <v>0</v>
      </c>
      <c r="I135" s="14">
        <f>COUNTIFS('GLOBAL LOG'!$E$6:$E$128,I$10,'GLOBAL LOG'!$D$6:$D$128,$C135)</f>
        <v>0</v>
      </c>
      <c r="J135" s="14">
        <f>COUNTIFS('GLOBAL LOG'!$E$6:$E$128,J$10,'GLOBAL LOG'!$D$6:$D$128,$C135)</f>
        <v>0</v>
      </c>
      <c r="K135" s="14">
        <f>COUNTIFS('GLOBAL LOG'!$E$6:$E$128,K$10,'GLOBAL LOG'!$D$6:$D$128,$C135)</f>
        <v>0</v>
      </c>
      <c r="L135" s="14">
        <f>COUNTIFS('GLOBAL LOG'!$E$6:$E$128,L$10,'GLOBAL LOG'!$D$6:$D$128,$C135)</f>
        <v>0</v>
      </c>
      <c r="M135" s="14">
        <f>COUNTIFS('GLOBAL LOG'!$E$6:$E$128,M$10,'GLOBAL LOG'!$D$6:$D$128,$C135)</f>
        <v>0</v>
      </c>
      <c r="N135" s="14" t="e">
        <f>COUNTIFS('GLOBAL LOG'!$D$6:$D$128,$C135,'GLOBAL LOG'!#REF!,"High")</f>
        <v>#REF!</v>
      </c>
      <c r="O135" s="14" t="e">
        <f>COUNTIFS('GLOBAL LOG'!$D$6:$D$128,$C135,'GLOBAL LOG'!#REF!,"Med")</f>
        <v>#REF!</v>
      </c>
      <c r="P135" s="14" t="e">
        <f>COUNTIFS('GLOBAL LOG'!$D$6:$D$128,$C135,'GLOBAL LOG'!#REF!,"Low")</f>
        <v>#REF!</v>
      </c>
      <c r="Q135" s="14" t="e">
        <f>COUNTIFS('GLOBAL LOG'!$D$6:$D$128,$C135,'GLOBAL LOG'!#REF!,"High")</f>
        <v>#REF!</v>
      </c>
      <c r="R135" s="14" t="e">
        <f>COUNTIFS('GLOBAL LOG'!$D$6:$D$128,$C135,'GLOBAL LOG'!#REF!,"Med")</f>
        <v>#REF!</v>
      </c>
      <c r="S135" s="14" t="e">
        <f>COUNTIFS('GLOBAL LOG'!$D$6:$D$128,$C135,'GLOBAL LOG'!#REF!,"Low")</f>
        <v>#REF!</v>
      </c>
      <c r="T135" s="14" t="e">
        <f>COUNTIFS('GLOBAL LOG'!$D$6:$D$128,$C135,'GLOBAL LOG'!#REF!,"Completed")</f>
        <v>#REF!</v>
      </c>
      <c r="U135" s="14" t="e">
        <f>COUNTIFS('GLOBAL LOG'!$D$6:$D$128,$C135,'GLOBAL LOG'!#REF!,"Contracting")</f>
        <v>#REF!</v>
      </c>
      <c r="V135" s="14" t="e">
        <f>COUNTIFS('GLOBAL LOG'!$D$6:$D$128,$C135,'GLOBAL LOG'!#REF!,"Negotiations")</f>
        <v>#REF!</v>
      </c>
      <c r="W135" s="14" t="e">
        <f>COUNTIFS('GLOBAL LOG'!$D$6:$D$128,$C135,'GLOBAL LOG'!#REF!,"ICT")</f>
        <v>#REF!</v>
      </c>
      <c r="X135" s="14" t="e">
        <f>COUNTIFS('GLOBAL LOG'!$D$6:$D$128,$C135,'GLOBAL LOG'!#REF!,"Hopper")</f>
        <v>#REF!</v>
      </c>
      <c r="Y135" s="14">
        <f>SUMIF('GLOBAL LOG'!$D$6:$D$128,$C135,'GLOBAL LOG'!$Q$6:$Q$128)</f>
        <v>0</v>
      </c>
      <c r="Z135" s="14">
        <f>SUMIF('GLOBAL LOG'!$D$6:$D$128,$C135,'GLOBAL LOG'!$R$6:$R$128)</f>
        <v>0</v>
      </c>
      <c r="AA135" s="14">
        <f t="shared" si="2"/>
        <v>0</v>
      </c>
      <c r="AB135" s="14" t="e">
        <f>SUMIF('GLOBAL LOG'!$D$6:$D$128,C135,'GLOBAL LOG'!#REF!)</f>
        <v>#REF!</v>
      </c>
      <c r="AC135" s="6"/>
      <c r="AD135" s="14" t="str">
        <v>Shenzhen Airlines</v>
      </c>
      <c r="AE135" s="14" t="e">
        <v>#REF!</v>
      </c>
      <c r="AF135" s="6"/>
      <c r="AG135" s="14" t="str">
        <v>Scoot</v>
      </c>
      <c r="AH135" s="14">
        <v>0</v>
      </c>
      <c r="AI135" s="6"/>
      <c r="AJ135" s="14" t="str">
        <v>Shenzhen Airlines</v>
      </c>
      <c r="AK135" s="14">
        <v>0</v>
      </c>
      <c r="AL135" s="6"/>
      <c r="AM135" s="14" t="str">
        <v>Scoot</v>
      </c>
      <c r="AN135" s="14">
        <v>0</v>
      </c>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row>
    <row r="136" spans="2:97" s="4" customFormat="1" ht="14.65" hidden="1" customHeight="1">
      <c r="B136" s="6"/>
      <c r="C136" s="13" t="str">
        <v>Sichuan Airlines</v>
      </c>
      <c r="D136" s="14">
        <f>COUNTIFS('GLOBAL LOG'!$D$6:$D$128,C136,'GLOBAL LOG'!$K$6:$K$128,"&lt;&gt;")</f>
        <v>0</v>
      </c>
      <c r="E136" s="14" t="e">
        <f>COUNTIFS('GLOBAL LOG'!$D$6:$D$128,C136,'GLOBAL LOG'!#REF!,"Yes")</f>
        <v>#REF!</v>
      </c>
      <c r="F136" s="14" t="e">
        <f>SUMIF('GLOBAL LOG'!$D$6:$D$128,COUNT!C136,'GLOBAL LOG'!#REF!)</f>
        <v>#REF!</v>
      </c>
      <c r="G136" s="14">
        <f>COUNTIFS('GLOBAL LOG'!$E$6:$E$128,G$10,'GLOBAL LOG'!$D$6:$D$128,$C136)</f>
        <v>0</v>
      </c>
      <c r="H136" s="14">
        <f>COUNTIFS('GLOBAL LOG'!$E$6:$E$128,H$10,'GLOBAL LOG'!$D$6:$D$128,$C136)</f>
        <v>0</v>
      </c>
      <c r="I136" s="14">
        <f>COUNTIFS('GLOBAL LOG'!$E$6:$E$128,I$10,'GLOBAL LOG'!$D$6:$D$128,$C136)</f>
        <v>0</v>
      </c>
      <c r="J136" s="14">
        <f>COUNTIFS('GLOBAL LOG'!$E$6:$E$128,J$10,'GLOBAL LOG'!$D$6:$D$128,$C136)</f>
        <v>0</v>
      </c>
      <c r="K136" s="14">
        <f>COUNTIFS('GLOBAL LOG'!$E$6:$E$128,K$10,'GLOBAL LOG'!$D$6:$D$128,$C136)</f>
        <v>0</v>
      </c>
      <c r="L136" s="14">
        <f>COUNTIFS('GLOBAL LOG'!$E$6:$E$128,L$10,'GLOBAL LOG'!$D$6:$D$128,$C136)</f>
        <v>0</v>
      </c>
      <c r="M136" s="14">
        <f>COUNTIFS('GLOBAL LOG'!$E$6:$E$128,M$10,'GLOBAL LOG'!$D$6:$D$128,$C136)</f>
        <v>0</v>
      </c>
      <c r="N136" s="14" t="e">
        <f>COUNTIFS('GLOBAL LOG'!$D$6:$D$128,$C136,'GLOBAL LOG'!#REF!,"High")</f>
        <v>#REF!</v>
      </c>
      <c r="O136" s="14" t="e">
        <f>COUNTIFS('GLOBAL LOG'!$D$6:$D$128,$C136,'GLOBAL LOG'!#REF!,"Med")</f>
        <v>#REF!</v>
      </c>
      <c r="P136" s="14" t="e">
        <f>COUNTIFS('GLOBAL LOG'!$D$6:$D$128,$C136,'GLOBAL LOG'!#REF!,"Low")</f>
        <v>#REF!</v>
      </c>
      <c r="Q136" s="14" t="e">
        <f>COUNTIFS('GLOBAL LOG'!$D$6:$D$128,$C136,'GLOBAL LOG'!#REF!,"High")</f>
        <v>#REF!</v>
      </c>
      <c r="R136" s="14" t="e">
        <f>COUNTIFS('GLOBAL LOG'!$D$6:$D$128,$C136,'GLOBAL LOG'!#REF!,"Med")</f>
        <v>#REF!</v>
      </c>
      <c r="S136" s="14" t="e">
        <f>COUNTIFS('GLOBAL LOG'!$D$6:$D$128,$C136,'GLOBAL LOG'!#REF!,"Low")</f>
        <v>#REF!</v>
      </c>
      <c r="T136" s="14" t="e">
        <f>COUNTIFS('GLOBAL LOG'!$D$6:$D$128,$C136,'GLOBAL LOG'!#REF!,"Completed")</f>
        <v>#REF!</v>
      </c>
      <c r="U136" s="14" t="e">
        <f>COUNTIFS('GLOBAL LOG'!$D$6:$D$128,$C136,'GLOBAL LOG'!#REF!,"Contracting")</f>
        <v>#REF!</v>
      </c>
      <c r="V136" s="14" t="e">
        <f>COUNTIFS('GLOBAL LOG'!$D$6:$D$128,$C136,'GLOBAL LOG'!#REF!,"Negotiations")</f>
        <v>#REF!</v>
      </c>
      <c r="W136" s="14" t="e">
        <f>COUNTIFS('GLOBAL LOG'!$D$6:$D$128,$C136,'GLOBAL LOG'!#REF!,"ICT")</f>
        <v>#REF!</v>
      </c>
      <c r="X136" s="14" t="e">
        <f>COUNTIFS('GLOBAL LOG'!$D$6:$D$128,$C136,'GLOBAL LOG'!#REF!,"Hopper")</f>
        <v>#REF!</v>
      </c>
      <c r="Y136" s="14">
        <f>SUMIF('GLOBAL LOG'!$D$6:$D$128,$C136,'GLOBAL LOG'!$Q$6:$Q$128)</f>
        <v>0</v>
      </c>
      <c r="Z136" s="14">
        <f>SUMIF('GLOBAL LOG'!$D$6:$D$128,$C136,'GLOBAL LOG'!$R$6:$R$128)</f>
        <v>0</v>
      </c>
      <c r="AA136" s="14">
        <f t="shared" si="2"/>
        <v>0</v>
      </c>
      <c r="AB136" s="14" t="e">
        <f>SUMIF('GLOBAL LOG'!$D$6:$D$128,C136,'GLOBAL LOG'!#REF!)</f>
        <v>#REF!</v>
      </c>
      <c r="AC136" s="6"/>
      <c r="AD136" s="14" t="str">
        <v>Sichuan Airlines</v>
      </c>
      <c r="AE136" s="14" t="e">
        <v>#REF!</v>
      </c>
      <c r="AF136" s="6"/>
      <c r="AG136" s="14" t="str">
        <v>Shenzhen Airlines</v>
      </c>
      <c r="AH136" s="14">
        <v>0</v>
      </c>
      <c r="AI136" s="6"/>
      <c r="AJ136" s="14" t="str">
        <v>Sichuan Airlines</v>
      </c>
      <c r="AK136" s="14">
        <v>0</v>
      </c>
      <c r="AL136" s="6"/>
      <c r="AM136" s="14" t="str">
        <v>Shenzhen Airlines</v>
      </c>
      <c r="AN136" s="14">
        <v>0</v>
      </c>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row>
    <row r="137" spans="2:97" s="4" customFormat="1" ht="14.65" hidden="1" customHeight="1">
      <c r="B137" s="6"/>
      <c r="C137" s="13" t="str">
        <v>Silk Way</v>
      </c>
      <c r="D137" s="14">
        <f>COUNTIFS('GLOBAL LOG'!$D$6:$D$128,C137,'GLOBAL LOG'!$K$6:$K$128,"&lt;&gt;")</f>
        <v>0</v>
      </c>
      <c r="E137" s="14" t="e">
        <f>COUNTIFS('GLOBAL LOG'!$D$6:$D$128,C137,'GLOBAL LOG'!#REF!,"Yes")</f>
        <v>#REF!</v>
      </c>
      <c r="F137" s="14" t="e">
        <f>SUMIF('GLOBAL LOG'!$D$6:$D$128,COUNT!C137,'GLOBAL LOG'!#REF!)</f>
        <v>#REF!</v>
      </c>
      <c r="G137" s="14">
        <f>COUNTIFS('GLOBAL LOG'!$E$6:$E$128,G$10,'GLOBAL LOG'!$D$6:$D$128,$C137)</f>
        <v>0</v>
      </c>
      <c r="H137" s="14">
        <f>COUNTIFS('GLOBAL LOG'!$E$6:$E$128,H$10,'GLOBAL LOG'!$D$6:$D$128,$C137)</f>
        <v>0</v>
      </c>
      <c r="I137" s="14">
        <f>COUNTIFS('GLOBAL LOG'!$E$6:$E$128,I$10,'GLOBAL LOG'!$D$6:$D$128,$C137)</f>
        <v>0</v>
      </c>
      <c r="J137" s="14">
        <f>COUNTIFS('GLOBAL LOG'!$E$6:$E$128,J$10,'GLOBAL LOG'!$D$6:$D$128,$C137)</f>
        <v>0</v>
      </c>
      <c r="K137" s="14">
        <f>COUNTIFS('GLOBAL LOG'!$E$6:$E$128,K$10,'GLOBAL LOG'!$D$6:$D$128,$C137)</f>
        <v>0</v>
      </c>
      <c r="L137" s="14">
        <f>COUNTIFS('GLOBAL LOG'!$E$6:$E$128,L$10,'GLOBAL LOG'!$D$6:$D$128,$C137)</f>
        <v>0</v>
      </c>
      <c r="M137" s="14">
        <f>COUNTIFS('GLOBAL LOG'!$E$6:$E$128,M$10,'GLOBAL LOG'!$D$6:$D$128,$C137)</f>
        <v>0</v>
      </c>
      <c r="N137" s="14" t="e">
        <f>COUNTIFS('GLOBAL LOG'!$D$6:$D$128,$C137,'GLOBAL LOG'!#REF!,"High")</f>
        <v>#REF!</v>
      </c>
      <c r="O137" s="14" t="e">
        <f>COUNTIFS('GLOBAL LOG'!$D$6:$D$128,$C137,'GLOBAL LOG'!#REF!,"Med")</f>
        <v>#REF!</v>
      </c>
      <c r="P137" s="14" t="e">
        <f>COUNTIFS('GLOBAL LOG'!$D$6:$D$128,$C137,'GLOBAL LOG'!#REF!,"Low")</f>
        <v>#REF!</v>
      </c>
      <c r="Q137" s="14" t="e">
        <f>COUNTIFS('GLOBAL LOG'!$D$6:$D$128,$C137,'GLOBAL LOG'!#REF!,"High")</f>
        <v>#REF!</v>
      </c>
      <c r="R137" s="14" t="e">
        <f>COUNTIFS('GLOBAL LOG'!$D$6:$D$128,$C137,'GLOBAL LOG'!#REF!,"Med")</f>
        <v>#REF!</v>
      </c>
      <c r="S137" s="14" t="e">
        <f>COUNTIFS('GLOBAL LOG'!$D$6:$D$128,$C137,'GLOBAL LOG'!#REF!,"Low")</f>
        <v>#REF!</v>
      </c>
      <c r="T137" s="14" t="e">
        <f>COUNTIFS('GLOBAL LOG'!$D$6:$D$128,$C137,'GLOBAL LOG'!#REF!,"Completed")</f>
        <v>#REF!</v>
      </c>
      <c r="U137" s="14" t="e">
        <f>COUNTIFS('GLOBAL LOG'!$D$6:$D$128,$C137,'GLOBAL LOG'!#REF!,"Contracting")</f>
        <v>#REF!</v>
      </c>
      <c r="V137" s="14" t="e">
        <f>COUNTIFS('GLOBAL LOG'!$D$6:$D$128,$C137,'GLOBAL LOG'!#REF!,"Negotiations")</f>
        <v>#REF!</v>
      </c>
      <c r="W137" s="14" t="e">
        <f>COUNTIFS('GLOBAL LOG'!$D$6:$D$128,$C137,'GLOBAL LOG'!#REF!,"ICT")</f>
        <v>#REF!</v>
      </c>
      <c r="X137" s="14" t="e">
        <f>COUNTIFS('GLOBAL LOG'!$D$6:$D$128,$C137,'GLOBAL LOG'!#REF!,"Hopper")</f>
        <v>#REF!</v>
      </c>
      <c r="Y137" s="14">
        <f>SUMIF('GLOBAL LOG'!$D$6:$D$128,$C137,'GLOBAL LOG'!$Q$6:$Q$128)</f>
        <v>0</v>
      </c>
      <c r="Z137" s="14">
        <f>SUMIF('GLOBAL LOG'!$D$6:$D$128,$C137,'GLOBAL LOG'!$R$6:$R$128)</f>
        <v>0</v>
      </c>
      <c r="AA137" s="14">
        <f t="shared" si="2"/>
        <v>0</v>
      </c>
      <c r="AB137" s="14" t="e">
        <f>SUMIF('GLOBAL LOG'!$D$6:$D$128,C137,'GLOBAL LOG'!#REF!)</f>
        <v>#REF!</v>
      </c>
      <c r="AC137" s="6"/>
      <c r="AD137" s="14" t="str">
        <v>Silk Way</v>
      </c>
      <c r="AE137" s="14" t="e">
        <v>#REF!</v>
      </c>
      <c r="AF137" s="6"/>
      <c r="AG137" s="14" t="str">
        <v>Sichuan Airlines</v>
      </c>
      <c r="AH137" s="14">
        <v>0</v>
      </c>
      <c r="AI137" s="6"/>
      <c r="AJ137" s="14" t="str">
        <v>Silk Way</v>
      </c>
      <c r="AK137" s="14">
        <v>0</v>
      </c>
      <c r="AL137" s="6"/>
      <c r="AM137" s="14" t="str">
        <v>Sichuan Airlines</v>
      </c>
      <c r="AN137" s="14">
        <v>0</v>
      </c>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row>
    <row r="138" spans="2:97" s="4" customFormat="1" ht="14.65" hidden="1" customHeight="1">
      <c r="B138" s="6"/>
      <c r="C138" s="13" t="str">
        <v>Singapore Airlines</v>
      </c>
      <c r="D138" s="14">
        <f>COUNTIFS('GLOBAL LOG'!$D$6:$D$128,C138,'GLOBAL LOG'!$K$6:$K$128,"&lt;&gt;")</f>
        <v>4</v>
      </c>
      <c r="E138" s="14" t="e">
        <f>COUNTIFS('GLOBAL LOG'!$D$6:$D$128,C138,'GLOBAL LOG'!#REF!,"Yes")</f>
        <v>#REF!</v>
      </c>
      <c r="F138" s="14" t="e">
        <f>SUMIF('GLOBAL LOG'!$D$6:$D$128,COUNT!C138,'GLOBAL LOG'!#REF!)</f>
        <v>#REF!</v>
      </c>
      <c r="G138" s="14">
        <f>COUNTIFS('GLOBAL LOG'!$E$6:$E$128,G$10,'GLOBAL LOG'!$D$6:$D$128,$C138)</f>
        <v>2</v>
      </c>
      <c r="H138" s="14">
        <f>COUNTIFS('GLOBAL LOG'!$E$6:$E$128,H$10,'GLOBAL LOG'!$D$6:$D$128,$C138)</f>
        <v>0</v>
      </c>
      <c r="I138" s="14">
        <f>COUNTIFS('GLOBAL LOG'!$E$6:$E$128,I$10,'GLOBAL LOG'!$D$6:$D$128,$C138)</f>
        <v>1</v>
      </c>
      <c r="J138" s="14">
        <f>COUNTIFS('GLOBAL LOG'!$E$6:$E$128,J$10,'GLOBAL LOG'!$D$6:$D$128,$C138)</f>
        <v>0</v>
      </c>
      <c r="K138" s="14">
        <f>COUNTIFS('GLOBAL LOG'!$E$6:$E$128,K$10,'GLOBAL LOG'!$D$6:$D$128,$C138)</f>
        <v>0</v>
      </c>
      <c r="L138" s="14">
        <f>COUNTIFS('GLOBAL LOG'!$E$6:$E$128,L$10,'GLOBAL LOG'!$D$6:$D$128,$C138)</f>
        <v>0</v>
      </c>
      <c r="M138" s="14">
        <f>COUNTIFS('GLOBAL LOG'!$E$6:$E$128,M$10,'GLOBAL LOG'!$D$6:$D$128,$C138)</f>
        <v>0</v>
      </c>
      <c r="N138" s="14" t="e">
        <f>COUNTIFS('GLOBAL LOG'!$D$6:$D$128,$C138,'GLOBAL LOG'!#REF!,"High")</f>
        <v>#REF!</v>
      </c>
      <c r="O138" s="14" t="e">
        <f>COUNTIFS('GLOBAL LOG'!$D$6:$D$128,$C138,'GLOBAL LOG'!#REF!,"Med")</f>
        <v>#REF!</v>
      </c>
      <c r="P138" s="14" t="e">
        <f>COUNTIFS('GLOBAL LOG'!$D$6:$D$128,$C138,'GLOBAL LOG'!#REF!,"Low")</f>
        <v>#REF!</v>
      </c>
      <c r="Q138" s="14" t="e">
        <f>COUNTIFS('GLOBAL LOG'!$D$6:$D$128,$C138,'GLOBAL LOG'!#REF!,"High")</f>
        <v>#REF!</v>
      </c>
      <c r="R138" s="14" t="e">
        <f>COUNTIFS('GLOBAL LOG'!$D$6:$D$128,$C138,'GLOBAL LOG'!#REF!,"Med")</f>
        <v>#REF!</v>
      </c>
      <c r="S138" s="14" t="e">
        <f>COUNTIFS('GLOBAL LOG'!$D$6:$D$128,$C138,'GLOBAL LOG'!#REF!,"Low")</f>
        <v>#REF!</v>
      </c>
      <c r="T138" s="14" t="e">
        <f>COUNTIFS('GLOBAL LOG'!$D$6:$D$128,$C138,'GLOBAL LOG'!#REF!,"Completed")</f>
        <v>#REF!</v>
      </c>
      <c r="U138" s="14" t="e">
        <f>COUNTIFS('GLOBAL LOG'!$D$6:$D$128,$C138,'GLOBAL LOG'!#REF!,"Contracting")</f>
        <v>#REF!</v>
      </c>
      <c r="V138" s="14" t="e">
        <f>COUNTIFS('GLOBAL LOG'!$D$6:$D$128,$C138,'GLOBAL LOG'!#REF!,"Negotiations")</f>
        <v>#REF!</v>
      </c>
      <c r="W138" s="14" t="e">
        <f>COUNTIFS('GLOBAL LOG'!$D$6:$D$128,$C138,'GLOBAL LOG'!#REF!,"ICT")</f>
        <v>#REF!</v>
      </c>
      <c r="X138" s="14" t="e">
        <f>COUNTIFS('GLOBAL LOG'!$D$6:$D$128,$C138,'GLOBAL LOG'!#REF!,"Hopper")</f>
        <v>#REF!</v>
      </c>
      <c r="Y138" s="14">
        <f>SUMIF('GLOBAL LOG'!$D$6:$D$128,$C138,'GLOBAL LOG'!$Q$6:$Q$128)</f>
        <v>104</v>
      </c>
      <c r="Z138" s="14">
        <f>SUMIF('GLOBAL LOG'!$D$6:$D$128,$C138,'GLOBAL LOG'!$R$6:$R$128)</f>
        <v>0</v>
      </c>
      <c r="AA138" s="14">
        <f t="shared" si="2"/>
        <v>104</v>
      </c>
      <c r="AB138" s="14" t="e">
        <f>SUMIF('GLOBAL LOG'!$D$6:$D$128,C138,'GLOBAL LOG'!#REF!)</f>
        <v>#REF!</v>
      </c>
      <c r="AC138" s="6"/>
      <c r="AD138" s="14" t="str">
        <v>Singapore Airlines</v>
      </c>
      <c r="AE138" s="14" t="e">
        <v>#REF!</v>
      </c>
      <c r="AF138" s="6"/>
      <c r="AG138" s="14" t="str">
        <v>Silk Way</v>
      </c>
      <c r="AH138" s="14">
        <v>0</v>
      </c>
      <c r="AI138" s="6"/>
      <c r="AJ138" s="14" t="str">
        <v>Singapore Airlines</v>
      </c>
      <c r="AK138" s="14">
        <v>0</v>
      </c>
      <c r="AL138" s="6"/>
      <c r="AM138" s="14" t="str">
        <v>Silk Way</v>
      </c>
      <c r="AN138" s="14">
        <v>0</v>
      </c>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row>
    <row r="139" spans="2:97" s="4" customFormat="1" ht="14.65" hidden="1" customHeight="1">
      <c r="B139" s="6"/>
      <c r="C139" s="13" t="str">
        <v>Smartlynx</v>
      </c>
      <c r="D139" s="14">
        <f>COUNTIFS('GLOBAL LOG'!$D$6:$D$128,C139,'GLOBAL LOG'!$K$6:$K$128,"&lt;&gt;")</f>
        <v>0</v>
      </c>
      <c r="E139" s="14" t="e">
        <f>COUNTIFS('GLOBAL LOG'!$D$6:$D$128,C139,'GLOBAL LOG'!#REF!,"Yes")</f>
        <v>#REF!</v>
      </c>
      <c r="F139" s="14" t="e">
        <f>SUMIF('GLOBAL LOG'!$D$6:$D$128,COUNT!C139,'GLOBAL LOG'!#REF!)</f>
        <v>#REF!</v>
      </c>
      <c r="G139" s="14">
        <f>COUNTIFS('GLOBAL LOG'!$E$6:$E$128,G$10,'GLOBAL LOG'!$D$6:$D$128,$C139)</f>
        <v>0</v>
      </c>
      <c r="H139" s="14">
        <f>COUNTIFS('GLOBAL LOG'!$E$6:$E$128,H$10,'GLOBAL LOG'!$D$6:$D$128,$C139)</f>
        <v>0</v>
      </c>
      <c r="I139" s="14">
        <f>COUNTIFS('GLOBAL LOG'!$E$6:$E$128,I$10,'GLOBAL LOG'!$D$6:$D$128,$C139)</f>
        <v>0</v>
      </c>
      <c r="J139" s="14">
        <f>COUNTIFS('GLOBAL LOG'!$E$6:$E$128,J$10,'GLOBAL LOG'!$D$6:$D$128,$C139)</f>
        <v>0</v>
      </c>
      <c r="K139" s="14">
        <f>COUNTIFS('GLOBAL LOG'!$E$6:$E$128,K$10,'GLOBAL LOG'!$D$6:$D$128,$C139)</f>
        <v>0</v>
      </c>
      <c r="L139" s="14">
        <f>COUNTIFS('GLOBAL LOG'!$E$6:$E$128,L$10,'GLOBAL LOG'!$D$6:$D$128,$C139)</f>
        <v>0</v>
      </c>
      <c r="M139" s="14">
        <f>COUNTIFS('GLOBAL LOG'!$E$6:$E$128,M$10,'GLOBAL LOG'!$D$6:$D$128,$C139)</f>
        <v>0</v>
      </c>
      <c r="N139" s="14" t="e">
        <f>COUNTIFS('GLOBAL LOG'!$D$6:$D$128,$C139,'GLOBAL LOG'!#REF!,"High")</f>
        <v>#REF!</v>
      </c>
      <c r="O139" s="14" t="e">
        <f>COUNTIFS('GLOBAL LOG'!$D$6:$D$128,$C139,'GLOBAL LOG'!#REF!,"Med")</f>
        <v>#REF!</v>
      </c>
      <c r="P139" s="14" t="e">
        <f>COUNTIFS('GLOBAL LOG'!$D$6:$D$128,$C139,'GLOBAL LOG'!#REF!,"Low")</f>
        <v>#REF!</v>
      </c>
      <c r="Q139" s="14" t="e">
        <f>COUNTIFS('GLOBAL LOG'!$D$6:$D$128,$C139,'GLOBAL LOG'!#REF!,"High")</f>
        <v>#REF!</v>
      </c>
      <c r="R139" s="14" t="e">
        <f>COUNTIFS('GLOBAL LOG'!$D$6:$D$128,$C139,'GLOBAL LOG'!#REF!,"Med")</f>
        <v>#REF!</v>
      </c>
      <c r="S139" s="14" t="e">
        <f>COUNTIFS('GLOBAL LOG'!$D$6:$D$128,$C139,'GLOBAL LOG'!#REF!,"Low")</f>
        <v>#REF!</v>
      </c>
      <c r="T139" s="14" t="e">
        <f>COUNTIFS('GLOBAL LOG'!$D$6:$D$128,$C139,'GLOBAL LOG'!#REF!,"Completed")</f>
        <v>#REF!</v>
      </c>
      <c r="U139" s="14" t="e">
        <f>COUNTIFS('GLOBAL LOG'!$D$6:$D$128,$C139,'GLOBAL LOG'!#REF!,"Contracting")</f>
        <v>#REF!</v>
      </c>
      <c r="V139" s="14" t="e">
        <f>COUNTIFS('GLOBAL LOG'!$D$6:$D$128,$C139,'GLOBAL LOG'!#REF!,"Negotiations")</f>
        <v>#REF!</v>
      </c>
      <c r="W139" s="14" t="e">
        <f>COUNTIFS('GLOBAL LOG'!$D$6:$D$128,$C139,'GLOBAL LOG'!#REF!,"ICT")</f>
        <v>#REF!</v>
      </c>
      <c r="X139" s="14" t="e">
        <f>COUNTIFS('GLOBAL LOG'!$D$6:$D$128,$C139,'GLOBAL LOG'!#REF!,"Hopper")</f>
        <v>#REF!</v>
      </c>
      <c r="Y139" s="14">
        <f>SUMIF('GLOBAL LOG'!$D$6:$D$128,$C139,'GLOBAL LOG'!$Q$6:$Q$128)</f>
        <v>0</v>
      </c>
      <c r="Z139" s="14">
        <f>SUMIF('GLOBAL LOG'!$D$6:$D$128,$C139,'GLOBAL LOG'!$R$6:$R$128)</f>
        <v>0</v>
      </c>
      <c r="AA139" s="14">
        <f t="shared" si="2"/>
        <v>0</v>
      </c>
      <c r="AB139" s="14" t="e">
        <f>SUMIF('GLOBAL LOG'!$D$6:$D$128,C139,'GLOBAL LOG'!#REF!)</f>
        <v>#REF!</v>
      </c>
      <c r="AC139" s="6"/>
      <c r="AD139" s="14" t="str">
        <v>Smartlynx</v>
      </c>
      <c r="AE139" s="14" t="e">
        <v>#REF!</v>
      </c>
      <c r="AF139" s="6"/>
      <c r="AG139" s="14" t="str">
        <v>Smartlynx</v>
      </c>
      <c r="AH139" s="14">
        <v>0</v>
      </c>
      <c r="AI139" s="6"/>
      <c r="AJ139" s="14" t="str">
        <v>Smartlynx</v>
      </c>
      <c r="AK139" s="14">
        <v>0</v>
      </c>
      <c r="AL139" s="6"/>
      <c r="AM139" s="14" t="str">
        <v>Smartlynx</v>
      </c>
      <c r="AN139" s="14">
        <v>0</v>
      </c>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row>
    <row r="140" spans="2:97" s="4" customFormat="1" ht="14.65" hidden="1" customHeight="1">
      <c r="B140" s="6"/>
      <c r="C140" s="13" t="str">
        <v>SMBC</v>
      </c>
      <c r="D140" s="14">
        <f>COUNTIFS('GLOBAL LOG'!$D$6:$D$128,C140,'GLOBAL LOG'!$K$6:$K$128,"&lt;&gt;")</f>
        <v>0</v>
      </c>
      <c r="E140" s="14" t="e">
        <f>COUNTIFS('GLOBAL LOG'!$D$6:$D$128,C140,'GLOBAL LOG'!#REF!,"Yes")</f>
        <v>#REF!</v>
      </c>
      <c r="F140" s="14" t="e">
        <f>SUMIF('GLOBAL LOG'!$D$6:$D$128,COUNT!C140,'GLOBAL LOG'!#REF!)</f>
        <v>#REF!</v>
      </c>
      <c r="G140" s="14">
        <f>COUNTIFS('GLOBAL LOG'!$E$6:$E$128,G$10,'GLOBAL LOG'!$D$6:$D$128,$C140)</f>
        <v>0</v>
      </c>
      <c r="H140" s="14">
        <f>COUNTIFS('GLOBAL LOG'!$E$6:$E$128,H$10,'GLOBAL LOG'!$D$6:$D$128,$C140)</f>
        <v>0</v>
      </c>
      <c r="I140" s="14">
        <f>COUNTIFS('GLOBAL LOG'!$E$6:$E$128,I$10,'GLOBAL LOG'!$D$6:$D$128,$C140)</f>
        <v>0</v>
      </c>
      <c r="J140" s="14">
        <f>COUNTIFS('GLOBAL LOG'!$E$6:$E$128,J$10,'GLOBAL LOG'!$D$6:$D$128,$C140)</f>
        <v>0</v>
      </c>
      <c r="K140" s="14">
        <f>COUNTIFS('GLOBAL LOG'!$E$6:$E$128,K$10,'GLOBAL LOG'!$D$6:$D$128,$C140)</f>
        <v>0</v>
      </c>
      <c r="L140" s="14">
        <f>COUNTIFS('GLOBAL LOG'!$E$6:$E$128,L$10,'GLOBAL LOG'!$D$6:$D$128,$C140)</f>
        <v>0</v>
      </c>
      <c r="M140" s="14">
        <f>COUNTIFS('GLOBAL LOG'!$E$6:$E$128,M$10,'GLOBAL LOG'!$D$6:$D$128,$C140)</f>
        <v>0</v>
      </c>
      <c r="N140" s="14" t="e">
        <f>COUNTIFS('GLOBAL LOG'!$D$6:$D$128,$C140,'GLOBAL LOG'!#REF!,"High")</f>
        <v>#REF!</v>
      </c>
      <c r="O140" s="14" t="e">
        <f>COUNTIFS('GLOBAL LOG'!$D$6:$D$128,$C140,'GLOBAL LOG'!#REF!,"Med")</f>
        <v>#REF!</v>
      </c>
      <c r="P140" s="14" t="e">
        <f>COUNTIFS('GLOBAL LOG'!$D$6:$D$128,$C140,'GLOBAL LOG'!#REF!,"Low")</f>
        <v>#REF!</v>
      </c>
      <c r="Q140" s="14" t="e">
        <f>COUNTIFS('GLOBAL LOG'!$D$6:$D$128,$C140,'GLOBAL LOG'!#REF!,"High")</f>
        <v>#REF!</v>
      </c>
      <c r="R140" s="14" t="e">
        <f>COUNTIFS('GLOBAL LOG'!$D$6:$D$128,$C140,'GLOBAL LOG'!#REF!,"Med")</f>
        <v>#REF!</v>
      </c>
      <c r="S140" s="14" t="e">
        <f>COUNTIFS('GLOBAL LOG'!$D$6:$D$128,$C140,'GLOBAL LOG'!#REF!,"Low")</f>
        <v>#REF!</v>
      </c>
      <c r="T140" s="14" t="e">
        <f>COUNTIFS('GLOBAL LOG'!$D$6:$D$128,$C140,'GLOBAL LOG'!#REF!,"Completed")</f>
        <v>#REF!</v>
      </c>
      <c r="U140" s="14" t="e">
        <f>COUNTIFS('GLOBAL LOG'!$D$6:$D$128,$C140,'GLOBAL LOG'!#REF!,"Contracting")</f>
        <v>#REF!</v>
      </c>
      <c r="V140" s="14" t="e">
        <f>COUNTIFS('GLOBAL LOG'!$D$6:$D$128,$C140,'GLOBAL LOG'!#REF!,"Negotiations")</f>
        <v>#REF!</v>
      </c>
      <c r="W140" s="14" t="e">
        <f>COUNTIFS('GLOBAL LOG'!$D$6:$D$128,$C140,'GLOBAL LOG'!#REF!,"ICT")</f>
        <v>#REF!</v>
      </c>
      <c r="X140" s="14" t="e">
        <f>COUNTIFS('GLOBAL LOG'!$D$6:$D$128,$C140,'GLOBAL LOG'!#REF!,"Hopper")</f>
        <v>#REF!</v>
      </c>
      <c r="Y140" s="14">
        <f>SUMIF('GLOBAL LOG'!$D$6:$D$128,$C140,'GLOBAL LOG'!$Q$6:$Q$128)</f>
        <v>0</v>
      </c>
      <c r="Z140" s="14">
        <f>SUMIF('GLOBAL LOG'!$D$6:$D$128,$C140,'GLOBAL LOG'!$R$6:$R$128)</f>
        <v>0</v>
      </c>
      <c r="AA140" s="14">
        <f t="shared" ref="AA140:AA146" si="3">Y140+Z140</f>
        <v>0</v>
      </c>
      <c r="AB140" s="14" t="e">
        <f>SUMIF('GLOBAL LOG'!$D$6:$D$128,C140,'GLOBAL LOG'!#REF!)</f>
        <v>#REF!</v>
      </c>
      <c r="AC140" s="6"/>
      <c r="AD140" s="14" t="str">
        <v>SMBC</v>
      </c>
      <c r="AE140" s="14" t="e">
        <v>#REF!</v>
      </c>
      <c r="AF140" s="6"/>
      <c r="AG140" s="14" t="str">
        <v>SMBC</v>
      </c>
      <c r="AH140" s="14">
        <v>0</v>
      </c>
      <c r="AI140" s="6"/>
      <c r="AJ140" s="14" t="str">
        <v>SMBC</v>
      </c>
      <c r="AK140" s="14">
        <v>0</v>
      </c>
      <c r="AL140" s="6"/>
      <c r="AM140" s="14" t="str">
        <v>SMBC</v>
      </c>
      <c r="AN140" s="14">
        <v>0</v>
      </c>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row>
    <row r="141" spans="2:97" s="4" customFormat="1" ht="14.65" hidden="1" customHeight="1">
      <c r="B141" s="6"/>
      <c r="C141" s="13" t="str">
        <v>Solenta</v>
      </c>
      <c r="D141" s="14">
        <f>COUNTIFS('GLOBAL LOG'!$D$6:$D$128,C141,'GLOBAL LOG'!$K$6:$K$128,"&lt;&gt;")</f>
        <v>0</v>
      </c>
      <c r="E141" s="14" t="e">
        <f>COUNTIFS('GLOBAL LOG'!$D$6:$D$128,C141,'GLOBAL LOG'!#REF!,"Yes")</f>
        <v>#REF!</v>
      </c>
      <c r="F141" s="14" t="e">
        <f>SUMIF('GLOBAL LOG'!$D$6:$D$128,COUNT!C141,'GLOBAL LOG'!#REF!)</f>
        <v>#REF!</v>
      </c>
      <c r="G141" s="14">
        <f>COUNTIFS('GLOBAL LOG'!$E$6:$E$128,G$10,'GLOBAL LOG'!$D$6:$D$128,$C141)</f>
        <v>0</v>
      </c>
      <c r="H141" s="14">
        <f>COUNTIFS('GLOBAL LOG'!$E$6:$E$128,H$10,'GLOBAL LOG'!$D$6:$D$128,$C141)</f>
        <v>0</v>
      </c>
      <c r="I141" s="14">
        <f>COUNTIFS('GLOBAL LOG'!$E$6:$E$128,I$10,'GLOBAL LOG'!$D$6:$D$128,$C141)</f>
        <v>0</v>
      </c>
      <c r="J141" s="14">
        <f>COUNTIFS('GLOBAL LOG'!$E$6:$E$128,J$10,'GLOBAL LOG'!$D$6:$D$128,$C141)</f>
        <v>0</v>
      </c>
      <c r="K141" s="14">
        <f>COUNTIFS('GLOBAL LOG'!$E$6:$E$128,K$10,'GLOBAL LOG'!$D$6:$D$128,$C141)</f>
        <v>0</v>
      </c>
      <c r="L141" s="14">
        <f>COUNTIFS('GLOBAL LOG'!$E$6:$E$128,L$10,'GLOBAL LOG'!$D$6:$D$128,$C141)</f>
        <v>0</v>
      </c>
      <c r="M141" s="14">
        <f>COUNTIFS('GLOBAL LOG'!$E$6:$E$128,M$10,'GLOBAL LOG'!$D$6:$D$128,$C141)</f>
        <v>0</v>
      </c>
      <c r="N141" s="14" t="e">
        <f>COUNTIFS('GLOBAL LOG'!$D$6:$D$128,$C141,'GLOBAL LOG'!#REF!,"High")</f>
        <v>#REF!</v>
      </c>
      <c r="O141" s="14" t="e">
        <f>COUNTIFS('GLOBAL LOG'!$D$6:$D$128,$C141,'GLOBAL LOG'!#REF!,"Med")</f>
        <v>#REF!</v>
      </c>
      <c r="P141" s="14" t="e">
        <f>COUNTIFS('GLOBAL LOG'!$D$6:$D$128,$C141,'GLOBAL LOG'!#REF!,"Low")</f>
        <v>#REF!</v>
      </c>
      <c r="Q141" s="14" t="e">
        <f>COUNTIFS('GLOBAL LOG'!$D$6:$D$128,$C141,'GLOBAL LOG'!#REF!,"High")</f>
        <v>#REF!</v>
      </c>
      <c r="R141" s="14" t="e">
        <f>COUNTIFS('GLOBAL LOG'!$D$6:$D$128,$C141,'GLOBAL LOG'!#REF!,"Med")</f>
        <v>#REF!</v>
      </c>
      <c r="S141" s="14" t="e">
        <f>COUNTIFS('GLOBAL LOG'!$D$6:$D$128,$C141,'GLOBAL LOG'!#REF!,"Low")</f>
        <v>#REF!</v>
      </c>
      <c r="T141" s="14" t="e">
        <f>COUNTIFS('GLOBAL LOG'!$D$6:$D$128,$C141,'GLOBAL LOG'!#REF!,"Completed")</f>
        <v>#REF!</v>
      </c>
      <c r="U141" s="14" t="e">
        <f>COUNTIFS('GLOBAL LOG'!$D$6:$D$128,$C141,'GLOBAL LOG'!#REF!,"Contracting")</f>
        <v>#REF!</v>
      </c>
      <c r="V141" s="14" t="e">
        <f>COUNTIFS('GLOBAL LOG'!$D$6:$D$128,$C141,'GLOBAL LOG'!#REF!,"Negotiations")</f>
        <v>#REF!</v>
      </c>
      <c r="W141" s="14" t="e">
        <f>COUNTIFS('GLOBAL LOG'!$D$6:$D$128,$C141,'GLOBAL LOG'!#REF!,"ICT")</f>
        <v>#REF!</v>
      </c>
      <c r="X141" s="14" t="e">
        <f>COUNTIFS('GLOBAL LOG'!$D$6:$D$128,$C141,'GLOBAL LOG'!#REF!,"Hopper")</f>
        <v>#REF!</v>
      </c>
      <c r="Y141" s="14">
        <f>SUMIF('GLOBAL LOG'!$D$6:$D$128,$C141,'GLOBAL LOG'!$Q$6:$Q$128)</f>
        <v>0</v>
      </c>
      <c r="Z141" s="14">
        <f>SUMIF('GLOBAL LOG'!$D$6:$D$128,$C141,'GLOBAL LOG'!$R$6:$R$128)</f>
        <v>0</v>
      </c>
      <c r="AA141" s="14">
        <f t="shared" si="3"/>
        <v>0</v>
      </c>
      <c r="AB141" s="14" t="e">
        <f>SUMIF('GLOBAL LOG'!$D$6:$D$128,C141,'GLOBAL LOG'!#REF!)</f>
        <v>#REF!</v>
      </c>
      <c r="AC141" s="6"/>
      <c r="AD141" s="14" t="str">
        <v>Solenta</v>
      </c>
      <c r="AE141" s="14" t="e">
        <v>#REF!</v>
      </c>
      <c r="AF141" s="6"/>
      <c r="AG141" s="14" t="str">
        <v>Solenta</v>
      </c>
      <c r="AH141" s="14">
        <v>0</v>
      </c>
      <c r="AI141" s="6"/>
      <c r="AJ141" s="14" t="str">
        <v>Solenta</v>
      </c>
      <c r="AK141" s="14">
        <v>0</v>
      </c>
      <c r="AL141" s="6"/>
      <c r="AM141" s="14" t="str">
        <v>Solenta</v>
      </c>
      <c r="AN141" s="14">
        <v>0</v>
      </c>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row>
    <row r="142" spans="2:97" s="4" customFormat="1" ht="14.65" hidden="1" customHeight="1">
      <c r="B142" s="6"/>
      <c r="C142" s="13" t="str">
        <v>South African Airways</v>
      </c>
      <c r="D142" s="14">
        <f>COUNTIFS('GLOBAL LOG'!$D$6:$D$128,C142,'GLOBAL LOG'!$K$6:$K$128,"&lt;&gt;")</f>
        <v>0</v>
      </c>
      <c r="E142" s="14" t="e">
        <f>COUNTIFS('GLOBAL LOG'!$D$6:$D$128,C142,'GLOBAL LOG'!#REF!,"Yes")</f>
        <v>#REF!</v>
      </c>
      <c r="F142" s="14" t="e">
        <f>SUMIF('GLOBAL LOG'!$D$6:$D$128,COUNT!C142,'GLOBAL LOG'!#REF!)</f>
        <v>#REF!</v>
      </c>
      <c r="G142" s="14">
        <f>COUNTIFS('GLOBAL LOG'!$E$6:$E$128,G$10,'GLOBAL LOG'!$D$6:$D$128,$C142)</f>
        <v>0</v>
      </c>
      <c r="H142" s="14">
        <f>COUNTIFS('GLOBAL LOG'!$E$6:$E$128,H$10,'GLOBAL LOG'!$D$6:$D$128,$C142)</f>
        <v>0</v>
      </c>
      <c r="I142" s="14">
        <f>COUNTIFS('GLOBAL LOG'!$E$6:$E$128,I$10,'GLOBAL LOG'!$D$6:$D$128,$C142)</f>
        <v>0</v>
      </c>
      <c r="J142" s="14">
        <f>COUNTIFS('GLOBAL LOG'!$E$6:$E$128,J$10,'GLOBAL LOG'!$D$6:$D$128,$C142)</f>
        <v>0</v>
      </c>
      <c r="K142" s="14">
        <f>COUNTIFS('GLOBAL LOG'!$E$6:$E$128,K$10,'GLOBAL LOG'!$D$6:$D$128,$C142)</f>
        <v>0</v>
      </c>
      <c r="L142" s="14">
        <f>COUNTIFS('GLOBAL LOG'!$E$6:$E$128,L$10,'GLOBAL LOG'!$D$6:$D$128,$C142)</f>
        <v>0</v>
      </c>
      <c r="M142" s="14">
        <f>COUNTIFS('GLOBAL LOG'!$E$6:$E$128,M$10,'GLOBAL LOG'!$D$6:$D$128,$C142)</f>
        <v>0</v>
      </c>
      <c r="N142" s="14" t="e">
        <f>COUNTIFS('GLOBAL LOG'!$D$6:$D$128,$C142,'GLOBAL LOG'!#REF!,"High")</f>
        <v>#REF!</v>
      </c>
      <c r="O142" s="14" t="e">
        <f>COUNTIFS('GLOBAL LOG'!$D$6:$D$128,$C142,'GLOBAL LOG'!#REF!,"Med")</f>
        <v>#REF!</v>
      </c>
      <c r="P142" s="14" t="e">
        <f>COUNTIFS('GLOBAL LOG'!$D$6:$D$128,$C142,'GLOBAL LOG'!#REF!,"Low")</f>
        <v>#REF!</v>
      </c>
      <c r="Q142" s="14" t="e">
        <f>COUNTIFS('GLOBAL LOG'!$D$6:$D$128,$C142,'GLOBAL LOG'!#REF!,"High")</f>
        <v>#REF!</v>
      </c>
      <c r="R142" s="14" t="e">
        <f>COUNTIFS('GLOBAL LOG'!$D$6:$D$128,$C142,'GLOBAL LOG'!#REF!,"Med")</f>
        <v>#REF!</v>
      </c>
      <c r="S142" s="14" t="e">
        <f>COUNTIFS('GLOBAL LOG'!$D$6:$D$128,$C142,'GLOBAL LOG'!#REF!,"Low")</f>
        <v>#REF!</v>
      </c>
      <c r="T142" s="14" t="e">
        <f>COUNTIFS('GLOBAL LOG'!$D$6:$D$128,$C142,'GLOBAL LOG'!#REF!,"Completed")</f>
        <v>#REF!</v>
      </c>
      <c r="U142" s="14" t="e">
        <f>COUNTIFS('GLOBAL LOG'!$D$6:$D$128,$C142,'GLOBAL LOG'!#REF!,"Contracting")</f>
        <v>#REF!</v>
      </c>
      <c r="V142" s="14" t="e">
        <f>COUNTIFS('GLOBAL LOG'!$D$6:$D$128,$C142,'GLOBAL LOG'!#REF!,"Negotiations")</f>
        <v>#REF!</v>
      </c>
      <c r="W142" s="14" t="e">
        <f>COUNTIFS('GLOBAL LOG'!$D$6:$D$128,$C142,'GLOBAL LOG'!#REF!,"ICT")</f>
        <v>#REF!</v>
      </c>
      <c r="X142" s="14" t="e">
        <f>COUNTIFS('GLOBAL LOG'!$D$6:$D$128,$C142,'GLOBAL LOG'!#REF!,"Hopper")</f>
        <v>#REF!</v>
      </c>
      <c r="Y142" s="14">
        <f>SUMIF('GLOBAL LOG'!$D$6:$D$128,$C142,'GLOBAL LOG'!$Q$6:$Q$128)</f>
        <v>0</v>
      </c>
      <c r="Z142" s="14">
        <f>SUMIF('GLOBAL LOG'!$D$6:$D$128,$C142,'GLOBAL LOG'!$R$6:$R$128)</f>
        <v>0</v>
      </c>
      <c r="AA142" s="14">
        <f t="shared" si="3"/>
        <v>0</v>
      </c>
      <c r="AB142" s="14" t="e">
        <f>SUMIF('GLOBAL LOG'!$D$6:$D$128,C142,'GLOBAL LOG'!#REF!)</f>
        <v>#REF!</v>
      </c>
      <c r="AC142" s="6"/>
      <c r="AD142" s="14" t="str">
        <v>South African Airways</v>
      </c>
      <c r="AE142" s="14" t="e">
        <v>#REF!</v>
      </c>
      <c r="AF142" s="6"/>
      <c r="AG142" s="14" t="str">
        <v>South African Airways</v>
      </c>
      <c r="AH142" s="14">
        <v>0</v>
      </c>
      <c r="AI142" s="6"/>
      <c r="AJ142" s="14" t="str">
        <v>South African Airways</v>
      </c>
      <c r="AK142" s="14">
        <v>0</v>
      </c>
      <c r="AL142" s="6"/>
      <c r="AM142" s="14" t="str">
        <v>South African Airways</v>
      </c>
      <c r="AN142" s="14">
        <v>0</v>
      </c>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row>
    <row r="143" spans="2:97" s="4" customFormat="1" ht="14.65" hidden="1" customHeight="1">
      <c r="B143" s="6"/>
      <c r="C143" s="13" t="str">
        <v>Sri Lankan Airlines Ltd</v>
      </c>
      <c r="D143" s="14">
        <f>COUNTIFS('GLOBAL LOG'!$D$6:$D$128,C143,'GLOBAL LOG'!$K$6:$K$128,"&lt;&gt;")</f>
        <v>0</v>
      </c>
      <c r="E143" s="14" t="e">
        <f>COUNTIFS('GLOBAL LOG'!$D$6:$D$128,C143,'GLOBAL LOG'!#REF!,"Yes")</f>
        <v>#REF!</v>
      </c>
      <c r="F143" s="14" t="e">
        <f>SUMIF('GLOBAL LOG'!$D$6:$D$128,COUNT!C143,'GLOBAL LOG'!#REF!)</f>
        <v>#REF!</v>
      </c>
      <c r="G143" s="14">
        <f>COUNTIFS('GLOBAL LOG'!$E$6:$E$128,G$10,'GLOBAL LOG'!$D$6:$D$128,$C143)</f>
        <v>0</v>
      </c>
      <c r="H143" s="14">
        <f>COUNTIFS('GLOBAL LOG'!$E$6:$E$128,H$10,'GLOBAL LOG'!$D$6:$D$128,$C143)</f>
        <v>0</v>
      </c>
      <c r="I143" s="14">
        <f>COUNTIFS('GLOBAL LOG'!$E$6:$E$128,I$10,'GLOBAL LOG'!$D$6:$D$128,$C143)</f>
        <v>0</v>
      </c>
      <c r="J143" s="14">
        <f>COUNTIFS('GLOBAL LOG'!$E$6:$E$128,J$10,'GLOBAL LOG'!$D$6:$D$128,$C143)</f>
        <v>0</v>
      </c>
      <c r="K143" s="14">
        <f>COUNTIFS('GLOBAL LOG'!$E$6:$E$128,K$10,'GLOBAL LOG'!$D$6:$D$128,$C143)</f>
        <v>0</v>
      </c>
      <c r="L143" s="14">
        <f>COUNTIFS('GLOBAL LOG'!$E$6:$E$128,L$10,'GLOBAL LOG'!$D$6:$D$128,$C143)</f>
        <v>0</v>
      </c>
      <c r="M143" s="14">
        <f>COUNTIFS('GLOBAL LOG'!$E$6:$E$128,M$10,'GLOBAL LOG'!$D$6:$D$128,$C143)</f>
        <v>0</v>
      </c>
      <c r="N143" s="14" t="e">
        <f>COUNTIFS('GLOBAL LOG'!$D$6:$D$128,$C143,'GLOBAL LOG'!#REF!,"High")</f>
        <v>#REF!</v>
      </c>
      <c r="O143" s="14" t="e">
        <f>COUNTIFS('GLOBAL LOG'!$D$6:$D$128,$C143,'GLOBAL LOG'!#REF!,"Med")</f>
        <v>#REF!</v>
      </c>
      <c r="P143" s="14" t="e">
        <f>COUNTIFS('GLOBAL LOG'!$D$6:$D$128,$C143,'GLOBAL LOG'!#REF!,"Low")</f>
        <v>#REF!</v>
      </c>
      <c r="Q143" s="14" t="e">
        <f>COUNTIFS('GLOBAL LOG'!$D$6:$D$128,$C143,'GLOBAL LOG'!#REF!,"High")</f>
        <v>#REF!</v>
      </c>
      <c r="R143" s="14" t="e">
        <f>COUNTIFS('GLOBAL LOG'!$D$6:$D$128,$C143,'GLOBAL LOG'!#REF!,"Med")</f>
        <v>#REF!</v>
      </c>
      <c r="S143" s="14" t="e">
        <f>COUNTIFS('GLOBAL LOG'!$D$6:$D$128,$C143,'GLOBAL LOG'!#REF!,"Low")</f>
        <v>#REF!</v>
      </c>
      <c r="T143" s="14" t="e">
        <f>COUNTIFS('GLOBAL LOG'!$D$6:$D$128,$C143,'GLOBAL LOG'!#REF!,"Completed")</f>
        <v>#REF!</v>
      </c>
      <c r="U143" s="14" t="e">
        <f>COUNTIFS('GLOBAL LOG'!$D$6:$D$128,$C143,'GLOBAL LOG'!#REF!,"Contracting")</f>
        <v>#REF!</v>
      </c>
      <c r="V143" s="14" t="e">
        <f>COUNTIFS('GLOBAL LOG'!$D$6:$D$128,$C143,'GLOBAL LOG'!#REF!,"Negotiations")</f>
        <v>#REF!</v>
      </c>
      <c r="W143" s="14" t="e">
        <f>COUNTIFS('GLOBAL LOG'!$D$6:$D$128,$C143,'GLOBAL LOG'!#REF!,"ICT")</f>
        <v>#REF!</v>
      </c>
      <c r="X143" s="14" t="e">
        <f>COUNTIFS('GLOBAL LOG'!$D$6:$D$128,$C143,'GLOBAL LOG'!#REF!,"Hopper")</f>
        <v>#REF!</v>
      </c>
      <c r="Y143" s="14">
        <f>SUMIF('GLOBAL LOG'!$D$6:$D$128,$C143,'GLOBAL LOG'!$Q$6:$Q$128)</f>
        <v>0</v>
      </c>
      <c r="Z143" s="14">
        <f>SUMIF('GLOBAL LOG'!$D$6:$D$128,$C143,'GLOBAL LOG'!$R$6:$R$128)</f>
        <v>0</v>
      </c>
      <c r="AA143" s="14">
        <f t="shared" si="3"/>
        <v>0</v>
      </c>
      <c r="AB143" s="14" t="e">
        <f>SUMIF('GLOBAL LOG'!$D$6:$D$128,C143,'GLOBAL LOG'!#REF!)</f>
        <v>#REF!</v>
      </c>
      <c r="AC143" s="6"/>
      <c r="AD143" s="14" t="str">
        <v>Sri Lankan Airlines Ltd</v>
      </c>
      <c r="AE143" s="14" t="e">
        <v>#REF!</v>
      </c>
      <c r="AF143" s="6"/>
      <c r="AG143" s="14" t="str">
        <v>Sri Lankan Airlines Ltd</v>
      </c>
      <c r="AH143" s="14">
        <v>0</v>
      </c>
      <c r="AI143" s="6"/>
      <c r="AJ143" s="14" t="str">
        <v>Sri Lankan Airlines Ltd</v>
      </c>
      <c r="AK143" s="14">
        <v>0</v>
      </c>
      <c r="AL143" s="6"/>
      <c r="AM143" s="14" t="str">
        <v>Sri Lankan Airlines Ltd</v>
      </c>
      <c r="AN143" s="14">
        <v>0</v>
      </c>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row>
    <row r="144" spans="2:97" s="4" customFormat="1" ht="14.65" hidden="1" customHeight="1">
      <c r="B144" s="6"/>
      <c r="C144" s="13" t="str">
        <v>SriLankan Airlines</v>
      </c>
      <c r="D144" s="14">
        <f>COUNTIFS('GLOBAL LOG'!$D$6:$D$128,C144,'GLOBAL LOG'!$K$6:$K$128,"&lt;&gt;")</f>
        <v>0</v>
      </c>
      <c r="E144" s="14" t="e">
        <f>COUNTIFS('GLOBAL LOG'!$D$6:$D$128,C144,'GLOBAL LOG'!#REF!,"Yes")</f>
        <v>#REF!</v>
      </c>
      <c r="F144" s="14" t="e">
        <f>SUMIF('GLOBAL LOG'!$D$6:$D$128,COUNT!C144,'GLOBAL LOG'!#REF!)</f>
        <v>#REF!</v>
      </c>
      <c r="G144" s="14">
        <f>COUNTIFS('GLOBAL LOG'!$E$6:$E$128,G$10,'GLOBAL LOG'!$D$6:$D$128,$C144)</f>
        <v>0</v>
      </c>
      <c r="H144" s="14">
        <f>COUNTIFS('GLOBAL LOG'!$E$6:$E$128,H$10,'GLOBAL LOG'!$D$6:$D$128,$C144)</f>
        <v>0</v>
      </c>
      <c r="I144" s="14">
        <f>COUNTIFS('GLOBAL LOG'!$E$6:$E$128,I$10,'GLOBAL LOG'!$D$6:$D$128,$C144)</f>
        <v>0</v>
      </c>
      <c r="J144" s="14">
        <f>COUNTIFS('GLOBAL LOG'!$E$6:$E$128,J$10,'GLOBAL LOG'!$D$6:$D$128,$C144)</f>
        <v>0</v>
      </c>
      <c r="K144" s="14">
        <f>COUNTIFS('GLOBAL LOG'!$E$6:$E$128,K$10,'GLOBAL LOG'!$D$6:$D$128,$C144)</f>
        <v>0</v>
      </c>
      <c r="L144" s="14">
        <f>COUNTIFS('GLOBAL LOG'!$E$6:$E$128,L$10,'GLOBAL LOG'!$D$6:$D$128,$C144)</f>
        <v>0</v>
      </c>
      <c r="M144" s="14">
        <f>COUNTIFS('GLOBAL LOG'!$E$6:$E$128,M$10,'GLOBAL LOG'!$D$6:$D$128,$C144)</f>
        <v>0</v>
      </c>
      <c r="N144" s="14" t="e">
        <f>COUNTIFS('GLOBAL LOG'!$D$6:$D$128,$C144,'GLOBAL LOG'!#REF!,"High")</f>
        <v>#REF!</v>
      </c>
      <c r="O144" s="14" t="e">
        <f>COUNTIFS('GLOBAL LOG'!$D$6:$D$128,$C144,'GLOBAL LOG'!#REF!,"Med")</f>
        <v>#REF!</v>
      </c>
      <c r="P144" s="14" t="e">
        <f>COUNTIFS('GLOBAL LOG'!$D$6:$D$128,$C144,'GLOBAL LOG'!#REF!,"Low")</f>
        <v>#REF!</v>
      </c>
      <c r="Q144" s="14" t="e">
        <f>COUNTIFS('GLOBAL LOG'!$D$6:$D$128,$C144,'GLOBAL LOG'!#REF!,"High")</f>
        <v>#REF!</v>
      </c>
      <c r="R144" s="14" t="e">
        <f>COUNTIFS('GLOBAL LOG'!$D$6:$D$128,$C144,'GLOBAL LOG'!#REF!,"Med")</f>
        <v>#REF!</v>
      </c>
      <c r="S144" s="14" t="e">
        <f>COUNTIFS('GLOBAL LOG'!$D$6:$D$128,$C144,'GLOBAL LOG'!#REF!,"Low")</f>
        <v>#REF!</v>
      </c>
      <c r="T144" s="14" t="e">
        <f>COUNTIFS('GLOBAL LOG'!$D$6:$D$128,$C144,'GLOBAL LOG'!#REF!,"Completed")</f>
        <v>#REF!</v>
      </c>
      <c r="U144" s="14" t="e">
        <f>COUNTIFS('GLOBAL LOG'!$D$6:$D$128,$C144,'GLOBAL LOG'!#REF!,"Contracting")</f>
        <v>#REF!</v>
      </c>
      <c r="V144" s="14" t="e">
        <f>COUNTIFS('GLOBAL LOG'!$D$6:$D$128,$C144,'GLOBAL LOG'!#REF!,"Negotiations")</f>
        <v>#REF!</v>
      </c>
      <c r="W144" s="14" t="e">
        <f>COUNTIFS('GLOBAL LOG'!$D$6:$D$128,$C144,'GLOBAL LOG'!#REF!,"ICT")</f>
        <v>#REF!</v>
      </c>
      <c r="X144" s="14" t="e">
        <f>COUNTIFS('GLOBAL LOG'!$D$6:$D$128,$C144,'GLOBAL LOG'!#REF!,"Hopper")</f>
        <v>#REF!</v>
      </c>
      <c r="Y144" s="14">
        <f>SUMIF('GLOBAL LOG'!$D$6:$D$128,$C144,'GLOBAL LOG'!$Q$6:$Q$128)</f>
        <v>0</v>
      </c>
      <c r="Z144" s="14">
        <f>SUMIF('GLOBAL LOG'!$D$6:$D$128,$C144,'GLOBAL LOG'!$R$6:$R$128)</f>
        <v>0</v>
      </c>
      <c r="AA144" s="14">
        <f t="shared" si="3"/>
        <v>0</v>
      </c>
      <c r="AB144" s="14" t="e">
        <f>SUMIF('GLOBAL LOG'!$D$6:$D$128,C144,'GLOBAL LOG'!#REF!)</f>
        <v>#REF!</v>
      </c>
      <c r="AC144" s="6"/>
      <c r="AD144" s="14" t="str">
        <v>SriLankan Airlines</v>
      </c>
      <c r="AE144" s="14" t="e">
        <v>#REF!</v>
      </c>
      <c r="AF144" s="6"/>
      <c r="AG144" s="14" t="str">
        <v>SriLankan Airlines</v>
      </c>
      <c r="AH144" s="14">
        <v>0</v>
      </c>
      <c r="AI144" s="6"/>
      <c r="AJ144" s="14" t="str">
        <v>SriLankan Airlines</v>
      </c>
      <c r="AK144" s="14">
        <v>0</v>
      </c>
      <c r="AL144" s="6"/>
      <c r="AM144" s="14" t="str">
        <v>SriLankan Airlines</v>
      </c>
      <c r="AN144" s="14">
        <v>0</v>
      </c>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row>
    <row r="145" spans="2:97" s="4" customFormat="1" ht="14.65" hidden="1" customHeight="1">
      <c r="B145" s="6"/>
      <c r="C145" s="13" t="str">
        <v>Starlux Airlines</v>
      </c>
      <c r="D145" s="14">
        <f>COUNTIFS('GLOBAL LOG'!$D$6:$D$128,C145,'GLOBAL LOG'!$K$6:$K$128,"&lt;&gt;")</f>
        <v>0</v>
      </c>
      <c r="E145" s="14" t="e">
        <f>COUNTIFS('GLOBAL LOG'!$D$6:$D$128,C145,'GLOBAL LOG'!#REF!,"Yes")</f>
        <v>#REF!</v>
      </c>
      <c r="F145" s="14" t="e">
        <f>SUMIF('GLOBAL LOG'!$D$6:$D$128,COUNT!C145,'GLOBAL LOG'!#REF!)</f>
        <v>#REF!</v>
      </c>
      <c r="G145" s="14">
        <f>COUNTIFS('GLOBAL LOG'!$E$6:$E$128,G$10,'GLOBAL LOG'!$D$6:$D$128,$C145)</f>
        <v>0</v>
      </c>
      <c r="H145" s="14">
        <f>COUNTIFS('GLOBAL LOG'!$E$6:$E$128,H$10,'GLOBAL LOG'!$D$6:$D$128,$C145)</f>
        <v>0</v>
      </c>
      <c r="I145" s="14">
        <f>COUNTIFS('GLOBAL LOG'!$E$6:$E$128,I$10,'GLOBAL LOG'!$D$6:$D$128,$C145)</f>
        <v>0</v>
      </c>
      <c r="J145" s="14">
        <f>COUNTIFS('GLOBAL LOG'!$E$6:$E$128,J$10,'GLOBAL LOG'!$D$6:$D$128,$C145)</f>
        <v>0</v>
      </c>
      <c r="K145" s="14">
        <f>COUNTIFS('GLOBAL LOG'!$E$6:$E$128,K$10,'GLOBAL LOG'!$D$6:$D$128,$C145)</f>
        <v>0</v>
      </c>
      <c r="L145" s="14">
        <f>COUNTIFS('GLOBAL LOG'!$E$6:$E$128,L$10,'GLOBAL LOG'!$D$6:$D$128,$C145)</f>
        <v>0</v>
      </c>
      <c r="M145" s="14">
        <f>COUNTIFS('GLOBAL LOG'!$E$6:$E$128,M$10,'GLOBAL LOG'!$D$6:$D$128,$C145)</f>
        <v>0</v>
      </c>
      <c r="N145" s="14" t="e">
        <f>COUNTIFS('GLOBAL LOG'!$D$6:$D$128,$C145,'GLOBAL LOG'!#REF!,"High")</f>
        <v>#REF!</v>
      </c>
      <c r="O145" s="14" t="e">
        <f>COUNTIFS('GLOBAL LOG'!$D$6:$D$128,$C145,'GLOBAL LOG'!#REF!,"Med")</f>
        <v>#REF!</v>
      </c>
      <c r="P145" s="14" t="e">
        <f>COUNTIFS('GLOBAL LOG'!$D$6:$D$128,$C145,'GLOBAL LOG'!#REF!,"Low")</f>
        <v>#REF!</v>
      </c>
      <c r="Q145" s="14" t="e">
        <f>COUNTIFS('GLOBAL LOG'!$D$6:$D$128,$C145,'GLOBAL LOG'!#REF!,"High")</f>
        <v>#REF!</v>
      </c>
      <c r="R145" s="14" t="e">
        <f>COUNTIFS('GLOBAL LOG'!$D$6:$D$128,$C145,'GLOBAL LOG'!#REF!,"Med")</f>
        <v>#REF!</v>
      </c>
      <c r="S145" s="14" t="e">
        <f>COUNTIFS('GLOBAL LOG'!$D$6:$D$128,$C145,'GLOBAL LOG'!#REF!,"Low")</f>
        <v>#REF!</v>
      </c>
      <c r="T145" s="14" t="e">
        <f>COUNTIFS('GLOBAL LOG'!$D$6:$D$128,$C145,'GLOBAL LOG'!#REF!,"Completed")</f>
        <v>#REF!</v>
      </c>
      <c r="U145" s="14" t="e">
        <f>COUNTIFS('GLOBAL LOG'!$D$6:$D$128,$C145,'GLOBAL LOG'!#REF!,"Contracting")</f>
        <v>#REF!</v>
      </c>
      <c r="V145" s="14" t="e">
        <f>COUNTIFS('GLOBAL LOG'!$D$6:$D$128,$C145,'GLOBAL LOG'!#REF!,"Negotiations")</f>
        <v>#REF!</v>
      </c>
      <c r="W145" s="14" t="e">
        <f>COUNTIFS('GLOBAL LOG'!$D$6:$D$128,$C145,'GLOBAL LOG'!#REF!,"ICT")</f>
        <v>#REF!</v>
      </c>
      <c r="X145" s="14" t="e">
        <f>COUNTIFS('GLOBAL LOG'!$D$6:$D$128,$C145,'GLOBAL LOG'!#REF!,"Hopper")</f>
        <v>#REF!</v>
      </c>
      <c r="Y145" s="14">
        <f>SUMIF('GLOBAL LOG'!$D$6:$D$128,$C145,'GLOBAL LOG'!$Q$6:$Q$128)</f>
        <v>0</v>
      </c>
      <c r="Z145" s="14">
        <f>SUMIF('GLOBAL LOG'!$D$6:$D$128,$C145,'GLOBAL LOG'!$R$6:$R$128)</f>
        <v>0</v>
      </c>
      <c r="AA145" s="14">
        <f t="shared" si="3"/>
        <v>0</v>
      </c>
      <c r="AB145" s="14" t="e">
        <f>SUMIF('GLOBAL LOG'!$D$6:$D$128,C145,'GLOBAL LOG'!#REF!)</f>
        <v>#REF!</v>
      </c>
      <c r="AC145" s="6"/>
      <c r="AD145" s="14" t="str">
        <v>Starlux Airlines</v>
      </c>
      <c r="AE145" s="14" t="e">
        <v>#REF!</v>
      </c>
      <c r="AF145" s="6"/>
      <c r="AG145" s="14" t="str">
        <v>Starlux Airlines</v>
      </c>
      <c r="AH145" s="14">
        <v>0</v>
      </c>
      <c r="AI145" s="6"/>
      <c r="AJ145" s="14" t="str">
        <v>Starlux Airlines</v>
      </c>
      <c r="AK145" s="14">
        <v>0</v>
      </c>
      <c r="AL145" s="6"/>
      <c r="AM145" s="14" t="str">
        <v>Starlux Airlines</v>
      </c>
      <c r="AN145" s="14">
        <v>0</v>
      </c>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row>
    <row r="146" spans="2:97" s="4" customFormat="1" ht="14.65" hidden="1" customHeight="1">
      <c r="B146" s="6"/>
      <c r="C146" s="13" t="str">
        <v>Sunclass</v>
      </c>
      <c r="D146" s="14">
        <f>COUNTIFS('GLOBAL LOG'!$D$6:$D$128,C146,'GLOBAL LOG'!$K$6:$K$128,"&lt;&gt;")</f>
        <v>0</v>
      </c>
      <c r="E146" s="14" t="e">
        <f>COUNTIFS('GLOBAL LOG'!$D$6:$D$128,C146,'GLOBAL LOG'!#REF!,"Yes")</f>
        <v>#REF!</v>
      </c>
      <c r="F146" s="14" t="e">
        <f>SUMIF('GLOBAL LOG'!$D$6:$D$128,COUNT!C146,'GLOBAL LOG'!#REF!)</f>
        <v>#REF!</v>
      </c>
      <c r="G146" s="14">
        <f>COUNTIFS('GLOBAL LOG'!$E$6:$E$128,G$10,'GLOBAL LOG'!$D$6:$D$128,$C146)</f>
        <v>0</v>
      </c>
      <c r="H146" s="14">
        <f>COUNTIFS('GLOBAL LOG'!$E$6:$E$128,H$10,'GLOBAL LOG'!$D$6:$D$128,$C146)</f>
        <v>0</v>
      </c>
      <c r="I146" s="14">
        <f>COUNTIFS('GLOBAL LOG'!$E$6:$E$128,I$10,'GLOBAL LOG'!$D$6:$D$128,$C146)</f>
        <v>0</v>
      </c>
      <c r="J146" s="14">
        <f>COUNTIFS('GLOBAL LOG'!$E$6:$E$128,J$10,'GLOBAL LOG'!$D$6:$D$128,$C146)</f>
        <v>0</v>
      </c>
      <c r="K146" s="14">
        <f>COUNTIFS('GLOBAL LOG'!$E$6:$E$128,K$10,'GLOBAL LOG'!$D$6:$D$128,$C146)</f>
        <v>0</v>
      </c>
      <c r="L146" s="14">
        <f>COUNTIFS('GLOBAL LOG'!$E$6:$E$128,L$10,'GLOBAL LOG'!$D$6:$D$128,$C146)</f>
        <v>0</v>
      </c>
      <c r="M146" s="14">
        <f>COUNTIFS('GLOBAL LOG'!$E$6:$E$128,M$10,'GLOBAL LOG'!$D$6:$D$128,$C146)</f>
        <v>0</v>
      </c>
      <c r="N146" s="14" t="e">
        <f>COUNTIFS('GLOBAL LOG'!$D$6:$D$128,$C146,'GLOBAL LOG'!#REF!,"High")</f>
        <v>#REF!</v>
      </c>
      <c r="O146" s="14" t="e">
        <f>COUNTIFS('GLOBAL LOG'!$D$6:$D$128,$C146,'GLOBAL LOG'!#REF!,"Med")</f>
        <v>#REF!</v>
      </c>
      <c r="P146" s="14" t="e">
        <f>COUNTIFS('GLOBAL LOG'!$D$6:$D$128,$C146,'GLOBAL LOG'!#REF!,"Low")</f>
        <v>#REF!</v>
      </c>
      <c r="Q146" s="14" t="e">
        <f>COUNTIFS('GLOBAL LOG'!$D$6:$D$128,$C146,'GLOBAL LOG'!#REF!,"High")</f>
        <v>#REF!</v>
      </c>
      <c r="R146" s="14" t="e">
        <f>COUNTIFS('GLOBAL LOG'!$D$6:$D$128,$C146,'GLOBAL LOG'!#REF!,"Med")</f>
        <v>#REF!</v>
      </c>
      <c r="S146" s="14" t="e">
        <f>COUNTIFS('GLOBAL LOG'!$D$6:$D$128,$C146,'GLOBAL LOG'!#REF!,"Low")</f>
        <v>#REF!</v>
      </c>
      <c r="T146" s="14" t="e">
        <f>COUNTIFS('GLOBAL LOG'!$D$6:$D$128,$C146,'GLOBAL LOG'!#REF!,"Completed")</f>
        <v>#REF!</v>
      </c>
      <c r="U146" s="14" t="e">
        <f>COUNTIFS('GLOBAL LOG'!$D$6:$D$128,$C146,'GLOBAL LOG'!#REF!,"Contracting")</f>
        <v>#REF!</v>
      </c>
      <c r="V146" s="14" t="e">
        <f>COUNTIFS('GLOBAL LOG'!$D$6:$D$128,$C146,'GLOBAL LOG'!#REF!,"Negotiations")</f>
        <v>#REF!</v>
      </c>
      <c r="W146" s="14" t="e">
        <f>COUNTIFS('GLOBAL LOG'!$D$6:$D$128,$C146,'GLOBAL LOG'!#REF!,"ICT")</f>
        <v>#REF!</v>
      </c>
      <c r="X146" s="14" t="e">
        <f>COUNTIFS('GLOBAL LOG'!$D$6:$D$128,$C146,'GLOBAL LOG'!#REF!,"Hopper")</f>
        <v>#REF!</v>
      </c>
      <c r="Y146" s="14">
        <f>SUMIF('GLOBAL LOG'!$D$6:$D$128,$C146,'GLOBAL LOG'!$Q$6:$Q$128)</f>
        <v>0</v>
      </c>
      <c r="Z146" s="14">
        <f>SUMIF('GLOBAL LOG'!$D$6:$D$128,$C146,'GLOBAL LOG'!$R$6:$R$128)</f>
        <v>0</v>
      </c>
      <c r="AA146" s="14">
        <f t="shared" si="3"/>
        <v>0</v>
      </c>
      <c r="AB146" s="14" t="e">
        <f>SUMIF('GLOBAL LOG'!$D$6:$D$128,C146,'GLOBAL LOG'!#REF!)</f>
        <v>#REF!</v>
      </c>
      <c r="AC146" s="6"/>
      <c r="AD146" s="14" t="str">
        <v>Sunclass</v>
      </c>
      <c r="AE146" s="14" t="e">
        <v>#REF!</v>
      </c>
      <c r="AF146" s="6"/>
      <c r="AG146" s="14" t="str">
        <v>Sunclass</v>
      </c>
      <c r="AH146" s="14">
        <v>0</v>
      </c>
      <c r="AI146" s="6"/>
      <c r="AJ146" s="14" t="str">
        <v>Sunclass</v>
      </c>
      <c r="AK146" s="14">
        <v>0</v>
      </c>
      <c r="AL146" s="6"/>
      <c r="AM146" s="14" t="str">
        <v>Sunclass</v>
      </c>
      <c r="AN146" s="14">
        <v>0</v>
      </c>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row>
    <row r="147" spans="2:97" s="4" customFormat="1" ht="14.65" hidden="1" customHeight="1">
      <c r="B147" s="6"/>
      <c r="C147" s="13" t="str">
        <v>Swiss International Air Lines Ltd</v>
      </c>
      <c r="D147" s="14">
        <f>COUNTIFS('GLOBAL LOG'!$D$6:$D$128,C147,'GLOBAL LOG'!$K$6:$K$128,"&lt;&gt;")</f>
        <v>0</v>
      </c>
      <c r="E147" s="14" t="e">
        <f>COUNTIFS('GLOBAL LOG'!$D$6:$D$128,C147,'GLOBAL LOG'!#REF!,"Yes")</f>
        <v>#REF!</v>
      </c>
      <c r="F147" s="14" t="e">
        <f>SUMIF('GLOBAL LOG'!$D$6:$D$128,COUNT!C147,'GLOBAL LOG'!#REF!)</f>
        <v>#REF!</v>
      </c>
      <c r="G147" s="14">
        <f>COUNTIFS('GLOBAL LOG'!$E$6:$E$128,G$10,'GLOBAL LOG'!$D$6:$D$128,$C147)</f>
        <v>0</v>
      </c>
      <c r="H147" s="14">
        <f>COUNTIFS('GLOBAL LOG'!$E$6:$E$128,H$10,'GLOBAL LOG'!$D$6:$D$128,$C147)</f>
        <v>0</v>
      </c>
      <c r="I147" s="14">
        <f>COUNTIFS('GLOBAL LOG'!$E$6:$E$128,I$10,'GLOBAL LOG'!$D$6:$D$128,$C147)</f>
        <v>0</v>
      </c>
      <c r="J147" s="14">
        <f>COUNTIFS('GLOBAL LOG'!$E$6:$E$128,J$10,'GLOBAL LOG'!$D$6:$D$128,$C147)</f>
        <v>0</v>
      </c>
      <c r="K147" s="14">
        <f>COUNTIFS('GLOBAL LOG'!$E$6:$E$128,K$10,'GLOBAL LOG'!$D$6:$D$128,$C147)</f>
        <v>0</v>
      </c>
      <c r="L147" s="14">
        <f>COUNTIFS('GLOBAL LOG'!$E$6:$E$128,L$10,'GLOBAL LOG'!$D$6:$D$128,$C147)</f>
        <v>0</v>
      </c>
      <c r="M147" s="14">
        <f>COUNTIFS('GLOBAL LOG'!$E$6:$E$128,M$10,'GLOBAL LOG'!$D$6:$D$128,$C147)</f>
        <v>0</v>
      </c>
      <c r="N147" s="14" t="e">
        <f>COUNTIFS('GLOBAL LOG'!$D$6:$D$128,$C147,'GLOBAL LOG'!#REF!,"High")</f>
        <v>#REF!</v>
      </c>
      <c r="O147" s="14" t="e">
        <f>COUNTIFS('GLOBAL LOG'!$D$6:$D$128,$C147,'GLOBAL LOG'!#REF!,"Med")</f>
        <v>#REF!</v>
      </c>
      <c r="P147" s="14" t="e">
        <f>COUNTIFS('GLOBAL LOG'!$D$6:$D$128,$C147,'GLOBAL LOG'!#REF!,"Low")</f>
        <v>#REF!</v>
      </c>
      <c r="Q147" s="14" t="e">
        <f>COUNTIFS('GLOBAL LOG'!$D$6:$D$128,$C147,'GLOBAL LOG'!#REF!,"High")</f>
        <v>#REF!</v>
      </c>
      <c r="R147" s="14" t="e">
        <f>COUNTIFS('GLOBAL LOG'!$D$6:$D$128,$C147,'GLOBAL LOG'!#REF!,"Med")</f>
        <v>#REF!</v>
      </c>
      <c r="S147" s="14" t="e">
        <f>COUNTIFS('GLOBAL LOG'!$D$6:$D$128,$C147,'GLOBAL LOG'!#REF!,"Low")</f>
        <v>#REF!</v>
      </c>
      <c r="T147" s="14" t="e">
        <f>COUNTIFS('GLOBAL LOG'!$D$6:$D$128,$C147,'GLOBAL LOG'!#REF!,"Completed")</f>
        <v>#REF!</v>
      </c>
      <c r="U147" s="14" t="e">
        <f>COUNTIFS('GLOBAL LOG'!$D$6:$D$128,$C147,'GLOBAL LOG'!#REF!,"Contracting")</f>
        <v>#REF!</v>
      </c>
      <c r="V147" s="14" t="e">
        <f>COUNTIFS('GLOBAL LOG'!$D$6:$D$128,$C147,'GLOBAL LOG'!#REF!,"Negotiations")</f>
        <v>#REF!</v>
      </c>
      <c r="W147" s="14" t="e">
        <f>COUNTIFS('GLOBAL LOG'!$D$6:$D$128,$C147,'GLOBAL LOG'!#REF!,"ICT")</f>
        <v>#REF!</v>
      </c>
      <c r="X147" s="14" t="e">
        <f>COUNTIFS('GLOBAL LOG'!$D$6:$D$128,$C147,'GLOBAL LOG'!#REF!,"Hopper")</f>
        <v>#REF!</v>
      </c>
      <c r="Y147" s="14">
        <f>SUMIF('GLOBAL LOG'!$D$6:$D$128,$C147,'GLOBAL LOG'!$Q$6:$Q$128)</f>
        <v>0</v>
      </c>
      <c r="Z147" s="14">
        <f>SUMIF('GLOBAL LOG'!$D$6:$D$128,$C147,'GLOBAL LOG'!$R$6:$R$128)</f>
        <v>0</v>
      </c>
      <c r="AA147" s="14">
        <f t="shared" ref="AA147:AA164" si="4">Y147+Z147</f>
        <v>0</v>
      </c>
      <c r="AB147" s="14" t="e">
        <f>SUMIF('GLOBAL LOG'!$D$6:$D$128,C147,'GLOBAL LOG'!#REF!)</f>
        <v>#REF!</v>
      </c>
      <c r="AC147" s="6"/>
      <c r="AD147" s="14" t="str">
        <v>Swiss International Air Lines Ltd</v>
      </c>
      <c r="AE147" s="14" t="e">
        <v>#REF!</v>
      </c>
      <c r="AF147" s="6"/>
      <c r="AG147" s="14" t="str">
        <v>Swiss International Air Lines Ltd</v>
      </c>
      <c r="AH147" s="14">
        <v>0</v>
      </c>
      <c r="AI147" s="6"/>
      <c r="AJ147" s="14" t="str">
        <v>Swiss International Air Lines Ltd</v>
      </c>
      <c r="AK147" s="14">
        <v>0</v>
      </c>
      <c r="AL147" s="6"/>
      <c r="AM147" s="14" t="str">
        <v>Swiss International Air Lines Ltd</v>
      </c>
      <c r="AN147" s="14">
        <v>0</v>
      </c>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row>
    <row r="148" spans="2:97" s="4" customFormat="1" ht="14.65" hidden="1" customHeight="1">
      <c r="B148" s="6"/>
      <c r="C148" s="13" t="str">
        <v>TAP Air Portugal</v>
      </c>
      <c r="D148" s="14">
        <f>COUNTIFS('GLOBAL LOG'!$D$6:$D$128,C148,'GLOBAL LOG'!$K$6:$K$128,"&lt;&gt;")</f>
        <v>0</v>
      </c>
      <c r="E148" s="14" t="e">
        <f>COUNTIFS('GLOBAL LOG'!$D$6:$D$128,C148,'GLOBAL LOG'!#REF!,"Yes")</f>
        <v>#REF!</v>
      </c>
      <c r="F148" s="14" t="e">
        <f>SUMIF('GLOBAL LOG'!$D$6:$D$128,COUNT!C148,'GLOBAL LOG'!#REF!)</f>
        <v>#REF!</v>
      </c>
      <c r="G148" s="14">
        <f>COUNTIFS('GLOBAL LOG'!$E$6:$E$128,G$10,'GLOBAL LOG'!$D$6:$D$128,$C148)</f>
        <v>0</v>
      </c>
      <c r="H148" s="14">
        <f>COUNTIFS('GLOBAL LOG'!$E$6:$E$128,H$10,'GLOBAL LOG'!$D$6:$D$128,$C148)</f>
        <v>0</v>
      </c>
      <c r="I148" s="14">
        <f>COUNTIFS('GLOBAL LOG'!$E$6:$E$128,I$10,'GLOBAL LOG'!$D$6:$D$128,$C148)</f>
        <v>0</v>
      </c>
      <c r="J148" s="14">
        <f>COUNTIFS('GLOBAL LOG'!$E$6:$E$128,J$10,'GLOBAL LOG'!$D$6:$D$128,$C148)</f>
        <v>0</v>
      </c>
      <c r="K148" s="14">
        <f>COUNTIFS('GLOBAL LOG'!$E$6:$E$128,K$10,'GLOBAL LOG'!$D$6:$D$128,$C148)</f>
        <v>0</v>
      </c>
      <c r="L148" s="14">
        <f>COUNTIFS('GLOBAL LOG'!$E$6:$E$128,L$10,'GLOBAL LOG'!$D$6:$D$128,$C148)</f>
        <v>0</v>
      </c>
      <c r="M148" s="14">
        <f>COUNTIFS('GLOBAL LOG'!$E$6:$E$128,M$10,'GLOBAL LOG'!$D$6:$D$128,$C148)</f>
        <v>0</v>
      </c>
      <c r="N148" s="14" t="e">
        <f>COUNTIFS('GLOBAL LOG'!$D$6:$D$128,$C148,'GLOBAL LOG'!#REF!,"High")</f>
        <v>#REF!</v>
      </c>
      <c r="O148" s="14" t="e">
        <f>COUNTIFS('GLOBAL LOG'!$D$6:$D$128,$C148,'GLOBAL LOG'!#REF!,"Med")</f>
        <v>#REF!</v>
      </c>
      <c r="P148" s="14" t="e">
        <f>COUNTIFS('GLOBAL LOG'!$D$6:$D$128,$C148,'GLOBAL LOG'!#REF!,"Low")</f>
        <v>#REF!</v>
      </c>
      <c r="Q148" s="14" t="e">
        <f>COUNTIFS('GLOBAL LOG'!$D$6:$D$128,$C148,'GLOBAL LOG'!#REF!,"High")</f>
        <v>#REF!</v>
      </c>
      <c r="R148" s="14" t="e">
        <f>COUNTIFS('GLOBAL LOG'!$D$6:$D$128,$C148,'GLOBAL LOG'!#REF!,"Med")</f>
        <v>#REF!</v>
      </c>
      <c r="S148" s="14" t="e">
        <f>COUNTIFS('GLOBAL LOG'!$D$6:$D$128,$C148,'GLOBAL LOG'!#REF!,"Low")</f>
        <v>#REF!</v>
      </c>
      <c r="T148" s="14" t="e">
        <f>COUNTIFS('GLOBAL LOG'!$D$6:$D$128,$C148,'GLOBAL LOG'!#REF!,"Completed")</f>
        <v>#REF!</v>
      </c>
      <c r="U148" s="14" t="e">
        <f>COUNTIFS('GLOBAL LOG'!$D$6:$D$128,$C148,'GLOBAL LOG'!#REF!,"Contracting")</f>
        <v>#REF!</v>
      </c>
      <c r="V148" s="14" t="e">
        <f>COUNTIFS('GLOBAL LOG'!$D$6:$D$128,$C148,'GLOBAL LOG'!#REF!,"Negotiations")</f>
        <v>#REF!</v>
      </c>
      <c r="W148" s="14" t="e">
        <f>COUNTIFS('GLOBAL LOG'!$D$6:$D$128,$C148,'GLOBAL LOG'!#REF!,"ICT")</f>
        <v>#REF!</v>
      </c>
      <c r="X148" s="14" t="e">
        <f>COUNTIFS('GLOBAL LOG'!$D$6:$D$128,$C148,'GLOBAL LOG'!#REF!,"Hopper")</f>
        <v>#REF!</v>
      </c>
      <c r="Y148" s="14">
        <f>SUMIF('GLOBAL LOG'!$D$6:$D$128,$C148,'GLOBAL LOG'!$Q$6:$Q$128)</f>
        <v>0</v>
      </c>
      <c r="Z148" s="14">
        <f>SUMIF('GLOBAL LOG'!$D$6:$D$128,$C148,'GLOBAL LOG'!$R$6:$R$128)</f>
        <v>0</v>
      </c>
      <c r="AA148" s="14">
        <f t="shared" si="4"/>
        <v>0</v>
      </c>
      <c r="AB148" s="14" t="e">
        <f>SUMIF('GLOBAL LOG'!$D$6:$D$128,C148,'GLOBAL LOG'!#REF!)</f>
        <v>#REF!</v>
      </c>
      <c r="AC148" s="6"/>
      <c r="AD148" s="14" t="str">
        <v>TAP Air Portugal</v>
      </c>
      <c r="AE148" s="14" t="e">
        <v>#REF!</v>
      </c>
      <c r="AF148" s="6"/>
      <c r="AG148" s="14" t="str">
        <v>TAP Air Portugal</v>
      </c>
      <c r="AH148" s="14">
        <v>0</v>
      </c>
      <c r="AI148" s="6"/>
      <c r="AJ148" s="14" t="str">
        <v>TAP Air Portugal</v>
      </c>
      <c r="AK148" s="14">
        <v>0</v>
      </c>
      <c r="AL148" s="6"/>
      <c r="AM148" s="14" t="str">
        <v>TAP Air Portugal</v>
      </c>
      <c r="AN148" s="14">
        <v>0</v>
      </c>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row>
    <row r="149" spans="2:97" s="4" customFormat="1" ht="14.65" hidden="1" customHeight="1">
      <c r="B149" s="6"/>
      <c r="C149" s="13" t="str">
        <v>Thai Air Asia X</v>
      </c>
      <c r="D149" s="14">
        <f>COUNTIFS('GLOBAL LOG'!$D$6:$D$128,C149,'GLOBAL LOG'!$K$6:$K$128,"&lt;&gt;")</f>
        <v>0</v>
      </c>
      <c r="E149" s="14" t="e">
        <f>COUNTIFS('GLOBAL LOG'!$D$6:$D$128,C149,'GLOBAL LOG'!#REF!,"Yes")</f>
        <v>#REF!</v>
      </c>
      <c r="F149" s="14" t="e">
        <f>SUMIF('GLOBAL LOG'!$D$6:$D$128,COUNT!C149,'GLOBAL LOG'!#REF!)</f>
        <v>#REF!</v>
      </c>
      <c r="G149" s="14">
        <f>COUNTIFS('GLOBAL LOG'!$E$6:$E$128,G$10,'GLOBAL LOG'!$D$6:$D$128,$C149)</f>
        <v>0</v>
      </c>
      <c r="H149" s="14">
        <f>COUNTIFS('GLOBAL LOG'!$E$6:$E$128,H$10,'GLOBAL LOG'!$D$6:$D$128,$C149)</f>
        <v>0</v>
      </c>
      <c r="I149" s="14">
        <f>COUNTIFS('GLOBAL LOG'!$E$6:$E$128,I$10,'GLOBAL LOG'!$D$6:$D$128,$C149)</f>
        <v>0</v>
      </c>
      <c r="J149" s="14">
        <f>COUNTIFS('GLOBAL LOG'!$E$6:$E$128,J$10,'GLOBAL LOG'!$D$6:$D$128,$C149)</f>
        <v>0</v>
      </c>
      <c r="K149" s="14">
        <f>COUNTIFS('GLOBAL LOG'!$E$6:$E$128,K$10,'GLOBAL LOG'!$D$6:$D$128,$C149)</f>
        <v>0</v>
      </c>
      <c r="L149" s="14">
        <f>COUNTIFS('GLOBAL LOG'!$E$6:$E$128,L$10,'GLOBAL LOG'!$D$6:$D$128,$C149)</f>
        <v>0</v>
      </c>
      <c r="M149" s="14">
        <f>COUNTIFS('GLOBAL LOG'!$E$6:$E$128,M$10,'GLOBAL LOG'!$D$6:$D$128,$C149)</f>
        <v>0</v>
      </c>
      <c r="N149" s="14" t="e">
        <f>COUNTIFS('GLOBAL LOG'!$D$6:$D$128,$C149,'GLOBAL LOG'!#REF!,"High")</f>
        <v>#REF!</v>
      </c>
      <c r="O149" s="14" t="e">
        <f>COUNTIFS('GLOBAL LOG'!$D$6:$D$128,$C149,'GLOBAL LOG'!#REF!,"Med")</f>
        <v>#REF!</v>
      </c>
      <c r="P149" s="14" t="e">
        <f>COUNTIFS('GLOBAL LOG'!$D$6:$D$128,$C149,'GLOBAL LOG'!#REF!,"Low")</f>
        <v>#REF!</v>
      </c>
      <c r="Q149" s="14" t="e">
        <f>COUNTIFS('GLOBAL LOG'!$D$6:$D$128,$C149,'GLOBAL LOG'!#REF!,"High")</f>
        <v>#REF!</v>
      </c>
      <c r="R149" s="14" t="e">
        <f>COUNTIFS('GLOBAL LOG'!$D$6:$D$128,$C149,'GLOBAL LOG'!#REF!,"Med")</f>
        <v>#REF!</v>
      </c>
      <c r="S149" s="14" t="e">
        <f>COUNTIFS('GLOBAL LOG'!$D$6:$D$128,$C149,'GLOBAL LOG'!#REF!,"Low")</f>
        <v>#REF!</v>
      </c>
      <c r="T149" s="14" t="e">
        <f>COUNTIFS('GLOBAL LOG'!$D$6:$D$128,$C149,'GLOBAL LOG'!#REF!,"Completed")</f>
        <v>#REF!</v>
      </c>
      <c r="U149" s="14" t="e">
        <f>COUNTIFS('GLOBAL LOG'!$D$6:$D$128,$C149,'GLOBAL LOG'!#REF!,"Contracting")</f>
        <v>#REF!</v>
      </c>
      <c r="V149" s="14" t="e">
        <f>COUNTIFS('GLOBAL LOG'!$D$6:$D$128,$C149,'GLOBAL LOG'!#REF!,"Negotiations")</f>
        <v>#REF!</v>
      </c>
      <c r="W149" s="14" t="e">
        <f>COUNTIFS('GLOBAL LOG'!$D$6:$D$128,$C149,'GLOBAL LOG'!#REF!,"ICT")</f>
        <v>#REF!</v>
      </c>
      <c r="X149" s="14" t="e">
        <f>COUNTIFS('GLOBAL LOG'!$D$6:$D$128,$C149,'GLOBAL LOG'!#REF!,"Hopper")</f>
        <v>#REF!</v>
      </c>
      <c r="Y149" s="14">
        <f>SUMIF('GLOBAL LOG'!$D$6:$D$128,$C149,'GLOBAL LOG'!$Q$6:$Q$128)</f>
        <v>0</v>
      </c>
      <c r="Z149" s="14">
        <f>SUMIF('GLOBAL LOG'!$D$6:$D$128,$C149,'GLOBAL LOG'!$R$6:$R$128)</f>
        <v>0</v>
      </c>
      <c r="AA149" s="14">
        <f t="shared" si="4"/>
        <v>0</v>
      </c>
      <c r="AB149" s="14" t="e">
        <f>SUMIF('GLOBAL LOG'!$D$6:$D$128,C149,'GLOBAL LOG'!#REF!)</f>
        <v>#REF!</v>
      </c>
      <c r="AC149" s="6"/>
      <c r="AD149" s="14" t="str">
        <v>Thai Air Asia X</v>
      </c>
      <c r="AE149" s="14" t="e">
        <v>#REF!</v>
      </c>
      <c r="AF149" s="6"/>
      <c r="AG149" s="14" t="str">
        <v>Thai Air Asia X</v>
      </c>
      <c r="AH149" s="14">
        <v>0</v>
      </c>
      <c r="AI149" s="6"/>
      <c r="AJ149" s="14" t="str">
        <v>Thai Air Asia X</v>
      </c>
      <c r="AK149" s="14">
        <v>0</v>
      </c>
      <c r="AL149" s="6"/>
      <c r="AM149" s="14" t="str">
        <v>Thai Air Asia X</v>
      </c>
      <c r="AN149" s="14">
        <v>0</v>
      </c>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row>
    <row r="150" spans="2:97" s="4" customFormat="1" ht="14.65" hidden="1" customHeight="1">
      <c r="B150" s="6"/>
      <c r="C150" s="13" t="str">
        <v>Thai Airways International</v>
      </c>
      <c r="D150" s="14">
        <f>COUNTIFS('GLOBAL LOG'!$D$6:$D$128,C150,'GLOBAL LOG'!$K$6:$K$128,"&lt;&gt;")</f>
        <v>0</v>
      </c>
      <c r="E150" s="14" t="e">
        <f>COUNTIFS('GLOBAL LOG'!$D$6:$D$128,C150,'GLOBAL LOG'!#REF!,"Yes")</f>
        <v>#REF!</v>
      </c>
      <c r="F150" s="14" t="e">
        <f>SUMIF('GLOBAL LOG'!$D$6:$D$128,COUNT!C150,'GLOBAL LOG'!#REF!)</f>
        <v>#REF!</v>
      </c>
      <c r="G150" s="14">
        <f>COUNTIFS('GLOBAL LOG'!$E$6:$E$128,G$10,'GLOBAL LOG'!$D$6:$D$128,$C150)</f>
        <v>0</v>
      </c>
      <c r="H150" s="14">
        <f>COUNTIFS('GLOBAL LOG'!$E$6:$E$128,H$10,'GLOBAL LOG'!$D$6:$D$128,$C150)</f>
        <v>0</v>
      </c>
      <c r="I150" s="14">
        <f>COUNTIFS('GLOBAL LOG'!$E$6:$E$128,I$10,'GLOBAL LOG'!$D$6:$D$128,$C150)</f>
        <v>0</v>
      </c>
      <c r="J150" s="14">
        <f>COUNTIFS('GLOBAL LOG'!$E$6:$E$128,J$10,'GLOBAL LOG'!$D$6:$D$128,$C150)</f>
        <v>0</v>
      </c>
      <c r="K150" s="14">
        <f>COUNTIFS('GLOBAL LOG'!$E$6:$E$128,K$10,'GLOBAL LOG'!$D$6:$D$128,$C150)</f>
        <v>0</v>
      </c>
      <c r="L150" s="14">
        <f>COUNTIFS('GLOBAL LOG'!$E$6:$E$128,L$10,'GLOBAL LOG'!$D$6:$D$128,$C150)</f>
        <v>0</v>
      </c>
      <c r="M150" s="14">
        <f>COUNTIFS('GLOBAL LOG'!$E$6:$E$128,M$10,'GLOBAL LOG'!$D$6:$D$128,$C150)</f>
        <v>0</v>
      </c>
      <c r="N150" s="14" t="e">
        <f>COUNTIFS('GLOBAL LOG'!$D$6:$D$128,$C150,'GLOBAL LOG'!#REF!,"High")</f>
        <v>#REF!</v>
      </c>
      <c r="O150" s="14" t="e">
        <f>COUNTIFS('GLOBAL LOG'!$D$6:$D$128,$C150,'GLOBAL LOG'!#REF!,"Med")</f>
        <v>#REF!</v>
      </c>
      <c r="P150" s="14" t="e">
        <f>COUNTIFS('GLOBAL LOG'!$D$6:$D$128,$C150,'GLOBAL LOG'!#REF!,"Low")</f>
        <v>#REF!</v>
      </c>
      <c r="Q150" s="14" t="e">
        <f>COUNTIFS('GLOBAL LOG'!$D$6:$D$128,$C150,'GLOBAL LOG'!#REF!,"High")</f>
        <v>#REF!</v>
      </c>
      <c r="R150" s="14" t="e">
        <f>COUNTIFS('GLOBAL LOG'!$D$6:$D$128,$C150,'GLOBAL LOG'!#REF!,"Med")</f>
        <v>#REF!</v>
      </c>
      <c r="S150" s="14" t="e">
        <f>COUNTIFS('GLOBAL LOG'!$D$6:$D$128,$C150,'GLOBAL LOG'!#REF!,"Low")</f>
        <v>#REF!</v>
      </c>
      <c r="T150" s="14" t="e">
        <f>COUNTIFS('GLOBAL LOG'!$D$6:$D$128,$C150,'GLOBAL LOG'!#REF!,"Completed")</f>
        <v>#REF!</v>
      </c>
      <c r="U150" s="14" t="e">
        <f>COUNTIFS('GLOBAL LOG'!$D$6:$D$128,$C150,'GLOBAL LOG'!#REF!,"Contracting")</f>
        <v>#REF!</v>
      </c>
      <c r="V150" s="14" t="e">
        <f>COUNTIFS('GLOBAL LOG'!$D$6:$D$128,$C150,'GLOBAL LOG'!#REF!,"Negotiations")</f>
        <v>#REF!</v>
      </c>
      <c r="W150" s="14" t="e">
        <f>COUNTIFS('GLOBAL LOG'!$D$6:$D$128,$C150,'GLOBAL LOG'!#REF!,"ICT")</f>
        <v>#REF!</v>
      </c>
      <c r="X150" s="14" t="e">
        <f>COUNTIFS('GLOBAL LOG'!$D$6:$D$128,$C150,'GLOBAL LOG'!#REF!,"Hopper")</f>
        <v>#REF!</v>
      </c>
      <c r="Y150" s="14">
        <f>SUMIF('GLOBAL LOG'!$D$6:$D$128,$C150,'GLOBAL LOG'!$Q$6:$Q$128)</f>
        <v>0</v>
      </c>
      <c r="Z150" s="14">
        <f>SUMIF('GLOBAL LOG'!$D$6:$D$128,$C150,'GLOBAL LOG'!$R$6:$R$128)</f>
        <v>0</v>
      </c>
      <c r="AA150" s="14">
        <f t="shared" si="4"/>
        <v>0</v>
      </c>
      <c r="AB150" s="14" t="e">
        <f>SUMIF('GLOBAL LOG'!$D$6:$D$128,C150,'GLOBAL LOG'!#REF!)</f>
        <v>#REF!</v>
      </c>
      <c r="AC150" s="6"/>
      <c r="AD150" s="14" t="str">
        <v>Thai Airways International</v>
      </c>
      <c r="AE150" s="14" t="e">
        <v>#REF!</v>
      </c>
      <c r="AF150" s="6"/>
      <c r="AG150" s="14" t="str">
        <v>Thai Airways International</v>
      </c>
      <c r="AH150" s="14">
        <v>0</v>
      </c>
      <c r="AI150" s="6"/>
      <c r="AJ150" s="14" t="str">
        <v>Thai Airways International</v>
      </c>
      <c r="AK150" s="14">
        <v>0</v>
      </c>
      <c r="AL150" s="6"/>
      <c r="AM150" s="14" t="str">
        <v>Thai Airways International</v>
      </c>
      <c r="AN150" s="14">
        <v>0</v>
      </c>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row>
    <row r="151" spans="2:97" s="4" customFormat="1" ht="14.65" hidden="1" customHeight="1">
      <c r="B151" s="6"/>
      <c r="C151" s="13" t="str">
        <v>Thai Lion Mentari Co. Ltd</v>
      </c>
      <c r="D151" s="14">
        <f>COUNTIFS('GLOBAL LOG'!$D$6:$D$128,C151,'GLOBAL LOG'!$K$6:$K$128,"&lt;&gt;")</f>
        <v>0</v>
      </c>
      <c r="E151" s="14" t="e">
        <f>COUNTIFS('GLOBAL LOG'!$D$6:$D$128,C151,'GLOBAL LOG'!#REF!,"Yes")</f>
        <v>#REF!</v>
      </c>
      <c r="F151" s="14" t="e">
        <f>SUMIF('GLOBAL LOG'!$D$6:$D$128,COUNT!C151,'GLOBAL LOG'!#REF!)</f>
        <v>#REF!</v>
      </c>
      <c r="G151" s="14">
        <f>COUNTIFS('GLOBAL LOG'!$E$6:$E$128,G$10,'GLOBAL LOG'!$D$6:$D$128,$C151)</f>
        <v>0</v>
      </c>
      <c r="H151" s="14">
        <f>COUNTIFS('GLOBAL LOG'!$E$6:$E$128,H$10,'GLOBAL LOG'!$D$6:$D$128,$C151)</f>
        <v>0</v>
      </c>
      <c r="I151" s="14">
        <f>COUNTIFS('GLOBAL LOG'!$E$6:$E$128,I$10,'GLOBAL LOG'!$D$6:$D$128,$C151)</f>
        <v>0</v>
      </c>
      <c r="J151" s="14">
        <f>COUNTIFS('GLOBAL LOG'!$E$6:$E$128,J$10,'GLOBAL LOG'!$D$6:$D$128,$C151)</f>
        <v>0</v>
      </c>
      <c r="K151" s="14">
        <f>COUNTIFS('GLOBAL LOG'!$E$6:$E$128,K$10,'GLOBAL LOG'!$D$6:$D$128,$C151)</f>
        <v>0</v>
      </c>
      <c r="L151" s="14">
        <f>COUNTIFS('GLOBAL LOG'!$E$6:$E$128,L$10,'GLOBAL LOG'!$D$6:$D$128,$C151)</f>
        <v>0</v>
      </c>
      <c r="M151" s="14">
        <f>COUNTIFS('GLOBAL LOG'!$E$6:$E$128,M$10,'GLOBAL LOG'!$D$6:$D$128,$C151)</f>
        <v>0</v>
      </c>
      <c r="N151" s="14" t="e">
        <f>COUNTIFS('GLOBAL LOG'!$D$6:$D$128,$C151,'GLOBAL LOG'!#REF!,"High")</f>
        <v>#REF!</v>
      </c>
      <c r="O151" s="14" t="e">
        <f>COUNTIFS('GLOBAL LOG'!$D$6:$D$128,$C151,'GLOBAL LOG'!#REF!,"Med")</f>
        <v>#REF!</v>
      </c>
      <c r="P151" s="14" t="e">
        <f>COUNTIFS('GLOBAL LOG'!$D$6:$D$128,$C151,'GLOBAL LOG'!#REF!,"Low")</f>
        <v>#REF!</v>
      </c>
      <c r="Q151" s="14" t="e">
        <f>COUNTIFS('GLOBAL LOG'!$D$6:$D$128,$C151,'GLOBAL LOG'!#REF!,"High")</f>
        <v>#REF!</v>
      </c>
      <c r="R151" s="14" t="e">
        <f>COUNTIFS('GLOBAL LOG'!$D$6:$D$128,$C151,'GLOBAL LOG'!#REF!,"Med")</f>
        <v>#REF!</v>
      </c>
      <c r="S151" s="14" t="e">
        <f>COUNTIFS('GLOBAL LOG'!$D$6:$D$128,$C151,'GLOBAL LOG'!#REF!,"Low")</f>
        <v>#REF!</v>
      </c>
      <c r="T151" s="14" t="e">
        <f>COUNTIFS('GLOBAL LOG'!$D$6:$D$128,$C151,'GLOBAL LOG'!#REF!,"Completed")</f>
        <v>#REF!</v>
      </c>
      <c r="U151" s="14" t="e">
        <f>COUNTIFS('GLOBAL LOG'!$D$6:$D$128,$C151,'GLOBAL LOG'!#REF!,"Contracting")</f>
        <v>#REF!</v>
      </c>
      <c r="V151" s="14" t="e">
        <f>COUNTIFS('GLOBAL LOG'!$D$6:$D$128,$C151,'GLOBAL LOG'!#REF!,"Negotiations")</f>
        <v>#REF!</v>
      </c>
      <c r="W151" s="14" t="e">
        <f>COUNTIFS('GLOBAL LOG'!$D$6:$D$128,$C151,'GLOBAL LOG'!#REF!,"ICT")</f>
        <v>#REF!</v>
      </c>
      <c r="X151" s="14" t="e">
        <f>COUNTIFS('GLOBAL LOG'!$D$6:$D$128,$C151,'GLOBAL LOG'!#REF!,"Hopper")</f>
        <v>#REF!</v>
      </c>
      <c r="Y151" s="14">
        <f>SUMIF('GLOBAL LOG'!$D$6:$D$128,$C151,'GLOBAL LOG'!$Q$6:$Q$128)</f>
        <v>0</v>
      </c>
      <c r="Z151" s="14">
        <f>SUMIF('GLOBAL LOG'!$D$6:$D$128,$C151,'GLOBAL LOG'!$R$6:$R$128)</f>
        <v>0</v>
      </c>
      <c r="AA151" s="14">
        <f t="shared" si="4"/>
        <v>0</v>
      </c>
      <c r="AB151" s="14" t="e">
        <f>SUMIF('GLOBAL LOG'!$D$6:$D$128,C151,'GLOBAL LOG'!#REF!)</f>
        <v>#REF!</v>
      </c>
      <c r="AC151" s="6"/>
      <c r="AD151" s="14" t="str">
        <v>Thai Lion Mentari Co. Ltd</v>
      </c>
      <c r="AE151" s="14" t="e">
        <v>#REF!</v>
      </c>
      <c r="AF151" s="6"/>
      <c r="AG151" s="14" t="str">
        <v>Thai Lion Mentari Co. Ltd</v>
      </c>
      <c r="AH151" s="14">
        <v>0</v>
      </c>
      <c r="AI151" s="6"/>
      <c r="AJ151" s="14" t="str">
        <v>Thai Lion Mentari Co. Ltd</v>
      </c>
      <c r="AK151" s="14">
        <v>0</v>
      </c>
      <c r="AL151" s="6"/>
      <c r="AM151" s="14" t="str">
        <v>Thai Lion Mentari Co. Ltd</v>
      </c>
      <c r="AN151" s="14">
        <v>0</v>
      </c>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row>
    <row r="152" spans="2:97" s="4" customFormat="1" ht="14.65" hidden="1" customHeight="1">
      <c r="B152" s="6"/>
      <c r="C152" s="13" t="str">
        <v>Tianjin</v>
      </c>
      <c r="D152" s="14">
        <f>COUNTIFS('GLOBAL LOG'!$D$6:$D$128,C152,'GLOBAL LOG'!$K$6:$K$128,"&lt;&gt;")</f>
        <v>0</v>
      </c>
      <c r="E152" s="14" t="e">
        <f>COUNTIFS('GLOBAL LOG'!$D$6:$D$128,C152,'GLOBAL LOG'!#REF!,"Yes")</f>
        <v>#REF!</v>
      </c>
      <c r="F152" s="14" t="e">
        <f>SUMIF('GLOBAL LOG'!$D$6:$D$128,COUNT!C152,'GLOBAL LOG'!#REF!)</f>
        <v>#REF!</v>
      </c>
      <c r="G152" s="14">
        <f>COUNTIFS('GLOBAL LOG'!$E$6:$E$128,G$10,'GLOBAL LOG'!$D$6:$D$128,$C152)</f>
        <v>0</v>
      </c>
      <c r="H152" s="14">
        <f>COUNTIFS('GLOBAL LOG'!$E$6:$E$128,H$10,'GLOBAL LOG'!$D$6:$D$128,$C152)</f>
        <v>0</v>
      </c>
      <c r="I152" s="14">
        <f>COUNTIFS('GLOBAL LOG'!$E$6:$E$128,I$10,'GLOBAL LOG'!$D$6:$D$128,$C152)</f>
        <v>0</v>
      </c>
      <c r="J152" s="14">
        <f>COUNTIFS('GLOBAL LOG'!$E$6:$E$128,J$10,'GLOBAL LOG'!$D$6:$D$128,$C152)</f>
        <v>0</v>
      </c>
      <c r="K152" s="14">
        <f>COUNTIFS('GLOBAL LOG'!$E$6:$E$128,K$10,'GLOBAL LOG'!$D$6:$D$128,$C152)</f>
        <v>0</v>
      </c>
      <c r="L152" s="14">
        <f>COUNTIFS('GLOBAL LOG'!$E$6:$E$128,L$10,'GLOBAL LOG'!$D$6:$D$128,$C152)</f>
        <v>0</v>
      </c>
      <c r="M152" s="14">
        <f>COUNTIFS('GLOBAL LOG'!$E$6:$E$128,M$10,'GLOBAL LOG'!$D$6:$D$128,$C152)</f>
        <v>0</v>
      </c>
      <c r="N152" s="14" t="e">
        <f>COUNTIFS('GLOBAL LOG'!$D$6:$D$128,$C152,'GLOBAL LOG'!#REF!,"High")</f>
        <v>#REF!</v>
      </c>
      <c r="O152" s="14" t="e">
        <f>COUNTIFS('GLOBAL LOG'!$D$6:$D$128,$C152,'GLOBAL LOG'!#REF!,"Med")</f>
        <v>#REF!</v>
      </c>
      <c r="P152" s="14" t="e">
        <f>COUNTIFS('GLOBAL LOG'!$D$6:$D$128,$C152,'GLOBAL LOG'!#REF!,"Low")</f>
        <v>#REF!</v>
      </c>
      <c r="Q152" s="14" t="e">
        <f>COUNTIFS('GLOBAL LOG'!$D$6:$D$128,$C152,'GLOBAL LOG'!#REF!,"High")</f>
        <v>#REF!</v>
      </c>
      <c r="R152" s="14" t="e">
        <f>COUNTIFS('GLOBAL LOG'!$D$6:$D$128,$C152,'GLOBAL LOG'!#REF!,"Med")</f>
        <v>#REF!</v>
      </c>
      <c r="S152" s="14" t="e">
        <f>COUNTIFS('GLOBAL LOG'!$D$6:$D$128,$C152,'GLOBAL LOG'!#REF!,"Low")</f>
        <v>#REF!</v>
      </c>
      <c r="T152" s="14" t="e">
        <f>COUNTIFS('GLOBAL LOG'!$D$6:$D$128,$C152,'GLOBAL LOG'!#REF!,"Completed")</f>
        <v>#REF!</v>
      </c>
      <c r="U152" s="14" t="e">
        <f>COUNTIFS('GLOBAL LOG'!$D$6:$D$128,$C152,'GLOBAL LOG'!#REF!,"Contracting")</f>
        <v>#REF!</v>
      </c>
      <c r="V152" s="14" t="e">
        <f>COUNTIFS('GLOBAL LOG'!$D$6:$D$128,$C152,'GLOBAL LOG'!#REF!,"Negotiations")</f>
        <v>#REF!</v>
      </c>
      <c r="W152" s="14" t="e">
        <f>COUNTIFS('GLOBAL LOG'!$D$6:$D$128,$C152,'GLOBAL LOG'!#REF!,"ICT")</f>
        <v>#REF!</v>
      </c>
      <c r="X152" s="14" t="e">
        <f>COUNTIFS('GLOBAL LOG'!$D$6:$D$128,$C152,'GLOBAL LOG'!#REF!,"Hopper")</f>
        <v>#REF!</v>
      </c>
      <c r="Y152" s="14">
        <f>SUMIF('GLOBAL LOG'!$D$6:$D$128,$C152,'GLOBAL LOG'!$Q$6:$Q$128)</f>
        <v>0</v>
      </c>
      <c r="Z152" s="14">
        <f>SUMIF('GLOBAL LOG'!$D$6:$D$128,$C152,'GLOBAL LOG'!$R$6:$R$128)</f>
        <v>0</v>
      </c>
      <c r="AA152" s="14">
        <f t="shared" si="4"/>
        <v>0</v>
      </c>
      <c r="AB152" s="14" t="e">
        <f>SUMIF('GLOBAL LOG'!$D$6:$D$128,C152,'GLOBAL LOG'!#REF!)</f>
        <v>#REF!</v>
      </c>
      <c r="AC152" s="6"/>
      <c r="AD152" s="14" t="str">
        <v>Tianjin</v>
      </c>
      <c r="AE152" s="14" t="e">
        <v>#REF!</v>
      </c>
      <c r="AF152" s="6"/>
      <c r="AG152" s="14" t="str">
        <v>Tianjin</v>
      </c>
      <c r="AH152" s="14">
        <v>0</v>
      </c>
      <c r="AI152" s="6"/>
      <c r="AJ152" s="14" t="str">
        <v>Tianjin</v>
      </c>
      <c r="AK152" s="14">
        <v>0</v>
      </c>
      <c r="AL152" s="6"/>
      <c r="AM152" s="14" t="str">
        <v>Tianjin</v>
      </c>
      <c r="AN152" s="14">
        <v>0</v>
      </c>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row>
    <row r="153" spans="2:97" s="4" customFormat="1" ht="14.65" hidden="1" customHeight="1">
      <c r="B153" s="6"/>
      <c r="C153" s="13" t="str">
        <v>Tibet Airlines</v>
      </c>
      <c r="D153" s="14">
        <f>COUNTIFS('GLOBAL LOG'!$D$6:$D$128,C153,'GLOBAL LOG'!$K$6:$K$128,"&lt;&gt;")</f>
        <v>0</v>
      </c>
      <c r="E153" s="14" t="e">
        <f>COUNTIFS('GLOBAL LOG'!$D$6:$D$128,C153,'GLOBAL LOG'!#REF!,"Yes")</f>
        <v>#REF!</v>
      </c>
      <c r="F153" s="14" t="e">
        <f>SUMIF('GLOBAL LOG'!$D$6:$D$128,COUNT!C153,'GLOBAL LOG'!#REF!)</f>
        <v>#REF!</v>
      </c>
      <c r="G153" s="14">
        <f>COUNTIFS('GLOBAL LOG'!$E$6:$E$128,G$10,'GLOBAL LOG'!$D$6:$D$128,$C153)</f>
        <v>0</v>
      </c>
      <c r="H153" s="14">
        <f>COUNTIFS('GLOBAL LOG'!$E$6:$E$128,H$10,'GLOBAL LOG'!$D$6:$D$128,$C153)</f>
        <v>0</v>
      </c>
      <c r="I153" s="14">
        <f>COUNTIFS('GLOBAL LOG'!$E$6:$E$128,I$10,'GLOBAL LOG'!$D$6:$D$128,$C153)</f>
        <v>0</v>
      </c>
      <c r="J153" s="14">
        <f>COUNTIFS('GLOBAL LOG'!$E$6:$E$128,J$10,'GLOBAL LOG'!$D$6:$D$128,$C153)</f>
        <v>0</v>
      </c>
      <c r="K153" s="14">
        <f>COUNTIFS('GLOBAL LOG'!$E$6:$E$128,K$10,'GLOBAL LOG'!$D$6:$D$128,$C153)</f>
        <v>0</v>
      </c>
      <c r="L153" s="14">
        <f>COUNTIFS('GLOBAL LOG'!$E$6:$E$128,L$10,'GLOBAL LOG'!$D$6:$D$128,$C153)</f>
        <v>0</v>
      </c>
      <c r="M153" s="14">
        <f>COUNTIFS('GLOBAL LOG'!$E$6:$E$128,M$10,'GLOBAL LOG'!$D$6:$D$128,$C153)</f>
        <v>0</v>
      </c>
      <c r="N153" s="14" t="e">
        <f>COUNTIFS('GLOBAL LOG'!$D$6:$D$128,$C153,'GLOBAL LOG'!#REF!,"High")</f>
        <v>#REF!</v>
      </c>
      <c r="O153" s="14" t="e">
        <f>COUNTIFS('GLOBAL LOG'!$D$6:$D$128,$C153,'GLOBAL LOG'!#REF!,"Med")</f>
        <v>#REF!</v>
      </c>
      <c r="P153" s="14" t="e">
        <f>COUNTIFS('GLOBAL LOG'!$D$6:$D$128,$C153,'GLOBAL LOG'!#REF!,"Low")</f>
        <v>#REF!</v>
      </c>
      <c r="Q153" s="14" t="e">
        <f>COUNTIFS('GLOBAL LOG'!$D$6:$D$128,$C153,'GLOBAL LOG'!#REF!,"High")</f>
        <v>#REF!</v>
      </c>
      <c r="R153" s="14" t="e">
        <f>COUNTIFS('GLOBAL LOG'!$D$6:$D$128,$C153,'GLOBAL LOG'!#REF!,"Med")</f>
        <v>#REF!</v>
      </c>
      <c r="S153" s="14" t="e">
        <f>COUNTIFS('GLOBAL LOG'!$D$6:$D$128,$C153,'GLOBAL LOG'!#REF!,"Low")</f>
        <v>#REF!</v>
      </c>
      <c r="T153" s="14" t="e">
        <f>COUNTIFS('GLOBAL LOG'!$D$6:$D$128,$C153,'GLOBAL LOG'!#REF!,"Completed")</f>
        <v>#REF!</v>
      </c>
      <c r="U153" s="14" t="e">
        <f>COUNTIFS('GLOBAL LOG'!$D$6:$D$128,$C153,'GLOBAL LOG'!#REF!,"Contracting")</f>
        <v>#REF!</v>
      </c>
      <c r="V153" s="14" t="e">
        <f>COUNTIFS('GLOBAL LOG'!$D$6:$D$128,$C153,'GLOBAL LOG'!#REF!,"Negotiations")</f>
        <v>#REF!</v>
      </c>
      <c r="W153" s="14" t="e">
        <f>COUNTIFS('GLOBAL LOG'!$D$6:$D$128,$C153,'GLOBAL LOG'!#REF!,"ICT")</f>
        <v>#REF!</v>
      </c>
      <c r="X153" s="14" t="e">
        <f>COUNTIFS('GLOBAL LOG'!$D$6:$D$128,$C153,'GLOBAL LOG'!#REF!,"Hopper")</f>
        <v>#REF!</v>
      </c>
      <c r="Y153" s="14">
        <f>SUMIF('GLOBAL LOG'!$D$6:$D$128,$C153,'GLOBAL LOG'!$Q$6:$Q$128)</f>
        <v>0</v>
      </c>
      <c r="Z153" s="14">
        <f>SUMIF('GLOBAL LOG'!$D$6:$D$128,$C153,'GLOBAL LOG'!$R$6:$R$128)</f>
        <v>0</v>
      </c>
      <c r="AA153" s="14">
        <f t="shared" si="4"/>
        <v>0</v>
      </c>
      <c r="AB153" s="14" t="e">
        <f>SUMIF('GLOBAL LOG'!$D$6:$D$128,C153,'GLOBAL LOG'!#REF!)</f>
        <v>#REF!</v>
      </c>
      <c r="AC153" s="6"/>
      <c r="AD153" s="14" t="str">
        <v>Tibet Airlines</v>
      </c>
      <c r="AE153" s="14" t="e">
        <v>#REF!</v>
      </c>
      <c r="AF153" s="6"/>
      <c r="AG153" s="14" t="str">
        <v>Tibet Airlines</v>
      </c>
      <c r="AH153" s="14">
        <v>0</v>
      </c>
      <c r="AI153" s="6"/>
      <c r="AJ153" s="14" t="str">
        <v>Tibet Airlines</v>
      </c>
      <c r="AK153" s="14">
        <v>0</v>
      </c>
      <c r="AL153" s="6"/>
      <c r="AM153" s="14" t="str">
        <v>Tibet Airlines</v>
      </c>
      <c r="AN153" s="14">
        <v>0</v>
      </c>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row>
    <row r="154" spans="2:97" s="4" customFormat="1" ht="14.65" hidden="1" customHeight="1">
      <c r="B154" s="6"/>
      <c r="C154" s="13" t="str">
        <v>Tokyo Century</v>
      </c>
      <c r="D154" s="14">
        <f>COUNTIFS('GLOBAL LOG'!$D$6:$D$128,C154,'GLOBAL LOG'!$K$6:$K$128,"&lt;&gt;")</f>
        <v>0</v>
      </c>
      <c r="E154" s="14" t="e">
        <f>COUNTIFS('GLOBAL LOG'!$D$6:$D$128,C154,'GLOBAL LOG'!#REF!,"Yes")</f>
        <v>#REF!</v>
      </c>
      <c r="F154" s="14" t="e">
        <f>SUMIF('GLOBAL LOG'!$D$6:$D$128,COUNT!C154,'GLOBAL LOG'!#REF!)</f>
        <v>#REF!</v>
      </c>
      <c r="G154" s="14">
        <f>COUNTIFS('GLOBAL LOG'!$E$6:$E$128,G$10,'GLOBAL LOG'!$D$6:$D$128,$C154)</f>
        <v>0</v>
      </c>
      <c r="H154" s="14">
        <f>COUNTIFS('GLOBAL LOG'!$E$6:$E$128,H$10,'GLOBAL LOG'!$D$6:$D$128,$C154)</f>
        <v>0</v>
      </c>
      <c r="I154" s="14">
        <f>COUNTIFS('GLOBAL LOG'!$E$6:$E$128,I$10,'GLOBAL LOG'!$D$6:$D$128,$C154)</f>
        <v>0</v>
      </c>
      <c r="J154" s="14">
        <f>COUNTIFS('GLOBAL LOG'!$E$6:$E$128,J$10,'GLOBAL LOG'!$D$6:$D$128,$C154)</f>
        <v>0</v>
      </c>
      <c r="K154" s="14">
        <f>COUNTIFS('GLOBAL LOG'!$E$6:$E$128,K$10,'GLOBAL LOG'!$D$6:$D$128,$C154)</f>
        <v>0</v>
      </c>
      <c r="L154" s="14">
        <f>COUNTIFS('GLOBAL LOG'!$E$6:$E$128,L$10,'GLOBAL LOG'!$D$6:$D$128,$C154)</f>
        <v>0</v>
      </c>
      <c r="M154" s="14">
        <f>COUNTIFS('GLOBAL LOG'!$E$6:$E$128,M$10,'GLOBAL LOG'!$D$6:$D$128,$C154)</f>
        <v>0</v>
      </c>
      <c r="N154" s="14" t="e">
        <f>COUNTIFS('GLOBAL LOG'!$D$6:$D$128,$C154,'GLOBAL LOG'!#REF!,"High")</f>
        <v>#REF!</v>
      </c>
      <c r="O154" s="14" t="e">
        <f>COUNTIFS('GLOBAL LOG'!$D$6:$D$128,$C154,'GLOBAL LOG'!#REF!,"Med")</f>
        <v>#REF!</v>
      </c>
      <c r="P154" s="14" t="e">
        <f>COUNTIFS('GLOBAL LOG'!$D$6:$D$128,$C154,'GLOBAL LOG'!#REF!,"Low")</f>
        <v>#REF!</v>
      </c>
      <c r="Q154" s="14" t="e">
        <f>COUNTIFS('GLOBAL LOG'!$D$6:$D$128,$C154,'GLOBAL LOG'!#REF!,"High")</f>
        <v>#REF!</v>
      </c>
      <c r="R154" s="14" t="e">
        <f>COUNTIFS('GLOBAL LOG'!$D$6:$D$128,$C154,'GLOBAL LOG'!#REF!,"Med")</f>
        <v>#REF!</v>
      </c>
      <c r="S154" s="14" t="e">
        <f>COUNTIFS('GLOBAL LOG'!$D$6:$D$128,$C154,'GLOBAL LOG'!#REF!,"Low")</f>
        <v>#REF!</v>
      </c>
      <c r="T154" s="14" t="e">
        <f>COUNTIFS('GLOBAL LOG'!$D$6:$D$128,$C154,'GLOBAL LOG'!#REF!,"Completed")</f>
        <v>#REF!</v>
      </c>
      <c r="U154" s="14" t="e">
        <f>COUNTIFS('GLOBAL LOG'!$D$6:$D$128,$C154,'GLOBAL LOG'!#REF!,"Contracting")</f>
        <v>#REF!</v>
      </c>
      <c r="V154" s="14" t="e">
        <f>COUNTIFS('GLOBAL LOG'!$D$6:$D$128,$C154,'GLOBAL LOG'!#REF!,"Negotiations")</f>
        <v>#REF!</v>
      </c>
      <c r="W154" s="14" t="e">
        <f>COUNTIFS('GLOBAL LOG'!$D$6:$D$128,$C154,'GLOBAL LOG'!#REF!,"ICT")</f>
        <v>#REF!</v>
      </c>
      <c r="X154" s="14" t="e">
        <f>COUNTIFS('GLOBAL LOG'!$D$6:$D$128,$C154,'GLOBAL LOG'!#REF!,"Hopper")</f>
        <v>#REF!</v>
      </c>
      <c r="Y154" s="14">
        <f>SUMIF('GLOBAL LOG'!$D$6:$D$128,$C154,'GLOBAL LOG'!$Q$6:$Q$128)</f>
        <v>0</v>
      </c>
      <c r="Z154" s="14">
        <f>SUMIF('GLOBAL LOG'!$D$6:$D$128,$C154,'GLOBAL LOG'!$R$6:$R$128)</f>
        <v>0</v>
      </c>
      <c r="AA154" s="14">
        <f t="shared" si="4"/>
        <v>0</v>
      </c>
      <c r="AB154" s="14" t="e">
        <f>SUMIF('GLOBAL LOG'!$D$6:$D$128,C154,'GLOBAL LOG'!#REF!)</f>
        <v>#REF!</v>
      </c>
      <c r="AC154" s="6"/>
      <c r="AD154" s="14" t="str">
        <v>Tokyo Century</v>
      </c>
      <c r="AE154" s="14" t="e">
        <v>#REF!</v>
      </c>
      <c r="AF154" s="6"/>
      <c r="AG154" s="14" t="str">
        <v>Tokyo Century</v>
      </c>
      <c r="AH154" s="14">
        <v>0</v>
      </c>
      <c r="AI154" s="6"/>
      <c r="AJ154" s="14" t="str">
        <v>Tokyo Century</v>
      </c>
      <c r="AK154" s="14">
        <v>0</v>
      </c>
      <c r="AL154" s="6"/>
      <c r="AM154" s="14" t="str">
        <v>Tokyo Century</v>
      </c>
      <c r="AN154" s="14">
        <v>0</v>
      </c>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row>
    <row r="155" spans="2:97" s="4" customFormat="1" ht="14.65" hidden="1" customHeight="1">
      <c r="B155" s="6"/>
      <c r="C155" s="13" t="str">
        <v>TunisAir</v>
      </c>
      <c r="D155" s="14">
        <f>COUNTIFS('GLOBAL LOG'!$D$6:$D$128,C155,'GLOBAL LOG'!$K$6:$K$128,"&lt;&gt;")</f>
        <v>0</v>
      </c>
      <c r="E155" s="14" t="e">
        <f>COUNTIFS('GLOBAL LOG'!$D$6:$D$128,C155,'GLOBAL LOG'!#REF!,"Yes")</f>
        <v>#REF!</v>
      </c>
      <c r="F155" s="14" t="e">
        <f>SUMIF('GLOBAL LOG'!$D$6:$D$128,COUNT!C155,'GLOBAL LOG'!#REF!)</f>
        <v>#REF!</v>
      </c>
      <c r="G155" s="14">
        <f>COUNTIFS('GLOBAL LOG'!$E$6:$E$128,G$10,'GLOBAL LOG'!$D$6:$D$128,$C155)</f>
        <v>0</v>
      </c>
      <c r="H155" s="14">
        <f>COUNTIFS('GLOBAL LOG'!$E$6:$E$128,H$10,'GLOBAL LOG'!$D$6:$D$128,$C155)</f>
        <v>0</v>
      </c>
      <c r="I155" s="14">
        <f>COUNTIFS('GLOBAL LOG'!$E$6:$E$128,I$10,'GLOBAL LOG'!$D$6:$D$128,$C155)</f>
        <v>0</v>
      </c>
      <c r="J155" s="14">
        <f>COUNTIFS('GLOBAL LOG'!$E$6:$E$128,J$10,'GLOBAL LOG'!$D$6:$D$128,$C155)</f>
        <v>0</v>
      </c>
      <c r="K155" s="14">
        <f>COUNTIFS('GLOBAL LOG'!$E$6:$E$128,K$10,'GLOBAL LOG'!$D$6:$D$128,$C155)</f>
        <v>0</v>
      </c>
      <c r="L155" s="14">
        <f>COUNTIFS('GLOBAL LOG'!$E$6:$E$128,L$10,'GLOBAL LOG'!$D$6:$D$128,$C155)</f>
        <v>0</v>
      </c>
      <c r="M155" s="14">
        <f>COUNTIFS('GLOBAL LOG'!$E$6:$E$128,M$10,'GLOBAL LOG'!$D$6:$D$128,$C155)</f>
        <v>0</v>
      </c>
      <c r="N155" s="14" t="e">
        <f>COUNTIFS('GLOBAL LOG'!$D$6:$D$128,$C155,'GLOBAL LOG'!#REF!,"High")</f>
        <v>#REF!</v>
      </c>
      <c r="O155" s="14" t="e">
        <f>COUNTIFS('GLOBAL LOG'!$D$6:$D$128,$C155,'GLOBAL LOG'!#REF!,"Med")</f>
        <v>#REF!</v>
      </c>
      <c r="P155" s="14" t="e">
        <f>COUNTIFS('GLOBAL LOG'!$D$6:$D$128,$C155,'GLOBAL LOG'!#REF!,"Low")</f>
        <v>#REF!</v>
      </c>
      <c r="Q155" s="14" t="e">
        <f>COUNTIFS('GLOBAL LOG'!$D$6:$D$128,$C155,'GLOBAL LOG'!#REF!,"High")</f>
        <v>#REF!</v>
      </c>
      <c r="R155" s="14" t="e">
        <f>COUNTIFS('GLOBAL LOG'!$D$6:$D$128,$C155,'GLOBAL LOG'!#REF!,"Med")</f>
        <v>#REF!</v>
      </c>
      <c r="S155" s="14" t="e">
        <f>COUNTIFS('GLOBAL LOG'!$D$6:$D$128,$C155,'GLOBAL LOG'!#REF!,"Low")</f>
        <v>#REF!</v>
      </c>
      <c r="T155" s="14" t="e">
        <f>COUNTIFS('GLOBAL LOG'!$D$6:$D$128,$C155,'GLOBAL LOG'!#REF!,"Completed")</f>
        <v>#REF!</v>
      </c>
      <c r="U155" s="14" t="e">
        <f>COUNTIFS('GLOBAL LOG'!$D$6:$D$128,$C155,'GLOBAL LOG'!#REF!,"Contracting")</f>
        <v>#REF!</v>
      </c>
      <c r="V155" s="14" t="e">
        <f>COUNTIFS('GLOBAL LOG'!$D$6:$D$128,$C155,'GLOBAL LOG'!#REF!,"Negotiations")</f>
        <v>#REF!</v>
      </c>
      <c r="W155" s="14" t="e">
        <f>COUNTIFS('GLOBAL LOG'!$D$6:$D$128,$C155,'GLOBAL LOG'!#REF!,"ICT")</f>
        <v>#REF!</v>
      </c>
      <c r="X155" s="14" t="e">
        <f>COUNTIFS('GLOBAL LOG'!$D$6:$D$128,$C155,'GLOBAL LOG'!#REF!,"Hopper")</f>
        <v>#REF!</v>
      </c>
      <c r="Y155" s="14">
        <f>SUMIF('GLOBAL LOG'!$D$6:$D$128,$C155,'GLOBAL LOG'!$Q$6:$Q$128)</f>
        <v>0</v>
      </c>
      <c r="Z155" s="14">
        <f>SUMIF('GLOBAL LOG'!$D$6:$D$128,$C155,'GLOBAL LOG'!$R$6:$R$128)</f>
        <v>0</v>
      </c>
      <c r="AA155" s="14">
        <f t="shared" si="4"/>
        <v>0</v>
      </c>
      <c r="AB155" s="14" t="e">
        <f>SUMIF('GLOBAL LOG'!$D$6:$D$128,C155,'GLOBAL LOG'!#REF!)</f>
        <v>#REF!</v>
      </c>
      <c r="AC155" s="6"/>
      <c r="AD155" s="14" t="str">
        <v>TunisAir</v>
      </c>
      <c r="AE155" s="14" t="e">
        <v>#REF!</v>
      </c>
      <c r="AF155" s="6"/>
      <c r="AG155" s="14" t="str">
        <v>TunisAir</v>
      </c>
      <c r="AH155" s="14">
        <v>0</v>
      </c>
      <c r="AI155" s="6"/>
      <c r="AJ155" s="14" t="str">
        <v>TunisAir</v>
      </c>
      <c r="AK155" s="14">
        <v>0</v>
      </c>
      <c r="AL155" s="6"/>
      <c r="AM155" s="14" t="str">
        <v>TunisAir</v>
      </c>
      <c r="AN155" s="14">
        <v>0</v>
      </c>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row>
    <row r="156" spans="2:97" s="4" customFormat="1" ht="14.65" hidden="1" customHeight="1">
      <c r="B156" s="6"/>
      <c r="C156" s="13" t="str">
        <v>Turkish Airlines</v>
      </c>
      <c r="D156" s="14">
        <f>COUNTIFS('GLOBAL LOG'!$D$6:$D$128,C156,'GLOBAL LOG'!$K$6:$K$128,"&lt;&gt;")</f>
        <v>1</v>
      </c>
      <c r="E156" s="14" t="e">
        <f>COUNTIFS('GLOBAL LOG'!$D$6:$D$128,C156,'GLOBAL LOG'!#REF!,"Yes")</f>
        <v>#REF!</v>
      </c>
      <c r="F156" s="14" t="e">
        <f>SUMIF('GLOBAL LOG'!$D$6:$D$128,COUNT!C156,'GLOBAL LOG'!#REF!)</f>
        <v>#REF!</v>
      </c>
      <c r="G156" s="14">
        <f>COUNTIFS('GLOBAL LOG'!$E$6:$E$128,G$10,'GLOBAL LOG'!$D$6:$D$128,$C156)</f>
        <v>0</v>
      </c>
      <c r="H156" s="14">
        <f>COUNTIFS('GLOBAL LOG'!$E$6:$E$128,H$10,'GLOBAL LOG'!$D$6:$D$128,$C156)</f>
        <v>0</v>
      </c>
      <c r="I156" s="14">
        <f>COUNTIFS('GLOBAL LOG'!$E$6:$E$128,I$10,'GLOBAL LOG'!$D$6:$D$128,$C156)</f>
        <v>0</v>
      </c>
      <c r="J156" s="14">
        <f>COUNTIFS('GLOBAL LOG'!$E$6:$E$128,J$10,'GLOBAL LOG'!$D$6:$D$128,$C156)</f>
        <v>0</v>
      </c>
      <c r="K156" s="14">
        <f>COUNTIFS('GLOBAL LOG'!$E$6:$E$128,K$10,'GLOBAL LOG'!$D$6:$D$128,$C156)</f>
        <v>1</v>
      </c>
      <c r="L156" s="14">
        <f>COUNTIFS('GLOBAL LOG'!$E$6:$E$128,L$10,'GLOBAL LOG'!$D$6:$D$128,$C156)</f>
        <v>0</v>
      </c>
      <c r="M156" s="14">
        <f>COUNTIFS('GLOBAL LOG'!$E$6:$E$128,M$10,'GLOBAL LOG'!$D$6:$D$128,$C156)</f>
        <v>0</v>
      </c>
      <c r="N156" s="14" t="e">
        <f>COUNTIFS('GLOBAL LOG'!$D$6:$D$128,$C156,'GLOBAL LOG'!#REF!,"High")</f>
        <v>#REF!</v>
      </c>
      <c r="O156" s="14" t="e">
        <f>COUNTIFS('GLOBAL LOG'!$D$6:$D$128,$C156,'GLOBAL LOG'!#REF!,"Med")</f>
        <v>#REF!</v>
      </c>
      <c r="P156" s="14" t="e">
        <f>COUNTIFS('GLOBAL LOG'!$D$6:$D$128,$C156,'GLOBAL LOG'!#REF!,"Low")</f>
        <v>#REF!</v>
      </c>
      <c r="Q156" s="14" t="e">
        <f>COUNTIFS('GLOBAL LOG'!$D$6:$D$128,$C156,'GLOBAL LOG'!#REF!,"High")</f>
        <v>#REF!</v>
      </c>
      <c r="R156" s="14" t="e">
        <f>COUNTIFS('GLOBAL LOG'!$D$6:$D$128,$C156,'GLOBAL LOG'!#REF!,"Med")</f>
        <v>#REF!</v>
      </c>
      <c r="S156" s="14" t="e">
        <f>COUNTIFS('GLOBAL LOG'!$D$6:$D$128,$C156,'GLOBAL LOG'!#REF!,"Low")</f>
        <v>#REF!</v>
      </c>
      <c r="T156" s="14" t="e">
        <f>COUNTIFS('GLOBAL LOG'!$D$6:$D$128,$C156,'GLOBAL LOG'!#REF!,"Completed")</f>
        <v>#REF!</v>
      </c>
      <c r="U156" s="14" t="e">
        <f>COUNTIFS('GLOBAL LOG'!$D$6:$D$128,$C156,'GLOBAL LOG'!#REF!,"Contracting")</f>
        <v>#REF!</v>
      </c>
      <c r="V156" s="14" t="e">
        <f>COUNTIFS('GLOBAL LOG'!$D$6:$D$128,$C156,'GLOBAL LOG'!#REF!,"Negotiations")</f>
        <v>#REF!</v>
      </c>
      <c r="W156" s="14" t="e">
        <f>COUNTIFS('GLOBAL LOG'!$D$6:$D$128,$C156,'GLOBAL LOG'!#REF!,"ICT")</f>
        <v>#REF!</v>
      </c>
      <c r="X156" s="14" t="e">
        <f>COUNTIFS('GLOBAL LOG'!$D$6:$D$128,$C156,'GLOBAL LOG'!#REF!,"Hopper")</f>
        <v>#REF!</v>
      </c>
      <c r="Y156" s="14">
        <f>SUMIF('GLOBAL LOG'!$D$6:$D$128,$C156,'GLOBAL LOG'!$Q$6:$Q$128)</f>
        <v>0</v>
      </c>
      <c r="Z156" s="14">
        <f>SUMIF('GLOBAL LOG'!$D$6:$D$128,$C156,'GLOBAL LOG'!$R$6:$R$128)</f>
        <v>0</v>
      </c>
      <c r="AA156" s="14">
        <f t="shared" si="4"/>
        <v>0</v>
      </c>
      <c r="AB156" s="14" t="e">
        <f>SUMIF('GLOBAL LOG'!$D$6:$D$128,C156,'GLOBAL LOG'!#REF!)</f>
        <v>#REF!</v>
      </c>
      <c r="AC156" s="6"/>
      <c r="AD156" s="14" t="str">
        <v>Turkish Airlines</v>
      </c>
      <c r="AE156" s="14" t="e">
        <v>#REF!</v>
      </c>
      <c r="AF156" s="6"/>
      <c r="AG156" s="14" t="str">
        <v>Turkish Airlines</v>
      </c>
      <c r="AH156" s="14">
        <v>0</v>
      </c>
      <c r="AI156" s="6"/>
      <c r="AJ156" s="14" t="str">
        <v>Turkish Airlines</v>
      </c>
      <c r="AK156" s="14">
        <v>0</v>
      </c>
      <c r="AL156" s="6"/>
      <c r="AM156" s="14" t="str">
        <v>Turkish Airlines</v>
      </c>
      <c r="AN156" s="14">
        <v>0</v>
      </c>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row>
    <row r="157" spans="2:97" s="4" customFormat="1" ht="14.65" hidden="1" customHeight="1">
      <c r="B157" s="6"/>
      <c r="C157" s="13" t="str">
        <v>T'Way</v>
      </c>
      <c r="D157" s="14">
        <f>COUNTIFS('GLOBAL LOG'!$D$6:$D$128,C157,'GLOBAL LOG'!$K$6:$K$128,"&lt;&gt;")</f>
        <v>0</v>
      </c>
      <c r="E157" s="14" t="e">
        <f>COUNTIFS('GLOBAL LOG'!$D$6:$D$128,C157,'GLOBAL LOG'!#REF!,"Yes")</f>
        <v>#REF!</v>
      </c>
      <c r="F157" s="14" t="e">
        <f>SUMIF('GLOBAL LOG'!$D$6:$D$128,COUNT!C157,'GLOBAL LOG'!#REF!)</f>
        <v>#REF!</v>
      </c>
      <c r="G157" s="14">
        <f>COUNTIFS('GLOBAL LOG'!$E$6:$E$128,G$10,'GLOBAL LOG'!$D$6:$D$128,$C157)</f>
        <v>0</v>
      </c>
      <c r="H157" s="14">
        <f>COUNTIFS('GLOBAL LOG'!$E$6:$E$128,H$10,'GLOBAL LOG'!$D$6:$D$128,$C157)</f>
        <v>0</v>
      </c>
      <c r="I157" s="14">
        <f>COUNTIFS('GLOBAL LOG'!$E$6:$E$128,I$10,'GLOBAL LOG'!$D$6:$D$128,$C157)</f>
        <v>0</v>
      </c>
      <c r="J157" s="14">
        <f>COUNTIFS('GLOBAL LOG'!$E$6:$E$128,J$10,'GLOBAL LOG'!$D$6:$D$128,$C157)</f>
        <v>0</v>
      </c>
      <c r="K157" s="14">
        <f>COUNTIFS('GLOBAL LOG'!$E$6:$E$128,K$10,'GLOBAL LOG'!$D$6:$D$128,$C157)</f>
        <v>0</v>
      </c>
      <c r="L157" s="14">
        <f>COUNTIFS('GLOBAL LOG'!$E$6:$E$128,L$10,'GLOBAL LOG'!$D$6:$D$128,$C157)</f>
        <v>0</v>
      </c>
      <c r="M157" s="14">
        <f>COUNTIFS('GLOBAL LOG'!$E$6:$E$128,M$10,'GLOBAL LOG'!$D$6:$D$128,$C157)</f>
        <v>0</v>
      </c>
      <c r="N157" s="14" t="e">
        <f>COUNTIFS('GLOBAL LOG'!$D$6:$D$128,$C157,'GLOBAL LOG'!#REF!,"High")</f>
        <v>#REF!</v>
      </c>
      <c r="O157" s="14" t="e">
        <f>COUNTIFS('GLOBAL LOG'!$D$6:$D$128,$C157,'GLOBAL LOG'!#REF!,"Med")</f>
        <v>#REF!</v>
      </c>
      <c r="P157" s="14" t="e">
        <f>COUNTIFS('GLOBAL LOG'!$D$6:$D$128,$C157,'GLOBAL LOG'!#REF!,"Low")</f>
        <v>#REF!</v>
      </c>
      <c r="Q157" s="14" t="e">
        <f>COUNTIFS('GLOBAL LOG'!$D$6:$D$128,$C157,'GLOBAL LOG'!#REF!,"High")</f>
        <v>#REF!</v>
      </c>
      <c r="R157" s="14" t="e">
        <f>COUNTIFS('GLOBAL LOG'!$D$6:$D$128,$C157,'GLOBAL LOG'!#REF!,"Med")</f>
        <v>#REF!</v>
      </c>
      <c r="S157" s="14" t="e">
        <f>COUNTIFS('GLOBAL LOG'!$D$6:$D$128,$C157,'GLOBAL LOG'!#REF!,"Low")</f>
        <v>#REF!</v>
      </c>
      <c r="T157" s="14" t="e">
        <f>COUNTIFS('GLOBAL LOG'!$D$6:$D$128,$C157,'GLOBAL LOG'!#REF!,"Completed")</f>
        <v>#REF!</v>
      </c>
      <c r="U157" s="14" t="e">
        <f>COUNTIFS('GLOBAL LOG'!$D$6:$D$128,$C157,'GLOBAL LOG'!#REF!,"Contracting")</f>
        <v>#REF!</v>
      </c>
      <c r="V157" s="14" t="e">
        <f>COUNTIFS('GLOBAL LOG'!$D$6:$D$128,$C157,'GLOBAL LOG'!#REF!,"Negotiations")</f>
        <v>#REF!</v>
      </c>
      <c r="W157" s="14" t="e">
        <f>COUNTIFS('GLOBAL LOG'!$D$6:$D$128,$C157,'GLOBAL LOG'!#REF!,"ICT")</f>
        <v>#REF!</v>
      </c>
      <c r="X157" s="14" t="e">
        <f>COUNTIFS('GLOBAL LOG'!$D$6:$D$128,$C157,'GLOBAL LOG'!#REF!,"Hopper")</f>
        <v>#REF!</v>
      </c>
      <c r="Y157" s="14">
        <f>SUMIF('GLOBAL LOG'!$D$6:$D$128,$C157,'GLOBAL LOG'!$Q$6:$Q$128)</f>
        <v>0</v>
      </c>
      <c r="Z157" s="14">
        <f>SUMIF('GLOBAL LOG'!$D$6:$D$128,$C157,'GLOBAL LOG'!$R$6:$R$128)</f>
        <v>0</v>
      </c>
      <c r="AA157" s="14">
        <f t="shared" si="4"/>
        <v>0</v>
      </c>
      <c r="AB157" s="14" t="e">
        <f>SUMIF('GLOBAL LOG'!$D$6:$D$128,C157,'GLOBAL LOG'!#REF!)</f>
        <v>#REF!</v>
      </c>
      <c r="AC157" s="6"/>
      <c r="AD157" s="14" t="str">
        <v>T'Way</v>
      </c>
      <c r="AE157" s="14" t="e">
        <v>#REF!</v>
      </c>
      <c r="AF157" s="6"/>
      <c r="AG157" s="14" t="str">
        <v>T'Way</v>
      </c>
      <c r="AH157" s="14">
        <v>0</v>
      </c>
      <c r="AI157" s="6"/>
      <c r="AJ157" s="14" t="str">
        <v>T'Way</v>
      </c>
      <c r="AK157" s="14">
        <v>0</v>
      </c>
      <c r="AL157" s="6"/>
      <c r="AM157" s="14" t="str">
        <v>T'Way</v>
      </c>
      <c r="AN157" s="14">
        <v>0</v>
      </c>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row>
    <row r="158" spans="2:97" s="4" customFormat="1" ht="14.65" hidden="1" customHeight="1">
      <c r="B158" s="6"/>
      <c r="C158" s="13" t="str">
        <v>Ugandan Airlines</v>
      </c>
      <c r="D158" s="14">
        <f>COUNTIFS('GLOBAL LOG'!$D$6:$D$128,C158,'GLOBAL LOG'!$K$6:$K$128,"&lt;&gt;")</f>
        <v>0</v>
      </c>
      <c r="E158" s="14" t="e">
        <f>COUNTIFS('GLOBAL LOG'!$D$6:$D$128,C158,'GLOBAL LOG'!#REF!,"Yes")</f>
        <v>#REF!</v>
      </c>
      <c r="F158" s="14" t="e">
        <f>SUMIF('GLOBAL LOG'!$D$6:$D$128,COUNT!C158,'GLOBAL LOG'!#REF!)</f>
        <v>#REF!</v>
      </c>
      <c r="G158" s="14">
        <f>COUNTIFS('GLOBAL LOG'!$E$6:$E$128,G$10,'GLOBAL LOG'!$D$6:$D$128,$C158)</f>
        <v>0</v>
      </c>
      <c r="H158" s="14">
        <f>COUNTIFS('GLOBAL LOG'!$E$6:$E$128,H$10,'GLOBAL LOG'!$D$6:$D$128,$C158)</f>
        <v>0</v>
      </c>
      <c r="I158" s="14">
        <f>COUNTIFS('GLOBAL LOG'!$E$6:$E$128,I$10,'GLOBAL LOG'!$D$6:$D$128,$C158)</f>
        <v>0</v>
      </c>
      <c r="J158" s="14">
        <f>COUNTIFS('GLOBAL LOG'!$E$6:$E$128,J$10,'GLOBAL LOG'!$D$6:$D$128,$C158)</f>
        <v>0</v>
      </c>
      <c r="K158" s="14">
        <f>COUNTIFS('GLOBAL LOG'!$E$6:$E$128,K$10,'GLOBAL LOG'!$D$6:$D$128,$C158)</f>
        <v>0</v>
      </c>
      <c r="L158" s="14">
        <f>COUNTIFS('GLOBAL LOG'!$E$6:$E$128,L$10,'GLOBAL LOG'!$D$6:$D$128,$C158)</f>
        <v>0</v>
      </c>
      <c r="M158" s="14">
        <f>COUNTIFS('GLOBAL LOG'!$E$6:$E$128,M$10,'GLOBAL LOG'!$D$6:$D$128,$C158)</f>
        <v>0</v>
      </c>
      <c r="N158" s="14" t="e">
        <f>COUNTIFS('GLOBAL LOG'!$D$6:$D$128,$C158,'GLOBAL LOG'!#REF!,"High")</f>
        <v>#REF!</v>
      </c>
      <c r="O158" s="14" t="e">
        <f>COUNTIFS('GLOBAL LOG'!$D$6:$D$128,$C158,'GLOBAL LOG'!#REF!,"Med")</f>
        <v>#REF!</v>
      </c>
      <c r="P158" s="14" t="e">
        <f>COUNTIFS('GLOBAL LOG'!$D$6:$D$128,$C158,'GLOBAL LOG'!#REF!,"Low")</f>
        <v>#REF!</v>
      </c>
      <c r="Q158" s="14" t="e">
        <f>COUNTIFS('GLOBAL LOG'!$D$6:$D$128,$C158,'GLOBAL LOG'!#REF!,"High")</f>
        <v>#REF!</v>
      </c>
      <c r="R158" s="14" t="e">
        <f>COUNTIFS('GLOBAL LOG'!$D$6:$D$128,$C158,'GLOBAL LOG'!#REF!,"Med")</f>
        <v>#REF!</v>
      </c>
      <c r="S158" s="14" t="e">
        <f>COUNTIFS('GLOBAL LOG'!$D$6:$D$128,$C158,'GLOBAL LOG'!#REF!,"Low")</f>
        <v>#REF!</v>
      </c>
      <c r="T158" s="14" t="e">
        <f>COUNTIFS('GLOBAL LOG'!$D$6:$D$128,$C158,'GLOBAL LOG'!#REF!,"Completed")</f>
        <v>#REF!</v>
      </c>
      <c r="U158" s="14" t="e">
        <f>COUNTIFS('GLOBAL LOG'!$D$6:$D$128,$C158,'GLOBAL LOG'!#REF!,"Contracting")</f>
        <v>#REF!</v>
      </c>
      <c r="V158" s="14" t="e">
        <f>COUNTIFS('GLOBAL LOG'!$D$6:$D$128,$C158,'GLOBAL LOG'!#REF!,"Negotiations")</f>
        <v>#REF!</v>
      </c>
      <c r="W158" s="14" t="e">
        <f>COUNTIFS('GLOBAL LOG'!$D$6:$D$128,$C158,'GLOBAL LOG'!#REF!,"ICT")</f>
        <v>#REF!</v>
      </c>
      <c r="X158" s="14" t="e">
        <f>COUNTIFS('GLOBAL LOG'!$D$6:$D$128,$C158,'GLOBAL LOG'!#REF!,"Hopper")</f>
        <v>#REF!</v>
      </c>
      <c r="Y158" s="14">
        <f>SUMIF('GLOBAL LOG'!$D$6:$D$128,$C158,'GLOBAL LOG'!$Q$6:$Q$128)</f>
        <v>0</v>
      </c>
      <c r="Z158" s="14">
        <f>SUMIF('GLOBAL LOG'!$D$6:$D$128,$C158,'GLOBAL LOG'!$R$6:$R$128)</f>
        <v>0</v>
      </c>
      <c r="AA158" s="14">
        <f t="shared" si="4"/>
        <v>0</v>
      </c>
      <c r="AB158" s="14" t="e">
        <f>SUMIF('GLOBAL LOG'!$D$6:$D$128,C158,'GLOBAL LOG'!#REF!)</f>
        <v>#REF!</v>
      </c>
      <c r="AC158" s="6"/>
      <c r="AD158" s="14" t="str">
        <v>Ugandan Airlines</v>
      </c>
      <c r="AE158" s="14" t="e">
        <v>#REF!</v>
      </c>
      <c r="AF158" s="6"/>
      <c r="AG158" s="14" t="str">
        <v>Ugandan Airlines</v>
      </c>
      <c r="AH158" s="14">
        <v>0</v>
      </c>
      <c r="AI158" s="6"/>
      <c r="AJ158" s="14" t="str">
        <v>Ugandan Airlines</v>
      </c>
      <c r="AK158" s="14">
        <v>0</v>
      </c>
      <c r="AL158" s="6"/>
      <c r="AM158" s="14" t="str">
        <v>Ugandan Airlines</v>
      </c>
      <c r="AN158" s="14">
        <v>0</v>
      </c>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row>
    <row r="159" spans="2:97" s="4" customFormat="1" ht="14.65" hidden="1" customHeight="1">
      <c r="B159" s="6"/>
      <c r="C159" s="13" t="str">
        <v>United Airlines</v>
      </c>
      <c r="D159" s="14">
        <f>COUNTIFS('GLOBAL LOG'!$D$6:$D$128,C159,'GLOBAL LOG'!$K$6:$K$128,"&lt;&gt;")</f>
        <v>0</v>
      </c>
      <c r="E159" s="14" t="e">
        <f>COUNTIFS('GLOBAL LOG'!$D$6:$D$128,C159,'GLOBAL LOG'!#REF!,"Yes")</f>
        <v>#REF!</v>
      </c>
      <c r="F159" s="14" t="e">
        <f>SUMIF('GLOBAL LOG'!$D$6:$D$128,COUNT!C159,'GLOBAL LOG'!#REF!)</f>
        <v>#REF!</v>
      </c>
      <c r="G159" s="14">
        <f>COUNTIFS('GLOBAL LOG'!$E$6:$E$128,G$10,'GLOBAL LOG'!$D$6:$D$128,$C159)</f>
        <v>0</v>
      </c>
      <c r="H159" s="14">
        <f>COUNTIFS('GLOBAL LOG'!$E$6:$E$128,H$10,'GLOBAL LOG'!$D$6:$D$128,$C159)</f>
        <v>0</v>
      </c>
      <c r="I159" s="14">
        <f>COUNTIFS('GLOBAL LOG'!$E$6:$E$128,I$10,'GLOBAL LOG'!$D$6:$D$128,$C159)</f>
        <v>0</v>
      </c>
      <c r="J159" s="14">
        <f>COUNTIFS('GLOBAL LOG'!$E$6:$E$128,J$10,'GLOBAL LOG'!$D$6:$D$128,$C159)</f>
        <v>0</v>
      </c>
      <c r="K159" s="14">
        <f>COUNTIFS('GLOBAL LOG'!$E$6:$E$128,K$10,'GLOBAL LOG'!$D$6:$D$128,$C159)</f>
        <v>0</v>
      </c>
      <c r="L159" s="14">
        <f>COUNTIFS('GLOBAL LOG'!$E$6:$E$128,L$10,'GLOBAL LOG'!$D$6:$D$128,$C159)</f>
        <v>0</v>
      </c>
      <c r="M159" s="14">
        <f>COUNTIFS('GLOBAL LOG'!$E$6:$E$128,M$10,'GLOBAL LOG'!$D$6:$D$128,$C159)</f>
        <v>0</v>
      </c>
      <c r="N159" s="14" t="e">
        <f>COUNTIFS('GLOBAL LOG'!$D$6:$D$128,$C159,'GLOBAL LOG'!#REF!,"High")</f>
        <v>#REF!</v>
      </c>
      <c r="O159" s="14" t="e">
        <f>COUNTIFS('GLOBAL LOG'!$D$6:$D$128,$C159,'GLOBAL LOG'!#REF!,"Med")</f>
        <v>#REF!</v>
      </c>
      <c r="P159" s="14" t="e">
        <f>COUNTIFS('GLOBAL LOG'!$D$6:$D$128,$C159,'GLOBAL LOG'!#REF!,"Low")</f>
        <v>#REF!</v>
      </c>
      <c r="Q159" s="14" t="e">
        <f>COUNTIFS('GLOBAL LOG'!$D$6:$D$128,$C159,'GLOBAL LOG'!#REF!,"High")</f>
        <v>#REF!</v>
      </c>
      <c r="R159" s="14" t="e">
        <f>COUNTIFS('GLOBAL LOG'!$D$6:$D$128,$C159,'GLOBAL LOG'!#REF!,"Med")</f>
        <v>#REF!</v>
      </c>
      <c r="S159" s="14" t="e">
        <f>COUNTIFS('GLOBAL LOG'!$D$6:$D$128,$C159,'GLOBAL LOG'!#REF!,"Low")</f>
        <v>#REF!</v>
      </c>
      <c r="T159" s="14" t="e">
        <f>COUNTIFS('GLOBAL LOG'!$D$6:$D$128,$C159,'GLOBAL LOG'!#REF!,"Completed")</f>
        <v>#REF!</v>
      </c>
      <c r="U159" s="14" t="e">
        <f>COUNTIFS('GLOBAL LOG'!$D$6:$D$128,$C159,'GLOBAL LOG'!#REF!,"Contracting")</f>
        <v>#REF!</v>
      </c>
      <c r="V159" s="14" t="e">
        <f>COUNTIFS('GLOBAL LOG'!$D$6:$D$128,$C159,'GLOBAL LOG'!#REF!,"Negotiations")</f>
        <v>#REF!</v>
      </c>
      <c r="W159" s="14" t="e">
        <f>COUNTIFS('GLOBAL LOG'!$D$6:$D$128,$C159,'GLOBAL LOG'!#REF!,"ICT")</f>
        <v>#REF!</v>
      </c>
      <c r="X159" s="14" t="e">
        <f>COUNTIFS('GLOBAL LOG'!$D$6:$D$128,$C159,'GLOBAL LOG'!#REF!,"Hopper")</f>
        <v>#REF!</v>
      </c>
      <c r="Y159" s="14">
        <f>SUMIF('GLOBAL LOG'!$D$6:$D$128,$C159,'GLOBAL LOG'!$Q$6:$Q$128)</f>
        <v>0</v>
      </c>
      <c r="Z159" s="14">
        <f>SUMIF('GLOBAL LOG'!$D$6:$D$128,$C159,'GLOBAL LOG'!$R$6:$R$128)</f>
        <v>0</v>
      </c>
      <c r="AA159" s="14">
        <f t="shared" si="4"/>
        <v>0</v>
      </c>
      <c r="AB159" s="14" t="e">
        <f>SUMIF('GLOBAL LOG'!$D$6:$D$128,C159,'GLOBAL LOG'!#REF!)</f>
        <v>#REF!</v>
      </c>
      <c r="AC159" s="6"/>
      <c r="AD159" s="14" t="str">
        <v>United Airlines</v>
      </c>
      <c r="AE159" s="14" t="e">
        <v>#REF!</v>
      </c>
      <c r="AF159" s="6"/>
      <c r="AG159" s="14" t="str">
        <v>United Airlines</v>
      </c>
      <c r="AH159" s="14">
        <v>0</v>
      </c>
      <c r="AI159" s="6"/>
      <c r="AJ159" s="14" t="str">
        <v>United Airlines</v>
      </c>
      <c r="AK159" s="14">
        <v>0</v>
      </c>
      <c r="AL159" s="6"/>
      <c r="AM159" s="14" t="str">
        <v>United Airlines</v>
      </c>
      <c r="AN159" s="14">
        <v>0</v>
      </c>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row>
    <row r="160" spans="2:97" s="4" customFormat="1" ht="14.65" hidden="1" customHeight="1">
      <c r="B160" s="6"/>
      <c r="C160" s="13" t="str">
        <v>United Parcel Service  Inc.</v>
      </c>
      <c r="D160" s="14">
        <f>COUNTIFS('GLOBAL LOG'!$D$6:$D$128,C160,'GLOBAL LOG'!$K$6:$K$128,"&lt;&gt;")</f>
        <v>0</v>
      </c>
      <c r="E160" s="14" t="e">
        <f>COUNTIFS('GLOBAL LOG'!$D$6:$D$128,C160,'GLOBAL LOG'!#REF!,"Yes")</f>
        <v>#REF!</v>
      </c>
      <c r="F160" s="14" t="e">
        <f>SUMIF('GLOBAL LOG'!$D$6:$D$128,COUNT!C160,'GLOBAL LOG'!#REF!)</f>
        <v>#REF!</v>
      </c>
      <c r="G160" s="14">
        <f>COUNTIFS('GLOBAL LOG'!$E$6:$E$128,G$10,'GLOBAL LOG'!$D$6:$D$128,$C160)</f>
        <v>0</v>
      </c>
      <c r="H160" s="14">
        <f>COUNTIFS('GLOBAL LOG'!$E$6:$E$128,H$10,'GLOBAL LOG'!$D$6:$D$128,$C160)</f>
        <v>0</v>
      </c>
      <c r="I160" s="14">
        <f>COUNTIFS('GLOBAL LOG'!$E$6:$E$128,I$10,'GLOBAL LOG'!$D$6:$D$128,$C160)</f>
        <v>0</v>
      </c>
      <c r="J160" s="14">
        <f>COUNTIFS('GLOBAL LOG'!$E$6:$E$128,J$10,'GLOBAL LOG'!$D$6:$D$128,$C160)</f>
        <v>0</v>
      </c>
      <c r="K160" s="14">
        <f>COUNTIFS('GLOBAL LOG'!$E$6:$E$128,K$10,'GLOBAL LOG'!$D$6:$D$128,$C160)</f>
        <v>0</v>
      </c>
      <c r="L160" s="14">
        <f>COUNTIFS('GLOBAL LOG'!$E$6:$E$128,L$10,'GLOBAL LOG'!$D$6:$D$128,$C160)</f>
        <v>0</v>
      </c>
      <c r="M160" s="14">
        <f>COUNTIFS('GLOBAL LOG'!$E$6:$E$128,M$10,'GLOBAL LOG'!$D$6:$D$128,$C160)</f>
        <v>0</v>
      </c>
      <c r="N160" s="14" t="e">
        <f>COUNTIFS('GLOBAL LOG'!$D$6:$D$128,$C160,'GLOBAL LOG'!#REF!,"High")</f>
        <v>#REF!</v>
      </c>
      <c r="O160" s="14" t="e">
        <f>COUNTIFS('GLOBAL LOG'!$D$6:$D$128,$C160,'GLOBAL LOG'!#REF!,"Med")</f>
        <v>#REF!</v>
      </c>
      <c r="P160" s="14" t="e">
        <f>COUNTIFS('GLOBAL LOG'!$D$6:$D$128,$C160,'GLOBAL LOG'!#REF!,"Low")</f>
        <v>#REF!</v>
      </c>
      <c r="Q160" s="14" t="e">
        <f>COUNTIFS('GLOBAL LOG'!$D$6:$D$128,$C160,'GLOBAL LOG'!#REF!,"High")</f>
        <v>#REF!</v>
      </c>
      <c r="R160" s="14" t="e">
        <f>COUNTIFS('GLOBAL LOG'!$D$6:$D$128,$C160,'GLOBAL LOG'!#REF!,"Med")</f>
        <v>#REF!</v>
      </c>
      <c r="S160" s="14" t="e">
        <f>COUNTIFS('GLOBAL LOG'!$D$6:$D$128,$C160,'GLOBAL LOG'!#REF!,"Low")</f>
        <v>#REF!</v>
      </c>
      <c r="T160" s="14" t="e">
        <f>COUNTIFS('GLOBAL LOG'!$D$6:$D$128,$C160,'GLOBAL LOG'!#REF!,"Completed")</f>
        <v>#REF!</v>
      </c>
      <c r="U160" s="14" t="e">
        <f>COUNTIFS('GLOBAL LOG'!$D$6:$D$128,$C160,'GLOBAL LOG'!#REF!,"Contracting")</f>
        <v>#REF!</v>
      </c>
      <c r="V160" s="14" t="e">
        <f>COUNTIFS('GLOBAL LOG'!$D$6:$D$128,$C160,'GLOBAL LOG'!#REF!,"Negotiations")</f>
        <v>#REF!</v>
      </c>
      <c r="W160" s="14" t="e">
        <f>COUNTIFS('GLOBAL LOG'!$D$6:$D$128,$C160,'GLOBAL LOG'!#REF!,"ICT")</f>
        <v>#REF!</v>
      </c>
      <c r="X160" s="14" t="e">
        <f>COUNTIFS('GLOBAL LOG'!$D$6:$D$128,$C160,'GLOBAL LOG'!#REF!,"Hopper")</f>
        <v>#REF!</v>
      </c>
      <c r="Y160" s="14">
        <f>SUMIF('GLOBAL LOG'!$D$6:$D$128,$C160,'GLOBAL LOG'!$Q$6:$Q$128)</f>
        <v>0</v>
      </c>
      <c r="Z160" s="14">
        <f>SUMIF('GLOBAL LOG'!$D$6:$D$128,$C160,'GLOBAL LOG'!$R$6:$R$128)</f>
        <v>0</v>
      </c>
      <c r="AA160" s="14">
        <f t="shared" si="4"/>
        <v>0</v>
      </c>
      <c r="AB160" s="14" t="e">
        <f>SUMIF('GLOBAL LOG'!$D$6:$D$128,C160,'GLOBAL LOG'!#REF!)</f>
        <v>#REF!</v>
      </c>
      <c r="AC160" s="6"/>
      <c r="AD160" s="14" t="str">
        <v>United Parcel Service  Inc.</v>
      </c>
      <c r="AE160" s="14" t="e">
        <v>#REF!</v>
      </c>
      <c r="AF160" s="6"/>
      <c r="AG160" s="14" t="str">
        <v>United Parcel Service  Inc.</v>
      </c>
      <c r="AH160" s="14">
        <v>0</v>
      </c>
      <c r="AI160" s="6"/>
      <c r="AJ160" s="14" t="str">
        <v>United Parcel Service  Inc.</v>
      </c>
      <c r="AK160" s="14">
        <v>0</v>
      </c>
      <c r="AL160" s="6"/>
      <c r="AM160" s="14" t="str">
        <v>United Parcel Service  Inc.</v>
      </c>
      <c r="AN160" s="14">
        <v>0</v>
      </c>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row>
    <row r="161" spans="2:97" s="4" customFormat="1" ht="14.65" hidden="1" customHeight="1">
      <c r="B161" s="6"/>
      <c r="C161" s="13" t="str">
        <v>US-Bangla Airlines</v>
      </c>
      <c r="D161" s="14">
        <f>COUNTIFS('GLOBAL LOG'!$D$6:$D$128,C161,'GLOBAL LOG'!$K$6:$K$128,"&lt;&gt;")</f>
        <v>0</v>
      </c>
      <c r="E161" s="14" t="e">
        <f>COUNTIFS('GLOBAL LOG'!$D$6:$D$128,C161,'GLOBAL LOG'!#REF!,"Yes")</f>
        <v>#REF!</v>
      </c>
      <c r="F161" s="14" t="e">
        <f>SUMIF('GLOBAL LOG'!$D$6:$D$128,COUNT!C161,'GLOBAL LOG'!#REF!)</f>
        <v>#REF!</v>
      </c>
      <c r="G161" s="14">
        <f>COUNTIFS('GLOBAL LOG'!$E$6:$E$128,G$10,'GLOBAL LOG'!$D$6:$D$128,$C161)</f>
        <v>0</v>
      </c>
      <c r="H161" s="14">
        <f>COUNTIFS('GLOBAL LOG'!$E$6:$E$128,H$10,'GLOBAL LOG'!$D$6:$D$128,$C161)</f>
        <v>0</v>
      </c>
      <c r="I161" s="14">
        <f>COUNTIFS('GLOBAL LOG'!$E$6:$E$128,I$10,'GLOBAL LOG'!$D$6:$D$128,$C161)</f>
        <v>0</v>
      </c>
      <c r="J161" s="14">
        <f>COUNTIFS('GLOBAL LOG'!$E$6:$E$128,J$10,'GLOBAL LOG'!$D$6:$D$128,$C161)</f>
        <v>0</v>
      </c>
      <c r="K161" s="14">
        <f>COUNTIFS('GLOBAL LOG'!$E$6:$E$128,K$10,'GLOBAL LOG'!$D$6:$D$128,$C161)</f>
        <v>0</v>
      </c>
      <c r="L161" s="14">
        <f>COUNTIFS('GLOBAL LOG'!$E$6:$E$128,L$10,'GLOBAL LOG'!$D$6:$D$128,$C161)</f>
        <v>0</v>
      </c>
      <c r="M161" s="14">
        <f>COUNTIFS('GLOBAL LOG'!$E$6:$E$128,M$10,'GLOBAL LOG'!$D$6:$D$128,$C161)</f>
        <v>0</v>
      </c>
      <c r="N161" s="14" t="e">
        <f>COUNTIFS('GLOBAL LOG'!$D$6:$D$128,$C161,'GLOBAL LOG'!#REF!,"High")</f>
        <v>#REF!</v>
      </c>
      <c r="O161" s="14" t="e">
        <f>COUNTIFS('GLOBAL LOG'!$D$6:$D$128,$C161,'GLOBAL LOG'!#REF!,"Med")</f>
        <v>#REF!</v>
      </c>
      <c r="P161" s="14" t="e">
        <f>COUNTIFS('GLOBAL LOG'!$D$6:$D$128,$C161,'GLOBAL LOG'!#REF!,"Low")</f>
        <v>#REF!</v>
      </c>
      <c r="Q161" s="14" t="e">
        <f>COUNTIFS('GLOBAL LOG'!$D$6:$D$128,$C161,'GLOBAL LOG'!#REF!,"High")</f>
        <v>#REF!</v>
      </c>
      <c r="R161" s="14" t="e">
        <f>COUNTIFS('GLOBAL LOG'!$D$6:$D$128,$C161,'GLOBAL LOG'!#REF!,"Med")</f>
        <v>#REF!</v>
      </c>
      <c r="S161" s="14" t="e">
        <f>COUNTIFS('GLOBAL LOG'!$D$6:$D$128,$C161,'GLOBAL LOG'!#REF!,"Low")</f>
        <v>#REF!</v>
      </c>
      <c r="T161" s="14" t="e">
        <f>COUNTIFS('GLOBAL LOG'!$D$6:$D$128,$C161,'GLOBAL LOG'!#REF!,"Completed")</f>
        <v>#REF!</v>
      </c>
      <c r="U161" s="14" t="e">
        <f>COUNTIFS('GLOBAL LOG'!$D$6:$D$128,$C161,'GLOBAL LOG'!#REF!,"Contracting")</f>
        <v>#REF!</v>
      </c>
      <c r="V161" s="14" t="e">
        <f>COUNTIFS('GLOBAL LOG'!$D$6:$D$128,$C161,'GLOBAL LOG'!#REF!,"Negotiations")</f>
        <v>#REF!</v>
      </c>
      <c r="W161" s="14" t="e">
        <f>COUNTIFS('GLOBAL LOG'!$D$6:$D$128,$C161,'GLOBAL LOG'!#REF!,"ICT")</f>
        <v>#REF!</v>
      </c>
      <c r="X161" s="14" t="e">
        <f>COUNTIFS('GLOBAL LOG'!$D$6:$D$128,$C161,'GLOBAL LOG'!#REF!,"Hopper")</f>
        <v>#REF!</v>
      </c>
      <c r="Y161" s="14">
        <f>SUMIF('GLOBAL LOG'!$D$6:$D$128,$C161,'GLOBAL LOG'!$Q$6:$Q$128)</f>
        <v>0</v>
      </c>
      <c r="Z161" s="14">
        <f>SUMIF('GLOBAL LOG'!$D$6:$D$128,$C161,'GLOBAL LOG'!$R$6:$R$128)</f>
        <v>0</v>
      </c>
      <c r="AA161" s="14">
        <f t="shared" si="4"/>
        <v>0</v>
      </c>
      <c r="AB161" s="14" t="e">
        <f>SUMIF('GLOBAL LOG'!$D$6:$D$128,C161,'GLOBAL LOG'!#REF!)</f>
        <v>#REF!</v>
      </c>
      <c r="AC161" s="6"/>
      <c r="AD161" s="14" t="str">
        <v>US-Bangla Airlines</v>
      </c>
      <c r="AE161" s="14" t="e">
        <v>#REF!</v>
      </c>
      <c r="AF161" s="6"/>
      <c r="AG161" s="14" t="str">
        <v>US-Bangla Airlines</v>
      </c>
      <c r="AH161" s="14">
        <v>0</v>
      </c>
      <c r="AI161" s="6"/>
      <c r="AJ161" s="14" t="str">
        <v>US-Bangla Airlines</v>
      </c>
      <c r="AK161" s="14">
        <v>0</v>
      </c>
      <c r="AL161" s="6"/>
      <c r="AM161" s="14" t="str">
        <v>US-Bangla Airlines</v>
      </c>
      <c r="AN161" s="14">
        <v>0</v>
      </c>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row>
    <row r="162" spans="2:97" s="4" customFormat="1" ht="14.65" hidden="1" customHeight="1">
      <c r="B162" s="6"/>
      <c r="C162" s="13" t="str">
        <v>VallJet</v>
      </c>
      <c r="D162" s="14">
        <f>COUNTIFS('GLOBAL LOG'!$D$6:$D$128,C162,'GLOBAL LOG'!$K$6:$K$128,"&lt;&gt;")</f>
        <v>0</v>
      </c>
      <c r="E162" s="14" t="e">
        <f>COUNTIFS('GLOBAL LOG'!$D$6:$D$128,C162,'GLOBAL LOG'!#REF!,"Yes")</f>
        <v>#REF!</v>
      </c>
      <c r="F162" s="14" t="e">
        <f>SUMIF('GLOBAL LOG'!$D$6:$D$128,COUNT!C162,'GLOBAL LOG'!#REF!)</f>
        <v>#REF!</v>
      </c>
      <c r="G162" s="14">
        <f>COUNTIFS('GLOBAL LOG'!$E$6:$E$128,G$10,'GLOBAL LOG'!$D$6:$D$128,$C162)</f>
        <v>0</v>
      </c>
      <c r="H162" s="14">
        <f>COUNTIFS('GLOBAL LOG'!$E$6:$E$128,H$10,'GLOBAL LOG'!$D$6:$D$128,$C162)</f>
        <v>0</v>
      </c>
      <c r="I162" s="14">
        <f>COUNTIFS('GLOBAL LOG'!$E$6:$E$128,I$10,'GLOBAL LOG'!$D$6:$D$128,$C162)</f>
        <v>0</v>
      </c>
      <c r="J162" s="14">
        <f>COUNTIFS('GLOBAL LOG'!$E$6:$E$128,J$10,'GLOBAL LOG'!$D$6:$D$128,$C162)</f>
        <v>0</v>
      </c>
      <c r="K162" s="14">
        <f>COUNTIFS('GLOBAL LOG'!$E$6:$E$128,K$10,'GLOBAL LOG'!$D$6:$D$128,$C162)</f>
        <v>0</v>
      </c>
      <c r="L162" s="14">
        <f>COUNTIFS('GLOBAL LOG'!$E$6:$E$128,L$10,'GLOBAL LOG'!$D$6:$D$128,$C162)</f>
        <v>0</v>
      </c>
      <c r="M162" s="14">
        <f>COUNTIFS('GLOBAL LOG'!$E$6:$E$128,M$10,'GLOBAL LOG'!$D$6:$D$128,$C162)</f>
        <v>0</v>
      </c>
      <c r="N162" s="14" t="e">
        <f>COUNTIFS('GLOBAL LOG'!$D$6:$D$128,$C162,'GLOBAL LOG'!#REF!,"High")</f>
        <v>#REF!</v>
      </c>
      <c r="O162" s="14" t="e">
        <f>COUNTIFS('GLOBAL LOG'!$D$6:$D$128,$C162,'GLOBAL LOG'!#REF!,"Med")</f>
        <v>#REF!</v>
      </c>
      <c r="P162" s="14" t="e">
        <f>COUNTIFS('GLOBAL LOG'!$D$6:$D$128,$C162,'GLOBAL LOG'!#REF!,"Low")</f>
        <v>#REF!</v>
      </c>
      <c r="Q162" s="14" t="e">
        <f>COUNTIFS('GLOBAL LOG'!$D$6:$D$128,$C162,'GLOBAL LOG'!#REF!,"High")</f>
        <v>#REF!</v>
      </c>
      <c r="R162" s="14" t="e">
        <f>COUNTIFS('GLOBAL LOG'!$D$6:$D$128,$C162,'GLOBAL LOG'!#REF!,"Med")</f>
        <v>#REF!</v>
      </c>
      <c r="S162" s="14" t="e">
        <f>COUNTIFS('GLOBAL LOG'!$D$6:$D$128,$C162,'GLOBAL LOG'!#REF!,"Low")</f>
        <v>#REF!</v>
      </c>
      <c r="T162" s="14" t="e">
        <f>COUNTIFS('GLOBAL LOG'!$D$6:$D$128,$C162,'GLOBAL LOG'!#REF!,"Completed")</f>
        <v>#REF!</v>
      </c>
      <c r="U162" s="14" t="e">
        <f>COUNTIFS('GLOBAL LOG'!$D$6:$D$128,$C162,'GLOBAL LOG'!#REF!,"Contracting")</f>
        <v>#REF!</v>
      </c>
      <c r="V162" s="14" t="e">
        <f>COUNTIFS('GLOBAL LOG'!$D$6:$D$128,$C162,'GLOBAL LOG'!#REF!,"Negotiations")</f>
        <v>#REF!</v>
      </c>
      <c r="W162" s="14" t="e">
        <f>COUNTIFS('GLOBAL LOG'!$D$6:$D$128,$C162,'GLOBAL LOG'!#REF!,"ICT")</f>
        <v>#REF!</v>
      </c>
      <c r="X162" s="14" t="e">
        <f>COUNTIFS('GLOBAL LOG'!$D$6:$D$128,$C162,'GLOBAL LOG'!#REF!,"Hopper")</f>
        <v>#REF!</v>
      </c>
      <c r="Y162" s="14">
        <f>SUMIF('GLOBAL LOG'!$D$6:$D$128,$C162,'GLOBAL LOG'!$Q$6:$Q$128)</f>
        <v>0</v>
      </c>
      <c r="Z162" s="14">
        <f>SUMIF('GLOBAL LOG'!$D$6:$D$128,$C162,'GLOBAL LOG'!$R$6:$R$128)</f>
        <v>0</v>
      </c>
      <c r="AA162" s="14">
        <f t="shared" si="4"/>
        <v>0</v>
      </c>
      <c r="AB162" s="14" t="e">
        <f>SUMIF('GLOBAL LOG'!$D$6:$D$128,C162,'GLOBAL LOG'!#REF!)</f>
        <v>#REF!</v>
      </c>
      <c r="AC162" s="6"/>
      <c r="AD162" s="14" t="str">
        <v>VallJet</v>
      </c>
      <c r="AE162" s="14" t="e">
        <v>#REF!</v>
      </c>
      <c r="AF162" s="6"/>
      <c r="AG162" s="14" t="str">
        <v>VallJet</v>
      </c>
      <c r="AH162" s="14">
        <v>0</v>
      </c>
      <c r="AI162" s="6"/>
      <c r="AJ162" s="14" t="str">
        <v>VallJet</v>
      </c>
      <c r="AK162" s="14">
        <v>0</v>
      </c>
      <c r="AL162" s="6"/>
      <c r="AM162" s="14" t="str">
        <v>VallJet</v>
      </c>
      <c r="AN162" s="14">
        <v>0</v>
      </c>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row>
    <row r="163" spans="2:97" s="4" customFormat="1" ht="14.65" hidden="1" customHeight="1">
      <c r="B163" s="6"/>
      <c r="C163" s="13"/>
      <c r="D163" s="14">
        <f>COUNTIFS('GLOBAL LOG'!$D$6:$D$128,C163,'GLOBAL LOG'!$K$6:$K$128,"&lt;&gt;")</f>
        <v>0</v>
      </c>
      <c r="E163" s="14" t="e">
        <f>COUNTIFS('GLOBAL LOG'!$D$6:$D$128,C163,'GLOBAL LOG'!#REF!,"Yes")</f>
        <v>#REF!</v>
      </c>
      <c r="F163" s="14" t="e">
        <f>SUMIF('GLOBAL LOG'!$D$6:$D$128,COUNT!C163,'GLOBAL LOG'!#REF!)</f>
        <v>#REF!</v>
      </c>
      <c r="G163" s="14">
        <f>COUNTIFS('GLOBAL LOG'!$E$6:$E$128,G$10,'GLOBAL LOG'!$D$6:$D$128,$C163)</f>
        <v>0</v>
      </c>
      <c r="H163" s="14">
        <f>COUNTIFS('GLOBAL LOG'!$E$6:$E$128,H$10,'GLOBAL LOG'!$D$6:$D$128,$C163)</f>
        <v>0</v>
      </c>
      <c r="I163" s="14">
        <f>COUNTIFS('GLOBAL LOG'!$E$6:$E$128,I$10,'GLOBAL LOG'!$D$6:$D$128,$C163)</f>
        <v>0</v>
      </c>
      <c r="J163" s="14">
        <f>COUNTIFS('GLOBAL LOG'!$E$6:$E$128,J$10,'GLOBAL LOG'!$D$6:$D$128,$C163)</f>
        <v>0</v>
      </c>
      <c r="K163" s="14">
        <f>COUNTIFS('GLOBAL LOG'!$E$6:$E$128,K$10,'GLOBAL LOG'!$D$6:$D$128,$C163)</f>
        <v>0</v>
      </c>
      <c r="L163" s="14">
        <f>COUNTIFS('GLOBAL LOG'!$E$6:$E$128,L$10,'GLOBAL LOG'!$D$6:$D$128,$C163)</f>
        <v>0</v>
      </c>
      <c r="M163" s="14">
        <f>COUNTIFS('GLOBAL LOG'!$E$6:$E$128,M$10,'GLOBAL LOG'!$D$6:$D$128,$C163)</f>
        <v>0</v>
      </c>
      <c r="N163" s="14" t="e">
        <f>COUNTIFS('GLOBAL LOG'!$D$6:$D$128,$C163,'GLOBAL LOG'!#REF!,"High")</f>
        <v>#REF!</v>
      </c>
      <c r="O163" s="14" t="e">
        <f>COUNTIFS('GLOBAL LOG'!$D$6:$D$128,$C163,'GLOBAL LOG'!#REF!,"Med")</f>
        <v>#REF!</v>
      </c>
      <c r="P163" s="14" t="e">
        <f>COUNTIFS('GLOBAL LOG'!$D$6:$D$128,$C163,'GLOBAL LOG'!#REF!,"Low")</f>
        <v>#REF!</v>
      </c>
      <c r="Q163" s="14" t="e">
        <f>COUNTIFS('GLOBAL LOG'!$D$6:$D$128,$C163,'GLOBAL LOG'!#REF!,"High")</f>
        <v>#REF!</v>
      </c>
      <c r="R163" s="14" t="e">
        <f>COUNTIFS('GLOBAL LOG'!$D$6:$D$128,$C163,'GLOBAL LOG'!#REF!,"Med")</f>
        <v>#REF!</v>
      </c>
      <c r="S163" s="14" t="e">
        <f>COUNTIFS('GLOBAL LOG'!$D$6:$D$128,$C163,'GLOBAL LOG'!#REF!,"Low")</f>
        <v>#REF!</v>
      </c>
      <c r="T163" s="14" t="e">
        <f>COUNTIFS('GLOBAL LOG'!$D$6:$D$128,$C163,'GLOBAL LOG'!#REF!,"Completed")</f>
        <v>#REF!</v>
      </c>
      <c r="U163" s="14" t="e">
        <f>COUNTIFS('GLOBAL LOG'!$D$6:$D$128,$C163,'GLOBAL LOG'!#REF!,"Contracting")</f>
        <v>#REF!</v>
      </c>
      <c r="V163" s="14" t="e">
        <f>COUNTIFS('GLOBAL LOG'!$D$6:$D$128,$C163,'GLOBAL LOG'!#REF!,"Negotiations")</f>
        <v>#REF!</v>
      </c>
      <c r="W163" s="14" t="e">
        <f>COUNTIFS('GLOBAL LOG'!$D$6:$D$128,$C163,'GLOBAL LOG'!#REF!,"ICT")</f>
        <v>#REF!</v>
      </c>
      <c r="X163" s="14" t="e">
        <f>COUNTIFS('GLOBAL LOG'!$D$6:$D$128,$C163,'GLOBAL LOG'!#REF!,"Hopper")</f>
        <v>#REF!</v>
      </c>
      <c r="Y163" s="14">
        <f>SUMIF('GLOBAL LOG'!$D$6:$D$128,$C163,'GLOBAL LOG'!$Q$6:$Q$128)</f>
        <v>0</v>
      </c>
      <c r="Z163" s="14">
        <f>SUMIF('GLOBAL LOG'!$D$6:$D$128,$C163,'GLOBAL LOG'!$R$6:$R$128)</f>
        <v>0</v>
      </c>
      <c r="AA163" s="14">
        <f t="shared" si="4"/>
        <v>0</v>
      </c>
      <c r="AB163" s="14" t="e">
        <f>SUMIF('GLOBAL LOG'!$D$6:$D$128,C163,'GLOBAL LOG'!#REF!)</f>
        <v>#REF!</v>
      </c>
      <c r="AC163" s="6"/>
      <c r="AD163" s="14">
        <v>0</v>
      </c>
      <c r="AE163" s="14" t="e">
        <v>#REF!</v>
      </c>
      <c r="AF163" s="6"/>
      <c r="AG163" s="14">
        <v>0</v>
      </c>
      <c r="AH163" s="14">
        <v>0</v>
      </c>
      <c r="AI163" s="6"/>
      <c r="AJ163" s="14">
        <v>0</v>
      </c>
      <c r="AK163" s="14">
        <v>0</v>
      </c>
      <c r="AL163" s="6"/>
      <c r="AM163" s="14">
        <v>0</v>
      </c>
      <c r="AN163" s="14">
        <v>0</v>
      </c>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row>
    <row r="164" spans="2:97" s="4" customFormat="1" ht="14.65" hidden="1" customHeight="1">
      <c r="B164" s="6"/>
      <c r="C164" s="13"/>
      <c r="D164" s="14">
        <f>COUNTIFS('GLOBAL LOG'!$D$6:$D$128,C164,'GLOBAL LOG'!$K$6:$K$128,"&lt;&gt;")</f>
        <v>0</v>
      </c>
      <c r="E164" s="14" t="e">
        <f>COUNTIFS('GLOBAL LOG'!$D$6:$D$128,C164,'GLOBAL LOG'!#REF!,"Yes")</f>
        <v>#REF!</v>
      </c>
      <c r="F164" s="14" t="e">
        <f>SUMIF('GLOBAL LOG'!$D$6:$D$128,COUNT!C164,'GLOBAL LOG'!#REF!)</f>
        <v>#REF!</v>
      </c>
      <c r="G164" s="14">
        <f>COUNTIFS('GLOBAL LOG'!$E$6:$E$128,G$10,'GLOBAL LOG'!$D$6:$D$128,$C164)</f>
        <v>0</v>
      </c>
      <c r="H164" s="14">
        <f>COUNTIFS('GLOBAL LOG'!$E$6:$E$128,H$10,'GLOBAL LOG'!$D$6:$D$128,$C164)</f>
        <v>0</v>
      </c>
      <c r="I164" s="14">
        <f>COUNTIFS('GLOBAL LOG'!$E$6:$E$128,I$10,'GLOBAL LOG'!$D$6:$D$128,$C164)</f>
        <v>0</v>
      </c>
      <c r="J164" s="14">
        <f>COUNTIFS('GLOBAL LOG'!$E$6:$E$128,J$10,'GLOBAL LOG'!$D$6:$D$128,$C164)</f>
        <v>0</v>
      </c>
      <c r="K164" s="14">
        <f>COUNTIFS('GLOBAL LOG'!$E$6:$E$128,K$10,'GLOBAL LOG'!$D$6:$D$128,$C164)</f>
        <v>0</v>
      </c>
      <c r="L164" s="14">
        <f>COUNTIFS('GLOBAL LOG'!$E$6:$E$128,L$10,'GLOBAL LOG'!$D$6:$D$128,$C164)</f>
        <v>0</v>
      </c>
      <c r="M164" s="14">
        <f>COUNTIFS('GLOBAL LOG'!$E$6:$E$128,M$10,'GLOBAL LOG'!$D$6:$D$128,$C164)</f>
        <v>0</v>
      </c>
      <c r="N164" s="14" t="e">
        <f>COUNTIFS('GLOBAL LOG'!$D$6:$D$128,$C164,'GLOBAL LOG'!#REF!,"High")</f>
        <v>#REF!</v>
      </c>
      <c r="O164" s="14" t="e">
        <f>COUNTIFS('GLOBAL LOG'!$D$6:$D$128,$C164,'GLOBAL LOG'!#REF!,"Med")</f>
        <v>#REF!</v>
      </c>
      <c r="P164" s="14" t="e">
        <f>COUNTIFS('GLOBAL LOG'!$D$6:$D$128,$C164,'GLOBAL LOG'!#REF!,"Low")</f>
        <v>#REF!</v>
      </c>
      <c r="Q164" s="14" t="e">
        <f>COUNTIFS('GLOBAL LOG'!$D$6:$D$128,$C164,'GLOBAL LOG'!#REF!,"High")</f>
        <v>#REF!</v>
      </c>
      <c r="R164" s="14" t="e">
        <f>COUNTIFS('GLOBAL LOG'!$D$6:$D$128,$C164,'GLOBAL LOG'!#REF!,"Med")</f>
        <v>#REF!</v>
      </c>
      <c r="S164" s="14" t="e">
        <f>COUNTIFS('GLOBAL LOG'!$D$6:$D$128,$C164,'GLOBAL LOG'!#REF!,"Low")</f>
        <v>#REF!</v>
      </c>
      <c r="T164" s="14" t="e">
        <f>COUNTIFS('GLOBAL LOG'!$D$6:$D$128,$C164,'GLOBAL LOG'!#REF!,"Completed")</f>
        <v>#REF!</v>
      </c>
      <c r="U164" s="14" t="e">
        <f>COUNTIFS('GLOBAL LOG'!$D$6:$D$128,$C164,'GLOBAL LOG'!#REF!,"Contracting")</f>
        <v>#REF!</v>
      </c>
      <c r="V164" s="14" t="e">
        <f>COUNTIFS('GLOBAL LOG'!$D$6:$D$128,$C164,'GLOBAL LOG'!#REF!,"Negotiations")</f>
        <v>#REF!</v>
      </c>
      <c r="W164" s="14" t="e">
        <f>COUNTIFS('GLOBAL LOG'!$D$6:$D$128,$C164,'GLOBAL LOG'!#REF!,"ICT")</f>
        <v>#REF!</v>
      </c>
      <c r="X164" s="14" t="e">
        <f>COUNTIFS('GLOBAL LOG'!$D$6:$D$128,$C164,'GLOBAL LOG'!#REF!,"Hopper")</f>
        <v>#REF!</v>
      </c>
      <c r="Y164" s="14">
        <f>SUMIF('GLOBAL LOG'!$D$6:$D$128,$C164,'GLOBAL LOG'!$Q$6:$Q$128)</f>
        <v>0</v>
      </c>
      <c r="Z164" s="14">
        <f>SUMIF('GLOBAL LOG'!$D$6:$D$128,$C164,'GLOBAL LOG'!$R$6:$R$128)</f>
        <v>0</v>
      </c>
      <c r="AA164" s="14">
        <f t="shared" si="4"/>
        <v>0</v>
      </c>
      <c r="AB164" s="14" t="e">
        <f>SUMIF('GLOBAL LOG'!$D$6:$D$128,C164,'GLOBAL LOG'!#REF!)</f>
        <v>#REF!</v>
      </c>
      <c r="AC164" s="6"/>
      <c r="AD164" s="14">
        <v>0</v>
      </c>
      <c r="AE164" s="14" t="e">
        <v>#REF!</v>
      </c>
      <c r="AF164" s="6"/>
      <c r="AG164" s="14">
        <v>0</v>
      </c>
      <c r="AH164" s="14">
        <v>0</v>
      </c>
      <c r="AI164" s="6"/>
      <c r="AJ164" s="14">
        <v>0</v>
      </c>
      <c r="AK164" s="14">
        <v>0</v>
      </c>
      <c r="AL164" s="6"/>
      <c r="AM164" s="14">
        <v>0</v>
      </c>
      <c r="AN164" s="14">
        <v>0</v>
      </c>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row>
    <row r="165" spans="2:97" ht="15" thickBot="1">
      <c r="B165"/>
      <c r="C165"/>
      <c r="D165" s="3"/>
      <c r="E165" s="3"/>
      <c r="F165" s="3"/>
      <c r="G165" s="3"/>
      <c r="H165" s="3"/>
      <c r="I165" s="3"/>
      <c r="J165" s="3"/>
      <c r="K165" s="3"/>
      <c r="L165" s="3"/>
      <c r="M165" s="3"/>
      <c r="N165" s="3"/>
      <c r="O165" s="3"/>
      <c r="P165" s="3"/>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row>
    <row r="166" spans="2:97" ht="15" thickBot="1">
      <c r="B166"/>
      <c r="C166" s="206" t="s">
        <v>307</v>
      </c>
      <c r="D166" s="207"/>
      <c r="E166" s="3"/>
      <c r="F166" s="3"/>
      <c r="G166" s="3"/>
      <c r="H166" s="3"/>
      <c r="I166" s="3"/>
      <c r="J166" s="3"/>
      <c r="K166" s="3"/>
      <c r="L166" s="3"/>
      <c r="M166" s="3"/>
      <c r="N166" s="3"/>
      <c r="O166" s="3"/>
      <c r="P166" s="3"/>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row>
    <row r="167" spans="2:97">
      <c r="B167"/>
      <c r="C167"/>
      <c r="D167" s="3"/>
      <c r="E167" s="3"/>
      <c r="F167" s="3"/>
      <c r="G167" s="3"/>
      <c r="H167" s="3"/>
      <c r="I167" s="3"/>
      <c r="J167" s="3"/>
      <c r="K167" s="3"/>
      <c r="L167" s="3"/>
      <c r="M167" s="3"/>
      <c r="N167" s="3"/>
      <c r="O167" s="3"/>
      <c r="P167" s="3"/>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row>
    <row r="168" spans="2:97">
      <c r="B168"/>
      <c r="C168" s="11" t="s">
        <v>308</v>
      </c>
      <c r="D168" s="11" t="s">
        <v>309</v>
      </c>
      <c r="E168" s="11">
        <v>2026</v>
      </c>
      <c r="F168" s="11">
        <v>2027</v>
      </c>
      <c r="G168" s="11" t="s">
        <v>310</v>
      </c>
      <c r="H168" s="11" t="s">
        <v>311</v>
      </c>
      <c r="I168" s="11" t="s">
        <v>312</v>
      </c>
      <c r="J168" s="11" t="s">
        <v>313</v>
      </c>
      <c r="K168" s="11" t="s">
        <v>314</v>
      </c>
      <c r="L168" s="11" t="s">
        <v>315</v>
      </c>
      <c r="M168" s="11" t="s">
        <v>316</v>
      </c>
      <c r="N168" s="11" t="s">
        <v>317</v>
      </c>
      <c r="O168" s="11" t="s">
        <v>318</v>
      </c>
      <c r="P168" s="11" t="s">
        <v>319</v>
      </c>
      <c r="Q168" s="11" t="s">
        <v>320</v>
      </c>
      <c r="R168" s="3"/>
      <c r="S168" s="11" t="s">
        <v>321</v>
      </c>
      <c r="T168" s="11" t="s">
        <v>303</v>
      </c>
      <c r="U168"/>
      <c r="V168" s="11" t="s">
        <v>321</v>
      </c>
      <c r="W168" s="11" t="s">
        <v>304</v>
      </c>
      <c r="X168"/>
      <c r="Y168" s="11" t="s">
        <v>321</v>
      </c>
      <c r="Z168" s="11" t="s">
        <v>305</v>
      </c>
      <c r="AA168"/>
      <c r="AB168" s="11" t="s">
        <v>321</v>
      </c>
      <c r="AC168" s="11" t="s">
        <v>306</v>
      </c>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row>
    <row r="169" spans="2:97">
      <c r="B169"/>
      <c r="C169" s="15" t="str" cm="1">
        <f t="array" ref="C169:C291">IF(_xlfn._xlws.FILTER('GLOBAL LOG'!D6:D128,TRUE)=0,"",'GLOBAL LOG'!D6:D128)&amp;" "&amp;IF(_xlfn._xlws.FILTER('GLOBAL LOG'!K6:K128,TRUE)=0,"",'GLOBAL LOG'!K6:K128)</f>
        <v>FedEx Corporation FedEx - agreement/amendment to unadministrable TotalCare clauses and incentivisation of SV inductions - RB211-535</v>
      </c>
      <c r="D169" s="23" t="e" cm="1">
        <f t="array" ref="D169">_xlfn._xlws.FILTER('GLOBAL LOG'!#REF!,TRUE,"-")</f>
        <v>#REF!</v>
      </c>
      <c r="E169" s="23" cm="1">
        <f t="array" ref="E169:E291">_xlfn._xlws.FILTER('GLOBAL LOG'!Q6:Q128,TRUE,"-")</f>
        <v>6.43</v>
      </c>
      <c r="F169" s="23" cm="1">
        <f t="array" ref="F169:F291">_xlfn._xlws.FILTER('GLOBAL LOG'!R6:R128,TRUE,"-")</f>
        <v>6.96</v>
      </c>
      <c r="G169" s="23">
        <f>E169+F169</f>
        <v>13.39</v>
      </c>
      <c r="H169" s="23" t="e" cm="1">
        <f t="array" ref="H169">INDEX('GLOBAL LOG'!#REF!,ROW()-169+15)</f>
        <v>#REF!</v>
      </c>
      <c r="I169" s="23" t="e">
        <f>_xlfn.XLOOKUP(H169,#REF!,#REF!,"",0,1)</f>
        <v>#REF!</v>
      </c>
      <c r="J169" s="23" t="str">
        <f>IFERROR(I169*#REF!,"")</f>
        <v/>
      </c>
      <c r="K169" s="23" t="e" cm="1">
        <f t="array" ref="K169">INDEX('GLOBAL LOG'!#REF!,ROW()-169+15)</f>
        <v>#REF!</v>
      </c>
      <c r="L169" s="23" t="e">
        <f>_xlfn.XLOOKUP(K169,#REF!,#REF!,"",0,1)</f>
        <v>#REF!</v>
      </c>
      <c r="M169" s="23" t="str">
        <f>IFERROR(L169*#REF!,"")</f>
        <v/>
      </c>
      <c r="N169" s="23">
        <f>IFERROR(D169*J169*M169,-1)</f>
        <v>-1</v>
      </c>
      <c r="O169" s="23">
        <f t="shared" ref="O169:O1135" si="5">IFERROR(E169*J169*M169,-1)</f>
        <v>-1</v>
      </c>
      <c r="P169" s="23">
        <f t="shared" ref="P169:P1135" si="6">IFERROR(F169*J169*M169,-1)</f>
        <v>-1</v>
      </c>
      <c r="Q169" s="24">
        <f t="shared" ref="Q169:Q1135" si="7">IFERROR(G169*J169*M169,-1)</f>
        <v>-1</v>
      </c>
      <c r="R169" s="3"/>
      <c r="S169" s="1" t="str" cm="1">
        <f t="array" ref="S169:S1189">_xlfn.SORTBY(C169:C1189,N169:N1189,-1)</f>
        <v>FedEx Corporation FedEx - agreement/amendment to unadministrable TotalCare clauses and incentivisation of SV inductions - RB211-535</v>
      </c>
      <c r="T169" s="24" cm="1">
        <f t="array" ref="T169:T1189">_xlfn.SORTBY(N169:N1189,N169:N1189,-1)</f>
        <v>-1</v>
      </c>
      <c r="U169"/>
      <c r="V169" s="1" t="str" cm="1">
        <f t="array" ref="V169:V1189">_xlfn.SORTBY(C169:C1189,O169:O1189,-1)</f>
        <v>FedEx Corporation FedEx - agreement/amendment to unadministrable TotalCare clauses and incentivisation of SV inductions - RB211-535</v>
      </c>
      <c r="W169" s="24" cm="1">
        <f t="array" ref="W169:W1189">_xlfn.SORTBY(O169:O1189,O169:O1189,-1)</f>
        <v>-1</v>
      </c>
      <c r="X169"/>
      <c r="Y169" s="1" t="str" cm="1">
        <f t="array" ref="Y169:Y1189">_xlfn.SORTBY(C169:C1189,P169:P1189,-1)</f>
        <v>FedEx Corporation FedEx - agreement/amendment to unadministrable TotalCare clauses and incentivisation of SV inductions - RB211-535</v>
      </c>
      <c r="Z169" s="24" cm="1">
        <f t="array" ref="Z169:Z1189">_xlfn.SORTBY(P169:P1189,P169:P1189,-1)</f>
        <v>-1</v>
      </c>
      <c r="AA169"/>
      <c r="AB169" s="1" t="str" cm="1">
        <f t="array" ref="AB169:AB1189">_xlfn.SORTBY(C169:C1189,Q169:Q1189,-1)</f>
        <v>FedEx Corporation FedEx - agreement/amendment to unadministrable TotalCare clauses and incentivisation of SV inductions - RB211-535</v>
      </c>
      <c r="AC169" s="24" cm="1">
        <f t="array" ref="AC169:AC1189">_xlfn.SORTBY(Q169:Q1189,Q169:Q1189,-1)</f>
        <v>-1</v>
      </c>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row>
    <row r="170" spans="2:97">
      <c r="B170"/>
      <c r="C170" s="15" t="str">
        <v>American Airlines  American Airlines requested input on longer extension to 2035</v>
      </c>
      <c r="D170" s="23"/>
      <c r="E170" s="23">
        <v>0</v>
      </c>
      <c r="F170" s="23">
        <v>0</v>
      </c>
      <c r="G170" s="23">
        <f t="shared" ref="G170:G233" si="8">E170+F170</f>
        <v>0</v>
      </c>
      <c r="H170" s="23" t="e" cm="1">
        <f t="array" ref="H170">INDEX('GLOBAL LOG'!#REF!,ROW()-169+15)</f>
        <v>#REF!</v>
      </c>
      <c r="I170" s="23" t="e">
        <f>_xlfn.XLOOKUP(H170,#REF!,#REF!,"",0,1)</f>
        <v>#REF!</v>
      </c>
      <c r="J170" s="23" t="str">
        <f>IFERROR(I170*#REF!,"")</f>
        <v/>
      </c>
      <c r="K170" s="23" t="e" cm="1">
        <f t="array" ref="K170">INDEX('GLOBAL LOG'!#REF!,ROW()-169+15)</f>
        <v>#REF!</v>
      </c>
      <c r="L170" s="23" t="e">
        <f>_xlfn.XLOOKUP(K170,#REF!,#REF!,"",0,1)</f>
        <v>#REF!</v>
      </c>
      <c r="M170" s="23" t="str">
        <f>IFERROR(L170*#REF!,"")</f>
        <v/>
      </c>
      <c r="N170" s="23">
        <f t="shared" ref="N170:N233" si="9">IFERROR(D170*J170*M170,-1)</f>
        <v>-1</v>
      </c>
      <c r="O170" s="23">
        <f t="shared" ref="O170:O233" si="10">IFERROR(E170*J170*M170,-1)</f>
        <v>-1</v>
      </c>
      <c r="P170" s="23">
        <f t="shared" ref="P170:P233" si="11">IFERROR(F170*J170*M170,-1)</f>
        <v>-1</v>
      </c>
      <c r="Q170" s="24">
        <f t="shared" ref="Q170:Q233" si="12">IFERROR(G170*J170*M170,-1)</f>
        <v>-1</v>
      </c>
      <c r="R170" s="3"/>
      <c r="S170" s="1" t="str">
        <v>American Airlines  American Airlines requested input on longer extension to 2035</v>
      </c>
      <c r="T170" s="24">
        <v>-1</v>
      </c>
      <c r="U170"/>
      <c r="V170" s="1" t="str">
        <v>American Airlines  American Airlines requested input on longer extension to 2035</v>
      </c>
      <c r="W170" s="24">
        <v>-1</v>
      </c>
      <c r="X170"/>
      <c r="Y170" s="1" t="str">
        <v>American Airlines  American Airlines requested input on longer extension to 2035</v>
      </c>
      <c r="Z170" s="24">
        <v>-1</v>
      </c>
      <c r="AA170"/>
      <c r="AB170" s="1" t="str">
        <v>American Airlines  American Airlines requested input on longer extension to 2035</v>
      </c>
      <c r="AC170" s="24">
        <v>-1</v>
      </c>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row>
    <row r="171" spans="2:97">
      <c r="B171"/>
      <c r="C171" s="15" t="str">
        <v xml:space="preserve">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
Apr 2026 - Senior engagement at AIX, awaiting feedback before next steps, possible adjustment pending ICT confirmation. </v>
      </c>
      <c r="D171" s="23"/>
      <c r="E171" s="23" t="str">
        <v>tbc</v>
      </c>
      <c r="F171" s="23" t="str">
        <v>Confirm with Harry</v>
      </c>
      <c r="G171" s="23" t="e">
        <f t="shared" si="8"/>
        <v>#VALUE!</v>
      </c>
      <c r="H171" s="23" t="e" cm="1">
        <f t="array" ref="H171">INDEX('GLOBAL LOG'!#REF!,ROW()-169+15)</f>
        <v>#REF!</v>
      </c>
      <c r="I171" s="23" t="e">
        <f>_xlfn.XLOOKUP(H171,#REF!,#REF!,"",0,1)</f>
        <v>#REF!</v>
      </c>
      <c r="J171" s="23" t="str">
        <f>IFERROR(I171*#REF!,"")</f>
        <v/>
      </c>
      <c r="K171" s="23" t="e" cm="1">
        <f t="array" ref="K171">INDEX('GLOBAL LOG'!#REF!,ROW()-169+15)</f>
        <v>#REF!</v>
      </c>
      <c r="L171" s="23" t="e">
        <f>_xlfn.XLOOKUP(K171,#REF!,#REF!,"",0,1)</f>
        <v>#REF!</v>
      </c>
      <c r="M171" s="23" t="str">
        <f>IFERROR(L171*#REF!,"")</f>
        <v/>
      </c>
      <c r="N171" s="23">
        <f t="shared" si="9"/>
        <v>-1</v>
      </c>
      <c r="O171" s="23">
        <f t="shared" si="10"/>
        <v>-1</v>
      </c>
      <c r="P171" s="23">
        <f t="shared" si="11"/>
        <v>-1</v>
      </c>
      <c r="Q171" s="24">
        <f t="shared" si="12"/>
        <v>-1</v>
      </c>
      <c r="R171" s="3"/>
      <c r="S171" s="1" t="str">
        <v xml:space="preserve">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
Apr 2026 - Senior engagement at AIX, awaiting feedback before next steps, possible adjustment pending ICT confirmation. </v>
      </c>
      <c r="T171" s="24">
        <v>-1</v>
      </c>
      <c r="U171"/>
      <c r="V171" s="1" t="str">
        <v xml:space="preserve">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
Apr 2026 - Senior engagement at AIX, awaiting feedback before next steps, possible adjustment pending ICT confirmation. </v>
      </c>
      <c r="W171" s="24">
        <v>-1</v>
      </c>
      <c r="X171"/>
      <c r="Y171" s="1" t="str">
        <v xml:space="preserve">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
Apr 2026 - Senior engagement at AIX, awaiting feedback before next steps, possible adjustment pending ICT confirmation. </v>
      </c>
      <c r="Z171" s="24">
        <v>-1</v>
      </c>
      <c r="AA171"/>
      <c r="AB171" s="1" t="str">
        <v xml:space="preserve">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
Apr 2026 - Senior engagement at AIX, awaiting feedback before next steps, possible adjustment pending ICT confirmation. </v>
      </c>
      <c r="AC171" s="24">
        <v>-1</v>
      </c>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row>
    <row r="172" spans="2:97">
      <c r="B172"/>
      <c r="C172" s="15" t="str">
        <v>Emirates Finiq 2 - 3 year-extension + LRU Management + 23 a/c.
Term benefit includes a % of DI7</v>
      </c>
      <c r="D172" s="23"/>
      <c r="E172" s="23">
        <v>0</v>
      </c>
      <c r="F172" s="23" t="str">
        <v/>
      </c>
      <c r="G172" s="23" t="e">
        <f t="shared" si="8"/>
        <v>#VALUE!</v>
      </c>
      <c r="H172" s="23" t="e" cm="1">
        <f t="array" ref="H172">INDEX('GLOBAL LOG'!#REF!,ROW()-169+15)</f>
        <v>#REF!</v>
      </c>
      <c r="I172" s="23" t="e">
        <f>_xlfn.XLOOKUP(H172,#REF!,#REF!,"",0,1)</f>
        <v>#REF!</v>
      </c>
      <c r="J172" s="23" t="str">
        <f>IFERROR(I172*#REF!,"")</f>
        <v/>
      </c>
      <c r="K172" s="23" t="e" cm="1">
        <f t="array" ref="K172">INDEX('GLOBAL LOG'!#REF!,ROW()-169+15)</f>
        <v>#REF!</v>
      </c>
      <c r="L172" s="23" t="e">
        <f>_xlfn.XLOOKUP(K172,#REF!,#REF!,"",0,1)</f>
        <v>#REF!</v>
      </c>
      <c r="M172" s="23" t="str">
        <f>IFERROR(L172*#REF!,"")</f>
        <v/>
      </c>
      <c r="N172" s="23">
        <f t="shared" si="9"/>
        <v>-1</v>
      </c>
      <c r="O172" s="23">
        <f t="shared" si="10"/>
        <v>-1</v>
      </c>
      <c r="P172" s="23">
        <f t="shared" si="11"/>
        <v>-1</v>
      </c>
      <c r="Q172" s="24">
        <f t="shared" si="12"/>
        <v>-1</v>
      </c>
      <c r="R172" s="3"/>
      <c r="S172" s="1" t="str">
        <v>Emirates Finiq 2 - 3 year-extension + LRU Management + 23 a/c.
Term benefit includes a % of DI7</v>
      </c>
      <c r="T172" s="24">
        <v>-1</v>
      </c>
      <c r="U172"/>
      <c r="V172" s="1" t="str">
        <v>Emirates Finiq 2 - 3 year-extension + LRU Management + 23 a/c.
Term benefit includes a % of DI7</v>
      </c>
      <c r="W172" s="24">
        <v>-1</v>
      </c>
      <c r="X172"/>
      <c r="Y172" s="1" t="str">
        <v>Emirates Finiq 2 - 3 year-extension + LRU Management + 23 a/c.
Term benefit includes a % of DI7</v>
      </c>
      <c r="Z172" s="24">
        <v>-1</v>
      </c>
      <c r="AA172"/>
      <c r="AB172" s="1" t="str">
        <v>Emirates Finiq 2 - 3 year-extension + LRU Management + 23 a/c.
Term benefit includes a % of DI7</v>
      </c>
      <c r="AC172" s="24">
        <v>-1</v>
      </c>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row>
    <row r="173" spans="2:97">
      <c r="B173"/>
      <c r="C173" s="15" t="str">
        <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v>
      </c>
      <c r="D173" s="23"/>
      <c r="E173" s="23">
        <v>24</v>
      </c>
      <c r="F173" s="23" t="str">
        <v>Confirm with Harry</v>
      </c>
      <c r="G173" s="23" t="e">
        <f t="shared" si="8"/>
        <v>#VALUE!</v>
      </c>
      <c r="H173" s="23" t="e" cm="1">
        <f t="array" ref="H173">INDEX('GLOBAL LOG'!#REF!,ROW()-169+15)</f>
        <v>#REF!</v>
      </c>
      <c r="I173" s="23" t="e">
        <f>_xlfn.XLOOKUP(H173,#REF!,#REF!,"",0,1)</f>
        <v>#REF!</v>
      </c>
      <c r="J173" s="23" t="str">
        <f>IFERROR(I173*#REF!,"")</f>
        <v/>
      </c>
      <c r="K173" s="23" t="e" cm="1">
        <f t="array" ref="K173">INDEX('GLOBAL LOG'!#REF!,ROW()-169+15)</f>
        <v>#REF!</v>
      </c>
      <c r="L173" s="23" t="e">
        <f>_xlfn.XLOOKUP(K173,#REF!,#REF!,"",0,1)</f>
        <v>#REF!</v>
      </c>
      <c r="M173" s="23" t="str">
        <f>IFERROR(L173*#REF!,"")</f>
        <v/>
      </c>
      <c r="N173" s="23">
        <f t="shared" si="9"/>
        <v>-1</v>
      </c>
      <c r="O173" s="23">
        <f t="shared" si="10"/>
        <v>-1</v>
      </c>
      <c r="P173" s="23">
        <f t="shared" si="11"/>
        <v>-1</v>
      </c>
      <c r="Q173" s="24">
        <f t="shared" si="12"/>
        <v>-1</v>
      </c>
      <c r="R173" s="3"/>
      <c r="S173" s="1" t="str">
        <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v>
      </c>
      <c r="T173" s="24">
        <v>-1</v>
      </c>
      <c r="U173"/>
      <c r="V173" s="1" t="str">
        <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v>
      </c>
      <c r="W173" s="24">
        <v>-1</v>
      </c>
      <c r="X173"/>
      <c r="Y173" s="1" t="str">
        <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v>
      </c>
      <c r="Z173" s="24">
        <v>-1</v>
      </c>
      <c r="AA173"/>
      <c r="AB173" s="1" t="str">
        <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v>
      </c>
      <c r="AC173" s="24">
        <v>-1</v>
      </c>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row>
    <row r="174" spans="2:97">
      <c r="B174"/>
      <c r="C174" s="15" t="str">
        <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v>
      </c>
      <c r="D174" s="23"/>
      <c r="E174" s="23">
        <v>10</v>
      </c>
      <c r="F174" s="23">
        <v>6</v>
      </c>
      <c r="G174" s="23">
        <f t="shared" si="8"/>
        <v>16</v>
      </c>
      <c r="H174" s="23" t="e" cm="1">
        <f t="array" ref="H174">INDEX('GLOBAL LOG'!#REF!,ROW()-169+15)</f>
        <v>#REF!</v>
      </c>
      <c r="I174" s="23" t="e">
        <f>_xlfn.XLOOKUP(H174,#REF!,#REF!,"",0,1)</f>
        <v>#REF!</v>
      </c>
      <c r="J174" s="23" t="str">
        <f>IFERROR(I174*#REF!,"")</f>
        <v/>
      </c>
      <c r="K174" s="23" t="e" cm="1">
        <f t="array" ref="K174">INDEX('GLOBAL LOG'!#REF!,ROW()-169+15)</f>
        <v>#REF!</v>
      </c>
      <c r="L174" s="23" t="e">
        <f>_xlfn.XLOOKUP(K174,#REF!,#REF!,"",0,1)</f>
        <v>#REF!</v>
      </c>
      <c r="M174" s="23" t="str">
        <f>IFERROR(L174*#REF!,"")</f>
        <v/>
      </c>
      <c r="N174" s="23">
        <f t="shared" si="9"/>
        <v>-1</v>
      </c>
      <c r="O174" s="23">
        <f t="shared" si="10"/>
        <v>-1</v>
      </c>
      <c r="P174" s="23">
        <f t="shared" si="11"/>
        <v>-1</v>
      </c>
      <c r="Q174" s="24">
        <f t="shared" si="12"/>
        <v>-1</v>
      </c>
      <c r="R174" s="3"/>
      <c r="S174" s="1" t="str">
        <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v>
      </c>
      <c r="T174" s="24">
        <v>-1</v>
      </c>
      <c r="U174"/>
      <c r="V174" s="1" t="str">
        <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v>
      </c>
      <c r="W174" s="24">
        <v>-1</v>
      </c>
      <c r="X174"/>
      <c r="Y174" s="1" t="str">
        <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v>
      </c>
      <c r="Z174" s="24">
        <v>-1</v>
      </c>
      <c r="AA174"/>
      <c r="AB174" s="1" t="str">
        <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v>
      </c>
      <c r="AC174" s="24">
        <v>-1</v>
      </c>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row>
    <row r="175" spans="2:97">
      <c r="B175"/>
      <c r="C175" s="15" t="str">
        <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v>
      </c>
      <c r="D175" s="23"/>
      <c r="E175" s="23">
        <v>80</v>
      </c>
      <c r="F175" s="23" t="str">
        <v>Confirm with Bobby</v>
      </c>
      <c r="G175" s="23" t="e">
        <f t="shared" si="8"/>
        <v>#VALUE!</v>
      </c>
      <c r="H175" s="23" t="e" cm="1">
        <f t="array" ref="H175">INDEX('GLOBAL LOG'!#REF!,ROW()-169+15)</f>
        <v>#REF!</v>
      </c>
      <c r="I175" s="23" t="e">
        <f>_xlfn.XLOOKUP(H175,#REF!,#REF!,"",0,1)</f>
        <v>#REF!</v>
      </c>
      <c r="J175" s="23" t="str">
        <f>IFERROR(I175*#REF!,"")</f>
        <v/>
      </c>
      <c r="K175" s="23" t="e" cm="1">
        <f t="array" ref="K175">INDEX('GLOBAL LOG'!#REF!,ROW()-169+15)</f>
        <v>#REF!</v>
      </c>
      <c r="L175" s="23" t="e">
        <f>_xlfn.XLOOKUP(K175,#REF!,#REF!,"",0,1)</f>
        <v>#REF!</v>
      </c>
      <c r="M175" s="23" t="str">
        <f>IFERROR(L175*#REF!,"")</f>
        <v/>
      </c>
      <c r="N175" s="23">
        <f t="shared" si="9"/>
        <v>-1</v>
      </c>
      <c r="O175" s="23">
        <f t="shared" si="10"/>
        <v>-1</v>
      </c>
      <c r="P175" s="23">
        <f t="shared" si="11"/>
        <v>-1</v>
      </c>
      <c r="Q175" s="24">
        <f t="shared" si="12"/>
        <v>-1</v>
      </c>
      <c r="R175" s="3"/>
      <c r="S175" s="1" t="str">
        <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v>
      </c>
      <c r="T175" s="24">
        <v>-1</v>
      </c>
      <c r="U175"/>
      <c r="V175" s="1" t="str">
        <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v>
      </c>
      <c r="W175" s="24">
        <v>-1</v>
      </c>
      <c r="X175"/>
      <c r="Y175" s="1" t="str">
        <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v>
      </c>
      <c r="Z175" s="24">
        <v>-1</v>
      </c>
      <c r="AA175"/>
      <c r="AB175" s="1" t="str">
        <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v>
      </c>
      <c r="AC175" s="24">
        <v>-1</v>
      </c>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row>
    <row r="176" spans="2:97">
      <c r="B176"/>
      <c r="C176" s="15" t="str">
        <v>Emirates Pantheon - Trent 900 Full MRO for improved CRP</v>
      </c>
      <c r="D176" s="23"/>
      <c r="E176" s="23">
        <v>0</v>
      </c>
      <c r="F176" s="23" t="str">
        <v/>
      </c>
      <c r="G176" s="23" t="e">
        <f t="shared" si="8"/>
        <v>#VALUE!</v>
      </c>
      <c r="H176" s="23" t="e" cm="1">
        <f t="array" ref="H176">INDEX('GLOBAL LOG'!#REF!,ROW()-169+15)</f>
        <v>#REF!</v>
      </c>
      <c r="I176" s="23" t="e">
        <f>_xlfn.XLOOKUP(H176,#REF!,#REF!,"",0,1)</f>
        <v>#REF!</v>
      </c>
      <c r="J176" s="23" t="str">
        <f>IFERROR(I176*#REF!,"")</f>
        <v/>
      </c>
      <c r="K176" s="23" t="e" cm="1">
        <f t="array" ref="K176">INDEX('GLOBAL LOG'!#REF!,ROW()-169+15)</f>
        <v>#REF!</v>
      </c>
      <c r="L176" s="23" t="e">
        <f>_xlfn.XLOOKUP(K176,#REF!,#REF!,"",0,1)</f>
        <v>#REF!</v>
      </c>
      <c r="M176" s="23" t="str">
        <f>IFERROR(L176*#REF!,"")</f>
        <v/>
      </c>
      <c r="N176" s="23">
        <f t="shared" si="9"/>
        <v>-1</v>
      </c>
      <c r="O176" s="23">
        <f t="shared" si="10"/>
        <v>-1</v>
      </c>
      <c r="P176" s="23">
        <f t="shared" si="11"/>
        <v>-1</v>
      </c>
      <c r="Q176" s="24">
        <f t="shared" si="12"/>
        <v>-1</v>
      </c>
      <c r="R176" s="3"/>
      <c r="S176" s="1" t="str">
        <v>Emirates Pantheon - Trent 900 Full MRO for improved CRP</v>
      </c>
      <c r="T176" s="24">
        <v>-1</v>
      </c>
      <c r="U176"/>
      <c r="V176" s="1" t="str">
        <v>Emirates Pantheon - Trent 900 Full MRO for improved CRP</v>
      </c>
      <c r="W176" s="24">
        <v>-1</v>
      </c>
      <c r="X176"/>
      <c r="Y176" s="1" t="str">
        <v>Emirates Pantheon - Trent 900 Full MRO for improved CRP</v>
      </c>
      <c r="Z176" s="24">
        <v>-1</v>
      </c>
      <c r="AA176"/>
      <c r="AB176" s="1" t="str">
        <v>Emirates Pantheon - Trent 900 Full MRO for improved CRP</v>
      </c>
      <c r="AC176" s="24">
        <v>-1</v>
      </c>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row>
    <row r="177" spans="2:97">
      <c r="B177"/>
      <c r="C177" s="15" t="str">
        <v>British Airways  Life Min Term extension to 24 years for owned a/c and 12 years for leased a/c, plus removal of EoCL for a $/efh discount on both Engine &amp; LLPs.</v>
      </c>
      <c r="D177" s="23"/>
      <c r="E177" s="23">
        <v>0</v>
      </c>
      <c r="F177" s="23">
        <v>0</v>
      </c>
      <c r="G177" s="23">
        <f t="shared" si="8"/>
        <v>0</v>
      </c>
      <c r="H177" s="23" t="e" cm="1">
        <f t="array" ref="H177">INDEX('GLOBAL LOG'!#REF!,ROW()-169+15)</f>
        <v>#REF!</v>
      </c>
      <c r="I177" s="23" t="e">
        <f>_xlfn.XLOOKUP(H177,#REF!,#REF!,"",0,1)</f>
        <v>#REF!</v>
      </c>
      <c r="J177" s="23" t="str">
        <f>IFERROR(I177*#REF!,"")</f>
        <v/>
      </c>
      <c r="K177" s="23" t="e" cm="1">
        <f t="array" ref="K177">INDEX('GLOBAL LOG'!#REF!,ROW()-169+15)</f>
        <v>#REF!</v>
      </c>
      <c r="L177" s="23" t="e">
        <f>_xlfn.XLOOKUP(K177,#REF!,#REF!,"",0,1)</f>
        <v>#REF!</v>
      </c>
      <c r="M177" s="23" t="str">
        <f>IFERROR(L177*#REF!,"")</f>
        <v/>
      </c>
      <c r="N177" s="23">
        <f t="shared" si="9"/>
        <v>-1</v>
      </c>
      <c r="O177" s="23">
        <f t="shared" si="10"/>
        <v>-1</v>
      </c>
      <c r="P177" s="23">
        <f t="shared" si="11"/>
        <v>-1</v>
      </c>
      <c r="Q177" s="24">
        <f t="shared" si="12"/>
        <v>-1</v>
      </c>
      <c r="R177" s="3"/>
      <c r="S177" s="1" t="str">
        <v>British Airways  Life Min Term extension to 24 years for owned a/c and 12 years for leased a/c, plus removal of EoCL for a $/efh discount on both Engine &amp; LLPs.</v>
      </c>
      <c r="T177" s="24">
        <v>-1</v>
      </c>
      <c r="U177"/>
      <c r="V177" s="1" t="str">
        <v>British Airways  Life Min Term extension to 24 years for owned a/c and 12 years for leased a/c, plus removal of EoCL for a $/efh discount on both Engine &amp; LLPs.</v>
      </c>
      <c r="W177" s="24">
        <v>-1</v>
      </c>
      <c r="X177"/>
      <c r="Y177" s="1" t="str">
        <v>British Airways  Life Min Term extension to 24 years for owned a/c and 12 years for leased a/c, plus removal of EoCL for a $/efh discount on both Engine &amp; LLPs.</v>
      </c>
      <c r="Z177" s="24">
        <v>-1</v>
      </c>
      <c r="AA177"/>
      <c r="AB177" s="1" t="str">
        <v>British Airways  Life Min Term extension to 24 years for owned a/c and 12 years for leased a/c, plus removal of EoCL for a $/efh discount on both Engine &amp; LLPs.</v>
      </c>
      <c r="AC177" s="24">
        <v>-1</v>
      </c>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row>
    <row r="178" spans="2:97">
      <c r="B178"/>
      <c r="C178" s="15" t="str">
        <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v>
      </c>
      <c r="D178" s="23"/>
      <c r="E178" s="23">
        <v>20</v>
      </c>
      <c r="F178" s="23">
        <v>2</v>
      </c>
      <c r="G178" s="23">
        <f t="shared" si="8"/>
        <v>22</v>
      </c>
      <c r="H178" s="23" t="e" cm="1">
        <f t="array" ref="H178">INDEX('GLOBAL LOG'!#REF!,ROW()-169+15)</f>
        <v>#REF!</v>
      </c>
      <c r="I178" s="23" t="e">
        <f>_xlfn.XLOOKUP(H178,#REF!,#REF!,"",0,1)</f>
        <v>#REF!</v>
      </c>
      <c r="J178" s="23" t="str">
        <f>IFERROR(I178*#REF!,"")</f>
        <v/>
      </c>
      <c r="K178" s="23" t="e" cm="1">
        <f t="array" ref="K178">INDEX('GLOBAL LOG'!#REF!,ROW()-169+15)</f>
        <v>#REF!</v>
      </c>
      <c r="L178" s="23" t="e">
        <f>_xlfn.XLOOKUP(K178,#REF!,#REF!,"",0,1)</f>
        <v>#REF!</v>
      </c>
      <c r="M178" s="23" t="str">
        <f>IFERROR(L178*#REF!,"")</f>
        <v/>
      </c>
      <c r="N178" s="23">
        <f t="shared" si="9"/>
        <v>-1</v>
      </c>
      <c r="O178" s="23">
        <f t="shared" si="10"/>
        <v>-1</v>
      </c>
      <c r="P178" s="23">
        <f t="shared" si="11"/>
        <v>-1</v>
      </c>
      <c r="Q178" s="24">
        <f t="shared" si="12"/>
        <v>-1</v>
      </c>
      <c r="R178" s="3"/>
      <c r="S178" s="1" t="str">
        <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v>
      </c>
      <c r="T178" s="24">
        <v>-1</v>
      </c>
      <c r="U178"/>
      <c r="V178" s="1" t="str">
        <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v>
      </c>
      <c r="W178" s="24">
        <v>-1</v>
      </c>
      <c r="X178"/>
      <c r="Y178" s="1" t="str">
        <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v>
      </c>
      <c r="Z178" s="24">
        <v>-1</v>
      </c>
      <c r="AA178"/>
      <c r="AB178" s="1" t="str">
        <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v>
      </c>
      <c r="AC178" s="24">
        <v>-1</v>
      </c>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row>
    <row r="179" spans="2:97">
      <c r="B179"/>
      <c r="C179" s="15" t="str">
        <v>World2Fly  Min term extension (life) - 1 a/c exit from 2026. 5yr term but 12yr lease term. Contract extension in 2025
Plus sell used SPE to reduce NDSES costs in CRP (Minimal but supports the OE sale)</v>
      </c>
      <c r="D179" s="23"/>
      <c r="E179" s="23">
        <v>0</v>
      </c>
      <c r="F179" s="23">
        <v>0</v>
      </c>
      <c r="G179" s="23">
        <f t="shared" si="8"/>
        <v>0</v>
      </c>
      <c r="H179" s="23" t="e" cm="1">
        <f t="array" ref="H179">INDEX('GLOBAL LOG'!#REF!,ROW()-169+15)</f>
        <v>#REF!</v>
      </c>
      <c r="I179" s="23" t="e">
        <f>_xlfn.XLOOKUP(H179,#REF!,#REF!,"",0,1)</f>
        <v>#REF!</v>
      </c>
      <c r="J179" s="23" t="str">
        <f>IFERROR(I179*#REF!,"")</f>
        <v/>
      </c>
      <c r="K179" s="23" t="e" cm="1">
        <f t="array" ref="K179">INDEX('GLOBAL LOG'!#REF!,ROW()-169+15)</f>
        <v>#REF!</v>
      </c>
      <c r="L179" s="23" t="e">
        <f>_xlfn.XLOOKUP(K179,#REF!,#REF!,"",0,1)</f>
        <v>#REF!</v>
      </c>
      <c r="M179" s="23" t="str">
        <f>IFERROR(L179*#REF!,"")</f>
        <v/>
      </c>
      <c r="N179" s="23">
        <f t="shared" si="9"/>
        <v>-1</v>
      </c>
      <c r="O179" s="23">
        <f t="shared" si="10"/>
        <v>-1</v>
      </c>
      <c r="P179" s="23">
        <f t="shared" si="11"/>
        <v>-1</v>
      </c>
      <c r="Q179" s="24">
        <f t="shared" si="12"/>
        <v>-1</v>
      </c>
      <c r="R179" s="3"/>
      <c r="S179" s="1" t="str">
        <v>World2Fly  Min term extension (life) - 1 a/c exit from 2026. 5yr term but 12yr lease term. Contract extension in 2025
Plus sell used SPE to reduce NDSES costs in CRP (Minimal but supports the OE sale)</v>
      </c>
      <c r="T179" s="24">
        <v>-1</v>
      </c>
      <c r="U179"/>
      <c r="V179" s="1" t="str">
        <v>World2Fly  Min term extension (life) - 1 a/c exit from 2026. 5yr term but 12yr lease term. Contract extension in 2025
Plus sell used SPE to reduce NDSES costs in CRP (Minimal but supports the OE sale)</v>
      </c>
      <c r="W179" s="24">
        <v>-1</v>
      </c>
      <c r="X179"/>
      <c r="Y179" s="1" t="str">
        <v>World2Fly  Min term extension (life) - 1 a/c exit from 2026. 5yr term but 12yr lease term. Contract extension in 2025
Plus sell used SPE to reduce NDSES costs in CRP (Minimal but supports the OE sale)</v>
      </c>
      <c r="Z179" s="24">
        <v>-1</v>
      </c>
      <c r="AA179"/>
      <c r="AB179" s="1" t="str">
        <v>World2Fly  Min term extension (life) - 1 a/c exit from 2026. 5yr term but 12yr lease term. Contract extension in 2025
Plus sell used SPE to reduce NDSES costs in CRP (Minimal but supports the OE sale)</v>
      </c>
      <c r="AC179" s="24">
        <v>-1</v>
      </c>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row>
    <row r="180" spans="2:97">
      <c r="B180"/>
      <c r="C180" s="15" t="str">
        <v>British Airways  Life Min Term extension to 25 years for owned a/c and 12 years for leased a/c, plus removal of EoCL for a $/efh discount on both Engine &amp; LLPs.</v>
      </c>
      <c r="D180" s="23"/>
      <c r="E180" s="23">
        <v>35</v>
      </c>
      <c r="F180" s="23">
        <v>0</v>
      </c>
      <c r="G180" s="23">
        <f t="shared" si="8"/>
        <v>35</v>
      </c>
      <c r="H180" s="23" t="e" cm="1">
        <f t="array" ref="H180">INDEX('GLOBAL LOG'!#REF!,ROW()-169+15)</f>
        <v>#REF!</v>
      </c>
      <c r="I180" s="23" t="e">
        <f>_xlfn.XLOOKUP(H180,#REF!,#REF!,"",0,1)</f>
        <v>#REF!</v>
      </c>
      <c r="J180" s="23" t="str">
        <f>IFERROR(I180*#REF!,"")</f>
        <v/>
      </c>
      <c r="K180" s="23" t="e" cm="1">
        <f t="array" ref="K180">INDEX('GLOBAL LOG'!#REF!,ROW()-169+15)</f>
        <v>#REF!</v>
      </c>
      <c r="L180" s="23" t="e">
        <f>_xlfn.XLOOKUP(K180,#REF!,#REF!,"",0,1)</f>
        <v>#REF!</v>
      </c>
      <c r="M180" s="23" t="str">
        <f>IFERROR(L180*#REF!,"")</f>
        <v/>
      </c>
      <c r="N180" s="23">
        <f t="shared" si="9"/>
        <v>-1</v>
      </c>
      <c r="O180" s="23">
        <f t="shared" si="10"/>
        <v>-1</v>
      </c>
      <c r="P180" s="23">
        <f t="shared" si="11"/>
        <v>-1</v>
      </c>
      <c r="Q180" s="24">
        <f t="shared" si="12"/>
        <v>-1</v>
      </c>
      <c r="R180" s="3"/>
      <c r="S180" s="1" t="str">
        <v>British Airways  Life Min Term extension to 25 years for owned a/c and 12 years for leased a/c, plus removal of EoCL for a $/efh discount on both Engine &amp; LLPs.</v>
      </c>
      <c r="T180" s="24">
        <v>-1</v>
      </c>
      <c r="U180"/>
      <c r="V180" s="1" t="str">
        <v>British Airways  Life Min Term extension to 25 years for owned a/c and 12 years for leased a/c, plus removal of EoCL for a $/efh discount on both Engine &amp; LLPs.</v>
      </c>
      <c r="W180" s="24">
        <v>-1</v>
      </c>
      <c r="X180"/>
      <c r="Y180" s="1" t="str">
        <v>British Airways  Life Min Term extension to 25 years for owned a/c and 12 years for leased a/c, plus removal of EoCL for a $/efh discount on both Engine &amp; LLPs.</v>
      </c>
      <c r="Z180" s="24">
        <v>-1</v>
      </c>
      <c r="AA180"/>
      <c r="AB180" s="1" t="str">
        <v>British Airways  Life Min Term extension to 25 years for owned a/c and 12 years for leased a/c, plus removal of EoCL for a $/efh discount on both Engine &amp; LLPs.</v>
      </c>
      <c r="AC180" s="24">
        <v>-1</v>
      </c>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row>
    <row r="181" spans="2:97">
      <c r="B181"/>
      <c r="C181" s="15" t="str">
        <v>Hawaiian Airlines  EFH discount in return for addition 20x SV commitment. Negotiations ongoing.</v>
      </c>
      <c r="D181" s="23"/>
      <c r="E181" s="23">
        <v>7.6</v>
      </c>
      <c r="F181" s="23">
        <v>7.6</v>
      </c>
      <c r="G181" s="23">
        <f t="shared" si="8"/>
        <v>15.2</v>
      </c>
      <c r="H181" s="23" t="e" cm="1">
        <f t="array" ref="H181">INDEX('GLOBAL LOG'!#REF!,ROW()-169+15)</f>
        <v>#REF!</v>
      </c>
      <c r="I181" s="23" t="e">
        <f>_xlfn.XLOOKUP(H181,#REF!,#REF!,"",0,1)</f>
        <v>#REF!</v>
      </c>
      <c r="J181" s="23" t="str">
        <f>IFERROR(I181*#REF!,"")</f>
        <v/>
      </c>
      <c r="K181" s="23" t="e" cm="1">
        <f t="array" ref="K181">INDEX('GLOBAL LOG'!#REF!,ROW()-169+15)</f>
        <v>#REF!</v>
      </c>
      <c r="L181" s="23" t="e">
        <f>_xlfn.XLOOKUP(K181,#REF!,#REF!,"",0,1)</f>
        <v>#REF!</v>
      </c>
      <c r="M181" s="23" t="str">
        <f>IFERROR(L181*#REF!,"")</f>
        <v/>
      </c>
      <c r="N181" s="23">
        <f t="shared" si="9"/>
        <v>-1</v>
      </c>
      <c r="O181" s="23">
        <f t="shared" si="10"/>
        <v>-1</v>
      </c>
      <c r="P181" s="23">
        <f t="shared" si="11"/>
        <v>-1</v>
      </c>
      <c r="Q181" s="24">
        <f t="shared" si="12"/>
        <v>-1</v>
      </c>
      <c r="R181" s="3"/>
      <c r="S181" s="1" t="str">
        <v>Hawaiian Airlines  EFH discount in return for addition 20x SV commitment. Negotiations ongoing.</v>
      </c>
      <c r="T181" s="24">
        <v>-1</v>
      </c>
      <c r="U181"/>
      <c r="V181" s="1" t="str">
        <v>Hawaiian Airlines  EFH discount in return for addition 20x SV commitment. Negotiations ongoing.</v>
      </c>
      <c r="W181" s="24">
        <v>-1</v>
      </c>
      <c r="X181"/>
      <c r="Y181" s="1" t="str">
        <v>Hawaiian Airlines  EFH discount in return for addition 20x SV commitment. Negotiations ongoing.</v>
      </c>
      <c r="Z181" s="24">
        <v>-1</v>
      </c>
      <c r="AA181"/>
      <c r="AB181" s="1" t="str">
        <v>Hawaiian Airlines  EFH discount in return for addition 20x SV commitment. Negotiations ongoing.</v>
      </c>
      <c r="AC181" s="24">
        <v>-1</v>
      </c>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row>
    <row r="182" spans="2:97">
      <c r="B182"/>
      <c r="C182" s="15" t="str">
        <v>Qatar Exit for convenience removal -84</v>
      </c>
      <c r="D182" s="23"/>
      <c r="E182" s="23">
        <v>15</v>
      </c>
      <c r="F182" s="23">
        <v>39</v>
      </c>
      <c r="G182" s="23">
        <f t="shared" si="8"/>
        <v>54</v>
      </c>
      <c r="H182" s="23" t="e" cm="1">
        <f t="array" ref="H182">INDEX('GLOBAL LOG'!#REF!,ROW()-169+15)</f>
        <v>#REF!</v>
      </c>
      <c r="I182" s="23" t="e">
        <f>_xlfn.XLOOKUP(H182,#REF!,#REF!,"",0,1)</f>
        <v>#REF!</v>
      </c>
      <c r="J182" s="23" t="str">
        <f>IFERROR(I182*#REF!,"")</f>
        <v/>
      </c>
      <c r="K182" s="23" t="e" cm="1">
        <f t="array" ref="K182">INDEX('GLOBAL LOG'!#REF!,ROW()-169+15)</f>
        <v>#REF!</v>
      </c>
      <c r="L182" s="23" t="e">
        <f>_xlfn.XLOOKUP(K182,#REF!,#REF!,"",0,1)</f>
        <v>#REF!</v>
      </c>
      <c r="M182" s="23" t="str">
        <f>IFERROR(L182*#REF!,"")</f>
        <v/>
      </c>
      <c r="N182" s="23">
        <f t="shared" si="9"/>
        <v>-1</v>
      </c>
      <c r="O182" s="23">
        <f t="shared" si="10"/>
        <v>-1</v>
      </c>
      <c r="P182" s="23">
        <f t="shared" si="11"/>
        <v>-1</v>
      </c>
      <c r="Q182" s="24">
        <f t="shared" si="12"/>
        <v>-1</v>
      </c>
      <c r="R182" s="3"/>
      <c r="S182" s="1" t="str">
        <v>Qatar Exit for convenience removal -84</v>
      </c>
      <c r="T182" s="24">
        <v>-1</v>
      </c>
      <c r="U182"/>
      <c r="V182" s="1" t="str">
        <v>Qatar Exit for convenience removal -84</v>
      </c>
      <c r="W182" s="24">
        <v>-1</v>
      </c>
      <c r="X182"/>
      <c r="Y182" s="1" t="str">
        <v>Qatar Exit for convenience removal -84</v>
      </c>
      <c r="Z182" s="24">
        <v>-1</v>
      </c>
      <c r="AA182"/>
      <c r="AB182" s="1" t="str">
        <v>Qatar Exit for convenience removal -84</v>
      </c>
      <c r="AC182" s="24">
        <v>-1</v>
      </c>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row>
    <row r="183" spans="2:97">
      <c r="B183"/>
      <c r="C183" s="15" t="str">
        <v>Etihad TCA Reconciliation (CRP Improvement)</v>
      </c>
      <c r="D183" s="23"/>
      <c r="E183" s="23">
        <v>2.3199999999999998</v>
      </c>
      <c r="F183" s="23">
        <v>0</v>
      </c>
      <c r="G183" s="23">
        <f t="shared" si="8"/>
        <v>2.3199999999999998</v>
      </c>
      <c r="H183" s="23" t="e" cm="1">
        <f t="array" ref="H183">INDEX('GLOBAL LOG'!#REF!,ROW()-169+15)</f>
        <v>#REF!</v>
      </c>
      <c r="I183" s="23" t="e">
        <f>_xlfn.XLOOKUP(H183,#REF!,#REF!,"",0,1)</f>
        <v>#REF!</v>
      </c>
      <c r="J183" s="23" t="str">
        <f>IFERROR(I183*#REF!,"")</f>
        <v/>
      </c>
      <c r="K183" s="23" t="e" cm="1">
        <f t="array" ref="K183">INDEX('GLOBAL LOG'!#REF!,ROW()-169+15)</f>
        <v>#REF!</v>
      </c>
      <c r="L183" s="23" t="e">
        <f>_xlfn.XLOOKUP(K183,#REF!,#REF!,"",0,1)</f>
        <v>#REF!</v>
      </c>
      <c r="M183" s="23" t="str">
        <f>IFERROR(L183*#REF!,"")</f>
        <v/>
      </c>
      <c r="N183" s="23">
        <f t="shared" si="9"/>
        <v>-1</v>
      </c>
      <c r="O183" s="23">
        <f t="shared" si="10"/>
        <v>-1</v>
      </c>
      <c r="P183" s="23">
        <f t="shared" si="11"/>
        <v>-1</v>
      </c>
      <c r="Q183" s="24">
        <f t="shared" si="12"/>
        <v>-1</v>
      </c>
      <c r="R183" s="3"/>
      <c r="S183" s="1" t="str">
        <v>Etihad TCA Reconciliation (CRP Improvement)</v>
      </c>
      <c r="T183" s="24">
        <v>-1</v>
      </c>
      <c r="U183"/>
      <c r="V183" s="1" t="str">
        <v>Etihad TCA Reconciliation (CRP Improvement)</v>
      </c>
      <c r="W183" s="24">
        <v>-1</v>
      </c>
      <c r="X183"/>
      <c r="Y183" s="1" t="str">
        <v>Etihad TCA Reconciliation (CRP Improvement)</v>
      </c>
      <c r="Z183" s="24">
        <v>-1</v>
      </c>
      <c r="AA183"/>
      <c r="AB183" s="1" t="str">
        <v>Etihad TCA Reconciliation (CRP Improvement)</v>
      </c>
      <c r="AC183" s="24">
        <v>-1</v>
      </c>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row>
    <row r="184" spans="2:97">
      <c r="B184"/>
      <c r="C184" s="15" t="str">
        <v>Emirates Trent XWB Full MRO for improved CRP</v>
      </c>
      <c r="D184" s="23"/>
      <c r="E184" s="23">
        <v>0</v>
      </c>
      <c r="F184" s="23" t="str">
        <v/>
      </c>
      <c r="G184" s="23" t="e">
        <f t="shared" si="8"/>
        <v>#VALUE!</v>
      </c>
      <c r="H184" s="23" t="e" cm="1">
        <f t="array" ref="H184">INDEX('GLOBAL LOG'!#REF!,ROW()-169+15)</f>
        <v>#REF!</v>
      </c>
      <c r="I184" s="23" t="e">
        <f>_xlfn.XLOOKUP(H184,#REF!,#REF!,"",0,1)</f>
        <v>#REF!</v>
      </c>
      <c r="J184" s="23" t="str">
        <f>IFERROR(I184*#REF!,"")</f>
        <v/>
      </c>
      <c r="K184" s="23" t="e" cm="1">
        <f t="array" ref="K184">INDEX('GLOBAL LOG'!#REF!,ROW()-169+15)</f>
        <v>#REF!</v>
      </c>
      <c r="L184" s="23" t="e">
        <f>_xlfn.XLOOKUP(K184,#REF!,#REF!,"",0,1)</f>
        <v>#REF!</v>
      </c>
      <c r="M184" s="23" t="str">
        <f>IFERROR(L184*#REF!,"")</f>
        <v/>
      </c>
      <c r="N184" s="23">
        <f t="shared" si="9"/>
        <v>-1</v>
      </c>
      <c r="O184" s="23">
        <f t="shared" si="10"/>
        <v>-1</v>
      </c>
      <c r="P184" s="23">
        <f t="shared" si="11"/>
        <v>-1</v>
      </c>
      <c r="Q184" s="24">
        <f t="shared" si="12"/>
        <v>-1</v>
      </c>
      <c r="R184" s="3"/>
      <c r="S184" s="1" t="str">
        <v>Emirates Trent XWB Full MRO for improved CRP</v>
      </c>
      <c r="T184" s="24">
        <v>-1</v>
      </c>
      <c r="U184"/>
      <c r="V184" s="1" t="str">
        <v>Emirates Trent XWB Full MRO for improved CRP</v>
      </c>
      <c r="W184" s="24">
        <v>-1</v>
      </c>
      <c r="X184"/>
      <c r="Y184" s="1" t="str">
        <v>Emirates Trent XWB Full MRO for improved CRP</v>
      </c>
      <c r="Z184" s="24">
        <v>-1</v>
      </c>
      <c r="AA184"/>
      <c r="AB184" s="1" t="str">
        <v>Emirates Trent XWB Full MRO for improved CRP</v>
      </c>
      <c r="AC184" s="24">
        <v>-1</v>
      </c>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row>
    <row r="185" spans="2:97">
      <c r="B185"/>
      <c r="C185" s="15" t="str">
        <v>Qatar Exit for convenience removal -97</v>
      </c>
      <c r="D185" s="23"/>
      <c r="E185" s="23">
        <v>0</v>
      </c>
      <c r="F185" s="23">
        <v>0</v>
      </c>
      <c r="G185" s="23">
        <f t="shared" si="8"/>
        <v>0</v>
      </c>
      <c r="H185" s="23" t="e" cm="1">
        <f t="array" ref="H185">INDEX('GLOBAL LOG'!#REF!,ROW()-169+15)</f>
        <v>#REF!</v>
      </c>
      <c r="I185" s="23" t="e">
        <f>_xlfn.XLOOKUP(H185,#REF!,#REF!,"",0,1)</f>
        <v>#REF!</v>
      </c>
      <c r="J185" s="23" t="str">
        <f>IFERROR(I185*#REF!,"")</f>
        <v/>
      </c>
      <c r="K185" s="23" t="e" cm="1">
        <f t="array" ref="K185">INDEX('GLOBAL LOG'!#REF!,ROW()-169+15)</f>
        <v>#REF!</v>
      </c>
      <c r="L185" s="23" t="e">
        <f>_xlfn.XLOOKUP(K185,#REF!,#REF!,"",0,1)</f>
        <v>#REF!</v>
      </c>
      <c r="M185" s="23" t="str">
        <f>IFERROR(L185*#REF!,"")</f>
        <v/>
      </c>
      <c r="N185" s="23">
        <f t="shared" si="9"/>
        <v>-1</v>
      </c>
      <c r="O185" s="23">
        <f t="shared" si="10"/>
        <v>-1</v>
      </c>
      <c r="P185" s="23">
        <f t="shared" si="11"/>
        <v>-1</v>
      </c>
      <c r="Q185" s="24">
        <f t="shared" si="12"/>
        <v>-1</v>
      </c>
      <c r="R185" s="3"/>
      <c r="S185" s="1" t="str">
        <v>Qatar Exit for convenience removal -97</v>
      </c>
      <c r="T185" s="24">
        <v>-1</v>
      </c>
      <c r="U185"/>
      <c r="V185" s="1" t="str">
        <v>Qatar Exit for convenience removal -97</v>
      </c>
      <c r="W185" s="24">
        <v>-1</v>
      </c>
      <c r="X185"/>
      <c r="Y185" s="1" t="str">
        <v>Qatar Exit for convenience removal -97</v>
      </c>
      <c r="Z185" s="24">
        <v>-1</v>
      </c>
      <c r="AA185"/>
      <c r="AB185" s="1" t="str">
        <v>Qatar Exit for convenience removal -97</v>
      </c>
      <c r="AC185" s="24">
        <v>-1</v>
      </c>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row>
    <row r="186" spans="2:97">
      <c r="B186"/>
      <c r="C186" s="15" t="str">
        <v>Ethiopian Airlines Restructure exisiting contract -Credit Back Removal
As part of A350-900 campaign</v>
      </c>
      <c r="D186" s="23"/>
      <c r="E186" s="23">
        <v>0</v>
      </c>
      <c r="F186" s="23">
        <v>0</v>
      </c>
      <c r="G186" s="23">
        <f t="shared" si="8"/>
        <v>0</v>
      </c>
      <c r="H186" s="23" t="e" cm="1">
        <f t="array" ref="H186">INDEX('GLOBAL LOG'!#REF!,ROW()-169+15)</f>
        <v>#REF!</v>
      </c>
      <c r="I186" s="23" t="e">
        <f>_xlfn.XLOOKUP(H186,#REF!,#REF!,"",0,1)</f>
        <v>#REF!</v>
      </c>
      <c r="J186" s="23" t="str">
        <f>IFERROR(I186*#REF!,"")</f>
        <v/>
      </c>
      <c r="K186" s="23" t="e" cm="1">
        <f t="array" ref="K186">INDEX('GLOBAL LOG'!#REF!,ROW()-169+15)</f>
        <v>#REF!</v>
      </c>
      <c r="L186" s="23" t="e">
        <f>_xlfn.XLOOKUP(K186,#REF!,#REF!,"",0,1)</f>
        <v>#REF!</v>
      </c>
      <c r="M186" s="23" t="str">
        <f>IFERROR(L186*#REF!,"")</f>
        <v/>
      </c>
      <c r="N186" s="23">
        <f t="shared" si="9"/>
        <v>-1</v>
      </c>
      <c r="O186" s="23">
        <f t="shared" si="10"/>
        <v>-1</v>
      </c>
      <c r="P186" s="23">
        <f t="shared" si="11"/>
        <v>-1</v>
      </c>
      <c r="Q186" s="24">
        <f t="shared" si="12"/>
        <v>-1</v>
      </c>
      <c r="R186" s="3"/>
      <c r="S186" s="1" t="str">
        <v>Ethiopian Airlines Restructure exisiting contract -Credit Back Removal
As part of A350-900 campaign</v>
      </c>
      <c r="T186" s="24">
        <v>-1</v>
      </c>
      <c r="U186"/>
      <c r="V186" s="1" t="str">
        <v>Ethiopian Airlines Restructure exisiting contract -Credit Back Removal
As part of A350-900 campaign</v>
      </c>
      <c r="W186" s="24">
        <v>-1</v>
      </c>
      <c r="X186"/>
      <c r="Y186" s="1" t="str">
        <v>Ethiopian Airlines Restructure exisiting contract -Credit Back Removal
As part of A350-900 campaign</v>
      </c>
      <c r="Z186" s="24">
        <v>-1</v>
      </c>
      <c r="AA186"/>
      <c r="AB186" s="1" t="str">
        <v>Ethiopian Airlines Restructure exisiting contract -Credit Back Removal
As part of A350-900 campaign</v>
      </c>
      <c r="AC186" s="24">
        <v>-1</v>
      </c>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row>
    <row r="187" spans="2:97">
      <c r="B187"/>
      <c r="C187" s="15" t="str">
        <v>Iberia  Min term extension (life) - 2x leased a/c meet minimum term in 2026. Contract extension to 2030 inline with revised lease terms. Contracted in 2025, linked to matrix extension resolution.</v>
      </c>
      <c r="D187" s="23"/>
      <c r="E187" s="23">
        <v>0</v>
      </c>
      <c r="F187" s="23">
        <v>0</v>
      </c>
      <c r="G187" s="23">
        <f t="shared" si="8"/>
        <v>0</v>
      </c>
      <c r="H187" s="23" t="e" cm="1">
        <f t="array" ref="H187">INDEX('GLOBAL LOG'!#REF!,ROW()-169+15)</f>
        <v>#REF!</v>
      </c>
      <c r="I187" s="23" t="e">
        <f>_xlfn.XLOOKUP(H187,#REF!,#REF!,"",0,1)</f>
        <v>#REF!</v>
      </c>
      <c r="J187" s="23" t="str">
        <f>IFERROR(I187*#REF!,"")</f>
        <v/>
      </c>
      <c r="K187" s="23" t="e" cm="1">
        <f t="array" ref="K187">INDEX('GLOBAL LOG'!#REF!,ROW()-169+15)</f>
        <v>#REF!</v>
      </c>
      <c r="L187" s="23" t="e">
        <f>_xlfn.XLOOKUP(K187,#REF!,#REF!,"",0,1)</f>
        <v>#REF!</v>
      </c>
      <c r="M187" s="23" t="str">
        <f>IFERROR(L187*#REF!,"")</f>
        <v/>
      </c>
      <c r="N187" s="23">
        <f t="shared" si="9"/>
        <v>-1</v>
      </c>
      <c r="O187" s="23">
        <f t="shared" si="10"/>
        <v>-1</v>
      </c>
      <c r="P187" s="23">
        <f t="shared" si="11"/>
        <v>-1</v>
      </c>
      <c r="Q187" s="24">
        <f t="shared" si="12"/>
        <v>-1</v>
      </c>
      <c r="R187" s="3"/>
      <c r="S187" s="1" t="str">
        <v>Iberia  Min term extension (life) - 2x leased a/c meet minimum term in 2026. Contract extension to 2030 inline with revised lease terms. Contracted in 2025, linked to matrix extension resolution.</v>
      </c>
      <c r="T187" s="24">
        <v>-1</v>
      </c>
      <c r="U187"/>
      <c r="V187" s="1" t="str">
        <v>Iberia  Min term extension (life) - 2x leased a/c meet minimum term in 2026. Contract extension to 2030 inline with revised lease terms. Contracted in 2025, linked to matrix extension resolution.</v>
      </c>
      <c r="W187" s="24">
        <v>-1</v>
      </c>
      <c r="X187"/>
      <c r="Y187" s="1" t="str">
        <v>Iberia  Min term extension (life) - 2x leased a/c meet minimum term in 2026. Contract extension to 2030 inline with revised lease terms. Contracted in 2025, linked to matrix extension resolution.</v>
      </c>
      <c r="Z187" s="24">
        <v>-1</v>
      </c>
      <c r="AA187"/>
      <c r="AB187" s="1" t="str">
        <v>Iberia  Min term extension (life) - 2x leased a/c meet minimum term in 2026. Contract extension to 2030 inline with revised lease terms. Contracted in 2025, linked to matrix extension resolution.</v>
      </c>
      <c r="AC187" s="24">
        <v>-1</v>
      </c>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row>
    <row r="188" spans="2:97">
      <c r="B188"/>
      <c r="C188" s="15" t="str">
        <v xml:space="preserve">Air Canada  Flex contract extension. Current contract expiring end of 2027. </v>
      </c>
      <c r="D188" s="23"/>
      <c r="E188" s="23">
        <v>1E-3</v>
      </c>
      <c r="F188" s="23">
        <v>1E-3</v>
      </c>
      <c r="G188" s="23">
        <f t="shared" si="8"/>
        <v>2E-3</v>
      </c>
      <c r="H188" s="23" t="e" cm="1">
        <f t="array" ref="H188">INDEX('GLOBAL LOG'!#REF!,ROW()-169+15)</f>
        <v>#REF!</v>
      </c>
      <c r="I188" s="23" t="e">
        <f>_xlfn.XLOOKUP(H188,#REF!,#REF!,"",0,1)</f>
        <v>#REF!</v>
      </c>
      <c r="J188" s="23" t="str">
        <f>IFERROR(I188*#REF!,"")</f>
        <v/>
      </c>
      <c r="K188" s="23" t="e" cm="1">
        <f t="array" ref="K188">INDEX('GLOBAL LOG'!#REF!,ROW()-169+15)</f>
        <v>#REF!</v>
      </c>
      <c r="L188" s="23" t="e">
        <f>_xlfn.XLOOKUP(K188,#REF!,#REF!,"",0,1)</f>
        <v>#REF!</v>
      </c>
      <c r="M188" s="23" t="str">
        <f>IFERROR(L188*#REF!,"")</f>
        <v/>
      </c>
      <c r="N188" s="23">
        <f t="shared" si="9"/>
        <v>-1</v>
      </c>
      <c r="O188" s="23">
        <f t="shared" si="10"/>
        <v>-1</v>
      </c>
      <c r="P188" s="23">
        <f t="shared" si="11"/>
        <v>-1</v>
      </c>
      <c r="Q188" s="24">
        <f t="shared" si="12"/>
        <v>-1</v>
      </c>
      <c r="R188" s="3"/>
      <c r="S188" s="1" t="str">
        <v xml:space="preserve">Air Canada  Flex contract extension. Current contract expiring end of 2027. </v>
      </c>
      <c r="T188" s="24">
        <v>-1</v>
      </c>
      <c r="U188"/>
      <c r="V188" s="1" t="str">
        <v xml:space="preserve">Air Canada  Flex contract extension. Current contract expiring end of 2027. </v>
      </c>
      <c r="W188" s="24">
        <v>-1</v>
      </c>
      <c r="X188"/>
      <c r="Y188" s="1" t="str">
        <v xml:space="preserve">Air Canada  Flex contract extension. Current contract expiring end of 2027. </v>
      </c>
      <c r="Z188" s="24">
        <v>-1</v>
      </c>
      <c r="AA188"/>
      <c r="AB188" s="1" t="str">
        <v xml:space="preserve">Air Canada  Flex contract extension. Current contract expiring end of 2027. </v>
      </c>
      <c r="AC188" s="24">
        <v>-1</v>
      </c>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row>
    <row r="189" spans="2:97">
      <c r="B189"/>
      <c r="C189" s="15" t="str">
        <v>Lufthansa Pull forward of spare engines, working capital improvements (payment terms), reverse lease of engines, EP upsell</v>
      </c>
      <c r="D189" s="23"/>
      <c r="E189" s="23">
        <v>0</v>
      </c>
      <c r="F189" s="23">
        <v>0</v>
      </c>
      <c r="G189" s="23">
        <f t="shared" si="8"/>
        <v>0</v>
      </c>
      <c r="H189" s="23" t="e" cm="1">
        <f t="array" ref="H189">INDEX('GLOBAL LOG'!#REF!,ROW()-169+15)</f>
        <v>#REF!</v>
      </c>
      <c r="I189" s="23" t="e">
        <f>_xlfn.XLOOKUP(H189,#REF!,#REF!,"",0,1)</f>
        <v>#REF!</v>
      </c>
      <c r="J189" s="23" t="str">
        <f>IFERROR(I189*#REF!,"")</f>
        <v/>
      </c>
      <c r="K189" s="23" t="e" cm="1">
        <f t="array" ref="K189">INDEX('GLOBAL LOG'!#REF!,ROW()-169+15)</f>
        <v>#REF!</v>
      </c>
      <c r="L189" s="23" t="e">
        <f>_xlfn.XLOOKUP(K189,#REF!,#REF!,"",0,1)</f>
        <v>#REF!</v>
      </c>
      <c r="M189" s="23" t="str">
        <f>IFERROR(L189*#REF!,"")</f>
        <v/>
      </c>
      <c r="N189" s="23">
        <f t="shared" si="9"/>
        <v>-1</v>
      </c>
      <c r="O189" s="23">
        <f t="shared" si="10"/>
        <v>-1</v>
      </c>
      <c r="P189" s="23">
        <f t="shared" si="11"/>
        <v>-1</v>
      </c>
      <c r="Q189" s="24">
        <f t="shared" si="12"/>
        <v>-1</v>
      </c>
      <c r="R189" s="3"/>
      <c r="S189" s="1" t="str">
        <v>Lufthansa Pull forward of spare engines, working capital improvements (payment terms), reverse lease of engines, EP upsell</v>
      </c>
      <c r="T189" s="24">
        <v>-1</v>
      </c>
      <c r="U189"/>
      <c r="V189" s="1" t="str">
        <v>Lufthansa Pull forward of spare engines, working capital improvements (payment terms), reverse lease of engines, EP upsell</v>
      </c>
      <c r="W189" s="24">
        <v>-1</v>
      </c>
      <c r="X189"/>
      <c r="Y189" s="1" t="str">
        <v>Lufthansa Pull forward of spare engines, working capital improvements (payment terms), reverse lease of engines, EP upsell</v>
      </c>
      <c r="Z189" s="24">
        <v>-1</v>
      </c>
      <c r="AA189"/>
      <c r="AB189" s="1" t="str">
        <v>Lufthansa Pull forward of spare engines, working capital improvements (payment terms), reverse lease of engines, EP upsell</v>
      </c>
      <c r="AC189" s="24">
        <v>-1</v>
      </c>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row>
    <row r="190" spans="2:97">
      <c r="B190"/>
      <c r="C190" s="15" t="str">
        <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v>
      </c>
      <c r="D190" s="23"/>
      <c r="E190" s="23">
        <v>4</v>
      </c>
      <c r="F190" s="23" t="str">
        <v>Confirm with Bobby</v>
      </c>
      <c r="G190" s="23" t="e">
        <f t="shared" si="8"/>
        <v>#VALUE!</v>
      </c>
      <c r="H190" s="23" t="e" cm="1">
        <f t="array" ref="H190">INDEX('GLOBAL LOG'!#REF!,ROW()-169+15)</f>
        <v>#REF!</v>
      </c>
      <c r="I190" s="23" t="e">
        <f>_xlfn.XLOOKUP(H190,#REF!,#REF!,"",0,1)</f>
        <v>#REF!</v>
      </c>
      <c r="J190" s="23" t="str">
        <f>IFERROR(I190*#REF!,"")</f>
        <v/>
      </c>
      <c r="K190" s="23" t="e" cm="1">
        <f t="array" ref="K190">INDEX('GLOBAL LOG'!#REF!,ROW()-169+15)</f>
        <v>#REF!</v>
      </c>
      <c r="L190" s="23" t="e">
        <f>_xlfn.XLOOKUP(K190,#REF!,#REF!,"",0,1)</f>
        <v>#REF!</v>
      </c>
      <c r="M190" s="23" t="str">
        <f>IFERROR(L190*#REF!,"")</f>
        <v/>
      </c>
      <c r="N190" s="23">
        <f t="shared" si="9"/>
        <v>-1</v>
      </c>
      <c r="O190" s="23">
        <f t="shared" si="10"/>
        <v>-1</v>
      </c>
      <c r="P190" s="23">
        <f t="shared" si="11"/>
        <v>-1</v>
      </c>
      <c r="Q190" s="24">
        <f t="shared" si="12"/>
        <v>-1</v>
      </c>
      <c r="R190" s="3"/>
      <c r="S190" s="1" t="str">
        <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v>
      </c>
      <c r="T190" s="24">
        <v>-1</v>
      </c>
      <c r="U190"/>
      <c r="V190" s="1" t="str">
        <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v>
      </c>
      <c r="W190" s="24">
        <v>-1</v>
      </c>
      <c r="X190"/>
      <c r="Y190" s="1" t="str">
        <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v>
      </c>
      <c r="Z190" s="24">
        <v>-1</v>
      </c>
      <c r="AA190"/>
      <c r="AB190" s="1" t="str">
        <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v>
      </c>
      <c r="AC190" s="24">
        <v>-1</v>
      </c>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row>
    <row r="191" spans="2:97">
      <c r="B191"/>
      <c r="C191" s="15" t="str">
        <v>Saudia Extend Classic</v>
      </c>
      <c r="D191" s="23"/>
      <c r="E191" s="23">
        <v>0</v>
      </c>
      <c r="F191" s="23">
        <v>0</v>
      </c>
      <c r="G191" s="23">
        <f t="shared" si="8"/>
        <v>0</v>
      </c>
      <c r="H191" s="23" t="e" cm="1">
        <f t="array" ref="H191">INDEX('GLOBAL LOG'!#REF!,ROW()-169+15)</f>
        <v>#REF!</v>
      </c>
      <c r="I191" s="23" t="e">
        <f>_xlfn.XLOOKUP(H191,#REF!,#REF!,"",0,1)</f>
        <v>#REF!</v>
      </c>
      <c r="J191" s="23" t="str">
        <f>IFERROR(I191*#REF!,"")</f>
        <v/>
      </c>
      <c r="K191" s="23" t="e" cm="1">
        <f t="array" ref="K191">INDEX('GLOBAL LOG'!#REF!,ROW()-169+15)</f>
        <v>#REF!</v>
      </c>
      <c r="L191" s="23" t="e">
        <f>_xlfn.XLOOKUP(K191,#REF!,#REF!,"",0,1)</f>
        <v>#REF!</v>
      </c>
      <c r="M191" s="23" t="str">
        <f>IFERROR(L191*#REF!,"")</f>
        <v/>
      </c>
      <c r="N191" s="23">
        <f t="shared" si="9"/>
        <v>-1</v>
      </c>
      <c r="O191" s="23">
        <f t="shared" si="10"/>
        <v>-1</v>
      </c>
      <c r="P191" s="23">
        <f t="shared" si="11"/>
        <v>-1</v>
      </c>
      <c r="Q191" s="24">
        <f t="shared" si="12"/>
        <v>-1</v>
      </c>
      <c r="R191" s="3"/>
      <c r="S191" s="1" t="str">
        <v>Saudia Extend Classic</v>
      </c>
      <c r="T191" s="24">
        <v>-1</v>
      </c>
      <c r="U191"/>
      <c r="V191" s="1" t="str">
        <v>Saudia Extend Classic</v>
      </c>
      <c r="W191" s="24">
        <v>-1</v>
      </c>
      <c r="X191"/>
      <c r="Y191" s="1" t="str">
        <v>Saudia Extend Classic</v>
      </c>
      <c r="Z191" s="24">
        <v>-1</v>
      </c>
      <c r="AA191"/>
      <c r="AB191" s="1" t="str">
        <v>Saudia Extend Classic</v>
      </c>
      <c r="AC191" s="24">
        <v>-1</v>
      </c>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row>
    <row r="192" spans="2:97">
      <c r="B192"/>
      <c r="C192" s="15" t="str">
        <v>LOT Polish Airlines  1 new SPE in Q1 linked to 2 Dr Peters transition a/c.
Life Min Term extension on purchased existing fleet as part of the 9 a/c campaign.</v>
      </c>
      <c r="D192" s="23"/>
      <c r="E192" s="23">
        <v>0</v>
      </c>
      <c r="F192" s="23">
        <v>0</v>
      </c>
      <c r="G192" s="23">
        <f t="shared" si="8"/>
        <v>0</v>
      </c>
      <c r="H192" s="23" t="e" cm="1">
        <f t="array" ref="H192">INDEX('GLOBAL LOG'!#REF!,ROW()-169+15)</f>
        <v>#REF!</v>
      </c>
      <c r="I192" s="23" t="e">
        <f>_xlfn.XLOOKUP(H192,#REF!,#REF!,"",0,1)</f>
        <v>#REF!</v>
      </c>
      <c r="J192" s="23" t="str">
        <f>IFERROR(I192*#REF!,"")</f>
        <v/>
      </c>
      <c r="K192" s="23" t="e" cm="1">
        <f t="array" ref="K192">INDEX('GLOBAL LOG'!#REF!,ROW()-169+15)</f>
        <v>#REF!</v>
      </c>
      <c r="L192" s="23" t="e">
        <f>_xlfn.XLOOKUP(K192,#REF!,#REF!,"",0,1)</f>
        <v>#REF!</v>
      </c>
      <c r="M192" s="23" t="str">
        <f>IFERROR(L192*#REF!,"")</f>
        <v/>
      </c>
      <c r="N192" s="23">
        <f t="shared" si="9"/>
        <v>-1</v>
      </c>
      <c r="O192" s="23">
        <f t="shared" si="10"/>
        <v>-1</v>
      </c>
      <c r="P192" s="23">
        <f t="shared" si="11"/>
        <v>-1</v>
      </c>
      <c r="Q192" s="24">
        <f t="shared" si="12"/>
        <v>-1</v>
      </c>
      <c r="R192" s="3"/>
      <c r="S192" s="1" t="str">
        <v>LOT Polish Airlines  1 new SPE in Q1 linked to 2 Dr Peters transition a/c.
Life Min Term extension on purchased existing fleet as part of the 9 a/c campaign.</v>
      </c>
      <c r="T192" s="24">
        <v>-1</v>
      </c>
      <c r="U192"/>
      <c r="V192" s="1" t="str">
        <v>LOT Polish Airlines  1 new SPE in Q1 linked to 2 Dr Peters transition a/c.
Life Min Term extension on purchased existing fleet as part of the 9 a/c campaign.</v>
      </c>
      <c r="W192" s="24">
        <v>-1</v>
      </c>
      <c r="X192"/>
      <c r="Y192" s="1" t="str">
        <v>LOT Polish Airlines  1 new SPE in Q1 linked to 2 Dr Peters transition a/c.
Life Min Term extension on purchased existing fleet as part of the 9 a/c campaign.</v>
      </c>
      <c r="Z192" s="24">
        <v>-1</v>
      </c>
      <c r="AA192"/>
      <c r="AB192" s="1" t="str">
        <v>LOT Polish Airlines  1 new SPE in Q1 linked to 2 Dr Peters transition a/c.
Life Min Term extension on purchased existing fleet as part of the 9 a/c campaign.</v>
      </c>
      <c r="AC192" s="24">
        <v>-1</v>
      </c>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row>
    <row r="193" spans="2:97">
      <c r="B193"/>
      <c r="C193" s="15" t="str">
        <v>Condor Flugdienst Gmbh  NDSES improvement through SPE sales associated to new deal + FCRG and NED Remedy Improvement</v>
      </c>
      <c r="D193" s="23"/>
      <c r="E193" s="23">
        <v>0</v>
      </c>
      <c r="F193" s="23">
        <v>0</v>
      </c>
      <c r="G193" s="23">
        <f t="shared" si="8"/>
        <v>0</v>
      </c>
      <c r="H193" s="23" t="e" cm="1">
        <f t="array" ref="H193">INDEX('GLOBAL LOG'!#REF!,ROW()-169+15)</f>
        <v>#REF!</v>
      </c>
      <c r="I193" s="23" t="e">
        <f>_xlfn.XLOOKUP(H193,#REF!,#REF!,"",0,1)</f>
        <v>#REF!</v>
      </c>
      <c r="J193" s="23" t="str">
        <f>IFERROR(I193*#REF!,"")</f>
        <v/>
      </c>
      <c r="K193" s="23" t="e" cm="1">
        <f t="array" ref="K193">INDEX('GLOBAL LOG'!#REF!,ROW()-169+15)</f>
        <v>#REF!</v>
      </c>
      <c r="L193" s="23" t="e">
        <f>_xlfn.XLOOKUP(K193,#REF!,#REF!,"",0,1)</f>
        <v>#REF!</v>
      </c>
      <c r="M193" s="23" t="str">
        <f>IFERROR(L193*#REF!,"")</f>
        <v/>
      </c>
      <c r="N193" s="23">
        <f t="shared" si="9"/>
        <v>-1</v>
      </c>
      <c r="O193" s="23">
        <f t="shared" si="10"/>
        <v>-1</v>
      </c>
      <c r="P193" s="23">
        <f t="shared" si="11"/>
        <v>-1</v>
      </c>
      <c r="Q193" s="24">
        <f t="shared" si="12"/>
        <v>-1</v>
      </c>
      <c r="R193" s="3"/>
      <c r="S193" s="1" t="str">
        <v>Condor Flugdienst Gmbh  NDSES improvement through SPE sales associated to new deal + FCRG and NED Remedy Improvement</v>
      </c>
      <c r="T193" s="24">
        <v>-1</v>
      </c>
      <c r="U193"/>
      <c r="V193" s="1" t="str">
        <v>Condor Flugdienst Gmbh  NDSES improvement through SPE sales associated to new deal + FCRG and NED Remedy Improvement</v>
      </c>
      <c r="W193" s="24">
        <v>-1</v>
      </c>
      <c r="X193"/>
      <c r="Y193" s="1" t="str">
        <v>Condor Flugdienst Gmbh  NDSES improvement through SPE sales associated to new deal + FCRG and NED Remedy Improvement</v>
      </c>
      <c r="Z193" s="24">
        <v>-1</v>
      </c>
      <c r="AA193"/>
      <c r="AB193" s="1" t="str">
        <v>Condor Flugdienst Gmbh  NDSES improvement through SPE sales associated to new deal + FCRG and NED Remedy Improvement</v>
      </c>
      <c r="AC193" s="24">
        <v>-1</v>
      </c>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row>
    <row r="194" spans="2:97">
      <c r="B194"/>
      <c r="C194" s="15" t="str">
        <v>TAP Air Portugal  Two aircraft delays to Original Delivery Schedule. Plan to progress 2026 Used SPE, credit pull-forward for CRP improvement and Optional AOG+1 NDSES Service.</v>
      </c>
      <c r="D194" s="23"/>
      <c r="E194" s="23">
        <v>0</v>
      </c>
      <c r="F194" s="23">
        <v>0</v>
      </c>
      <c r="G194" s="23">
        <f t="shared" si="8"/>
        <v>0</v>
      </c>
      <c r="H194" s="23" t="e" cm="1">
        <f t="array" ref="H194">INDEX('GLOBAL LOG'!#REF!,ROW()-169+15)</f>
        <v>#REF!</v>
      </c>
      <c r="I194" s="23" t="e">
        <f>_xlfn.XLOOKUP(H194,#REF!,#REF!,"",0,1)</f>
        <v>#REF!</v>
      </c>
      <c r="J194" s="23" t="str">
        <f>IFERROR(I194*#REF!,"")</f>
        <v/>
      </c>
      <c r="K194" s="23" t="e" cm="1">
        <f t="array" ref="K194">INDEX('GLOBAL LOG'!#REF!,ROW()-169+15)</f>
        <v>#REF!</v>
      </c>
      <c r="L194" s="23" t="e">
        <f>_xlfn.XLOOKUP(K194,#REF!,#REF!,"",0,1)</f>
        <v>#REF!</v>
      </c>
      <c r="M194" s="23" t="str">
        <f>IFERROR(L194*#REF!,"")</f>
        <v/>
      </c>
      <c r="N194" s="23">
        <f t="shared" si="9"/>
        <v>-1</v>
      </c>
      <c r="O194" s="23">
        <f t="shared" si="10"/>
        <v>-1</v>
      </c>
      <c r="P194" s="23">
        <f t="shared" si="11"/>
        <v>-1</v>
      </c>
      <c r="Q194" s="24">
        <f t="shared" si="12"/>
        <v>-1</v>
      </c>
      <c r="R194" s="3"/>
      <c r="S194" s="1" t="str">
        <v>TAP Air Portugal  Two aircraft delays to Original Delivery Schedule. Plan to progress 2026 Used SPE, credit pull-forward for CRP improvement and Optional AOG+1 NDSES Service.</v>
      </c>
      <c r="T194" s="24">
        <v>-1</v>
      </c>
      <c r="U194"/>
      <c r="V194" s="1" t="str">
        <v>TAP Air Portugal  Two aircraft delays to Original Delivery Schedule. Plan to progress 2026 Used SPE, credit pull-forward for CRP improvement and Optional AOG+1 NDSES Service.</v>
      </c>
      <c r="W194" s="24">
        <v>-1</v>
      </c>
      <c r="X194"/>
      <c r="Y194" s="1" t="str">
        <v>TAP Air Portugal  Two aircraft delays to Original Delivery Schedule. Plan to progress 2026 Used SPE, credit pull-forward for CRP improvement and Optional AOG+1 NDSES Service.</v>
      </c>
      <c r="Z194" s="24">
        <v>-1</v>
      </c>
      <c r="AA194"/>
      <c r="AB194" s="1" t="str">
        <v>TAP Air Portugal  Two aircraft delays to Original Delivery Schedule. Plan to progress 2026 Used SPE, credit pull-forward for CRP improvement and Optional AOG+1 NDSES Service.</v>
      </c>
      <c r="AC194" s="24">
        <v>-1</v>
      </c>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row>
    <row r="195" spans="2:97">
      <c r="B195"/>
      <c r="C195" s="15" t="str">
        <v>Gulf Commerical Offer - 3 Year Extension/ SPE Sales (NDSES Improvement)</v>
      </c>
      <c r="D195" s="23"/>
      <c r="E195" s="23">
        <v>-7.4</v>
      </c>
      <c r="F195" s="23">
        <v>2.5</v>
      </c>
      <c r="G195" s="23">
        <f t="shared" si="8"/>
        <v>-4.9000000000000004</v>
      </c>
      <c r="H195" s="23" t="e" cm="1">
        <f t="array" ref="H195">INDEX('GLOBAL LOG'!#REF!,ROW()-169+15)</f>
        <v>#REF!</v>
      </c>
      <c r="I195" s="23" t="e">
        <f>_xlfn.XLOOKUP(H195,#REF!,#REF!,"",0,1)</f>
        <v>#REF!</v>
      </c>
      <c r="J195" s="23" t="str">
        <f>IFERROR(I195*#REF!,"")</f>
        <v/>
      </c>
      <c r="K195" s="23" t="e" cm="1">
        <f t="array" ref="K195">INDEX('GLOBAL LOG'!#REF!,ROW()-169+15)</f>
        <v>#REF!</v>
      </c>
      <c r="L195" s="23" t="e">
        <f>_xlfn.XLOOKUP(K195,#REF!,#REF!,"",0,1)</f>
        <v>#REF!</v>
      </c>
      <c r="M195" s="23" t="str">
        <f>IFERROR(L195*#REF!,"")</f>
        <v/>
      </c>
      <c r="N195" s="23">
        <f t="shared" si="9"/>
        <v>-1</v>
      </c>
      <c r="O195" s="23">
        <f t="shared" si="10"/>
        <v>-1</v>
      </c>
      <c r="P195" s="23">
        <f t="shared" si="11"/>
        <v>-1</v>
      </c>
      <c r="Q195" s="24">
        <f t="shared" si="12"/>
        <v>-1</v>
      </c>
      <c r="R195" s="3"/>
      <c r="S195" s="1" t="str">
        <v>Gulf Commerical Offer - 3 Year Extension/ SPE Sales (NDSES Improvement)</v>
      </c>
      <c r="T195" s="24">
        <v>-1</v>
      </c>
      <c r="U195"/>
      <c r="V195" s="1" t="str">
        <v>Gulf Commerical Offer - 3 Year Extension/ SPE Sales (NDSES Improvement)</v>
      </c>
      <c r="W195" s="24">
        <v>-1</v>
      </c>
      <c r="X195"/>
      <c r="Y195" s="1" t="str">
        <v>Gulf Commerical Offer - 3 Year Extension/ SPE Sales (NDSES Improvement)</v>
      </c>
      <c r="Z195" s="24">
        <v>-1</v>
      </c>
      <c r="AA195"/>
      <c r="AB195" s="1" t="str">
        <v>Gulf Commerical Offer - 3 Year Extension/ SPE Sales (NDSES Improvement)</v>
      </c>
      <c r="AC195" s="24">
        <v>-1</v>
      </c>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row>
    <row r="196" spans="2:97">
      <c r="B196"/>
      <c r="C196" s="15" t="str">
        <v>Rwanda TCA Life Min Term Extension</v>
      </c>
      <c r="D196" s="23"/>
      <c r="E196" s="23">
        <v>0</v>
      </c>
      <c r="F196" s="23">
        <v>0</v>
      </c>
      <c r="G196" s="23">
        <f t="shared" si="8"/>
        <v>0</v>
      </c>
      <c r="H196" s="23" t="e" cm="1">
        <f t="array" ref="H196">INDEX('GLOBAL LOG'!#REF!,ROW()-169+15)</f>
        <v>#REF!</v>
      </c>
      <c r="I196" s="23" t="e">
        <f>_xlfn.XLOOKUP(H196,#REF!,#REF!,"",0,1)</f>
        <v>#REF!</v>
      </c>
      <c r="J196" s="23" t="str">
        <f>IFERROR(I196*#REF!,"")</f>
        <v/>
      </c>
      <c r="K196" s="23" t="e" cm="1">
        <f t="array" ref="K196">INDEX('GLOBAL LOG'!#REF!,ROW()-169+15)</f>
        <v>#REF!</v>
      </c>
      <c r="L196" s="23" t="e">
        <f>_xlfn.XLOOKUP(K196,#REF!,#REF!,"",0,1)</f>
        <v>#REF!</v>
      </c>
      <c r="M196" s="23" t="str">
        <f>IFERROR(L196*#REF!,"")</f>
        <v/>
      </c>
      <c r="N196" s="23">
        <f t="shared" si="9"/>
        <v>-1</v>
      </c>
      <c r="O196" s="23">
        <f t="shared" si="10"/>
        <v>-1</v>
      </c>
      <c r="P196" s="23">
        <f t="shared" si="11"/>
        <v>-1</v>
      </c>
      <c r="Q196" s="24">
        <f t="shared" si="12"/>
        <v>-1</v>
      </c>
      <c r="R196" s="3"/>
      <c r="S196" s="1" t="str">
        <v>Rwanda TCA Life Min Term Extension</v>
      </c>
      <c r="T196" s="24">
        <v>-1</v>
      </c>
      <c r="U196"/>
      <c r="V196" s="1" t="str">
        <v>Rwanda TCA Life Min Term Extension</v>
      </c>
      <c r="W196" s="24">
        <v>-1</v>
      </c>
      <c r="X196"/>
      <c r="Y196" s="1" t="str">
        <v>Rwanda TCA Life Min Term Extension</v>
      </c>
      <c r="Z196" s="24">
        <v>-1</v>
      </c>
      <c r="AA196"/>
      <c r="AB196" s="1" t="str">
        <v>Rwanda TCA Life Min Term Extension</v>
      </c>
      <c r="AC196" s="24">
        <v>-1</v>
      </c>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row>
    <row r="197" spans="2:97">
      <c r="B197"/>
      <c r="C197" s="15" t="str">
        <v>Ethiopian Airlines Restructure exisiting contract - Min Term Extension
As part of A350-900 campaign</v>
      </c>
      <c r="D197" s="23"/>
      <c r="E197" s="23">
        <v>0</v>
      </c>
      <c r="F197" s="23">
        <v>0</v>
      </c>
      <c r="G197" s="23">
        <f t="shared" si="8"/>
        <v>0</v>
      </c>
      <c r="H197" s="23" t="e" cm="1">
        <f t="array" ref="H197">INDEX('GLOBAL LOG'!#REF!,ROW()-169+15)</f>
        <v>#REF!</v>
      </c>
      <c r="I197" s="23" t="e">
        <f>_xlfn.XLOOKUP(H197,#REF!,#REF!,"",0,1)</f>
        <v>#REF!</v>
      </c>
      <c r="J197" s="23" t="str">
        <f>IFERROR(I197*#REF!,"")</f>
        <v/>
      </c>
      <c r="K197" s="23" t="e" cm="1">
        <f t="array" ref="K197">INDEX('GLOBAL LOG'!#REF!,ROW()-169+15)</f>
        <v>#REF!</v>
      </c>
      <c r="L197" s="23" t="e">
        <f>_xlfn.XLOOKUP(K197,#REF!,#REF!,"",0,1)</f>
        <v>#REF!</v>
      </c>
      <c r="M197" s="23" t="str">
        <f>IFERROR(L197*#REF!,"")</f>
        <v/>
      </c>
      <c r="N197" s="23">
        <f t="shared" si="9"/>
        <v>-1</v>
      </c>
      <c r="O197" s="23">
        <f t="shared" si="10"/>
        <v>-1</v>
      </c>
      <c r="P197" s="23">
        <f t="shared" si="11"/>
        <v>-1</v>
      </c>
      <c r="Q197" s="24">
        <f t="shared" si="12"/>
        <v>-1</v>
      </c>
      <c r="R197" s="3"/>
      <c r="S197" s="1" t="str">
        <v>Ethiopian Airlines Restructure exisiting contract - Min Term Extension
As part of A350-900 campaign</v>
      </c>
      <c r="T197" s="24">
        <v>-1</v>
      </c>
      <c r="U197"/>
      <c r="V197" s="1" t="str">
        <v>Ethiopian Airlines Restructure exisiting contract - Min Term Extension
As part of A350-900 campaign</v>
      </c>
      <c r="W197" s="24">
        <v>-1</v>
      </c>
      <c r="X197"/>
      <c r="Y197" s="1" t="str">
        <v>Ethiopian Airlines Restructure exisiting contract - Min Term Extension
As part of A350-900 campaign</v>
      </c>
      <c r="Z197" s="24">
        <v>-1</v>
      </c>
      <c r="AA197"/>
      <c r="AB197" s="1" t="str">
        <v>Ethiopian Airlines Restructure exisiting contract - Min Term Extension
As part of A350-900 campaign</v>
      </c>
      <c r="AC197" s="24">
        <v>-1</v>
      </c>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row>
    <row r="198" spans="2:97">
      <c r="B198"/>
      <c r="C198" s="15" t="str">
        <v>Egypt EP Upsell (2028+ deliveries)</v>
      </c>
      <c r="D198" s="23"/>
      <c r="E198" s="23">
        <v>0</v>
      </c>
      <c r="F198" s="23">
        <v>0</v>
      </c>
      <c r="G198" s="23">
        <f t="shared" si="8"/>
        <v>0</v>
      </c>
      <c r="H198" s="23" t="e" cm="1">
        <f t="array" ref="H198">INDEX('GLOBAL LOG'!#REF!,ROW()-169+15)</f>
        <v>#REF!</v>
      </c>
      <c r="I198" s="23" t="e">
        <f>_xlfn.XLOOKUP(H198,#REF!,#REF!,"",0,1)</f>
        <v>#REF!</v>
      </c>
      <c r="J198" s="23" t="str">
        <f>IFERROR(I198*#REF!,"")</f>
        <v/>
      </c>
      <c r="K198" s="23" t="e" cm="1">
        <f t="array" ref="K198">INDEX('GLOBAL LOG'!#REF!,ROW()-169+15)</f>
        <v>#REF!</v>
      </c>
      <c r="L198" s="23" t="e">
        <f>_xlfn.XLOOKUP(K198,#REF!,#REF!,"",0,1)</f>
        <v>#REF!</v>
      </c>
      <c r="M198" s="23" t="str">
        <f>IFERROR(L198*#REF!,"")</f>
        <v/>
      </c>
      <c r="N198" s="23">
        <f t="shared" si="9"/>
        <v>-1</v>
      </c>
      <c r="O198" s="23">
        <f t="shared" si="10"/>
        <v>-1</v>
      </c>
      <c r="P198" s="23">
        <f t="shared" si="11"/>
        <v>-1</v>
      </c>
      <c r="Q198" s="24">
        <f t="shared" si="12"/>
        <v>-1</v>
      </c>
      <c r="R198" s="3"/>
      <c r="S198" s="1" t="str">
        <v>Egypt EP Upsell (2028+ deliveries)</v>
      </c>
      <c r="T198" s="24">
        <v>-1</v>
      </c>
      <c r="U198"/>
      <c r="V198" s="1" t="str">
        <v>Egypt EP Upsell (2028+ deliveries)</v>
      </c>
      <c r="W198" s="24">
        <v>-1</v>
      </c>
      <c r="X198"/>
      <c r="Y198" s="1" t="str">
        <v>Egypt EP Upsell (2028+ deliveries)</v>
      </c>
      <c r="Z198" s="24">
        <v>-1</v>
      </c>
      <c r="AA198"/>
      <c r="AB198" s="1" t="str">
        <v>Egypt EP Upsell (2028+ deliveries)</v>
      </c>
      <c r="AC198" s="24">
        <v>-1</v>
      </c>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row>
    <row r="199" spans="2:97">
      <c r="B199"/>
      <c r="C199" s="15" t="str">
        <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v>
      </c>
      <c r="D199" s="23"/>
      <c r="E199" s="23">
        <v>5</v>
      </c>
      <c r="F199" s="23">
        <v>0</v>
      </c>
      <c r="G199" s="23">
        <f t="shared" si="8"/>
        <v>5</v>
      </c>
      <c r="H199" s="23" t="e" cm="1">
        <f t="array" ref="H199">INDEX('GLOBAL LOG'!#REF!,ROW()-169+15)</f>
        <v>#REF!</v>
      </c>
      <c r="I199" s="23" t="e">
        <f>_xlfn.XLOOKUP(H199,#REF!,#REF!,"",0,1)</f>
        <v>#REF!</v>
      </c>
      <c r="J199" s="23" t="str">
        <f>IFERROR(I199*#REF!,"")</f>
        <v/>
      </c>
      <c r="K199" s="23" t="e" cm="1">
        <f t="array" ref="K199">INDEX('GLOBAL LOG'!#REF!,ROW()-169+15)</f>
        <v>#REF!</v>
      </c>
      <c r="L199" s="23" t="e">
        <f>_xlfn.XLOOKUP(K199,#REF!,#REF!,"",0,1)</f>
        <v>#REF!</v>
      </c>
      <c r="M199" s="23" t="str">
        <f>IFERROR(L199*#REF!,"")</f>
        <v/>
      </c>
      <c r="N199" s="23">
        <f t="shared" si="9"/>
        <v>-1</v>
      </c>
      <c r="O199" s="23">
        <f t="shared" si="10"/>
        <v>-1</v>
      </c>
      <c r="P199" s="23">
        <f t="shared" si="11"/>
        <v>-1</v>
      </c>
      <c r="Q199" s="24">
        <f t="shared" si="12"/>
        <v>-1</v>
      </c>
      <c r="R199" s="3"/>
      <c r="S199" s="1" t="str">
        <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v>
      </c>
      <c r="T199" s="24">
        <v>-1</v>
      </c>
      <c r="U199"/>
      <c r="V199" s="1" t="str">
        <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v>
      </c>
      <c r="W199" s="24">
        <v>-1</v>
      </c>
      <c r="X199"/>
      <c r="Y199" s="1" t="str">
        <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v>
      </c>
      <c r="Z199" s="24">
        <v>-1</v>
      </c>
      <c r="AA199"/>
      <c r="AB199" s="1" t="str">
        <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v>
      </c>
      <c r="AC199" s="24">
        <v>-1</v>
      </c>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row>
    <row r="200" spans="2:97">
      <c r="B200"/>
      <c r="C200" s="15" t="str">
        <v>Keylime Keylime Air _ AE3007 _ Add 2 in possession aircraft to TotalCare &amp; extend all to 2030</v>
      </c>
      <c r="D200" s="23"/>
      <c r="E200" s="23">
        <v>0</v>
      </c>
      <c r="F200" s="23">
        <v>0</v>
      </c>
      <c r="G200" s="23">
        <f t="shared" si="8"/>
        <v>0</v>
      </c>
      <c r="H200" s="23" t="e" cm="1">
        <f t="array" ref="H200">INDEX('GLOBAL LOG'!#REF!,ROW()-169+15)</f>
        <v>#REF!</v>
      </c>
      <c r="I200" s="23" t="e">
        <f>_xlfn.XLOOKUP(H200,#REF!,#REF!,"",0,1)</f>
        <v>#REF!</v>
      </c>
      <c r="J200" s="23" t="str">
        <f>IFERROR(I200*#REF!,"")</f>
        <v/>
      </c>
      <c r="K200" s="23" t="e" cm="1">
        <f t="array" ref="K200">INDEX('GLOBAL LOG'!#REF!,ROW()-169+15)</f>
        <v>#REF!</v>
      </c>
      <c r="L200" s="23" t="e">
        <f>_xlfn.XLOOKUP(K200,#REF!,#REF!,"",0,1)</f>
        <v>#REF!</v>
      </c>
      <c r="M200" s="23" t="str">
        <f>IFERROR(L200*#REF!,"")</f>
        <v/>
      </c>
      <c r="N200" s="23">
        <f t="shared" si="9"/>
        <v>-1</v>
      </c>
      <c r="O200" s="23">
        <f t="shared" si="10"/>
        <v>-1</v>
      </c>
      <c r="P200" s="23">
        <f t="shared" si="11"/>
        <v>-1</v>
      </c>
      <c r="Q200" s="24">
        <f t="shared" si="12"/>
        <v>-1</v>
      </c>
      <c r="R200" s="3"/>
      <c r="S200" s="1" t="str">
        <v>Keylime Keylime Air _ AE3007 _ Add 2 in possession aircraft to TotalCare &amp; extend all to 2030</v>
      </c>
      <c r="T200" s="24">
        <v>-1</v>
      </c>
      <c r="U200"/>
      <c r="V200" s="1" t="str">
        <v>Keylime Keylime Air _ AE3007 _ Add 2 in possession aircraft to TotalCare &amp; extend all to 2030</v>
      </c>
      <c r="W200" s="24">
        <v>-1</v>
      </c>
      <c r="X200"/>
      <c r="Y200" s="1" t="str">
        <v>Keylime Keylime Air _ AE3007 _ Add 2 in possession aircraft to TotalCare &amp; extend all to 2030</v>
      </c>
      <c r="Z200" s="24">
        <v>-1</v>
      </c>
      <c r="AA200"/>
      <c r="AB200" s="1" t="str">
        <v>Keylime Keylime Air _ AE3007 _ Add 2 in possession aircraft to TotalCare &amp; extend all to 2030</v>
      </c>
      <c r="AC200" s="24">
        <v>-1</v>
      </c>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row>
    <row r="201" spans="2:97">
      <c r="B201"/>
      <c r="C201" s="15" t="str">
        <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v>
      </c>
      <c r="D201" s="23"/>
      <c r="E201" s="23">
        <v>2.0580000000000003</v>
      </c>
      <c r="F201" s="23">
        <v>0</v>
      </c>
      <c r="G201" s="23">
        <f t="shared" si="8"/>
        <v>2.0580000000000003</v>
      </c>
      <c r="H201" s="23" t="e" cm="1">
        <f t="array" ref="H201">INDEX('GLOBAL LOG'!#REF!,ROW()-169+15)</f>
        <v>#REF!</v>
      </c>
      <c r="I201" s="23" t="e">
        <f>_xlfn.XLOOKUP(H201,#REF!,#REF!,"",0,1)</f>
        <v>#REF!</v>
      </c>
      <c r="J201" s="23" t="str">
        <f>IFERROR(I201*#REF!,"")</f>
        <v/>
      </c>
      <c r="K201" s="23" t="e" cm="1">
        <f t="array" ref="K201">INDEX('GLOBAL LOG'!#REF!,ROW()-169+15)</f>
        <v>#REF!</v>
      </c>
      <c r="L201" s="23" t="e">
        <f>_xlfn.XLOOKUP(K201,#REF!,#REF!,"",0,1)</f>
        <v>#REF!</v>
      </c>
      <c r="M201" s="23" t="str">
        <f>IFERROR(L201*#REF!,"")</f>
        <v/>
      </c>
      <c r="N201" s="23">
        <f t="shared" si="9"/>
        <v>-1</v>
      </c>
      <c r="O201" s="23">
        <f t="shared" si="10"/>
        <v>-1</v>
      </c>
      <c r="P201" s="23">
        <f t="shared" si="11"/>
        <v>-1</v>
      </c>
      <c r="Q201" s="24">
        <f t="shared" si="12"/>
        <v>-1</v>
      </c>
      <c r="R201" s="3"/>
      <c r="S201" s="1" t="str">
        <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v>
      </c>
      <c r="T201" s="24">
        <v>-1</v>
      </c>
      <c r="U201"/>
      <c r="V201" s="1" t="str">
        <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v>
      </c>
      <c r="W201" s="24">
        <v>-1</v>
      </c>
      <c r="X201"/>
      <c r="Y201" s="1" t="str">
        <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v>
      </c>
      <c r="Z201" s="24">
        <v>-1</v>
      </c>
      <c r="AA201"/>
      <c r="AB201" s="1" t="str">
        <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v>
      </c>
      <c r="AC201" s="24">
        <v>-1</v>
      </c>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row>
    <row r="202" spans="2:97">
      <c r="B202"/>
      <c r="C202" s="15" t="str">
        <v>Sterling Sterling _ AE2100 _ restructure &amp; add spare engines</v>
      </c>
      <c r="D202" s="23"/>
      <c r="E202" s="23">
        <v>0</v>
      </c>
      <c r="F202" s="23">
        <v>0</v>
      </c>
      <c r="G202" s="23">
        <f t="shared" si="8"/>
        <v>0</v>
      </c>
      <c r="H202" s="23" t="e" cm="1">
        <f t="array" ref="H202">INDEX('GLOBAL LOG'!#REF!,ROW()-169+15)</f>
        <v>#REF!</v>
      </c>
      <c r="I202" s="23" t="e">
        <f>_xlfn.XLOOKUP(H202,#REF!,#REF!,"",0,1)</f>
        <v>#REF!</v>
      </c>
      <c r="J202" s="23" t="str">
        <f>IFERROR(I202*#REF!,"")</f>
        <v/>
      </c>
      <c r="K202" s="23" t="e" cm="1">
        <f t="array" ref="K202">INDEX('GLOBAL LOG'!#REF!,ROW()-169+15)</f>
        <v>#REF!</v>
      </c>
      <c r="L202" s="23" t="e">
        <f>_xlfn.XLOOKUP(K202,#REF!,#REF!,"",0,1)</f>
        <v>#REF!</v>
      </c>
      <c r="M202" s="23" t="str">
        <f>IFERROR(L202*#REF!,"")</f>
        <v/>
      </c>
      <c r="N202" s="23">
        <f t="shared" si="9"/>
        <v>-1</v>
      </c>
      <c r="O202" s="23">
        <f t="shared" si="10"/>
        <v>-1</v>
      </c>
      <c r="P202" s="23">
        <f t="shared" si="11"/>
        <v>-1</v>
      </c>
      <c r="Q202" s="24">
        <f t="shared" si="12"/>
        <v>-1</v>
      </c>
      <c r="R202" s="3"/>
      <c r="S202" s="1" t="str">
        <v>Sterling Sterling _ AE2100 _ restructure &amp; add spare engines</v>
      </c>
      <c r="T202" s="24">
        <v>-1</v>
      </c>
      <c r="U202"/>
      <c r="V202" s="1" t="str">
        <v>Sterling Sterling _ AE2100 _ restructure &amp; add spare engines</v>
      </c>
      <c r="W202" s="24">
        <v>-1</v>
      </c>
      <c r="X202"/>
      <c r="Y202" s="1" t="str">
        <v>Sterling Sterling _ AE2100 _ restructure &amp; add spare engines</v>
      </c>
      <c r="Z202" s="24">
        <v>-1</v>
      </c>
      <c r="AA202"/>
      <c r="AB202" s="1" t="str">
        <v>Sterling Sterling _ AE2100 _ restructure &amp; add spare engines</v>
      </c>
      <c r="AC202" s="24">
        <v>-1</v>
      </c>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row>
    <row r="203" spans="2:97">
      <c r="B203"/>
      <c r="C203" s="15" t="str">
        <v>Austral TCA Extension (Life)/Exit credit trade</v>
      </c>
      <c r="D203" s="23"/>
      <c r="E203" s="23">
        <v>0</v>
      </c>
      <c r="F203" s="23">
        <v>0</v>
      </c>
      <c r="G203" s="23">
        <f t="shared" si="8"/>
        <v>0</v>
      </c>
      <c r="H203" s="23" t="e" cm="1">
        <f t="array" ref="H203">INDEX('GLOBAL LOG'!#REF!,ROW()-169+15)</f>
        <v>#REF!</v>
      </c>
      <c r="I203" s="23" t="e">
        <f>_xlfn.XLOOKUP(H203,#REF!,#REF!,"",0,1)</f>
        <v>#REF!</v>
      </c>
      <c r="J203" s="23" t="str">
        <f>IFERROR(I203*#REF!,"")</f>
        <v/>
      </c>
      <c r="K203" s="23" t="e" cm="1">
        <f t="array" ref="K203">INDEX('GLOBAL LOG'!#REF!,ROW()-169+15)</f>
        <v>#REF!</v>
      </c>
      <c r="L203" s="23" t="e">
        <f>_xlfn.XLOOKUP(K203,#REF!,#REF!,"",0,1)</f>
        <v>#REF!</v>
      </c>
      <c r="M203" s="23" t="str">
        <f>IFERROR(L203*#REF!,"")</f>
        <v/>
      </c>
      <c r="N203" s="23">
        <f t="shared" si="9"/>
        <v>-1</v>
      </c>
      <c r="O203" s="23">
        <f t="shared" si="10"/>
        <v>-1</v>
      </c>
      <c r="P203" s="23">
        <f t="shared" si="11"/>
        <v>-1</v>
      </c>
      <c r="Q203" s="24">
        <f t="shared" si="12"/>
        <v>-1</v>
      </c>
      <c r="R203" s="3"/>
      <c r="S203" s="1" t="str">
        <v>Austral TCA Extension (Life)/Exit credit trade</v>
      </c>
      <c r="T203" s="24">
        <v>-1</v>
      </c>
      <c r="U203"/>
      <c r="V203" s="1" t="str">
        <v>Austral TCA Extension (Life)/Exit credit trade</v>
      </c>
      <c r="W203" s="24">
        <v>-1</v>
      </c>
      <c r="X203"/>
      <c r="Y203" s="1" t="str">
        <v>Austral TCA Extension (Life)/Exit credit trade</v>
      </c>
      <c r="Z203" s="24">
        <v>-1</v>
      </c>
      <c r="AA203"/>
      <c r="AB203" s="1" t="str">
        <v>Austral TCA Extension (Life)/Exit credit trade</v>
      </c>
      <c r="AC203" s="24">
        <v>-1</v>
      </c>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row>
    <row r="204" spans="2:97">
      <c r="B204"/>
      <c r="C204" s="15" t="str">
        <v>Ethiopian Airlines TCA Life Min Term Extension (life)
As part of 787-9 campaign</v>
      </c>
      <c r="D204" s="23"/>
      <c r="E204" s="23">
        <v>23</v>
      </c>
      <c r="F204" s="23">
        <v>0</v>
      </c>
      <c r="G204" s="23">
        <f t="shared" si="8"/>
        <v>23</v>
      </c>
      <c r="H204" s="23" t="e" cm="1">
        <f t="array" ref="H204">INDEX('GLOBAL LOG'!#REF!,ROW()-169+15)</f>
        <v>#REF!</v>
      </c>
      <c r="I204" s="23" t="e">
        <f>_xlfn.XLOOKUP(H204,#REF!,#REF!,"",0,1)</f>
        <v>#REF!</v>
      </c>
      <c r="J204" s="23" t="str">
        <f>IFERROR(I204*#REF!,"")</f>
        <v/>
      </c>
      <c r="K204" s="23" t="e" cm="1">
        <f t="array" ref="K204">INDEX('GLOBAL LOG'!#REF!,ROW()-169+15)</f>
        <v>#REF!</v>
      </c>
      <c r="L204" s="23" t="e">
        <f>_xlfn.XLOOKUP(K204,#REF!,#REF!,"",0,1)</f>
        <v>#REF!</v>
      </c>
      <c r="M204" s="23" t="str">
        <f>IFERROR(L204*#REF!,"")</f>
        <v/>
      </c>
      <c r="N204" s="23">
        <f t="shared" si="9"/>
        <v>-1</v>
      </c>
      <c r="O204" s="23">
        <f t="shared" si="10"/>
        <v>-1</v>
      </c>
      <c r="P204" s="23">
        <f t="shared" si="11"/>
        <v>-1</v>
      </c>
      <c r="Q204" s="24">
        <f t="shared" si="12"/>
        <v>-1</v>
      </c>
      <c r="R204" s="3"/>
      <c r="S204" s="1" t="str">
        <v>Ethiopian Airlines TCA Life Min Term Extension (life)
As part of 787-9 campaign</v>
      </c>
      <c r="T204" s="24">
        <v>-1</v>
      </c>
      <c r="U204"/>
      <c r="V204" s="1" t="str">
        <v>Ethiopian Airlines TCA Life Min Term Extension (life)
As part of 787-9 campaign</v>
      </c>
      <c r="W204" s="24">
        <v>-1</v>
      </c>
      <c r="X204"/>
      <c r="Y204" s="1" t="str">
        <v>Ethiopian Airlines TCA Life Min Term Extension (life)
As part of 787-9 campaign</v>
      </c>
      <c r="Z204" s="24">
        <v>-1</v>
      </c>
      <c r="AA204"/>
      <c r="AB204" s="1" t="str">
        <v>Ethiopian Airlines TCA Life Min Term Extension (life)
As part of 787-9 campaign</v>
      </c>
      <c r="AC204" s="24">
        <v>-1</v>
      </c>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row>
    <row r="205" spans="2:97">
      <c r="B205"/>
      <c r="C205" s="15" t="str">
        <v>Tanzania Sale of incremental spare engine. NDSES CRP</v>
      </c>
      <c r="D205" s="23"/>
      <c r="E205" s="23">
        <v>0.52569600000000005</v>
      </c>
      <c r="F205" s="23">
        <v>0.52569600000000005</v>
      </c>
      <c r="G205" s="23">
        <f t="shared" si="8"/>
        <v>1.0513920000000001</v>
      </c>
      <c r="H205" s="23" t="e" cm="1">
        <f t="array" ref="H205">INDEX('GLOBAL LOG'!#REF!,ROW()-169+15)</f>
        <v>#REF!</v>
      </c>
      <c r="I205" s="23" t="e">
        <f>_xlfn.XLOOKUP(H205,#REF!,#REF!,"",0,1)</f>
        <v>#REF!</v>
      </c>
      <c r="J205" s="23" t="str">
        <f>IFERROR(I205*#REF!,"")</f>
        <v/>
      </c>
      <c r="K205" s="23" t="e" cm="1">
        <f t="array" ref="K205">INDEX('GLOBAL LOG'!#REF!,ROW()-169+15)</f>
        <v>#REF!</v>
      </c>
      <c r="L205" s="23" t="e">
        <f>_xlfn.XLOOKUP(K205,#REF!,#REF!,"",0,1)</f>
        <v>#REF!</v>
      </c>
      <c r="M205" s="23" t="str">
        <f>IFERROR(L205*#REF!,"")</f>
        <v/>
      </c>
      <c r="N205" s="23">
        <f t="shared" si="9"/>
        <v>-1</v>
      </c>
      <c r="O205" s="23">
        <f t="shared" si="10"/>
        <v>-1</v>
      </c>
      <c r="P205" s="23">
        <f t="shared" si="11"/>
        <v>-1</v>
      </c>
      <c r="Q205" s="24">
        <f t="shared" si="12"/>
        <v>-1</v>
      </c>
      <c r="R205" s="3"/>
      <c r="S205" s="1" t="str">
        <v>Tanzania Sale of incremental spare engine. NDSES CRP</v>
      </c>
      <c r="T205" s="24">
        <v>-1</v>
      </c>
      <c r="U205"/>
      <c r="V205" s="1" t="str">
        <v>Tanzania Sale of incremental spare engine. NDSES CRP</v>
      </c>
      <c r="W205" s="24">
        <v>-1</v>
      </c>
      <c r="X205"/>
      <c r="Y205" s="1" t="str">
        <v>Tanzania Sale of incremental spare engine. NDSES CRP</v>
      </c>
      <c r="Z205" s="24">
        <v>-1</v>
      </c>
      <c r="AA205"/>
      <c r="AB205" s="1" t="str">
        <v>Tanzania Sale of incremental spare engine. NDSES CRP</v>
      </c>
      <c r="AC205" s="24">
        <v>-1</v>
      </c>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row>
    <row r="206" spans="2:97">
      <c r="B206"/>
      <c r="C206" s="15" t="str">
        <v>Virgin Atlantic  Sale of incremental Trent 1000 used SPE to meet inventory targets with RRPF S&amp;LB. Review of NDSES cost savings and CRP improvements.</v>
      </c>
      <c r="D206" s="23"/>
      <c r="E206" s="23">
        <v>2</v>
      </c>
      <c r="F206" s="23">
        <v>0</v>
      </c>
      <c r="G206" s="23">
        <f t="shared" si="8"/>
        <v>2</v>
      </c>
      <c r="H206" s="23" t="e" cm="1">
        <f t="array" ref="H206">INDEX('GLOBAL LOG'!#REF!,ROW()-169+15)</f>
        <v>#REF!</v>
      </c>
      <c r="I206" s="23" t="e">
        <f>_xlfn.XLOOKUP(H206,#REF!,#REF!,"",0,1)</f>
        <v>#REF!</v>
      </c>
      <c r="J206" s="23" t="str">
        <f>IFERROR(I206*#REF!,"")</f>
        <v/>
      </c>
      <c r="K206" s="23" t="e" cm="1">
        <f t="array" ref="K206">INDEX('GLOBAL LOG'!#REF!,ROW()-169+15)</f>
        <v>#REF!</v>
      </c>
      <c r="L206" s="23" t="e">
        <f>_xlfn.XLOOKUP(K206,#REF!,#REF!,"",0,1)</f>
        <v>#REF!</v>
      </c>
      <c r="M206" s="23" t="str">
        <f>IFERROR(L206*#REF!,"")</f>
        <v/>
      </c>
      <c r="N206" s="23">
        <f t="shared" si="9"/>
        <v>-1</v>
      </c>
      <c r="O206" s="23">
        <f t="shared" si="10"/>
        <v>-1</v>
      </c>
      <c r="P206" s="23">
        <f t="shared" si="11"/>
        <v>-1</v>
      </c>
      <c r="Q206" s="24">
        <f t="shared" si="12"/>
        <v>-1</v>
      </c>
      <c r="R206" s="3"/>
      <c r="S206" s="1" t="str">
        <v>Virgin Atlantic  Sale of incremental Trent 1000 used SPE to meet inventory targets with RRPF S&amp;LB. Review of NDSES cost savings and CRP improvements.</v>
      </c>
      <c r="T206" s="24">
        <v>-1</v>
      </c>
      <c r="U206"/>
      <c r="V206" s="1" t="str">
        <v>Virgin Atlantic  Sale of incremental Trent 1000 used SPE to meet inventory targets with RRPF S&amp;LB. Review of NDSES cost savings and CRP improvements.</v>
      </c>
      <c r="W206" s="24">
        <v>-1</v>
      </c>
      <c r="X206"/>
      <c r="Y206" s="1" t="str">
        <v>Virgin Atlantic  Sale of incremental Trent 1000 used SPE to meet inventory targets with RRPF S&amp;LB. Review of NDSES cost savings and CRP improvements.</v>
      </c>
      <c r="Z206" s="24">
        <v>-1</v>
      </c>
      <c r="AA206"/>
      <c r="AB206" s="1" t="str">
        <v>Virgin Atlantic  Sale of incremental Trent 1000 used SPE to meet inventory targets with RRPF S&amp;LB. Review of NDSES cost savings and CRP improvements.</v>
      </c>
      <c r="AC206" s="24">
        <v>-1</v>
      </c>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row>
    <row r="207" spans="2:97">
      <c r="B207"/>
      <c r="C207" s="15" t="str">
        <v>British Airways  Descoping of nacelle services (thrust reverser)</v>
      </c>
      <c r="D207" s="23"/>
      <c r="E207" s="23">
        <v>0.5</v>
      </c>
      <c r="F207" s="23">
        <v>0</v>
      </c>
      <c r="G207" s="23">
        <f t="shared" si="8"/>
        <v>0.5</v>
      </c>
      <c r="H207" s="23" t="e" cm="1">
        <f t="array" ref="H207">INDEX('GLOBAL LOG'!#REF!,ROW()-169+15)</f>
        <v>#REF!</v>
      </c>
      <c r="I207" s="23" t="e">
        <f>_xlfn.XLOOKUP(H207,#REF!,#REF!,"",0,1)</f>
        <v>#REF!</v>
      </c>
      <c r="J207" s="23" t="str">
        <f>IFERROR(I207*#REF!,"")</f>
        <v/>
      </c>
      <c r="K207" s="23" t="e" cm="1">
        <f t="array" ref="K207">INDEX('GLOBAL LOG'!#REF!,ROW()-169+15)</f>
        <v>#REF!</v>
      </c>
      <c r="L207" s="23" t="e">
        <f>_xlfn.XLOOKUP(K207,#REF!,#REF!,"",0,1)</f>
        <v>#REF!</v>
      </c>
      <c r="M207" s="23" t="str">
        <f>IFERROR(L207*#REF!,"")</f>
        <v/>
      </c>
      <c r="N207" s="23">
        <f t="shared" si="9"/>
        <v>-1</v>
      </c>
      <c r="O207" s="23">
        <f t="shared" si="10"/>
        <v>-1</v>
      </c>
      <c r="P207" s="23">
        <f t="shared" si="11"/>
        <v>-1</v>
      </c>
      <c r="Q207" s="24">
        <f t="shared" si="12"/>
        <v>-1</v>
      </c>
      <c r="R207" s="3"/>
      <c r="S207" s="1" t="str">
        <v>British Airways  Descoping of nacelle services (thrust reverser)</v>
      </c>
      <c r="T207" s="24">
        <v>-1</v>
      </c>
      <c r="U207"/>
      <c r="V207" s="1" t="str">
        <v>British Airways  Descoping of nacelle services (thrust reverser)</v>
      </c>
      <c r="W207" s="24">
        <v>-1</v>
      </c>
      <c r="X207"/>
      <c r="Y207" s="1" t="str">
        <v>British Airways  Descoping of nacelle services (thrust reverser)</v>
      </c>
      <c r="Z207" s="24">
        <v>-1</v>
      </c>
      <c r="AA207"/>
      <c r="AB207" s="1" t="str">
        <v>British Airways  Descoping of nacelle services (thrust reverser)</v>
      </c>
      <c r="AC207" s="24">
        <v>-1</v>
      </c>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row>
    <row r="208" spans="2:97">
      <c r="B208"/>
      <c r="C208" s="15" t="str">
        <v>Keylime Keylime Air _ AE3007 _ Add 2 aircraft to TotalCare, purchase of AC under eval</v>
      </c>
      <c r="D208" s="23"/>
      <c r="E208" s="23">
        <v>0</v>
      </c>
      <c r="F208" s="23">
        <v>0</v>
      </c>
      <c r="G208" s="23">
        <f t="shared" si="8"/>
        <v>0</v>
      </c>
      <c r="H208" s="23" t="e" cm="1">
        <f t="array" ref="H208">INDEX('GLOBAL LOG'!#REF!,ROW()-169+15)</f>
        <v>#REF!</v>
      </c>
      <c r="I208" s="23" t="e">
        <f>_xlfn.XLOOKUP(H208,#REF!,#REF!,"",0,1)</f>
        <v>#REF!</v>
      </c>
      <c r="J208" s="23" t="str">
        <f>IFERROR(I208*#REF!,"")</f>
        <v/>
      </c>
      <c r="K208" s="23" t="e" cm="1">
        <f t="array" ref="K208">INDEX('GLOBAL LOG'!#REF!,ROW()-169+15)</f>
        <v>#REF!</v>
      </c>
      <c r="L208" s="23" t="e">
        <f>_xlfn.XLOOKUP(K208,#REF!,#REF!,"",0,1)</f>
        <v>#REF!</v>
      </c>
      <c r="M208" s="23" t="str">
        <f>IFERROR(L208*#REF!,"")</f>
        <v/>
      </c>
      <c r="N208" s="23">
        <f t="shared" si="9"/>
        <v>-1</v>
      </c>
      <c r="O208" s="23">
        <f t="shared" si="10"/>
        <v>-1</v>
      </c>
      <c r="P208" s="23">
        <f t="shared" si="11"/>
        <v>-1</v>
      </c>
      <c r="Q208" s="24">
        <f t="shared" si="12"/>
        <v>-1</v>
      </c>
      <c r="R208" s="3"/>
      <c r="S208" s="1" t="str">
        <v>Keylime Keylime Air _ AE3007 _ Add 2 aircraft to TotalCare, purchase of AC under eval</v>
      </c>
      <c r="T208" s="24">
        <v>-1</v>
      </c>
      <c r="U208"/>
      <c r="V208" s="1" t="str">
        <v>Keylime Keylime Air _ AE3007 _ Add 2 aircraft to TotalCare, purchase of AC under eval</v>
      </c>
      <c r="W208" s="24">
        <v>-1</v>
      </c>
      <c r="X208"/>
      <c r="Y208" s="1" t="str">
        <v>Keylime Keylime Air _ AE3007 _ Add 2 aircraft to TotalCare, purchase of AC under eval</v>
      </c>
      <c r="Z208" s="24">
        <v>-1</v>
      </c>
      <c r="AA208"/>
      <c r="AB208" s="1" t="str">
        <v>Keylime Keylime Air _ AE3007 _ Add 2 aircraft to TotalCare, purchase of AC under eval</v>
      </c>
      <c r="AC208" s="24">
        <v>-1</v>
      </c>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row>
    <row r="209" spans="2:97">
      <c r="B209"/>
      <c r="C209" s="15" t="str">
        <v>Satena Satena _ AE3007 _ Contract extension for 2 AC</v>
      </c>
      <c r="D209" s="23"/>
      <c r="E209" s="23">
        <v>0</v>
      </c>
      <c r="F209" s="23">
        <v>0</v>
      </c>
      <c r="G209" s="23">
        <f t="shared" si="8"/>
        <v>0</v>
      </c>
      <c r="H209" s="23" t="e" cm="1">
        <f t="array" ref="H209">INDEX('GLOBAL LOG'!#REF!,ROW()-169+15)</f>
        <v>#REF!</v>
      </c>
      <c r="I209" s="23" t="e">
        <f>_xlfn.XLOOKUP(H209,#REF!,#REF!,"",0,1)</f>
        <v>#REF!</v>
      </c>
      <c r="J209" s="23" t="str">
        <f>IFERROR(I209*#REF!,"")</f>
        <v/>
      </c>
      <c r="K209" s="23" t="e" cm="1">
        <f t="array" ref="K209">INDEX('GLOBAL LOG'!#REF!,ROW()-169+15)</f>
        <v>#REF!</v>
      </c>
      <c r="L209" s="23" t="e">
        <f>_xlfn.XLOOKUP(K209,#REF!,#REF!,"",0,1)</f>
        <v>#REF!</v>
      </c>
      <c r="M209" s="23" t="str">
        <f>IFERROR(L209*#REF!,"")</f>
        <v/>
      </c>
      <c r="N209" s="23">
        <f t="shared" si="9"/>
        <v>-1</v>
      </c>
      <c r="O209" s="23">
        <f t="shared" si="10"/>
        <v>-1</v>
      </c>
      <c r="P209" s="23">
        <f t="shared" si="11"/>
        <v>-1</v>
      </c>
      <c r="Q209" s="24">
        <f t="shared" si="12"/>
        <v>-1</v>
      </c>
      <c r="R209" s="3"/>
      <c r="S209" s="1" t="str">
        <v>Satena Satena _ AE3007 _ Contract extension for 2 AC</v>
      </c>
      <c r="T209" s="24">
        <v>-1</v>
      </c>
      <c r="U209"/>
      <c r="V209" s="1" t="str">
        <v>Satena Satena _ AE3007 _ Contract extension for 2 AC</v>
      </c>
      <c r="W209" s="24">
        <v>-1</v>
      </c>
      <c r="X209"/>
      <c r="Y209" s="1" t="str">
        <v>Satena Satena _ AE3007 _ Contract extension for 2 AC</v>
      </c>
      <c r="Z209" s="24">
        <v>-1</v>
      </c>
      <c r="AA209"/>
      <c r="AB209" s="1" t="str">
        <v>Satena Satena _ AE3007 _ Contract extension for 2 AC</v>
      </c>
      <c r="AC209" s="24">
        <v>-1</v>
      </c>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row>
    <row r="210" spans="2:97">
      <c r="B210"/>
      <c r="C210" s="15" t="str">
        <v>Ethiopian Airlines Restructure exisiting contract -Increase escalation
As part of A350-900 sales campaign</v>
      </c>
      <c r="D210" s="23"/>
      <c r="E210" s="23">
        <v>0</v>
      </c>
      <c r="F210" s="23">
        <v>0</v>
      </c>
      <c r="G210" s="23">
        <f t="shared" si="8"/>
        <v>0</v>
      </c>
      <c r="H210" s="23" t="e" cm="1">
        <f t="array" ref="H210">INDEX('GLOBAL LOG'!#REF!,ROW()-169+15)</f>
        <v>#REF!</v>
      </c>
      <c r="I210" s="23" t="e">
        <f>_xlfn.XLOOKUP(H210,#REF!,#REF!,"",0,1)</f>
        <v>#REF!</v>
      </c>
      <c r="J210" s="23" t="str">
        <f>IFERROR(I210*#REF!,"")</f>
        <v/>
      </c>
      <c r="K210" s="23" t="e" cm="1">
        <f t="array" ref="K210">INDEX('GLOBAL LOG'!#REF!,ROW()-169+15)</f>
        <v>#REF!</v>
      </c>
      <c r="L210" s="23" t="e">
        <f>_xlfn.XLOOKUP(K210,#REF!,#REF!,"",0,1)</f>
        <v>#REF!</v>
      </c>
      <c r="M210" s="23" t="str">
        <f>IFERROR(L210*#REF!,"")</f>
        <v/>
      </c>
      <c r="N210" s="23">
        <f t="shared" si="9"/>
        <v>-1</v>
      </c>
      <c r="O210" s="23">
        <f t="shared" si="10"/>
        <v>-1</v>
      </c>
      <c r="P210" s="23">
        <f t="shared" si="11"/>
        <v>-1</v>
      </c>
      <c r="Q210" s="24">
        <f t="shared" si="12"/>
        <v>-1</v>
      </c>
      <c r="R210" s="3"/>
      <c r="S210" s="1" t="str">
        <v>Ethiopian Airlines Restructure exisiting contract -Increase escalation
As part of A350-900 sales campaign</v>
      </c>
      <c r="T210" s="24">
        <v>-1</v>
      </c>
      <c r="U210"/>
      <c r="V210" s="1" t="str">
        <v>Ethiopian Airlines Restructure exisiting contract -Increase escalation
As part of A350-900 sales campaign</v>
      </c>
      <c r="W210" s="24">
        <v>-1</v>
      </c>
      <c r="X210"/>
      <c r="Y210" s="1" t="str">
        <v>Ethiopian Airlines Restructure exisiting contract -Increase escalation
As part of A350-900 sales campaign</v>
      </c>
      <c r="Z210" s="24">
        <v>-1</v>
      </c>
      <c r="AA210"/>
      <c r="AB210" s="1" t="str">
        <v>Ethiopian Airlines Restructure exisiting contract -Increase escalation
As part of A350-900 sales campaign</v>
      </c>
      <c r="AC210" s="24">
        <v>-1</v>
      </c>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row>
    <row r="211" spans="2:97">
      <c r="B211"/>
      <c r="C211" s="15" t="str">
        <v>United UNITED TotalCare restructure to SelectCare and term extension - 535E$</v>
      </c>
      <c r="D211" s="23"/>
      <c r="E211" s="23">
        <v>0</v>
      </c>
      <c r="F211" s="23">
        <v>0</v>
      </c>
      <c r="G211" s="23">
        <f t="shared" si="8"/>
        <v>0</v>
      </c>
      <c r="H211" s="23" t="e" cm="1">
        <f t="array" ref="H211">INDEX('GLOBAL LOG'!#REF!,ROW()-169+15)</f>
        <v>#REF!</v>
      </c>
      <c r="I211" s="23" t="e">
        <f>_xlfn.XLOOKUP(H211,#REF!,#REF!,"",0,1)</f>
        <v>#REF!</v>
      </c>
      <c r="J211" s="23" t="str">
        <f>IFERROR(I211*#REF!,"")</f>
        <v/>
      </c>
      <c r="K211" s="23" t="e" cm="1">
        <f t="array" ref="K211">INDEX('GLOBAL LOG'!#REF!,ROW()-169+15)</f>
        <v>#REF!</v>
      </c>
      <c r="L211" s="23" t="e">
        <f>_xlfn.XLOOKUP(K211,#REF!,#REF!,"",0,1)</f>
        <v>#REF!</v>
      </c>
      <c r="M211" s="23" t="str">
        <f>IFERROR(L211*#REF!,"")</f>
        <v/>
      </c>
      <c r="N211" s="23">
        <f t="shared" si="9"/>
        <v>-1</v>
      </c>
      <c r="O211" s="23">
        <f t="shared" si="10"/>
        <v>-1</v>
      </c>
      <c r="P211" s="23">
        <f t="shared" si="11"/>
        <v>-1</v>
      </c>
      <c r="Q211" s="24">
        <f t="shared" si="12"/>
        <v>-1</v>
      </c>
      <c r="R211" s="3"/>
      <c r="S211" s="1" t="str">
        <v>United UNITED TotalCare restructure to SelectCare and term extension - 535E$</v>
      </c>
      <c r="T211" s="24">
        <v>-1</v>
      </c>
      <c r="U211"/>
      <c r="V211" s="1" t="str">
        <v>United UNITED TotalCare restructure to SelectCare and term extension - 535E$</v>
      </c>
      <c r="W211" s="24">
        <v>-1</v>
      </c>
      <c r="X211"/>
      <c r="Y211" s="1" t="str">
        <v>United UNITED TotalCare restructure to SelectCare and term extension - 535E$</v>
      </c>
      <c r="Z211" s="24">
        <v>-1</v>
      </c>
      <c r="AA211"/>
      <c r="AB211" s="1" t="str">
        <v>United UNITED TotalCare restructure to SelectCare and term extension - 535E$</v>
      </c>
      <c r="AC211" s="24">
        <v>-1</v>
      </c>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row>
    <row r="212" spans="2:97">
      <c r="B212"/>
      <c r="C212" s="15" t="str">
        <v xml:space="preserve">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v>
      </c>
      <c r="D212" s="23"/>
      <c r="E212" s="23">
        <v>14</v>
      </c>
      <c r="F212" s="23" t="str">
        <v>Confirm with Bobby</v>
      </c>
      <c r="G212" s="23" t="e">
        <f t="shared" si="8"/>
        <v>#VALUE!</v>
      </c>
      <c r="H212" s="23" t="e" cm="1">
        <f t="array" ref="H212">INDEX('GLOBAL LOG'!#REF!,ROW()-169+15)</f>
        <v>#REF!</v>
      </c>
      <c r="I212" s="23" t="e">
        <f>_xlfn.XLOOKUP(H212,#REF!,#REF!,"",0,1)</f>
        <v>#REF!</v>
      </c>
      <c r="J212" s="23" t="str">
        <f>IFERROR(I212*#REF!,"")</f>
        <v/>
      </c>
      <c r="K212" s="23" t="e" cm="1">
        <f t="array" ref="K212">INDEX('GLOBAL LOG'!#REF!,ROW()-169+15)</f>
        <v>#REF!</v>
      </c>
      <c r="L212" s="23" t="e">
        <f>_xlfn.XLOOKUP(K212,#REF!,#REF!,"",0,1)</f>
        <v>#REF!</v>
      </c>
      <c r="M212" s="23" t="str">
        <f>IFERROR(L212*#REF!,"")</f>
        <v/>
      </c>
      <c r="N212" s="23">
        <f t="shared" si="9"/>
        <v>-1</v>
      </c>
      <c r="O212" s="23">
        <f t="shared" si="10"/>
        <v>-1</v>
      </c>
      <c r="P212" s="23">
        <f t="shared" si="11"/>
        <v>-1</v>
      </c>
      <c r="Q212" s="24">
        <f t="shared" si="12"/>
        <v>-1</v>
      </c>
      <c r="R212" s="3"/>
      <c r="S212" s="1" t="str">
        <v xml:space="preserve">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v>
      </c>
      <c r="T212" s="24">
        <v>-1</v>
      </c>
      <c r="U212"/>
      <c r="V212" s="1" t="str">
        <v xml:space="preserve">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v>
      </c>
      <c r="W212" s="24">
        <v>-1</v>
      </c>
      <c r="X212"/>
      <c r="Y212" s="1" t="str">
        <v xml:space="preserve">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v>
      </c>
      <c r="Z212" s="24">
        <v>-1</v>
      </c>
      <c r="AA212"/>
      <c r="AB212" s="1" t="str">
        <v xml:space="preserve">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v>
      </c>
      <c r="AC212" s="24">
        <v>-1</v>
      </c>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row>
    <row r="213" spans="2:97">
      <c r="B213"/>
      <c r="C213" s="15" t="str">
        <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v>
      </c>
      <c r="D213" s="23"/>
      <c r="E213" s="23">
        <v>0</v>
      </c>
      <c r="F213" s="23">
        <v>0</v>
      </c>
      <c r="G213" s="23">
        <f t="shared" si="8"/>
        <v>0</v>
      </c>
      <c r="H213" s="23" t="e" cm="1">
        <f t="array" ref="H213">INDEX('GLOBAL LOG'!#REF!,ROW()-169+15)</f>
        <v>#REF!</v>
      </c>
      <c r="I213" s="23" t="e">
        <f>_xlfn.XLOOKUP(H213,#REF!,#REF!,"",0,1)</f>
        <v>#REF!</v>
      </c>
      <c r="J213" s="23" t="str">
        <f>IFERROR(I213*#REF!,"")</f>
        <v/>
      </c>
      <c r="K213" s="23" t="e" cm="1">
        <f t="array" ref="K213">INDEX('GLOBAL LOG'!#REF!,ROW()-169+15)</f>
        <v>#REF!</v>
      </c>
      <c r="L213" s="23" t="e">
        <f>_xlfn.XLOOKUP(K213,#REF!,#REF!,"",0,1)</f>
        <v>#REF!</v>
      </c>
      <c r="M213" s="23" t="str">
        <f>IFERROR(L213*#REF!,"")</f>
        <v/>
      </c>
      <c r="N213" s="23">
        <f t="shared" si="9"/>
        <v>-1</v>
      </c>
      <c r="O213" s="23">
        <f t="shared" si="10"/>
        <v>-1</v>
      </c>
      <c r="P213" s="23">
        <f t="shared" si="11"/>
        <v>-1</v>
      </c>
      <c r="Q213" s="24">
        <f t="shared" si="12"/>
        <v>-1</v>
      </c>
      <c r="R213" s="3"/>
      <c r="S213" s="1" t="str">
        <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v>
      </c>
      <c r="T213" s="24">
        <v>-1</v>
      </c>
      <c r="U213"/>
      <c r="V213" s="1" t="str">
        <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v>
      </c>
      <c r="W213" s="24">
        <v>-1</v>
      </c>
      <c r="X213"/>
      <c r="Y213" s="1" t="str">
        <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v>
      </c>
      <c r="Z213" s="24">
        <v>-1</v>
      </c>
      <c r="AA213"/>
      <c r="AB213" s="1" t="str">
        <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v>
      </c>
      <c r="AC213" s="24">
        <v>-1</v>
      </c>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row>
    <row r="214" spans="2:97">
      <c r="B214"/>
      <c r="C214" s="15" t="str">
        <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v>
      </c>
      <c r="D214" s="23"/>
      <c r="E214" s="23">
        <v>0</v>
      </c>
      <c r="F214" s="23">
        <v>0</v>
      </c>
      <c r="G214" s="23">
        <f t="shared" si="8"/>
        <v>0</v>
      </c>
      <c r="H214" s="23" t="e" cm="1">
        <f t="array" ref="H214">INDEX('GLOBAL LOG'!#REF!,ROW()-169+15)</f>
        <v>#REF!</v>
      </c>
      <c r="I214" s="23" t="e">
        <f>_xlfn.XLOOKUP(H214,#REF!,#REF!,"",0,1)</f>
        <v>#REF!</v>
      </c>
      <c r="J214" s="23" t="str">
        <f>IFERROR(I214*#REF!,"")</f>
        <v/>
      </c>
      <c r="K214" s="23" t="e" cm="1">
        <f t="array" ref="K214">INDEX('GLOBAL LOG'!#REF!,ROW()-169+15)</f>
        <v>#REF!</v>
      </c>
      <c r="L214" s="23" t="e">
        <f>_xlfn.XLOOKUP(K214,#REF!,#REF!,"",0,1)</f>
        <v>#REF!</v>
      </c>
      <c r="M214" s="23" t="str">
        <f>IFERROR(L214*#REF!,"")</f>
        <v/>
      </c>
      <c r="N214" s="23">
        <f t="shared" si="9"/>
        <v>-1</v>
      </c>
      <c r="O214" s="23">
        <f t="shared" si="10"/>
        <v>-1</v>
      </c>
      <c r="P214" s="23">
        <f t="shared" si="11"/>
        <v>-1</v>
      </c>
      <c r="Q214" s="24">
        <f t="shared" si="12"/>
        <v>-1</v>
      </c>
      <c r="R214" s="3"/>
      <c r="S214" s="1" t="str">
        <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v>
      </c>
      <c r="T214" s="24">
        <v>-1</v>
      </c>
      <c r="U214"/>
      <c r="V214" s="1" t="str">
        <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v>
      </c>
      <c r="W214" s="24">
        <v>-1</v>
      </c>
      <c r="X214"/>
      <c r="Y214" s="1" t="str">
        <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v>
      </c>
      <c r="Z214" s="24">
        <v>-1</v>
      </c>
      <c r="AA214"/>
      <c r="AB214" s="1" t="str">
        <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v>
      </c>
      <c r="AC214" s="24">
        <v>-1</v>
      </c>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row>
    <row r="215" spans="2:97">
      <c r="B215"/>
      <c r="C215" s="15" t="str">
        <v xml:space="preserve">Finnair  Min Term Extension for both Life &amp; Term mix of structures  - discussions to commence following their fleet expansion analysis in Q2. </v>
      </c>
      <c r="D215" s="23"/>
      <c r="E215" s="23">
        <v>0</v>
      </c>
      <c r="F215" s="23">
        <v>0</v>
      </c>
      <c r="G215" s="23">
        <f t="shared" si="8"/>
        <v>0</v>
      </c>
      <c r="H215" s="23" t="e" cm="1">
        <f t="array" ref="H215">INDEX('GLOBAL LOG'!#REF!,ROW()-169+15)</f>
        <v>#REF!</v>
      </c>
      <c r="I215" s="23" t="e">
        <f>_xlfn.XLOOKUP(H215,#REF!,#REF!,"",0,1)</f>
        <v>#REF!</v>
      </c>
      <c r="J215" s="23" t="str">
        <f>IFERROR(I215*#REF!,"")</f>
        <v/>
      </c>
      <c r="K215" s="23" t="e" cm="1">
        <f t="array" ref="K215">INDEX('GLOBAL LOG'!#REF!,ROW()-169+15)</f>
        <v>#REF!</v>
      </c>
      <c r="L215" s="23" t="e">
        <f>_xlfn.XLOOKUP(K215,#REF!,#REF!,"",0,1)</f>
        <v>#REF!</v>
      </c>
      <c r="M215" s="23" t="str">
        <f>IFERROR(L215*#REF!,"")</f>
        <v/>
      </c>
      <c r="N215" s="23">
        <f t="shared" si="9"/>
        <v>-1</v>
      </c>
      <c r="O215" s="23">
        <f t="shared" si="10"/>
        <v>-1</v>
      </c>
      <c r="P215" s="23">
        <f t="shared" si="11"/>
        <v>-1</v>
      </c>
      <c r="Q215" s="24">
        <f t="shared" si="12"/>
        <v>-1</v>
      </c>
      <c r="R215" s="3"/>
      <c r="S215" s="1" t="str">
        <v xml:space="preserve">Finnair  Min Term Extension for both Life &amp; Term mix of structures  - discussions to commence following their fleet expansion analysis in Q2. </v>
      </c>
      <c r="T215" s="24">
        <v>-1</v>
      </c>
      <c r="U215"/>
      <c r="V215" s="1" t="str">
        <v xml:space="preserve">Finnair  Min Term Extension for both Life &amp; Term mix of structures  - discussions to commence following their fleet expansion analysis in Q2. </v>
      </c>
      <c r="W215" s="24">
        <v>-1</v>
      </c>
      <c r="X215"/>
      <c r="Y215" s="1" t="str">
        <v xml:space="preserve">Finnair  Min Term Extension for both Life &amp; Term mix of structures  - discussions to commence following their fleet expansion analysis in Q2. </v>
      </c>
      <c r="Z215" s="24">
        <v>-1</v>
      </c>
      <c r="AA215"/>
      <c r="AB215" s="1" t="str">
        <v xml:space="preserve">Finnair  Min Term Extension for both Life &amp; Term mix of structures  - discussions to commence following their fleet expansion analysis in Q2. </v>
      </c>
      <c r="AC215" s="24">
        <v>-1</v>
      </c>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row>
    <row r="216" spans="2:97">
      <c r="B216"/>
      <c r="C216" s="15" t="str">
        <v>Virgin Atlantic  Descoping of unprofitable services in conjunction with new a/c opportunity. Test with new a/c (decision expected Q2 2026) before descoping existing fleet.</v>
      </c>
      <c r="D216" s="23"/>
      <c r="E216" s="23">
        <v>0</v>
      </c>
      <c r="F216" s="23">
        <v>0</v>
      </c>
      <c r="G216" s="23">
        <f t="shared" si="8"/>
        <v>0</v>
      </c>
      <c r="H216" s="23" t="e" cm="1">
        <f t="array" ref="H216">INDEX('GLOBAL LOG'!#REF!,ROW()-169+15)</f>
        <v>#REF!</v>
      </c>
      <c r="I216" s="23" t="e">
        <f>_xlfn.XLOOKUP(H216,#REF!,#REF!,"",0,1)</f>
        <v>#REF!</v>
      </c>
      <c r="J216" s="23" t="str">
        <f>IFERROR(I216*#REF!,"")</f>
        <v/>
      </c>
      <c r="K216" s="23" t="e" cm="1">
        <f t="array" ref="K216">INDEX('GLOBAL LOG'!#REF!,ROW()-169+15)</f>
        <v>#REF!</v>
      </c>
      <c r="L216" s="23" t="e">
        <f>_xlfn.XLOOKUP(K216,#REF!,#REF!,"",0,1)</f>
        <v>#REF!</v>
      </c>
      <c r="M216" s="23" t="str">
        <f>IFERROR(L216*#REF!,"")</f>
        <v/>
      </c>
      <c r="N216" s="23">
        <f t="shared" si="9"/>
        <v>-1</v>
      </c>
      <c r="O216" s="23">
        <f t="shared" si="10"/>
        <v>-1</v>
      </c>
      <c r="P216" s="23">
        <f t="shared" si="11"/>
        <v>-1</v>
      </c>
      <c r="Q216" s="24">
        <f t="shared" si="12"/>
        <v>-1</v>
      </c>
      <c r="R216" s="3"/>
      <c r="S216" s="1" t="str">
        <v>Virgin Atlantic  Descoping of unprofitable services in conjunction with new a/c opportunity. Test with new a/c (decision expected Q2 2026) before descoping existing fleet.</v>
      </c>
      <c r="T216" s="24">
        <v>-1</v>
      </c>
      <c r="U216"/>
      <c r="V216" s="1" t="str">
        <v>Virgin Atlantic  Descoping of unprofitable services in conjunction with new a/c opportunity. Test with new a/c (decision expected Q2 2026) before descoping existing fleet.</v>
      </c>
      <c r="W216" s="24">
        <v>-1</v>
      </c>
      <c r="X216"/>
      <c r="Y216" s="1" t="str">
        <v>Virgin Atlantic  Descoping of unprofitable services in conjunction with new a/c opportunity. Test with new a/c (decision expected Q2 2026) before descoping existing fleet.</v>
      </c>
      <c r="Z216" s="24">
        <v>-1</v>
      </c>
      <c r="AA216"/>
      <c r="AB216" s="1" t="str">
        <v>Virgin Atlantic  Descoping of unprofitable services in conjunction with new a/c opportunity. Test with new a/c (decision expected Q2 2026) before descoping existing fleet.</v>
      </c>
      <c r="AC216" s="24">
        <v>-1</v>
      </c>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row>
    <row r="217" spans="2:97">
      <c r="B217"/>
      <c r="C217" s="15" t="str">
        <v xml:space="preserve">Air France  Min term extension (life) - 3 a/c exit from 2029. Maybe add in 2026 RFP </v>
      </c>
      <c r="D217" s="23"/>
      <c r="E217" s="23">
        <v>0</v>
      </c>
      <c r="F217" s="23">
        <v>0</v>
      </c>
      <c r="G217" s="23">
        <f t="shared" si="8"/>
        <v>0</v>
      </c>
      <c r="H217" s="23" t="e" cm="1">
        <f t="array" ref="H217">INDEX('GLOBAL LOG'!#REF!,ROW()-169+15)</f>
        <v>#REF!</v>
      </c>
      <c r="I217" s="23" t="e">
        <f>_xlfn.XLOOKUP(H217,#REF!,#REF!,"",0,1)</f>
        <v>#REF!</v>
      </c>
      <c r="J217" s="23" t="str">
        <f>IFERROR(I217*#REF!,"")</f>
        <v/>
      </c>
      <c r="K217" s="23" t="e" cm="1">
        <f t="array" ref="K217">INDEX('GLOBAL LOG'!#REF!,ROW()-169+15)</f>
        <v>#REF!</v>
      </c>
      <c r="L217" s="23" t="e">
        <f>_xlfn.XLOOKUP(K217,#REF!,#REF!,"",0,1)</f>
        <v>#REF!</v>
      </c>
      <c r="M217" s="23" t="str">
        <f>IFERROR(L217*#REF!,"")</f>
        <v/>
      </c>
      <c r="N217" s="23">
        <f t="shared" si="9"/>
        <v>-1</v>
      </c>
      <c r="O217" s="23">
        <f t="shared" si="10"/>
        <v>-1</v>
      </c>
      <c r="P217" s="23">
        <f t="shared" si="11"/>
        <v>-1</v>
      </c>
      <c r="Q217" s="24">
        <f t="shared" si="12"/>
        <v>-1</v>
      </c>
      <c r="R217" s="3"/>
      <c r="S217" s="1" t="str">
        <v xml:space="preserve">Air France  Min term extension (life) - 3 a/c exit from 2029. Maybe add in 2026 RFP </v>
      </c>
      <c r="T217" s="24">
        <v>-1</v>
      </c>
      <c r="U217"/>
      <c r="V217" s="1" t="str">
        <v xml:space="preserve">Air France  Min term extension (life) - 3 a/c exit from 2029. Maybe add in 2026 RFP </v>
      </c>
      <c r="W217" s="24">
        <v>-1</v>
      </c>
      <c r="X217"/>
      <c r="Y217" s="1" t="str">
        <v xml:space="preserve">Air France  Min term extension (life) - 3 a/c exit from 2029. Maybe add in 2026 RFP </v>
      </c>
      <c r="Z217" s="24">
        <v>-1</v>
      </c>
      <c r="AA217"/>
      <c r="AB217" s="1" t="str">
        <v xml:space="preserve">Air France  Min term extension (life) - 3 a/c exit from 2029. Maybe add in 2026 RFP </v>
      </c>
      <c r="AC217" s="24">
        <v>-1</v>
      </c>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row>
    <row r="218" spans="2:97">
      <c r="B218"/>
      <c r="C218" s="15" t="str">
        <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v>
      </c>
      <c r="D218" s="23"/>
      <c r="E218" s="23">
        <v>0</v>
      </c>
      <c r="F218" s="23" t="str">
        <v>Rebecca to confirm</v>
      </c>
      <c r="G218" s="23" t="e">
        <f t="shared" si="8"/>
        <v>#VALUE!</v>
      </c>
      <c r="H218" s="23" t="e" cm="1">
        <f t="array" ref="H218">INDEX('GLOBAL LOG'!#REF!,ROW()-169+15)</f>
        <v>#REF!</v>
      </c>
      <c r="I218" s="23" t="e">
        <f>_xlfn.XLOOKUP(H218,#REF!,#REF!,"",0,1)</f>
        <v>#REF!</v>
      </c>
      <c r="J218" s="23" t="str">
        <f>IFERROR(I218*#REF!,"")</f>
        <v/>
      </c>
      <c r="K218" s="23" t="e" cm="1">
        <f t="array" ref="K218">INDEX('GLOBAL LOG'!#REF!,ROW()-169+15)</f>
        <v>#REF!</v>
      </c>
      <c r="L218" s="23" t="e">
        <f>_xlfn.XLOOKUP(K218,#REF!,#REF!,"",0,1)</f>
        <v>#REF!</v>
      </c>
      <c r="M218" s="23" t="str">
        <f>IFERROR(L218*#REF!,"")</f>
        <v/>
      </c>
      <c r="N218" s="23">
        <f t="shared" si="9"/>
        <v>-1</v>
      </c>
      <c r="O218" s="23">
        <f t="shared" si="10"/>
        <v>-1</v>
      </c>
      <c r="P218" s="23">
        <f t="shared" si="11"/>
        <v>-1</v>
      </c>
      <c r="Q218" s="24">
        <f t="shared" si="12"/>
        <v>-1</v>
      </c>
      <c r="R218" s="3"/>
      <c r="S218" s="1" t="str">
        <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v>
      </c>
      <c r="T218" s="24">
        <v>-1</v>
      </c>
      <c r="U218"/>
      <c r="V218" s="1" t="str">
        <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v>
      </c>
      <c r="W218" s="24">
        <v>-1</v>
      </c>
      <c r="X218"/>
      <c r="Y218" s="1" t="str">
        <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v>
      </c>
      <c r="Z218" s="24">
        <v>-1</v>
      </c>
      <c r="AA218"/>
      <c r="AB218" s="1" t="str">
        <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v>
      </c>
      <c r="AC218" s="24">
        <v>-1</v>
      </c>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row>
    <row r="219" spans="2:97">
      <c r="B219"/>
      <c r="C219" s="15" t="str">
        <v>Lufthansa Min term extension (life) - 4 a/c exit from 2028</v>
      </c>
      <c r="D219" s="23"/>
      <c r="E219" s="23">
        <v>0</v>
      </c>
      <c r="F219" s="23">
        <v>0</v>
      </c>
      <c r="G219" s="23">
        <f t="shared" si="8"/>
        <v>0</v>
      </c>
      <c r="H219" s="23" t="e" cm="1">
        <f t="array" ref="H219">INDEX('GLOBAL LOG'!#REF!,ROW()-169+15)</f>
        <v>#REF!</v>
      </c>
      <c r="I219" s="23" t="e">
        <f>_xlfn.XLOOKUP(H219,#REF!,#REF!,"",0,1)</f>
        <v>#REF!</v>
      </c>
      <c r="J219" s="23" t="str">
        <f>IFERROR(I219*#REF!,"")</f>
        <v/>
      </c>
      <c r="K219" s="23" t="e" cm="1">
        <f t="array" ref="K219">INDEX('GLOBAL LOG'!#REF!,ROW()-169+15)</f>
        <v>#REF!</v>
      </c>
      <c r="L219" s="23" t="e">
        <f>_xlfn.XLOOKUP(K219,#REF!,#REF!,"",0,1)</f>
        <v>#REF!</v>
      </c>
      <c r="M219" s="23" t="str">
        <f>IFERROR(L219*#REF!,"")</f>
        <v/>
      </c>
      <c r="N219" s="23">
        <f t="shared" si="9"/>
        <v>-1</v>
      </c>
      <c r="O219" s="23">
        <f t="shared" si="10"/>
        <v>-1</v>
      </c>
      <c r="P219" s="23">
        <f t="shared" si="11"/>
        <v>-1</v>
      </c>
      <c r="Q219" s="24">
        <f t="shared" si="12"/>
        <v>-1</v>
      </c>
      <c r="R219" s="3"/>
      <c r="S219" s="1" t="str">
        <v>Lufthansa Min term extension (life) - 4 a/c exit from 2028</v>
      </c>
      <c r="T219" s="24">
        <v>-1</v>
      </c>
      <c r="U219"/>
      <c r="V219" s="1" t="str">
        <v>Lufthansa Min term extension (life) - 4 a/c exit from 2028</v>
      </c>
      <c r="W219" s="24">
        <v>-1</v>
      </c>
      <c r="X219"/>
      <c r="Y219" s="1" t="str">
        <v>Lufthansa Min term extension (life) - 4 a/c exit from 2028</v>
      </c>
      <c r="Z219" s="24">
        <v>-1</v>
      </c>
      <c r="AA219"/>
      <c r="AB219" s="1" t="str">
        <v>Lufthansa Min term extension (life) - 4 a/c exit from 2028</v>
      </c>
      <c r="AC219" s="24">
        <v>-1</v>
      </c>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row>
    <row r="220" spans="2:97">
      <c r="B220"/>
      <c r="C220" s="15" t="str">
        <v>Air Caraibes  Min term extension (life) - 3 a/c exit from 2029</v>
      </c>
      <c r="D220" s="23"/>
      <c r="E220" s="23">
        <v>0</v>
      </c>
      <c r="F220" s="23">
        <v>0</v>
      </c>
      <c r="G220" s="23">
        <f t="shared" si="8"/>
        <v>0</v>
      </c>
      <c r="H220" s="23" t="e" cm="1">
        <f t="array" ref="H220">INDEX('GLOBAL LOG'!#REF!,ROW()-169+15)</f>
        <v>#REF!</v>
      </c>
      <c r="I220" s="23" t="e">
        <f>_xlfn.XLOOKUP(H220,#REF!,#REF!,"",0,1)</f>
        <v>#REF!</v>
      </c>
      <c r="J220" s="23" t="str">
        <f>IFERROR(I220*#REF!,"")</f>
        <v/>
      </c>
      <c r="K220" s="23" t="e" cm="1">
        <f t="array" ref="K220">INDEX('GLOBAL LOG'!#REF!,ROW()-169+15)</f>
        <v>#REF!</v>
      </c>
      <c r="L220" s="23" t="e">
        <f>_xlfn.XLOOKUP(K220,#REF!,#REF!,"",0,1)</f>
        <v>#REF!</v>
      </c>
      <c r="M220" s="23" t="str">
        <f>IFERROR(L220*#REF!,"")</f>
        <v/>
      </c>
      <c r="N220" s="23">
        <f t="shared" si="9"/>
        <v>-1</v>
      </c>
      <c r="O220" s="23">
        <f t="shared" si="10"/>
        <v>-1</v>
      </c>
      <c r="P220" s="23">
        <f t="shared" si="11"/>
        <v>-1</v>
      </c>
      <c r="Q220" s="24">
        <f t="shared" si="12"/>
        <v>-1</v>
      </c>
      <c r="R220" s="3"/>
      <c r="S220" s="1" t="str">
        <v>Air Caraibes  Min term extension (life) - 3 a/c exit from 2029</v>
      </c>
      <c r="T220" s="24">
        <v>-1</v>
      </c>
      <c r="U220"/>
      <c r="V220" s="1" t="str">
        <v>Air Caraibes  Min term extension (life) - 3 a/c exit from 2029</v>
      </c>
      <c r="W220" s="24">
        <v>-1</v>
      </c>
      <c r="X220"/>
      <c r="Y220" s="1" t="str">
        <v>Air Caraibes  Min term extension (life) - 3 a/c exit from 2029</v>
      </c>
      <c r="Z220" s="24">
        <v>-1</v>
      </c>
      <c r="AA220"/>
      <c r="AB220" s="1" t="str">
        <v>Air Caraibes  Min term extension (life) - 3 a/c exit from 2029</v>
      </c>
      <c r="AC220" s="24">
        <v>-1</v>
      </c>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row>
    <row r="221" spans="2:97">
      <c r="B221"/>
      <c r="C221" s="15" t="str">
        <v xml:space="preserve">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v>
      </c>
      <c r="D221" s="23"/>
      <c r="E221" s="23">
        <v>9</v>
      </c>
      <c r="F221" s="23">
        <v>4</v>
      </c>
      <c r="G221" s="23">
        <f t="shared" si="8"/>
        <v>13</v>
      </c>
      <c r="H221" s="23" t="e" cm="1">
        <f t="array" ref="H221">INDEX('GLOBAL LOG'!#REF!,ROW()-169+15)</f>
        <v>#REF!</v>
      </c>
      <c r="I221" s="23" t="e">
        <f>_xlfn.XLOOKUP(H221,#REF!,#REF!,"",0,1)</f>
        <v>#REF!</v>
      </c>
      <c r="J221" s="23" t="str">
        <f>IFERROR(I221*#REF!,"")</f>
        <v/>
      </c>
      <c r="K221" s="23" t="e" cm="1">
        <f t="array" ref="K221">INDEX('GLOBAL LOG'!#REF!,ROW()-169+15)</f>
        <v>#REF!</v>
      </c>
      <c r="L221" s="23" t="e">
        <f>_xlfn.XLOOKUP(K221,#REF!,#REF!,"",0,1)</f>
        <v>#REF!</v>
      </c>
      <c r="M221" s="23" t="str">
        <f>IFERROR(L221*#REF!,"")</f>
        <v/>
      </c>
      <c r="N221" s="23">
        <f t="shared" si="9"/>
        <v>-1</v>
      </c>
      <c r="O221" s="23">
        <f t="shared" si="10"/>
        <v>-1</v>
      </c>
      <c r="P221" s="23">
        <f t="shared" si="11"/>
        <v>-1</v>
      </c>
      <c r="Q221" s="24">
        <f t="shared" si="12"/>
        <v>-1</v>
      </c>
      <c r="R221" s="3"/>
      <c r="S221" s="1" t="str">
        <v xml:space="preserve">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v>
      </c>
      <c r="T221" s="24">
        <v>-1</v>
      </c>
      <c r="U221"/>
      <c r="V221" s="1" t="str">
        <v xml:space="preserve">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v>
      </c>
      <c r="W221" s="24">
        <v>-1</v>
      </c>
      <c r="X221"/>
      <c r="Y221" s="1" t="str">
        <v xml:space="preserve">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v>
      </c>
      <c r="Z221" s="24">
        <v>-1</v>
      </c>
      <c r="AA221"/>
      <c r="AB221" s="1" t="str">
        <v xml:space="preserve">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v>
      </c>
      <c r="AC221" s="24">
        <v>-1</v>
      </c>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row>
    <row r="222" spans="2:97">
      <c r="B222"/>
      <c r="C222" s="15" t="str">
        <v xml:space="preserve">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v>
      </c>
      <c r="D222" s="23"/>
      <c r="E222" s="23">
        <v>0</v>
      </c>
      <c r="F222" s="23">
        <v>0</v>
      </c>
      <c r="G222" s="23">
        <f t="shared" si="8"/>
        <v>0</v>
      </c>
      <c r="H222" s="23" t="e" cm="1">
        <f t="array" ref="H222">INDEX('GLOBAL LOG'!#REF!,ROW()-169+15)</f>
        <v>#REF!</v>
      </c>
      <c r="I222" s="23" t="e">
        <f>_xlfn.XLOOKUP(H222,#REF!,#REF!,"",0,1)</f>
        <v>#REF!</v>
      </c>
      <c r="J222" s="23" t="str">
        <f>IFERROR(I222*#REF!,"")</f>
        <v/>
      </c>
      <c r="K222" s="23" t="e" cm="1">
        <f t="array" ref="K222">INDEX('GLOBAL LOG'!#REF!,ROW()-169+15)</f>
        <v>#REF!</v>
      </c>
      <c r="L222" s="23" t="e">
        <f>_xlfn.XLOOKUP(K222,#REF!,#REF!,"",0,1)</f>
        <v>#REF!</v>
      </c>
      <c r="M222" s="23" t="str">
        <f>IFERROR(L222*#REF!,"")</f>
        <v/>
      </c>
      <c r="N222" s="23">
        <f t="shared" si="9"/>
        <v>-1</v>
      </c>
      <c r="O222" s="23">
        <f t="shared" si="10"/>
        <v>-1</v>
      </c>
      <c r="P222" s="23">
        <f t="shared" si="11"/>
        <v>-1</v>
      </c>
      <c r="Q222" s="24">
        <f t="shared" si="12"/>
        <v>-1</v>
      </c>
      <c r="R222" s="3"/>
      <c r="S222" s="1" t="str">
        <v xml:space="preserve">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v>
      </c>
      <c r="T222" s="24">
        <v>-1</v>
      </c>
      <c r="U222"/>
      <c r="V222" s="1" t="str">
        <v xml:space="preserve">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v>
      </c>
      <c r="W222" s="24">
        <v>-1</v>
      </c>
      <c r="X222"/>
      <c r="Y222" s="1" t="str">
        <v xml:space="preserve">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v>
      </c>
      <c r="Z222" s="24">
        <v>-1</v>
      </c>
      <c r="AA222"/>
      <c r="AB222" s="1" t="str">
        <v xml:space="preserve">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v>
      </c>
      <c r="AC222" s="24">
        <v>-1</v>
      </c>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row>
    <row r="223" spans="2:97">
      <c r="B223"/>
      <c r="C223" s="15" t="str">
        <v xml:space="preserve">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v>
      </c>
      <c r="D223" s="23"/>
      <c r="E223" s="23">
        <v>12</v>
      </c>
      <c r="F223" s="23">
        <v>0</v>
      </c>
      <c r="G223" s="23">
        <f t="shared" si="8"/>
        <v>12</v>
      </c>
      <c r="H223" s="23" t="e" cm="1">
        <f t="array" ref="H223">INDEX('GLOBAL LOG'!#REF!,ROW()-169+15)</f>
        <v>#REF!</v>
      </c>
      <c r="I223" s="23" t="e">
        <f>_xlfn.XLOOKUP(H223,#REF!,#REF!,"",0,1)</f>
        <v>#REF!</v>
      </c>
      <c r="J223" s="23" t="str">
        <f>IFERROR(I223*#REF!,"")</f>
        <v/>
      </c>
      <c r="K223" s="23" t="e" cm="1">
        <f t="array" ref="K223">INDEX('GLOBAL LOG'!#REF!,ROW()-169+15)</f>
        <v>#REF!</v>
      </c>
      <c r="L223" s="23" t="e">
        <f>_xlfn.XLOOKUP(K223,#REF!,#REF!,"",0,1)</f>
        <v>#REF!</v>
      </c>
      <c r="M223" s="23" t="str">
        <f>IFERROR(L223*#REF!,"")</f>
        <v/>
      </c>
      <c r="N223" s="23">
        <f t="shared" si="9"/>
        <v>-1</v>
      </c>
      <c r="O223" s="23">
        <f t="shared" si="10"/>
        <v>-1</v>
      </c>
      <c r="P223" s="23">
        <f t="shared" si="11"/>
        <v>-1</v>
      </c>
      <c r="Q223" s="24">
        <f t="shared" si="12"/>
        <v>-1</v>
      </c>
      <c r="R223" s="3"/>
      <c r="S223" s="1" t="str">
        <v xml:space="preserve">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v>
      </c>
      <c r="T223" s="24">
        <v>-1</v>
      </c>
      <c r="U223"/>
      <c r="V223" s="1" t="str">
        <v xml:space="preserve">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v>
      </c>
      <c r="W223" s="24">
        <v>-1</v>
      </c>
      <c r="X223"/>
      <c r="Y223" s="1" t="str">
        <v xml:space="preserve">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v>
      </c>
      <c r="Z223" s="24">
        <v>-1</v>
      </c>
      <c r="AA223"/>
      <c r="AB223" s="1" t="str">
        <v xml:space="preserve">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v>
      </c>
      <c r="AC223" s="24">
        <v>-1</v>
      </c>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row>
    <row r="224" spans="2:97">
      <c r="B224"/>
      <c r="C224" s="15" t="str">
        <v xml:space="preserve">Air China </v>
      </c>
      <c r="D224" s="23"/>
      <c r="E224" s="23">
        <v>0</v>
      </c>
      <c r="F224" s="23">
        <v>30</v>
      </c>
      <c r="G224" s="23">
        <f t="shared" si="8"/>
        <v>30</v>
      </c>
      <c r="H224" s="23" t="e" cm="1">
        <f t="array" ref="H224">INDEX('GLOBAL LOG'!#REF!,ROW()-169+15)</f>
        <v>#REF!</v>
      </c>
      <c r="I224" s="23" t="e">
        <f>_xlfn.XLOOKUP(H224,#REF!,#REF!,"",0,1)</f>
        <v>#REF!</v>
      </c>
      <c r="J224" s="23" t="str">
        <f>IFERROR(I224*#REF!,"")</f>
        <v/>
      </c>
      <c r="K224" s="23" t="e" cm="1">
        <f t="array" ref="K224">INDEX('GLOBAL LOG'!#REF!,ROW()-169+15)</f>
        <v>#REF!</v>
      </c>
      <c r="L224" s="23" t="e">
        <f>_xlfn.XLOOKUP(K224,#REF!,#REF!,"",0,1)</f>
        <v>#REF!</v>
      </c>
      <c r="M224" s="23" t="str">
        <f>IFERROR(L224*#REF!,"")</f>
        <v/>
      </c>
      <c r="N224" s="23">
        <f t="shared" si="9"/>
        <v>-1</v>
      </c>
      <c r="O224" s="23">
        <f t="shared" si="10"/>
        <v>-1</v>
      </c>
      <c r="P224" s="23">
        <f t="shared" si="11"/>
        <v>-1</v>
      </c>
      <c r="Q224" s="24">
        <f t="shared" si="12"/>
        <v>-1</v>
      </c>
      <c r="R224" s="3"/>
      <c r="S224" s="1" t="str">
        <v xml:space="preserve">Air China </v>
      </c>
      <c r="T224" s="24">
        <v>-1</v>
      </c>
      <c r="U224"/>
      <c r="V224" s="1" t="str">
        <v xml:space="preserve">Air China </v>
      </c>
      <c r="W224" s="24">
        <v>-1</v>
      </c>
      <c r="X224"/>
      <c r="Y224" s="1" t="str">
        <v xml:space="preserve">Air China </v>
      </c>
      <c r="Z224" s="24">
        <v>-1</v>
      </c>
      <c r="AA224"/>
      <c r="AB224" s="1" t="str">
        <v xml:space="preserve">Air China </v>
      </c>
      <c r="AC224" s="24">
        <v>-1</v>
      </c>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row>
    <row r="225" spans="2:97">
      <c r="B225"/>
      <c r="C225" s="15" t="str">
        <v>Cebu Pacific  Low margin contract and asked by value stream to brainstorm ideas to improve CRP</v>
      </c>
      <c r="D225" s="23"/>
      <c r="E225" s="23">
        <v>0</v>
      </c>
      <c r="F225" s="23">
        <v>0</v>
      </c>
      <c r="G225" s="23">
        <f t="shared" si="8"/>
        <v>0</v>
      </c>
      <c r="H225" s="23" t="e" cm="1">
        <f t="array" ref="H225">INDEX('GLOBAL LOG'!#REF!,ROW()-169+15)</f>
        <v>#REF!</v>
      </c>
      <c r="I225" s="23" t="e">
        <f>_xlfn.XLOOKUP(H225,#REF!,#REF!,"",0,1)</f>
        <v>#REF!</v>
      </c>
      <c r="J225" s="23" t="str">
        <f>IFERROR(I225*#REF!,"")</f>
        <v/>
      </c>
      <c r="K225" s="23" t="e" cm="1">
        <f t="array" ref="K225">INDEX('GLOBAL LOG'!#REF!,ROW()-169+15)</f>
        <v>#REF!</v>
      </c>
      <c r="L225" s="23" t="e">
        <f>_xlfn.XLOOKUP(K225,#REF!,#REF!,"",0,1)</f>
        <v>#REF!</v>
      </c>
      <c r="M225" s="23" t="str">
        <f>IFERROR(L225*#REF!,"")</f>
        <v/>
      </c>
      <c r="N225" s="23">
        <f t="shared" si="9"/>
        <v>-1</v>
      </c>
      <c r="O225" s="23">
        <f t="shared" si="10"/>
        <v>-1</v>
      </c>
      <c r="P225" s="23">
        <f t="shared" si="11"/>
        <v>-1</v>
      </c>
      <c r="Q225" s="24">
        <f t="shared" si="12"/>
        <v>-1</v>
      </c>
      <c r="R225" s="3"/>
      <c r="S225" s="1" t="str">
        <v>Cebu Pacific  Low margin contract and asked by value stream to brainstorm ideas to improve CRP</v>
      </c>
      <c r="T225" s="24">
        <v>-1</v>
      </c>
      <c r="U225"/>
      <c r="V225" s="1" t="str">
        <v>Cebu Pacific  Low margin contract and asked by value stream to brainstorm ideas to improve CRP</v>
      </c>
      <c r="W225" s="24">
        <v>-1</v>
      </c>
      <c r="X225"/>
      <c r="Y225" s="1" t="str">
        <v>Cebu Pacific  Low margin contract and asked by value stream to brainstorm ideas to improve CRP</v>
      </c>
      <c r="Z225" s="24">
        <v>-1</v>
      </c>
      <c r="AA225"/>
      <c r="AB225" s="1" t="str">
        <v>Cebu Pacific  Low margin contract and asked by value stream to brainstorm ideas to improve CRP</v>
      </c>
      <c r="AC225" s="24">
        <v>-1</v>
      </c>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row>
    <row r="226" spans="2:97">
      <c r="B226"/>
      <c r="C226" s="15" t="str">
        <v xml:space="preserve">Lion Air  2 Aircraft Cancellation settlement agreed in 2025Q4, expected to be contracted by 2026Q2. 
Min U uplift, 2y extension and escalation increased. Resultant is Utilisation uplifted to 2175, 2y extension  for 6 ac and escalation set to 5.15%. </v>
      </c>
      <c r="D226" s="23"/>
      <c r="E226" s="23">
        <v>8.5</v>
      </c>
      <c r="F226" s="23" t="str">
        <v>Confirm with Laura</v>
      </c>
      <c r="G226" s="23" t="e">
        <f t="shared" si="8"/>
        <v>#VALUE!</v>
      </c>
      <c r="H226" s="23" t="e" cm="1">
        <f t="array" ref="H226">INDEX('GLOBAL LOG'!#REF!,ROW()-169+15)</f>
        <v>#REF!</v>
      </c>
      <c r="I226" s="23" t="e">
        <f>_xlfn.XLOOKUP(H226,#REF!,#REF!,"",0,1)</f>
        <v>#REF!</v>
      </c>
      <c r="J226" s="23" t="str">
        <f>IFERROR(I226*#REF!,"")</f>
        <v/>
      </c>
      <c r="K226" s="23" t="e" cm="1">
        <f t="array" ref="K226">INDEX('GLOBAL LOG'!#REF!,ROW()-169+15)</f>
        <v>#REF!</v>
      </c>
      <c r="L226" s="23" t="e">
        <f>_xlfn.XLOOKUP(K226,#REF!,#REF!,"",0,1)</f>
        <v>#REF!</v>
      </c>
      <c r="M226" s="23" t="str">
        <f>IFERROR(L226*#REF!,"")</f>
        <v/>
      </c>
      <c r="N226" s="23">
        <f t="shared" si="9"/>
        <v>-1</v>
      </c>
      <c r="O226" s="23">
        <f t="shared" si="10"/>
        <v>-1</v>
      </c>
      <c r="P226" s="23">
        <f t="shared" si="11"/>
        <v>-1</v>
      </c>
      <c r="Q226" s="24">
        <f t="shared" si="12"/>
        <v>-1</v>
      </c>
      <c r="R226" s="3"/>
      <c r="S226" s="1" t="str">
        <v xml:space="preserve">Lion Air  2 Aircraft Cancellation settlement agreed in 2025Q4, expected to be contracted by 2026Q2. 
Min U uplift, 2y extension and escalation increased. Resultant is Utilisation uplifted to 2175, 2y extension  for 6 ac and escalation set to 5.15%. </v>
      </c>
      <c r="T226" s="24">
        <v>-1</v>
      </c>
      <c r="U226"/>
      <c r="V226" s="1" t="str">
        <v xml:space="preserve">Lion Air  2 Aircraft Cancellation settlement agreed in 2025Q4, expected to be contracted by 2026Q2. 
Min U uplift, 2y extension and escalation increased. Resultant is Utilisation uplifted to 2175, 2y extension  for 6 ac and escalation set to 5.15%. </v>
      </c>
      <c r="W226" s="24">
        <v>-1</v>
      </c>
      <c r="X226"/>
      <c r="Y226" s="1" t="str">
        <v xml:space="preserve">Lion Air  2 Aircraft Cancellation settlement agreed in 2025Q4, expected to be contracted by 2026Q2. 
Min U uplift, 2y extension and escalation increased. Resultant is Utilisation uplifted to 2175, 2y extension  for 6 ac and escalation set to 5.15%. </v>
      </c>
      <c r="Z226" s="24">
        <v>-1</v>
      </c>
      <c r="AA226"/>
      <c r="AB226" s="1" t="str">
        <v xml:space="preserve">Lion Air  2 Aircraft Cancellation settlement agreed in 2025Q4, expected to be contracted by 2026Q2. 
Min U uplift, 2y extension and escalation increased. Resultant is Utilisation uplifted to 2175, 2y extension  for 6 ac and escalation set to 5.15%. </v>
      </c>
      <c r="AC226" s="24">
        <v>-1</v>
      </c>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row>
    <row r="227" spans="2:97">
      <c r="B227"/>
      <c r="C227" s="15" t="str">
        <v>Garuda  Note: Notice of Breach Served on Garuda: Contract restructure, including possible PAYG-&gt;PASV flip, in the event of continuing payment disputes and as avenue to avoid termination of profitable CRPs - opportunity to sell new/used additional SPE's</v>
      </c>
      <c r="D227" s="23"/>
      <c r="E227" s="23">
        <v>0</v>
      </c>
      <c r="F227" s="23">
        <v>0</v>
      </c>
      <c r="G227" s="23">
        <f t="shared" si="8"/>
        <v>0</v>
      </c>
      <c r="H227" s="23" t="e" cm="1">
        <f t="array" ref="H227">INDEX('GLOBAL LOG'!#REF!,ROW()-169+15)</f>
        <v>#REF!</v>
      </c>
      <c r="I227" s="23" t="e">
        <f>_xlfn.XLOOKUP(H227,#REF!,#REF!,"",0,1)</f>
        <v>#REF!</v>
      </c>
      <c r="J227" s="23" t="str">
        <f>IFERROR(I227*#REF!,"")</f>
        <v/>
      </c>
      <c r="K227" s="23" t="e" cm="1">
        <f t="array" ref="K227">INDEX('GLOBAL LOG'!#REF!,ROW()-169+15)</f>
        <v>#REF!</v>
      </c>
      <c r="L227" s="23" t="e">
        <f>_xlfn.XLOOKUP(K227,#REF!,#REF!,"",0,1)</f>
        <v>#REF!</v>
      </c>
      <c r="M227" s="23" t="str">
        <f>IFERROR(L227*#REF!,"")</f>
        <v/>
      </c>
      <c r="N227" s="23">
        <f t="shared" si="9"/>
        <v>-1</v>
      </c>
      <c r="O227" s="23">
        <f t="shared" si="10"/>
        <v>-1</v>
      </c>
      <c r="P227" s="23">
        <f t="shared" si="11"/>
        <v>-1</v>
      </c>
      <c r="Q227" s="24">
        <f t="shared" si="12"/>
        <v>-1</v>
      </c>
      <c r="R227" s="3"/>
      <c r="S227" s="1" t="str">
        <v>Garuda  Note: Notice of Breach Served on Garuda: Contract restructure, including possible PAYG-&gt;PASV flip, in the event of continuing payment disputes and as avenue to avoid termination of profitable CRPs - opportunity to sell new/used additional SPE's</v>
      </c>
      <c r="T227" s="24">
        <v>-1</v>
      </c>
      <c r="U227"/>
      <c r="V227" s="1" t="str">
        <v>Garuda  Note: Notice of Breach Served on Garuda: Contract restructure, including possible PAYG-&gt;PASV flip, in the event of continuing payment disputes and as avenue to avoid termination of profitable CRPs - opportunity to sell new/used additional SPE's</v>
      </c>
      <c r="W227" s="24">
        <v>-1</v>
      </c>
      <c r="X227"/>
      <c r="Y227" s="1" t="str">
        <v>Garuda  Note: Notice of Breach Served on Garuda: Contract restructure, including possible PAYG-&gt;PASV flip, in the event of continuing payment disputes and as avenue to avoid termination of profitable CRPs - opportunity to sell new/used additional SPE's</v>
      </c>
      <c r="Z227" s="24">
        <v>-1</v>
      </c>
      <c r="AA227"/>
      <c r="AB227" s="1" t="str">
        <v>Garuda  Note: Notice of Breach Served on Garuda: Contract restructure, including possible PAYG-&gt;PASV flip, in the event of continuing payment disputes and as avenue to avoid termination of profitable CRPs - opportunity to sell new/used additional SPE's</v>
      </c>
      <c r="AC227" s="24">
        <v>-1</v>
      </c>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row>
    <row r="228" spans="2:97">
      <c r="B228"/>
      <c r="C228" s="15" t="str">
        <v>Delta Air Lines  To be assessed in 2026 - Incremental SPE sale to further reduce NDSES costs</v>
      </c>
      <c r="D228" s="23"/>
      <c r="E228" s="23">
        <v>0</v>
      </c>
      <c r="F228" s="23">
        <v>0</v>
      </c>
      <c r="G228" s="23">
        <f t="shared" si="8"/>
        <v>0</v>
      </c>
      <c r="H228" s="23" t="e" cm="1">
        <f t="array" ref="H228">INDEX('GLOBAL LOG'!#REF!,ROW()-169+15)</f>
        <v>#REF!</v>
      </c>
      <c r="I228" s="23" t="e">
        <f>_xlfn.XLOOKUP(H228,#REF!,#REF!,"",0,1)</f>
        <v>#REF!</v>
      </c>
      <c r="J228" s="23" t="str">
        <f>IFERROR(I228*#REF!,"")</f>
        <v/>
      </c>
      <c r="K228" s="23" t="e" cm="1">
        <f t="array" ref="K228">INDEX('GLOBAL LOG'!#REF!,ROW()-169+15)</f>
        <v>#REF!</v>
      </c>
      <c r="L228" s="23" t="e">
        <f>_xlfn.XLOOKUP(K228,#REF!,#REF!,"",0,1)</f>
        <v>#REF!</v>
      </c>
      <c r="M228" s="23" t="str">
        <f>IFERROR(L228*#REF!,"")</f>
        <v/>
      </c>
      <c r="N228" s="23">
        <f t="shared" si="9"/>
        <v>-1</v>
      </c>
      <c r="O228" s="23">
        <f t="shared" si="10"/>
        <v>-1</v>
      </c>
      <c r="P228" s="23">
        <f t="shared" si="11"/>
        <v>-1</v>
      </c>
      <c r="Q228" s="24">
        <f t="shared" si="12"/>
        <v>-1</v>
      </c>
      <c r="R228" s="3"/>
      <c r="S228" s="1" t="str">
        <v>Delta Air Lines  To be assessed in 2026 - Incremental SPE sale to further reduce NDSES costs</v>
      </c>
      <c r="T228" s="24">
        <v>-1</v>
      </c>
      <c r="U228"/>
      <c r="V228" s="1" t="str">
        <v>Delta Air Lines  To be assessed in 2026 - Incremental SPE sale to further reduce NDSES costs</v>
      </c>
      <c r="W228" s="24">
        <v>-1</v>
      </c>
      <c r="X228"/>
      <c r="Y228" s="1" t="str">
        <v>Delta Air Lines  To be assessed in 2026 - Incremental SPE sale to further reduce NDSES costs</v>
      </c>
      <c r="Z228" s="24">
        <v>-1</v>
      </c>
      <c r="AA228"/>
      <c r="AB228" s="1" t="str">
        <v>Delta Air Lines  To be assessed in 2026 - Incremental SPE sale to further reduce NDSES costs</v>
      </c>
      <c r="AC228" s="24">
        <v>-1</v>
      </c>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row>
    <row r="229" spans="2:97">
      <c r="B229"/>
      <c r="C229" s="15" t="str">
        <v>Virgin Atlantic  Restructure/buy-out of environmental partnership guarentee</v>
      </c>
      <c r="D229" s="23"/>
      <c r="E229" s="23">
        <v>0</v>
      </c>
      <c r="F229" s="23">
        <v>0</v>
      </c>
      <c r="G229" s="23">
        <f t="shared" si="8"/>
        <v>0</v>
      </c>
      <c r="H229" s="23" t="e" cm="1">
        <f t="array" ref="H229">INDEX('GLOBAL LOG'!#REF!,ROW()-169+15)</f>
        <v>#REF!</v>
      </c>
      <c r="I229" s="23" t="e">
        <f>_xlfn.XLOOKUP(H229,#REF!,#REF!,"",0,1)</f>
        <v>#REF!</v>
      </c>
      <c r="J229" s="23" t="str">
        <f>IFERROR(I229*#REF!,"")</f>
        <v/>
      </c>
      <c r="K229" s="23" t="e" cm="1">
        <f t="array" ref="K229">INDEX('GLOBAL LOG'!#REF!,ROW()-169+15)</f>
        <v>#REF!</v>
      </c>
      <c r="L229" s="23" t="e">
        <f>_xlfn.XLOOKUP(K229,#REF!,#REF!,"",0,1)</f>
        <v>#REF!</v>
      </c>
      <c r="M229" s="23" t="str">
        <f>IFERROR(L229*#REF!,"")</f>
        <v/>
      </c>
      <c r="N229" s="23">
        <f t="shared" si="9"/>
        <v>-1</v>
      </c>
      <c r="O229" s="23">
        <f t="shared" si="10"/>
        <v>-1</v>
      </c>
      <c r="P229" s="23">
        <f t="shared" si="11"/>
        <v>-1</v>
      </c>
      <c r="Q229" s="24">
        <f t="shared" si="12"/>
        <v>-1</v>
      </c>
      <c r="R229" s="3"/>
      <c r="S229" s="1" t="str">
        <v>Virgin Atlantic  Restructure/buy-out of environmental partnership guarentee</v>
      </c>
      <c r="T229" s="24">
        <v>-1</v>
      </c>
      <c r="U229"/>
      <c r="V229" s="1" t="str">
        <v>Virgin Atlantic  Restructure/buy-out of environmental partnership guarentee</v>
      </c>
      <c r="W229" s="24">
        <v>-1</v>
      </c>
      <c r="X229"/>
      <c r="Y229" s="1" t="str">
        <v>Virgin Atlantic  Restructure/buy-out of environmental partnership guarentee</v>
      </c>
      <c r="Z229" s="24">
        <v>-1</v>
      </c>
      <c r="AA229"/>
      <c r="AB229" s="1" t="str">
        <v>Virgin Atlantic  Restructure/buy-out of environmental partnership guarentee</v>
      </c>
      <c r="AC229" s="24">
        <v>-1</v>
      </c>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row>
    <row r="230" spans="2:97">
      <c r="B230"/>
      <c r="C230" s="15" t="str">
        <v>Latam  Focus on fleet health at present, ICT generating ideas to improve onerous position (potential sale of used spare engine and term extension).</v>
      </c>
      <c r="D230" s="23"/>
      <c r="E230" s="23">
        <v>50</v>
      </c>
      <c r="F230" s="23">
        <v>0</v>
      </c>
      <c r="G230" s="23">
        <f t="shared" si="8"/>
        <v>50</v>
      </c>
      <c r="H230" s="23" t="e" cm="1">
        <f t="array" ref="H230">INDEX('GLOBAL LOG'!#REF!,ROW()-169+15)</f>
        <v>#REF!</v>
      </c>
      <c r="I230" s="23" t="e">
        <f>_xlfn.XLOOKUP(H230,#REF!,#REF!,"",0,1)</f>
        <v>#REF!</v>
      </c>
      <c r="J230" s="23" t="str">
        <f>IFERROR(I230*#REF!,"")</f>
        <v/>
      </c>
      <c r="K230" s="23" t="e" cm="1">
        <f t="array" ref="K230">INDEX('GLOBAL LOG'!#REF!,ROW()-169+15)</f>
        <v>#REF!</v>
      </c>
      <c r="L230" s="23" t="e">
        <f>_xlfn.XLOOKUP(K230,#REF!,#REF!,"",0,1)</f>
        <v>#REF!</v>
      </c>
      <c r="M230" s="23" t="str">
        <f>IFERROR(L230*#REF!,"")</f>
        <v/>
      </c>
      <c r="N230" s="23">
        <f t="shared" si="9"/>
        <v>-1</v>
      </c>
      <c r="O230" s="23">
        <f t="shared" si="10"/>
        <v>-1</v>
      </c>
      <c r="P230" s="23">
        <f t="shared" si="11"/>
        <v>-1</v>
      </c>
      <c r="Q230" s="24">
        <f t="shared" si="12"/>
        <v>-1</v>
      </c>
      <c r="R230" s="3"/>
      <c r="S230" s="1" t="str">
        <v>Latam  Focus on fleet health at present, ICT generating ideas to improve onerous position (potential sale of used spare engine and term extension).</v>
      </c>
      <c r="T230" s="24">
        <v>-1</v>
      </c>
      <c r="U230"/>
      <c r="V230" s="1" t="str">
        <v>Latam  Focus on fleet health at present, ICT generating ideas to improve onerous position (potential sale of used spare engine and term extension).</v>
      </c>
      <c r="W230" s="24">
        <v>-1</v>
      </c>
      <c r="X230"/>
      <c r="Y230" s="1" t="str">
        <v>Latam  Focus on fleet health at present, ICT generating ideas to improve onerous position (potential sale of used spare engine and term extension).</v>
      </c>
      <c r="Z230" s="24">
        <v>-1</v>
      </c>
      <c r="AA230"/>
      <c r="AB230" s="1" t="str">
        <v>Latam  Focus on fleet health at present, ICT generating ideas to improve onerous position (potential sale of used spare engine and term extension).</v>
      </c>
      <c r="AC230" s="24">
        <v>-1</v>
      </c>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row>
    <row r="231" spans="2:97">
      <c r="B231"/>
      <c r="C231" s="15" t="str">
        <v>Air Transat  Consolidation of TotalCare structures</v>
      </c>
      <c r="D231" s="23"/>
      <c r="E231" s="23">
        <v>0</v>
      </c>
      <c r="F231" s="23">
        <v>0</v>
      </c>
      <c r="G231" s="23">
        <f t="shared" si="8"/>
        <v>0</v>
      </c>
      <c r="H231" s="23" t="e" cm="1">
        <f t="array" ref="H231">INDEX('GLOBAL LOG'!#REF!,ROW()-169+15)</f>
        <v>#REF!</v>
      </c>
      <c r="I231" s="23" t="e">
        <f>_xlfn.XLOOKUP(H231,#REF!,#REF!,"",0,1)</f>
        <v>#REF!</v>
      </c>
      <c r="J231" s="23" t="str">
        <f>IFERROR(I231*#REF!,"")</f>
        <v/>
      </c>
      <c r="K231" s="23" t="e" cm="1">
        <f t="array" ref="K231">INDEX('GLOBAL LOG'!#REF!,ROW()-169+15)</f>
        <v>#REF!</v>
      </c>
      <c r="L231" s="23" t="e">
        <f>_xlfn.XLOOKUP(K231,#REF!,#REF!,"",0,1)</f>
        <v>#REF!</v>
      </c>
      <c r="M231" s="23" t="str">
        <f>IFERROR(L231*#REF!,"")</f>
        <v/>
      </c>
      <c r="N231" s="23">
        <f t="shared" si="9"/>
        <v>-1</v>
      </c>
      <c r="O231" s="23">
        <f t="shared" si="10"/>
        <v>-1</v>
      </c>
      <c r="P231" s="23">
        <f t="shared" si="11"/>
        <v>-1</v>
      </c>
      <c r="Q231" s="24">
        <f t="shared" si="12"/>
        <v>-1</v>
      </c>
      <c r="R231" s="3"/>
      <c r="S231" s="1" t="str">
        <v>Air Transat  Consolidation of TotalCare structures</v>
      </c>
      <c r="T231" s="24">
        <v>-1</v>
      </c>
      <c r="U231"/>
      <c r="V231" s="1" t="str">
        <v>Air Transat  Consolidation of TotalCare structures</v>
      </c>
      <c r="W231" s="24">
        <v>-1</v>
      </c>
      <c r="X231"/>
      <c r="Y231" s="1" t="str">
        <v>Air Transat  Consolidation of TotalCare structures</v>
      </c>
      <c r="Z231" s="24">
        <v>-1</v>
      </c>
      <c r="AA231"/>
      <c r="AB231" s="1" t="str">
        <v>Air Transat  Consolidation of TotalCare structures</v>
      </c>
      <c r="AC231" s="24">
        <v>-1</v>
      </c>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row>
    <row r="232" spans="2:97">
      <c r="B232"/>
      <c r="C232" s="15" t="str">
        <v>Mas Air  Adding aircraft to the TotalCare - either FSA currently or newly acquired AC</v>
      </c>
      <c r="D232" s="23"/>
      <c r="E232" s="23">
        <v>0</v>
      </c>
      <c r="F232" s="23">
        <v>0</v>
      </c>
      <c r="G232" s="23">
        <f t="shared" si="8"/>
        <v>0</v>
      </c>
      <c r="H232" s="23" t="e" cm="1">
        <f t="array" ref="H232">INDEX('GLOBAL LOG'!#REF!,ROW()-169+15)</f>
        <v>#REF!</v>
      </c>
      <c r="I232" s="23" t="e">
        <f>_xlfn.XLOOKUP(H232,#REF!,#REF!,"",0,1)</f>
        <v>#REF!</v>
      </c>
      <c r="J232" s="23" t="str">
        <f>IFERROR(I232*#REF!,"")</f>
        <v/>
      </c>
      <c r="K232" s="23" t="e" cm="1">
        <f t="array" ref="K232">INDEX('GLOBAL LOG'!#REF!,ROW()-169+15)</f>
        <v>#REF!</v>
      </c>
      <c r="L232" s="23" t="e">
        <f>_xlfn.XLOOKUP(K232,#REF!,#REF!,"",0,1)</f>
        <v>#REF!</v>
      </c>
      <c r="M232" s="23" t="str">
        <f>IFERROR(L232*#REF!,"")</f>
        <v/>
      </c>
      <c r="N232" s="23">
        <f t="shared" si="9"/>
        <v>-1</v>
      </c>
      <c r="O232" s="23">
        <f t="shared" si="10"/>
        <v>-1</v>
      </c>
      <c r="P232" s="23">
        <f t="shared" si="11"/>
        <v>-1</v>
      </c>
      <c r="Q232" s="24">
        <f t="shared" si="12"/>
        <v>-1</v>
      </c>
      <c r="R232" s="3"/>
      <c r="S232" s="1" t="str">
        <v>Mas Air  Adding aircraft to the TotalCare - either FSA currently or newly acquired AC</v>
      </c>
      <c r="T232" s="24">
        <v>-1</v>
      </c>
      <c r="U232"/>
      <c r="V232" s="1" t="str">
        <v>Mas Air  Adding aircraft to the TotalCare - either FSA currently or newly acquired AC</v>
      </c>
      <c r="W232" s="24">
        <v>-1</v>
      </c>
      <c r="X232"/>
      <c r="Y232" s="1" t="str">
        <v>Mas Air  Adding aircraft to the TotalCare - either FSA currently or newly acquired AC</v>
      </c>
      <c r="Z232" s="24">
        <v>-1</v>
      </c>
      <c r="AA232"/>
      <c r="AB232" s="1" t="str">
        <v>Mas Air  Adding aircraft to the TotalCare - either FSA currently or newly acquired AC</v>
      </c>
      <c r="AC232" s="24">
        <v>-1</v>
      </c>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row>
    <row r="233" spans="2:97">
      <c r="B233"/>
      <c r="C233" s="15" t="str">
        <v>Western Air Western Air Limited _ AE3007 _ Extension / Amendment for 2 AC</v>
      </c>
      <c r="D233" s="23"/>
      <c r="E233" s="23">
        <v>0</v>
      </c>
      <c r="F233" s="23">
        <v>0</v>
      </c>
      <c r="G233" s="23">
        <f t="shared" si="8"/>
        <v>0</v>
      </c>
      <c r="H233" s="23" t="e" cm="1">
        <f t="array" ref="H233">INDEX('GLOBAL LOG'!#REF!,ROW()-169+15)</f>
        <v>#REF!</v>
      </c>
      <c r="I233" s="23" t="e">
        <f>_xlfn.XLOOKUP(H233,#REF!,#REF!,"",0,1)</f>
        <v>#REF!</v>
      </c>
      <c r="J233" s="23" t="str">
        <f>IFERROR(I233*#REF!,"")</f>
        <v/>
      </c>
      <c r="K233" s="23" t="e" cm="1">
        <f t="array" ref="K233">INDEX('GLOBAL LOG'!#REF!,ROW()-169+15)</f>
        <v>#REF!</v>
      </c>
      <c r="L233" s="23" t="e">
        <f>_xlfn.XLOOKUP(K233,#REF!,#REF!,"",0,1)</f>
        <v>#REF!</v>
      </c>
      <c r="M233" s="23" t="str">
        <f>IFERROR(L233*#REF!,"")</f>
        <v/>
      </c>
      <c r="N233" s="23">
        <f t="shared" si="9"/>
        <v>-1</v>
      </c>
      <c r="O233" s="23">
        <f t="shared" si="10"/>
        <v>-1</v>
      </c>
      <c r="P233" s="23">
        <f t="shared" si="11"/>
        <v>-1</v>
      </c>
      <c r="Q233" s="24">
        <f t="shared" si="12"/>
        <v>-1</v>
      </c>
      <c r="R233" s="3"/>
      <c r="S233" s="1" t="str">
        <v>Western Air Western Air Limited _ AE3007 _ Extension / Amendment for 2 AC</v>
      </c>
      <c r="T233" s="24">
        <v>-1</v>
      </c>
      <c r="U233"/>
      <c r="V233" s="1" t="str">
        <v>Western Air Western Air Limited _ AE3007 _ Extension / Amendment for 2 AC</v>
      </c>
      <c r="W233" s="24">
        <v>-1</v>
      </c>
      <c r="X233"/>
      <c r="Y233" s="1" t="str">
        <v>Western Air Western Air Limited _ AE3007 _ Extension / Amendment for 2 AC</v>
      </c>
      <c r="Z233" s="24">
        <v>-1</v>
      </c>
      <c r="AA233"/>
      <c r="AB233" s="1" t="str">
        <v>Western Air Western Air Limited _ AE3007 _ Extension / Amendment for 2 AC</v>
      </c>
      <c r="AC233" s="24">
        <v>-1</v>
      </c>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row>
    <row r="234" spans="2:97">
      <c r="B234"/>
      <c r="C234" s="15" t="str">
        <v xml:space="preserve">Western Air Western Air Limited _ AE3007 _ Extension for full fleet of 9 </v>
      </c>
      <c r="D234" s="23"/>
      <c r="E234" s="23">
        <v>0</v>
      </c>
      <c r="F234" s="23">
        <v>0</v>
      </c>
      <c r="G234" s="23">
        <f t="shared" ref="G234:G297" si="13">E234+F234</f>
        <v>0</v>
      </c>
      <c r="H234" s="23" t="e" cm="1">
        <f t="array" ref="H234">INDEX('GLOBAL LOG'!#REF!,ROW()-169+15)</f>
        <v>#REF!</v>
      </c>
      <c r="I234" s="23" t="e">
        <f>_xlfn.XLOOKUP(H234,#REF!,#REF!,"",0,1)</f>
        <v>#REF!</v>
      </c>
      <c r="J234" s="23" t="str">
        <f>IFERROR(I234*#REF!,"")</f>
        <v/>
      </c>
      <c r="K234" s="23" t="e" cm="1">
        <f t="array" ref="K234">INDEX('GLOBAL LOG'!#REF!,ROW()-169+15)</f>
        <v>#REF!</v>
      </c>
      <c r="L234" s="23" t="e">
        <f>_xlfn.XLOOKUP(K234,#REF!,#REF!,"",0,1)</f>
        <v>#REF!</v>
      </c>
      <c r="M234" s="23" t="str">
        <f>IFERROR(L234*#REF!,"")</f>
        <v/>
      </c>
      <c r="N234" s="23">
        <f t="shared" ref="N234:N297" si="14">IFERROR(D234*J234*M234,-1)</f>
        <v>-1</v>
      </c>
      <c r="O234" s="23">
        <f t="shared" ref="O234:O297" si="15">IFERROR(E234*J234*M234,-1)</f>
        <v>-1</v>
      </c>
      <c r="P234" s="23">
        <f t="shared" ref="P234:P297" si="16">IFERROR(F234*J234*M234,-1)</f>
        <v>-1</v>
      </c>
      <c r="Q234" s="24">
        <f t="shared" ref="Q234:Q297" si="17">IFERROR(G234*J234*M234,-1)</f>
        <v>-1</v>
      </c>
      <c r="R234" s="3"/>
      <c r="S234" s="1" t="str">
        <v xml:space="preserve">Western Air Western Air Limited _ AE3007 _ Extension for full fleet of 9 </v>
      </c>
      <c r="T234" s="24">
        <v>-1</v>
      </c>
      <c r="U234"/>
      <c r="V234" s="1" t="str">
        <v xml:space="preserve">Western Air Western Air Limited _ AE3007 _ Extension for full fleet of 9 </v>
      </c>
      <c r="W234" s="24">
        <v>-1</v>
      </c>
      <c r="X234"/>
      <c r="Y234" s="1" t="str">
        <v xml:space="preserve">Western Air Western Air Limited _ AE3007 _ Extension for full fleet of 9 </v>
      </c>
      <c r="Z234" s="24">
        <v>-1</v>
      </c>
      <c r="AA234"/>
      <c r="AB234" s="1" t="str">
        <v xml:space="preserve">Western Air Western Air Limited _ AE3007 _ Extension for full fleet of 9 </v>
      </c>
      <c r="AC234" s="24">
        <v>-1</v>
      </c>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row>
    <row r="235" spans="2:97">
      <c r="B235"/>
      <c r="C235" s="15" t="str">
        <v>IBC Airways IBC Airways _ AE3007 _ Extension for 1 AC</v>
      </c>
      <c r="D235" s="23"/>
      <c r="E235" s="23">
        <v>0</v>
      </c>
      <c r="F235" s="23">
        <v>0</v>
      </c>
      <c r="G235" s="23">
        <f t="shared" si="13"/>
        <v>0</v>
      </c>
      <c r="H235" s="23" t="e" cm="1">
        <f t="array" ref="H235">INDEX('GLOBAL LOG'!#REF!,ROW()-169+15)</f>
        <v>#REF!</v>
      </c>
      <c r="I235" s="23" t="e">
        <f>_xlfn.XLOOKUP(H235,#REF!,#REF!,"",0,1)</f>
        <v>#REF!</v>
      </c>
      <c r="J235" s="23" t="str">
        <f>IFERROR(I235*#REF!,"")</f>
        <v/>
      </c>
      <c r="K235" s="23" t="e" cm="1">
        <f t="array" ref="K235">INDEX('GLOBAL LOG'!#REF!,ROW()-169+15)</f>
        <v>#REF!</v>
      </c>
      <c r="L235" s="23" t="e">
        <f>_xlfn.XLOOKUP(K235,#REF!,#REF!,"",0,1)</f>
        <v>#REF!</v>
      </c>
      <c r="M235" s="23" t="str">
        <f>IFERROR(L235*#REF!,"")</f>
        <v/>
      </c>
      <c r="N235" s="23">
        <f t="shared" si="14"/>
        <v>-1</v>
      </c>
      <c r="O235" s="23">
        <f t="shared" si="15"/>
        <v>-1</v>
      </c>
      <c r="P235" s="23">
        <f t="shared" si="16"/>
        <v>-1</v>
      </c>
      <c r="Q235" s="24">
        <f t="shared" si="17"/>
        <v>-1</v>
      </c>
      <c r="R235" s="3"/>
      <c r="S235" s="1" t="str">
        <v>IBC Airways IBC Airways _ AE3007 _ Extension for 1 AC</v>
      </c>
      <c r="T235" s="24">
        <v>-1</v>
      </c>
      <c r="U235"/>
      <c r="V235" s="1" t="str">
        <v>IBC Airways IBC Airways _ AE3007 _ Extension for 1 AC</v>
      </c>
      <c r="W235" s="24">
        <v>-1</v>
      </c>
      <c r="X235"/>
      <c r="Y235" s="1" t="str">
        <v>IBC Airways IBC Airways _ AE3007 _ Extension for 1 AC</v>
      </c>
      <c r="Z235" s="24">
        <v>-1</v>
      </c>
      <c r="AA235"/>
      <c r="AB235" s="1" t="str">
        <v>IBC Airways IBC Airways _ AE3007 _ Extension for 1 AC</v>
      </c>
      <c r="AC235" s="24">
        <v>-1</v>
      </c>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row>
    <row r="236" spans="2:97">
      <c r="B236"/>
      <c r="C236" s="15" t="str">
        <v>Air China Opportunity to increase SPE level on Trent XWB x 2 SPE's at 40%</v>
      </c>
      <c r="D236" s="23"/>
      <c r="E236" s="23">
        <v>5.3</v>
      </c>
      <c r="F236" s="23">
        <v>3.6</v>
      </c>
      <c r="G236" s="23">
        <f t="shared" si="13"/>
        <v>8.9</v>
      </c>
      <c r="H236" s="23" t="e" cm="1">
        <f t="array" ref="H236">INDEX('GLOBAL LOG'!#REF!,ROW()-169+15)</f>
        <v>#REF!</v>
      </c>
      <c r="I236" s="23" t="e">
        <f>_xlfn.XLOOKUP(H236,#REF!,#REF!,"",0,1)</f>
        <v>#REF!</v>
      </c>
      <c r="J236" s="23" t="str">
        <f>IFERROR(I236*#REF!,"")</f>
        <v/>
      </c>
      <c r="K236" s="23" t="e" cm="1">
        <f t="array" ref="K236">INDEX('GLOBAL LOG'!#REF!,ROW()-169+15)</f>
        <v>#REF!</v>
      </c>
      <c r="L236" s="23" t="e">
        <f>_xlfn.XLOOKUP(K236,#REF!,#REF!,"",0,1)</f>
        <v>#REF!</v>
      </c>
      <c r="M236" s="23" t="str">
        <f>IFERROR(L236*#REF!,"")</f>
        <v/>
      </c>
      <c r="N236" s="23">
        <f t="shared" si="14"/>
        <v>-1</v>
      </c>
      <c r="O236" s="23">
        <f t="shared" si="15"/>
        <v>-1</v>
      </c>
      <c r="P236" s="23">
        <f t="shared" si="16"/>
        <v>-1</v>
      </c>
      <c r="Q236" s="24">
        <f t="shared" si="17"/>
        <v>-1</v>
      </c>
      <c r="R236" s="3"/>
      <c r="S236" s="1" t="str">
        <v>Air China Opportunity to increase SPE level on Trent XWB x 2 SPE's at 40%</v>
      </c>
      <c r="T236" s="24">
        <v>-1</v>
      </c>
      <c r="U236"/>
      <c r="V236" s="1" t="str">
        <v>Air China Opportunity to increase SPE level on Trent XWB x 2 SPE's at 40%</v>
      </c>
      <c r="W236" s="24">
        <v>-1</v>
      </c>
      <c r="X236"/>
      <c r="Y236" s="1" t="str">
        <v>Air China Opportunity to increase SPE level on Trent XWB x 2 SPE's at 40%</v>
      </c>
      <c r="Z236" s="24">
        <v>-1</v>
      </c>
      <c r="AA236"/>
      <c r="AB236" s="1" t="str">
        <v>Air China Opportunity to increase SPE level on Trent XWB x 2 SPE's at 40%</v>
      </c>
      <c r="AC236" s="24">
        <v>-1</v>
      </c>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row>
    <row r="237" spans="2:97">
      <c r="B237"/>
      <c r="C237" s="15" t="str">
        <v>Air France  Opporunity to add a 1. XWB-84 Used SPE (Q1 2027) 2. Firm Up six (6) aircraft from existing Options. 3. PAS for A350F based on the volume change (4 to 3 FIRM) of A350F.</v>
      </c>
      <c r="D237" s="23"/>
      <c r="E237" s="23">
        <v>0</v>
      </c>
      <c r="F237" s="23">
        <v>0</v>
      </c>
      <c r="G237" s="23">
        <f t="shared" si="13"/>
        <v>0</v>
      </c>
      <c r="H237" s="23" t="e" cm="1">
        <f t="array" ref="H237">INDEX('GLOBAL LOG'!#REF!,ROW()-169+15)</f>
        <v>#REF!</v>
      </c>
      <c r="I237" s="23" t="e">
        <f>_xlfn.XLOOKUP(H237,#REF!,#REF!,"",0,1)</f>
        <v>#REF!</v>
      </c>
      <c r="J237" s="23" t="str">
        <f>IFERROR(I237*#REF!,"")</f>
        <v/>
      </c>
      <c r="K237" s="23" t="e" cm="1">
        <f t="array" ref="K237">INDEX('GLOBAL LOG'!#REF!,ROW()-169+15)</f>
        <v>#REF!</v>
      </c>
      <c r="L237" s="23" t="e">
        <f>_xlfn.XLOOKUP(K237,#REF!,#REF!,"",0,1)</f>
        <v>#REF!</v>
      </c>
      <c r="M237" s="23" t="str">
        <f>IFERROR(L237*#REF!,"")</f>
        <v/>
      </c>
      <c r="N237" s="23">
        <f t="shared" si="14"/>
        <v>-1</v>
      </c>
      <c r="O237" s="23">
        <f t="shared" si="15"/>
        <v>-1</v>
      </c>
      <c r="P237" s="23">
        <f t="shared" si="16"/>
        <v>-1</v>
      </c>
      <c r="Q237" s="24">
        <f t="shared" si="17"/>
        <v>-1</v>
      </c>
      <c r="R237" s="3"/>
      <c r="S237" s="1" t="str">
        <v>Air France  Opporunity to add a 1. XWB-84 Used SPE (Q1 2027) 2. Firm Up six (6) aircraft from existing Options. 3. PAS for A350F based on the volume change (4 to 3 FIRM) of A350F.</v>
      </c>
      <c r="T237" s="24">
        <v>-1</v>
      </c>
      <c r="U237"/>
      <c r="V237" s="1" t="str">
        <v>Air France  Opporunity to add a 1. XWB-84 Used SPE (Q1 2027) 2. Firm Up six (6) aircraft from existing Options. 3. PAS for A350F based on the volume change (4 to 3 FIRM) of A350F.</v>
      </c>
      <c r="W237" s="24">
        <v>-1</v>
      </c>
      <c r="X237"/>
      <c r="Y237" s="1" t="str">
        <v>Air France  Opporunity to add a 1. XWB-84 Used SPE (Q1 2027) 2. Firm Up six (6) aircraft from existing Options. 3. PAS for A350F based on the volume change (4 to 3 FIRM) of A350F.</v>
      </c>
      <c r="Z237" s="24">
        <v>-1</v>
      </c>
      <c r="AA237"/>
      <c r="AB237" s="1" t="str">
        <v>Air France  Opporunity to add a 1. XWB-84 Used SPE (Q1 2027) 2. Firm Up six (6) aircraft from existing Options. 3. PAS for A350F based on the volume change (4 to 3 FIRM) of A350F.</v>
      </c>
      <c r="AC237" s="24">
        <v>-1</v>
      </c>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row>
    <row r="238" spans="2:97">
      <c r="B238"/>
      <c r="C238" s="15" t="str">
        <v>Air France  Opportunity to sell combined PAS to both KLM and Martinair for XWB-84 and XWB-97 due to A350F volume change</v>
      </c>
      <c r="D238" s="23"/>
      <c r="E238" s="23">
        <v>0</v>
      </c>
      <c r="F238" s="23">
        <v>0</v>
      </c>
      <c r="G238" s="23">
        <f t="shared" si="13"/>
        <v>0</v>
      </c>
      <c r="H238" s="23" t="e" cm="1">
        <f t="array" ref="H238">INDEX('GLOBAL LOG'!#REF!,ROW()-169+15)</f>
        <v>#REF!</v>
      </c>
      <c r="I238" s="23" t="e">
        <f>_xlfn.XLOOKUP(H238,#REF!,#REF!,"",0,1)</f>
        <v>#REF!</v>
      </c>
      <c r="J238" s="23" t="str">
        <f>IFERROR(I238*#REF!,"")</f>
        <v/>
      </c>
      <c r="K238" s="23" t="e" cm="1">
        <f t="array" ref="K238">INDEX('GLOBAL LOG'!#REF!,ROW()-169+15)</f>
        <v>#REF!</v>
      </c>
      <c r="L238" s="23" t="e">
        <f>_xlfn.XLOOKUP(K238,#REF!,#REF!,"",0,1)</f>
        <v>#REF!</v>
      </c>
      <c r="M238" s="23" t="str">
        <f>IFERROR(L238*#REF!,"")</f>
        <v/>
      </c>
      <c r="N238" s="23">
        <f t="shared" si="14"/>
        <v>-1</v>
      </c>
      <c r="O238" s="23">
        <f t="shared" si="15"/>
        <v>-1</v>
      </c>
      <c r="P238" s="23">
        <f t="shared" si="16"/>
        <v>-1</v>
      </c>
      <c r="Q238" s="24">
        <f t="shared" si="17"/>
        <v>-1</v>
      </c>
      <c r="R238" s="3"/>
      <c r="S238" s="1" t="str">
        <v>Air France  Opportunity to sell combined PAS to both KLM and Martinair for XWB-84 and XWB-97 due to A350F volume change</v>
      </c>
      <c r="T238" s="24">
        <v>-1</v>
      </c>
      <c r="U238"/>
      <c r="V238" s="1" t="str">
        <v>Air France  Opportunity to sell combined PAS to both KLM and Martinair for XWB-84 and XWB-97 due to A350F volume change</v>
      </c>
      <c r="W238" s="24">
        <v>-1</v>
      </c>
      <c r="X238"/>
      <c r="Y238" s="1" t="str">
        <v>Air France  Opportunity to sell combined PAS to both KLM and Martinair for XWB-84 and XWB-97 due to A350F volume change</v>
      </c>
      <c r="Z238" s="24">
        <v>-1</v>
      </c>
      <c r="AA238"/>
      <c r="AB238" s="1" t="str">
        <v>Air France  Opportunity to sell combined PAS to both KLM and Martinair for XWB-84 and XWB-97 due to A350F volume change</v>
      </c>
      <c r="AC238" s="24">
        <v>-1</v>
      </c>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row>
    <row r="239" spans="2:97">
      <c r="B239"/>
      <c r="C239" s="15" t="str">
        <v>British Airways  Change escalation period to Jul instead of Jun to simplify recon</v>
      </c>
      <c r="D239" s="23"/>
      <c r="E239" s="23">
        <v>0</v>
      </c>
      <c r="F239" s="23">
        <v>0</v>
      </c>
      <c r="G239" s="23">
        <f t="shared" si="13"/>
        <v>0</v>
      </c>
      <c r="H239" s="23" t="e" cm="1">
        <f t="array" ref="H239">INDEX('GLOBAL LOG'!#REF!,ROW()-169+15)</f>
        <v>#REF!</v>
      </c>
      <c r="I239" s="23" t="e">
        <f>_xlfn.XLOOKUP(H239,#REF!,#REF!,"",0,1)</f>
        <v>#REF!</v>
      </c>
      <c r="J239" s="23" t="str">
        <f>IFERROR(I239*#REF!,"")</f>
        <v/>
      </c>
      <c r="K239" s="23" t="e" cm="1">
        <f t="array" ref="K239">INDEX('GLOBAL LOG'!#REF!,ROW()-169+15)</f>
        <v>#REF!</v>
      </c>
      <c r="L239" s="23" t="e">
        <f>_xlfn.XLOOKUP(K239,#REF!,#REF!,"",0,1)</f>
        <v>#REF!</v>
      </c>
      <c r="M239" s="23" t="str">
        <f>IFERROR(L239*#REF!,"")</f>
        <v/>
      </c>
      <c r="N239" s="23">
        <f t="shared" si="14"/>
        <v>-1</v>
      </c>
      <c r="O239" s="23">
        <f t="shared" si="15"/>
        <v>-1</v>
      </c>
      <c r="P239" s="23">
        <f t="shared" si="16"/>
        <v>-1</v>
      </c>
      <c r="Q239" s="24">
        <f t="shared" si="17"/>
        <v>-1</v>
      </c>
      <c r="R239" s="3"/>
      <c r="S239" s="1" t="str">
        <v>British Airways  Change escalation period to Jul instead of Jun to simplify recon</v>
      </c>
      <c r="T239" s="24">
        <v>-1</v>
      </c>
      <c r="U239"/>
      <c r="V239" s="1" t="str">
        <v>British Airways  Change escalation period to Jul instead of Jun to simplify recon</v>
      </c>
      <c r="W239" s="24">
        <v>-1</v>
      </c>
      <c r="X239"/>
      <c r="Y239" s="1" t="str">
        <v>British Airways  Change escalation period to Jul instead of Jun to simplify recon</v>
      </c>
      <c r="Z239" s="24">
        <v>-1</v>
      </c>
      <c r="AA239"/>
      <c r="AB239" s="1" t="str">
        <v>British Airways  Change escalation period to Jul instead of Jun to simplify recon</v>
      </c>
      <c r="AC239" s="24">
        <v>-1</v>
      </c>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row>
    <row r="240" spans="2:97">
      <c r="B240"/>
      <c r="C240" s="15" t="str">
        <v>British Airways  Change escalation period to Jul instead of Jun to simplify recon</v>
      </c>
      <c r="D240" s="23"/>
      <c r="E240" s="23">
        <v>0</v>
      </c>
      <c r="F240" s="23">
        <v>0</v>
      </c>
      <c r="G240" s="23">
        <f t="shared" si="13"/>
        <v>0</v>
      </c>
      <c r="H240" s="23" t="e" cm="1">
        <f t="array" ref="H240">INDEX('GLOBAL LOG'!#REF!,ROW()-169+15)</f>
        <v>#REF!</v>
      </c>
      <c r="I240" s="23" t="e">
        <f>_xlfn.XLOOKUP(H240,#REF!,#REF!,"",0,1)</f>
        <v>#REF!</v>
      </c>
      <c r="J240" s="23" t="str">
        <f>IFERROR(I240*#REF!,"")</f>
        <v/>
      </c>
      <c r="K240" s="23" t="e" cm="1">
        <f t="array" ref="K240">INDEX('GLOBAL LOG'!#REF!,ROW()-169+15)</f>
        <v>#REF!</v>
      </c>
      <c r="L240" s="23" t="e">
        <f>_xlfn.XLOOKUP(K240,#REF!,#REF!,"",0,1)</f>
        <v>#REF!</v>
      </c>
      <c r="M240" s="23" t="str">
        <f>IFERROR(L240*#REF!,"")</f>
        <v/>
      </c>
      <c r="N240" s="23">
        <f t="shared" si="14"/>
        <v>-1</v>
      </c>
      <c r="O240" s="23">
        <f t="shared" si="15"/>
        <v>-1</v>
      </c>
      <c r="P240" s="23">
        <f t="shared" si="16"/>
        <v>-1</v>
      </c>
      <c r="Q240" s="24">
        <f t="shared" si="17"/>
        <v>-1</v>
      </c>
      <c r="R240" s="3"/>
      <c r="S240" s="1" t="str">
        <v>British Airways  Change escalation period to Jul instead of Jun to simplify recon</v>
      </c>
      <c r="T240" s="24">
        <v>-1</v>
      </c>
      <c r="U240"/>
      <c r="V240" s="1" t="str">
        <v>British Airways  Change escalation period to Jul instead of Jun to simplify recon</v>
      </c>
      <c r="W240" s="24">
        <v>-1</v>
      </c>
      <c r="X240"/>
      <c r="Y240" s="1" t="str">
        <v>British Airways  Change escalation period to Jul instead of Jun to simplify recon</v>
      </c>
      <c r="Z240" s="24">
        <v>-1</v>
      </c>
      <c r="AA240"/>
      <c r="AB240" s="1" t="str">
        <v>British Airways  Change escalation period to Jul instead of Jun to simplify recon</v>
      </c>
      <c r="AC240" s="24">
        <v>-1</v>
      </c>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row>
    <row r="241" spans="2:97">
      <c r="B241"/>
      <c r="C241" s="15" t="str">
        <v>Sunclass Airlines  Sale of a first used Spare Engine which would reduce NDSES cost in the CRP</v>
      </c>
      <c r="D241" s="23"/>
      <c r="E241" s="23">
        <v>0</v>
      </c>
      <c r="F241" s="23">
        <v>0</v>
      </c>
      <c r="G241" s="23">
        <f t="shared" si="13"/>
        <v>0</v>
      </c>
      <c r="H241" s="23" t="e" cm="1">
        <f t="array" ref="H241">INDEX('GLOBAL LOG'!#REF!,ROW()-169+15)</f>
        <v>#REF!</v>
      </c>
      <c r="I241" s="23" t="e">
        <f>_xlfn.XLOOKUP(H241,#REF!,#REF!,"",0,1)</f>
        <v>#REF!</v>
      </c>
      <c r="J241" s="23" t="str">
        <f>IFERROR(I241*#REF!,"")</f>
        <v/>
      </c>
      <c r="K241" s="23" t="e" cm="1">
        <f t="array" ref="K241">INDEX('GLOBAL LOG'!#REF!,ROW()-169+15)</f>
        <v>#REF!</v>
      </c>
      <c r="L241" s="23" t="e">
        <f>_xlfn.XLOOKUP(K241,#REF!,#REF!,"",0,1)</f>
        <v>#REF!</v>
      </c>
      <c r="M241" s="23" t="str">
        <f>IFERROR(L241*#REF!,"")</f>
        <v/>
      </c>
      <c r="N241" s="23">
        <f t="shared" si="14"/>
        <v>-1</v>
      </c>
      <c r="O241" s="23">
        <f t="shared" si="15"/>
        <v>-1</v>
      </c>
      <c r="P241" s="23">
        <f t="shared" si="16"/>
        <v>-1</v>
      </c>
      <c r="Q241" s="24">
        <f t="shared" si="17"/>
        <v>-1</v>
      </c>
      <c r="R241" s="3"/>
      <c r="S241" s="1" t="str">
        <v>Sunclass Airlines  Sale of a first used Spare Engine which would reduce NDSES cost in the CRP</v>
      </c>
      <c r="T241" s="24">
        <v>-1</v>
      </c>
      <c r="U241"/>
      <c r="V241" s="1" t="str">
        <v>Sunclass Airlines  Sale of a first used Spare Engine which would reduce NDSES cost in the CRP</v>
      </c>
      <c r="W241" s="24">
        <v>-1</v>
      </c>
      <c r="X241"/>
      <c r="Y241" s="1" t="str">
        <v>Sunclass Airlines  Sale of a first used Spare Engine which would reduce NDSES cost in the CRP</v>
      </c>
      <c r="Z241" s="24">
        <v>-1</v>
      </c>
      <c r="AA241"/>
      <c r="AB241" s="1" t="str">
        <v>Sunclass Airlines  Sale of a first used Spare Engine which would reduce NDSES cost in the CRP</v>
      </c>
      <c r="AC241" s="24">
        <v>-1</v>
      </c>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row>
    <row r="242" spans="2:97">
      <c r="B242"/>
      <c r="C242" s="15" t="str">
        <v>ITA 2 incremental a/c under LoI - opportunity to sell incremental used Spare Engine early to help CRP NDSES cost/fleet health</v>
      </c>
      <c r="D242" s="23"/>
      <c r="E242" s="23">
        <v>0</v>
      </c>
      <c r="F242" s="23">
        <v>0</v>
      </c>
      <c r="G242" s="23">
        <f t="shared" si="13"/>
        <v>0</v>
      </c>
      <c r="H242" s="23" t="e" cm="1">
        <f t="array" ref="H242">INDEX('GLOBAL LOG'!#REF!,ROW()-169+15)</f>
        <v>#REF!</v>
      </c>
      <c r="I242" s="23" t="e">
        <f>_xlfn.XLOOKUP(H242,#REF!,#REF!,"",0,1)</f>
        <v>#REF!</v>
      </c>
      <c r="J242" s="23" t="str">
        <f>IFERROR(I242*#REF!,"")</f>
        <v/>
      </c>
      <c r="K242" s="23" t="e" cm="1">
        <f t="array" ref="K242">INDEX('GLOBAL LOG'!#REF!,ROW()-169+15)</f>
        <v>#REF!</v>
      </c>
      <c r="L242" s="23" t="e">
        <f>_xlfn.XLOOKUP(K242,#REF!,#REF!,"",0,1)</f>
        <v>#REF!</v>
      </c>
      <c r="M242" s="23" t="str">
        <f>IFERROR(L242*#REF!,"")</f>
        <v/>
      </c>
      <c r="N242" s="23">
        <f t="shared" si="14"/>
        <v>-1</v>
      </c>
      <c r="O242" s="23">
        <f t="shared" si="15"/>
        <v>-1</v>
      </c>
      <c r="P242" s="23">
        <f t="shared" si="16"/>
        <v>-1</v>
      </c>
      <c r="Q242" s="24">
        <f t="shared" si="17"/>
        <v>-1</v>
      </c>
      <c r="R242" s="3"/>
      <c r="S242" s="1" t="str">
        <v>ITA 2 incremental a/c under LoI - opportunity to sell incremental used Spare Engine early to help CRP NDSES cost/fleet health</v>
      </c>
      <c r="T242" s="24">
        <v>-1</v>
      </c>
      <c r="U242"/>
      <c r="V242" s="1" t="str">
        <v>ITA 2 incremental a/c under LoI - opportunity to sell incremental used Spare Engine early to help CRP NDSES cost/fleet health</v>
      </c>
      <c r="W242" s="24">
        <v>-1</v>
      </c>
      <c r="X242"/>
      <c r="Y242" s="1" t="str">
        <v>ITA 2 incremental a/c under LoI - opportunity to sell incremental used Spare Engine early to help CRP NDSES cost/fleet health</v>
      </c>
      <c r="Z242" s="24">
        <v>-1</v>
      </c>
      <c r="AA242"/>
      <c r="AB242" s="1" t="str">
        <v>ITA 2 incremental a/c under LoI - opportunity to sell incremental used Spare Engine early to help CRP NDSES cost/fleet health</v>
      </c>
      <c r="AC242" s="24">
        <v>-1</v>
      </c>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row>
    <row r="243" spans="2:97">
      <c r="B243"/>
      <c r="C243" s="15" t="str">
        <v>Turkish Airlines  Extend minimum term of remaining fleet</v>
      </c>
      <c r="D243" s="23"/>
      <c r="E243" s="23">
        <v>0</v>
      </c>
      <c r="F243" s="23">
        <v>0</v>
      </c>
      <c r="G243" s="23">
        <f t="shared" si="13"/>
        <v>0</v>
      </c>
      <c r="H243" s="23" t="e" cm="1">
        <f t="array" ref="H243">INDEX('GLOBAL LOG'!#REF!,ROW()-169+15)</f>
        <v>#REF!</v>
      </c>
      <c r="I243" s="23" t="e">
        <f>_xlfn.XLOOKUP(H243,#REF!,#REF!,"",0,1)</f>
        <v>#REF!</v>
      </c>
      <c r="J243" s="23" t="str">
        <f>IFERROR(I243*#REF!,"")</f>
        <v/>
      </c>
      <c r="K243" s="23" t="e" cm="1">
        <f t="array" ref="K243">INDEX('GLOBAL LOG'!#REF!,ROW()-169+15)</f>
        <v>#REF!</v>
      </c>
      <c r="L243" s="23" t="e">
        <f>_xlfn.XLOOKUP(K243,#REF!,#REF!,"",0,1)</f>
        <v>#REF!</v>
      </c>
      <c r="M243" s="23" t="str">
        <f>IFERROR(L243*#REF!,"")</f>
        <v/>
      </c>
      <c r="N243" s="23">
        <f t="shared" si="14"/>
        <v>-1</v>
      </c>
      <c r="O243" s="23">
        <f t="shared" si="15"/>
        <v>-1</v>
      </c>
      <c r="P243" s="23">
        <f t="shared" si="16"/>
        <v>-1</v>
      </c>
      <c r="Q243" s="24">
        <f t="shared" si="17"/>
        <v>-1</v>
      </c>
      <c r="R243" s="3"/>
      <c r="S243" s="1" t="str">
        <v>Turkish Airlines  Extend minimum term of remaining fleet</v>
      </c>
      <c r="T243" s="24">
        <v>-1</v>
      </c>
      <c r="U243"/>
      <c r="V243" s="1" t="str">
        <v>Turkish Airlines  Extend minimum term of remaining fleet</v>
      </c>
      <c r="W243" s="24">
        <v>-1</v>
      </c>
      <c r="X243"/>
      <c r="Y243" s="1" t="str">
        <v>Turkish Airlines  Extend minimum term of remaining fleet</v>
      </c>
      <c r="Z243" s="24">
        <v>-1</v>
      </c>
      <c r="AA243"/>
      <c r="AB243" s="1" t="str">
        <v>Turkish Airlines  Extend minimum term of remaining fleet</v>
      </c>
      <c r="AC243" s="24">
        <v>-1</v>
      </c>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row>
    <row r="244" spans="2:97">
      <c r="B244"/>
      <c r="C244" s="15" t="str">
        <v>DHL LRU upsell</v>
      </c>
      <c r="D244" s="23"/>
      <c r="E244" s="23">
        <v>0</v>
      </c>
      <c r="F244" s="23">
        <v>0</v>
      </c>
      <c r="G244" s="23">
        <f t="shared" si="13"/>
        <v>0</v>
      </c>
      <c r="H244" s="23" t="e" cm="1">
        <f t="array" ref="H244">INDEX('GLOBAL LOG'!#REF!,ROW()-169+15)</f>
        <v>#REF!</v>
      </c>
      <c r="I244" s="23" t="e">
        <f>_xlfn.XLOOKUP(H244,#REF!,#REF!,"",0,1)</f>
        <v>#REF!</v>
      </c>
      <c r="J244" s="23" t="str">
        <f>IFERROR(I244*#REF!,"")</f>
        <v/>
      </c>
      <c r="K244" s="23" t="e" cm="1">
        <f t="array" ref="K244">INDEX('GLOBAL LOG'!#REF!,ROW()-169+15)</f>
        <v>#REF!</v>
      </c>
      <c r="L244" s="23" t="e">
        <f>_xlfn.XLOOKUP(K244,#REF!,#REF!,"",0,1)</f>
        <v>#REF!</v>
      </c>
      <c r="M244" s="23" t="str">
        <f>IFERROR(L244*#REF!,"")</f>
        <v/>
      </c>
      <c r="N244" s="23">
        <f t="shared" si="14"/>
        <v>-1</v>
      </c>
      <c r="O244" s="23">
        <f t="shared" si="15"/>
        <v>-1</v>
      </c>
      <c r="P244" s="23">
        <f t="shared" si="16"/>
        <v>-1</v>
      </c>
      <c r="Q244" s="24">
        <f t="shared" si="17"/>
        <v>-1</v>
      </c>
      <c r="R244" s="3"/>
      <c r="S244" s="1" t="str">
        <v>DHL LRU upsell</v>
      </c>
      <c r="T244" s="24">
        <v>-1</v>
      </c>
      <c r="U244"/>
      <c r="V244" s="1" t="str">
        <v>DHL LRU upsell</v>
      </c>
      <c r="W244" s="24">
        <v>-1</v>
      </c>
      <c r="X244"/>
      <c r="Y244" s="1" t="str">
        <v>DHL LRU upsell</v>
      </c>
      <c r="Z244" s="24">
        <v>-1</v>
      </c>
      <c r="AA244"/>
      <c r="AB244" s="1" t="str">
        <v>DHL LRU upsell</v>
      </c>
      <c r="AC244" s="24">
        <v>-1</v>
      </c>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row>
    <row r="245" spans="2:97">
      <c r="B245"/>
      <c r="C245" s="15" t="str">
        <v>British Airways  Below the pylon - potential descope</v>
      </c>
      <c r="D245" s="23"/>
      <c r="E245" s="23">
        <v>0</v>
      </c>
      <c r="F245" s="23">
        <v>0</v>
      </c>
      <c r="G245" s="23">
        <f t="shared" si="13"/>
        <v>0</v>
      </c>
      <c r="H245" s="23" t="e" cm="1">
        <f t="array" ref="H245">INDEX('GLOBAL LOG'!#REF!,ROW()-169+15)</f>
        <v>#REF!</v>
      </c>
      <c r="I245" s="23" t="e">
        <f>_xlfn.XLOOKUP(H245,#REF!,#REF!,"",0,1)</f>
        <v>#REF!</v>
      </c>
      <c r="J245" s="23" t="str">
        <f>IFERROR(I245*#REF!,"")</f>
        <v/>
      </c>
      <c r="K245" s="23" t="e" cm="1">
        <f t="array" ref="K245">INDEX('GLOBAL LOG'!#REF!,ROW()-169+15)</f>
        <v>#REF!</v>
      </c>
      <c r="L245" s="23" t="e">
        <f>_xlfn.XLOOKUP(K245,#REF!,#REF!,"",0,1)</f>
        <v>#REF!</v>
      </c>
      <c r="M245" s="23" t="str">
        <f>IFERROR(L245*#REF!,"")</f>
        <v/>
      </c>
      <c r="N245" s="23">
        <f t="shared" si="14"/>
        <v>-1</v>
      </c>
      <c r="O245" s="23">
        <f t="shared" si="15"/>
        <v>-1</v>
      </c>
      <c r="P245" s="23">
        <f t="shared" si="16"/>
        <v>-1</v>
      </c>
      <c r="Q245" s="24">
        <f t="shared" si="17"/>
        <v>-1</v>
      </c>
      <c r="R245" s="3"/>
      <c r="S245" s="1" t="str">
        <v>British Airways  Below the pylon - potential descope</v>
      </c>
      <c r="T245" s="24">
        <v>-1</v>
      </c>
      <c r="U245"/>
      <c r="V245" s="1" t="str">
        <v>British Airways  Below the pylon - potential descope</v>
      </c>
      <c r="W245" s="24">
        <v>-1</v>
      </c>
      <c r="X245"/>
      <c r="Y245" s="1" t="str">
        <v>British Airways  Below the pylon - potential descope</v>
      </c>
      <c r="Z245" s="24">
        <v>-1</v>
      </c>
      <c r="AA245"/>
      <c r="AB245" s="1" t="str">
        <v>British Airways  Below the pylon - potential descope</v>
      </c>
      <c r="AC245" s="24">
        <v>-1</v>
      </c>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row>
    <row r="246" spans="2:97">
      <c r="B246"/>
      <c r="C246" s="15" t="str">
        <v>British Airways  Below the pylon - potential descope</v>
      </c>
      <c r="D246" s="23"/>
      <c r="E246" s="23">
        <v>0</v>
      </c>
      <c r="F246" s="23">
        <v>0</v>
      </c>
      <c r="G246" s="23">
        <f t="shared" si="13"/>
        <v>0</v>
      </c>
      <c r="H246" s="23" t="e" cm="1">
        <f t="array" ref="H246">INDEX('GLOBAL LOG'!#REF!,ROW()-169+15)</f>
        <v>#REF!</v>
      </c>
      <c r="I246" s="23" t="e">
        <f>_xlfn.XLOOKUP(H246,#REF!,#REF!,"",0,1)</f>
        <v>#REF!</v>
      </c>
      <c r="J246" s="23" t="str">
        <f>IFERROR(I246*#REF!,"")</f>
        <v/>
      </c>
      <c r="K246" s="23" t="e" cm="1">
        <f t="array" ref="K246">INDEX('GLOBAL LOG'!#REF!,ROW()-169+15)</f>
        <v>#REF!</v>
      </c>
      <c r="L246" s="23" t="e">
        <f>_xlfn.XLOOKUP(K246,#REF!,#REF!,"",0,1)</f>
        <v>#REF!</v>
      </c>
      <c r="M246" s="23" t="str">
        <f>IFERROR(L246*#REF!,"")</f>
        <v/>
      </c>
      <c r="N246" s="23">
        <f t="shared" si="14"/>
        <v>-1</v>
      </c>
      <c r="O246" s="23">
        <f t="shared" si="15"/>
        <v>-1</v>
      </c>
      <c r="P246" s="23">
        <f t="shared" si="16"/>
        <v>-1</v>
      </c>
      <c r="Q246" s="24">
        <f t="shared" si="17"/>
        <v>-1</v>
      </c>
      <c r="R246" s="3"/>
      <c r="S246" s="1" t="str">
        <v>British Airways  Below the pylon - potential descope</v>
      </c>
      <c r="T246" s="24">
        <v>-1</v>
      </c>
      <c r="U246"/>
      <c r="V246" s="1" t="str">
        <v>British Airways  Below the pylon - potential descope</v>
      </c>
      <c r="W246" s="24">
        <v>-1</v>
      </c>
      <c r="X246"/>
      <c r="Y246" s="1" t="str">
        <v>British Airways  Below the pylon - potential descope</v>
      </c>
      <c r="Z246" s="24">
        <v>-1</v>
      </c>
      <c r="AA246"/>
      <c r="AB246" s="1" t="str">
        <v>British Airways  Below the pylon - potential descope</v>
      </c>
      <c r="AC246" s="24">
        <v>-1</v>
      </c>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row>
    <row r="247" spans="2:97">
      <c r="B247"/>
      <c r="C247" s="15" t="str">
        <v>British Airways  Below the pylon - potential descope (Trent 900)</v>
      </c>
      <c r="D247" s="23"/>
      <c r="E247" s="23">
        <v>0</v>
      </c>
      <c r="F247" s="23">
        <v>0</v>
      </c>
      <c r="G247" s="23">
        <f t="shared" si="13"/>
        <v>0</v>
      </c>
      <c r="H247" s="23" t="e" cm="1">
        <f t="array" ref="H247">INDEX('GLOBAL LOG'!#REF!,ROW()-169+15)</f>
        <v>#REF!</v>
      </c>
      <c r="I247" s="23" t="e">
        <f>_xlfn.XLOOKUP(H247,#REF!,#REF!,"",0,1)</f>
        <v>#REF!</v>
      </c>
      <c r="J247" s="23" t="str">
        <f>IFERROR(I247*#REF!,"")</f>
        <v/>
      </c>
      <c r="K247" s="23" t="e" cm="1">
        <f t="array" ref="K247">INDEX('GLOBAL LOG'!#REF!,ROW()-169+15)</f>
        <v>#REF!</v>
      </c>
      <c r="L247" s="23" t="e">
        <f>_xlfn.XLOOKUP(K247,#REF!,#REF!,"",0,1)</f>
        <v>#REF!</v>
      </c>
      <c r="M247" s="23" t="str">
        <f>IFERROR(L247*#REF!,"")</f>
        <v/>
      </c>
      <c r="N247" s="23">
        <f t="shared" si="14"/>
        <v>-1</v>
      </c>
      <c r="O247" s="23">
        <f t="shared" si="15"/>
        <v>-1</v>
      </c>
      <c r="P247" s="23">
        <f t="shared" si="16"/>
        <v>-1</v>
      </c>
      <c r="Q247" s="24">
        <f t="shared" si="17"/>
        <v>-1</v>
      </c>
      <c r="R247" s="3"/>
      <c r="S247" s="1" t="str">
        <v>British Airways  Below the pylon - potential descope (Trent 900)</v>
      </c>
      <c r="T247" s="24">
        <v>-1</v>
      </c>
      <c r="U247"/>
      <c r="V247" s="1" t="str">
        <v>British Airways  Below the pylon - potential descope (Trent 900)</v>
      </c>
      <c r="W247" s="24">
        <v>-1</v>
      </c>
      <c r="X247"/>
      <c r="Y247" s="1" t="str">
        <v>British Airways  Below the pylon - potential descope (Trent 900)</v>
      </c>
      <c r="Z247" s="24">
        <v>-1</v>
      </c>
      <c r="AA247"/>
      <c r="AB247" s="1" t="str">
        <v>British Airways  Below the pylon - potential descope (Trent 900)</v>
      </c>
      <c r="AC247" s="24">
        <v>-1</v>
      </c>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row>
    <row r="248" spans="2:97">
      <c r="B248"/>
      <c r="C248" s="15" t="str">
        <v>Virgin Atlantic  Onerous -Transistion AC if possilbe, Extend contract or EOCL buy out</v>
      </c>
      <c r="D248" s="23"/>
      <c r="E248" s="23">
        <v>0</v>
      </c>
      <c r="F248" s="23">
        <v>0</v>
      </c>
      <c r="G248" s="23">
        <f t="shared" si="13"/>
        <v>0</v>
      </c>
      <c r="H248" s="23" t="e" cm="1">
        <f t="array" ref="H248">INDEX('GLOBAL LOG'!#REF!,ROW()-169+15)</f>
        <v>#REF!</v>
      </c>
      <c r="I248" s="23" t="e">
        <f>_xlfn.XLOOKUP(H248,#REF!,#REF!,"",0,1)</f>
        <v>#REF!</v>
      </c>
      <c r="J248" s="23" t="str">
        <f>IFERROR(I248*#REF!,"")</f>
        <v/>
      </c>
      <c r="K248" s="23" t="e" cm="1">
        <f t="array" ref="K248">INDEX('GLOBAL LOG'!#REF!,ROW()-169+15)</f>
        <v>#REF!</v>
      </c>
      <c r="L248" s="23" t="e">
        <f>_xlfn.XLOOKUP(K248,#REF!,#REF!,"",0,1)</f>
        <v>#REF!</v>
      </c>
      <c r="M248" s="23" t="str">
        <f>IFERROR(L248*#REF!,"")</f>
        <v/>
      </c>
      <c r="N248" s="23">
        <f t="shared" si="14"/>
        <v>-1</v>
      </c>
      <c r="O248" s="23">
        <f t="shared" si="15"/>
        <v>-1</v>
      </c>
      <c r="P248" s="23">
        <f t="shared" si="16"/>
        <v>-1</v>
      </c>
      <c r="Q248" s="24">
        <f t="shared" si="17"/>
        <v>-1</v>
      </c>
      <c r="R248" s="3"/>
      <c r="S248" s="1" t="str">
        <v>Virgin Atlantic  Onerous -Transistion AC if possilbe, Extend contract or EOCL buy out</v>
      </c>
      <c r="T248" s="24">
        <v>-1</v>
      </c>
      <c r="U248"/>
      <c r="V248" s="1" t="str">
        <v>Virgin Atlantic  Onerous -Transistion AC if possilbe, Extend contract or EOCL buy out</v>
      </c>
      <c r="W248" s="24">
        <v>-1</v>
      </c>
      <c r="X248"/>
      <c r="Y248" s="1" t="str">
        <v>Virgin Atlantic  Onerous -Transistion AC if possilbe, Extend contract or EOCL buy out</v>
      </c>
      <c r="Z248" s="24">
        <v>-1</v>
      </c>
      <c r="AA248"/>
      <c r="AB248" s="1" t="str">
        <v>Virgin Atlantic  Onerous -Transistion AC if possilbe, Extend contract or EOCL buy out</v>
      </c>
      <c r="AC248" s="24">
        <v>-1</v>
      </c>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row>
    <row r="249" spans="2:97">
      <c r="B249"/>
      <c r="C249" s="15" t="str">
        <v>Air Caraibes  Life Min Term extension for owned a/c, plus removal of EoCL for a $/efh discount</v>
      </c>
      <c r="D249" s="23"/>
      <c r="E249" s="23">
        <v>0</v>
      </c>
      <c r="F249" s="23">
        <v>0</v>
      </c>
      <c r="G249" s="23">
        <f t="shared" si="13"/>
        <v>0</v>
      </c>
      <c r="H249" s="23" t="e" cm="1">
        <f t="array" ref="H249">INDEX('GLOBAL LOG'!#REF!,ROW()-169+15)</f>
        <v>#REF!</v>
      </c>
      <c r="I249" s="23" t="e">
        <f>_xlfn.XLOOKUP(H249,#REF!,#REF!,"",0,1)</f>
        <v>#REF!</v>
      </c>
      <c r="J249" s="23" t="str">
        <f>IFERROR(I249*#REF!,"")</f>
        <v/>
      </c>
      <c r="K249" s="23" t="e" cm="1">
        <f t="array" ref="K249">INDEX('GLOBAL LOG'!#REF!,ROW()-169+15)</f>
        <v>#REF!</v>
      </c>
      <c r="L249" s="23" t="e">
        <f>_xlfn.XLOOKUP(K249,#REF!,#REF!,"",0,1)</f>
        <v>#REF!</v>
      </c>
      <c r="M249" s="23" t="str">
        <f>IFERROR(L249*#REF!,"")</f>
        <v/>
      </c>
      <c r="N249" s="23">
        <f t="shared" si="14"/>
        <v>-1</v>
      </c>
      <c r="O249" s="23">
        <f t="shared" si="15"/>
        <v>-1</v>
      </c>
      <c r="P249" s="23">
        <f t="shared" si="16"/>
        <v>-1</v>
      </c>
      <c r="Q249" s="24">
        <f t="shared" si="17"/>
        <v>-1</v>
      </c>
      <c r="R249" s="3"/>
      <c r="S249" s="1" t="str">
        <v>Air Caraibes  Life Min Term extension for owned a/c, plus removal of EoCL for a $/efh discount</v>
      </c>
      <c r="T249" s="24">
        <v>-1</v>
      </c>
      <c r="U249"/>
      <c r="V249" s="1" t="str">
        <v>Air Caraibes  Life Min Term extension for owned a/c, plus removal of EoCL for a $/efh discount</v>
      </c>
      <c r="W249" s="24">
        <v>-1</v>
      </c>
      <c r="X249"/>
      <c r="Y249" s="1" t="str">
        <v>Air Caraibes  Life Min Term extension for owned a/c, plus removal of EoCL for a $/efh discount</v>
      </c>
      <c r="Z249" s="24">
        <v>-1</v>
      </c>
      <c r="AA249"/>
      <c r="AB249" s="1" t="str">
        <v>Air Caraibes  Life Min Term extension for owned a/c, plus removal of EoCL for a $/efh discount</v>
      </c>
      <c r="AC249" s="24">
        <v>-1</v>
      </c>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row>
    <row r="250" spans="2:97">
      <c r="B250"/>
      <c r="C250" s="15" t="str">
        <v>ITA SPE#4 Pull-forward</v>
      </c>
      <c r="D250" s="23"/>
      <c r="E250" s="23">
        <v>0</v>
      </c>
      <c r="F250" s="23">
        <v>0</v>
      </c>
      <c r="G250" s="23">
        <f t="shared" si="13"/>
        <v>0</v>
      </c>
      <c r="H250" s="23" t="e" cm="1">
        <f t="array" ref="H250">INDEX('GLOBAL LOG'!#REF!,ROW()-169+15)</f>
        <v>#REF!</v>
      </c>
      <c r="I250" s="23" t="e">
        <f>_xlfn.XLOOKUP(H250,#REF!,#REF!,"",0,1)</f>
        <v>#REF!</v>
      </c>
      <c r="J250" s="23" t="str">
        <f>IFERROR(I250*#REF!,"")</f>
        <v/>
      </c>
      <c r="K250" s="23" t="e" cm="1">
        <f t="array" ref="K250">INDEX('GLOBAL LOG'!#REF!,ROW()-169+15)</f>
        <v>#REF!</v>
      </c>
      <c r="L250" s="23" t="e">
        <f>_xlfn.XLOOKUP(K250,#REF!,#REF!,"",0,1)</f>
        <v>#REF!</v>
      </c>
      <c r="M250" s="23" t="str">
        <f>IFERROR(L250*#REF!,"")</f>
        <v/>
      </c>
      <c r="N250" s="23">
        <f t="shared" si="14"/>
        <v>-1</v>
      </c>
      <c r="O250" s="23">
        <f t="shared" si="15"/>
        <v>-1</v>
      </c>
      <c r="P250" s="23">
        <f t="shared" si="16"/>
        <v>-1</v>
      </c>
      <c r="Q250" s="24">
        <f t="shared" si="17"/>
        <v>-1</v>
      </c>
      <c r="R250" s="3"/>
      <c r="S250" s="1" t="str">
        <v>ITA SPE#4 Pull-forward</v>
      </c>
      <c r="T250" s="24">
        <v>-1</v>
      </c>
      <c r="U250"/>
      <c r="V250" s="1" t="str">
        <v>ITA SPE#4 Pull-forward</v>
      </c>
      <c r="W250" s="24">
        <v>-1</v>
      </c>
      <c r="X250"/>
      <c r="Y250" s="1" t="str">
        <v>ITA SPE#4 Pull-forward</v>
      </c>
      <c r="Z250" s="24">
        <v>-1</v>
      </c>
      <c r="AA250"/>
      <c r="AB250" s="1" t="str">
        <v>ITA SPE#4 Pull-forward</v>
      </c>
      <c r="AC250" s="24">
        <v>-1</v>
      </c>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row>
    <row r="251" spans="2:97">
      <c r="B251"/>
      <c r="C251" s="15" t="str">
        <v>ITA ITA integration into GEM (+ additional aircraft)</v>
      </c>
      <c r="D251" s="23"/>
      <c r="E251" s="23">
        <v>0</v>
      </c>
      <c r="F251" s="23">
        <v>0</v>
      </c>
      <c r="G251" s="23">
        <f t="shared" si="13"/>
        <v>0</v>
      </c>
      <c r="H251" s="23" t="e" cm="1">
        <f t="array" ref="H251">INDEX('GLOBAL LOG'!#REF!,ROW()-169+15)</f>
        <v>#REF!</v>
      </c>
      <c r="I251" s="23" t="e">
        <f>_xlfn.XLOOKUP(H251,#REF!,#REF!,"",0,1)</f>
        <v>#REF!</v>
      </c>
      <c r="J251" s="23" t="str">
        <f>IFERROR(I251*#REF!,"")</f>
        <v/>
      </c>
      <c r="K251" s="23" t="e" cm="1">
        <f t="array" ref="K251">INDEX('GLOBAL LOG'!#REF!,ROW()-169+15)</f>
        <v>#REF!</v>
      </c>
      <c r="L251" s="23" t="e">
        <f>_xlfn.XLOOKUP(K251,#REF!,#REF!,"",0,1)</f>
        <v>#REF!</v>
      </c>
      <c r="M251" s="23" t="str">
        <f>IFERROR(L251*#REF!,"")</f>
        <v/>
      </c>
      <c r="N251" s="23">
        <f t="shared" si="14"/>
        <v>-1</v>
      </c>
      <c r="O251" s="23">
        <f t="shared" si="15"/>
        <v>-1</v>
      </c>
      <c r="P251" s="23">
        <f t="shared" si="16"/>
        <v>-1</v>
      </c>
      <c r="Q251" s="24">
        <f t="shared" si="17"/>
        <v>-1</v>
      </c>
      <c r="R251" s="3"/>
      <c r="S251" s="1" t="str">
        <v>ITA ITA integration into GEM (+ additional aircraft)</v>
      </c>
      <c r="T251" s="24">
        <v>-1</v>
      </c>
      <c r="U251"/>
      <c r="V251" s="1" t="str">
        <v>ITA ITA integration into GEM (+ additional aircraft)</v>
      </c>
      <c r="W251" s="24">
        <v>-1</v>
      </c>
      <c r="X251"/>
      <c r="Y251" s="1" t="str">
        <v>ITA ITA integration into GEM (+ additional aircraft)</v>
      </c>
      <c r="Z251" s="24">
        <v>-1</v>
      </c>
      <c r="AA251"/>
      <c r="AB251" s="1" t="str">
        <v>ITA ITA integration into GEM (+ additional aircraft)</v>
      </c>
      <c r="AC251" s="24">
        <v>-1</v>
      </c>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row>
    <row r="252" spans="2:97">
      <c r="B252"/>
      <c r="C252" s="15" t="str">
        <v>British Airways Restructure nacelle factor calculations to simplify covered services rate calculations and resulting recons</v>
      </c>
      <c r="D252" s="23"/>
      <c r="E252" s="23">
        <v>0</v>
      </c>
      <c r="F252" s="23">
        <v>0</v>
      </c>
      <c r="G252" s="23">
        <f t="shared" si="13"/>
        <v>0</v>
      </c>
      <c r="H252" s="23" t="e" cm="1">
        <f t="array" ref="H252">INDEX('GLOBAL LOG'!#REF!,ROW()-169+15)</f>
        <v>#REF!</v>
      </c>
      <c r="I252" s="23" t="e">
        <f>_xlfn.XLOOKUP(H252,#REF!,#REF!,"",0,1)</f>
        <v>#REF!</v>
      </c>
      <c r="J252" s="23" t="str">
        <f>IFERROR(I252*#REF!,"")</f>
        <v/>
      </c>
      <c r="K252" s="23" t="e" cm="1">
        <f t="array" ref="K252">INDEX('GLOBAL LOG'!#REF!,ROW()-169+15)</f>
        <v>#REF!</v>
      </c>
      <c r="L252" s="23" t="e">
        <f>_xlfn.XLOOKUP(K252,#REF!,#REF!,"",0,1)</f>
        <v>#REF!</v>
      </c>
      <c r="M252" s="23" t="str">
        <f>IFERROR(L252*#REF!,"")</f>
        <v/>
      </c>
      <c r="N252" s="23">
        <f t="shared" si="14"/>
        <v>-1</v>
      </c>
      <c r="O252" s="23">
        <f t="shared" si="15"/>
        <v>-1</v>
      </c>
      <c r="P252" s="23">
        <f t="shared" si="16"/>
        <v>-1</v>
      </c>
      <c r="Q252" s="24">
        <f t="shared" si="17"/>
        <v>-1</v>
      </c>
      <c r="R252" s="3"/>
      <c r="S252" s="1" t="str">
        <v>British Airways Restructure nacelle factor calculations to simplify covered services rate calculations and resulting recons</v>
      </c>
      <c r="T252" s="24">
        <v>-1</v>
      </c>
      <c r="U252"/>
      <c r="V252" s="1" t="str">
        <v>British Airways Restructure nacelle factor calculations to simplify covered services rate calculations and resulting recons</v>
      </c>
      <c r="W252" s="24">
        <v>-1</v>
      </c>
      <c r="X252"/>
      <c r="Y252" s="1" t="str">
        <v>British Airways Restructure nacelle factor calculations to simplify covered services rate calculations and resulting recons</v>
      </c>
      <c r="Z252" s="24">
        <v>-1</v>
      </c>
      <c r="AA252"/>
      <c r="AB252" s="1" t="str">
        <v>British Airways Restructure nacelle factor calculations to simplify covered services rate calculations and resulting recons</v>
      </c>
      <c r="AC252" s="24">
        <v>-1</v>
      </c>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row>
    <row r="253" spans="2:97">
      <c r="B253"/>
      <c r="C253" s="15" t="str">
        <v>Virgin Atlantic Airways Sell of an incremental used Spare engine to mitigate Contractual risk associated with Additional Dedicated Lease Engine clause</v>
      </c>
      <c r="D253" s="23"/>
      <c r="E253" s="23">
        <v>0</v>
      </c>
      <c r="F253" s="23">
        <v>0</v>
      </c>
      <c r="G253" s="23">
        <f t="shared" si="13"/>
        <v>0</v>
      </c>
      <c r="H253" s="23" t="e" cm="1">
        <f t="array" ref="H253">INDEX('GLOBAL LOG'!#REF!,ROW()-169+15)</f>
        <v>#REF!</v>
      </c>
      <c r="I253" s="23" t="e">
        <f>_xlfn.XLOOKUP(H253,#REF!,#REF!,"",0,1)</f>
        <v>#REF!</v>
      </c>
      <c r="J253" s="23" t="str">
        <f>IFERROR(I253*#REF!,"")</f>
        <v/>
      </c>
      <c r="K253" s="23" t="e" cm="1">
        <f t="array" ref="K253">INDEX('GLOBAL LOG'!#REF!,ROW()-169+15)</f>
        <v>#REF!</v>
      </c>
      <c r="L253" s="23" t="e">
        <f>_xlfn.XLOOKUP(K253,#REF!,#REF!,"",0,1)</f>
        <v>#REF!</v>
      </c>
      <c r="M253" s="23" t="str">
        <f>IFERROR(L253*#REF!,"")</f>
        <v/>
      </c>
      <c r="N253" s="23">
        <f t="shared" si="14"/>
        <v>-1</v>
      </c>
      <c r="O253" s="23">
        <f t="shared" si="15"/>
        <v>-1</v>
      </c>
      <c r="P253" s="23">
        <f t="shared" si="16"/>
        <v>-1</v>
      </c>
      <c r="Q253" s="24">
        <f t="shared" si="17"/>
        <v>-1</v>
      </c>
      <c r="R253" s="3"/>
      <c r="S253" s="1" t="str">
        <v>Virgin Atlantic Airways Sell of an incremental used Spare engine to mitigate Contractual risk associated with Additional Dedicated Lease Engine clause</v>
      </c>
      <c r="T253" s="24">
        <v>-1</v>
      </c>
      <c r="U253"/>
      <c r="V253" s="1" t="str">
        <v>Virgin Atlantic Airways Sell of an incremental used Spare engine to mitigate Contractual risk associated with Additional Dedicated Lease Engine clause</v>
      </c>
      <c r="W253" s="24">
        <v>-1</v>
      </c>
      <c r="X253"/>
      <c r="Y253" s="1" t="str">
        <v>Virgin Atlantic Airways Sell of an incremental used Spare engine to mitigate Contractual risk associated with Additional Dedicated Lease Engine clause</v>
      </c>
      <c r="Z253" s="24">
        <v>-1</v>
      </c>
      <c r="AA253"/>
      <c r="AB253" s="1" t="str">
        <v>Virgin Atlantic Airways Sell of an incremental used Spare engine to mitigate Contractual risk associated with Additional Dedicated Lease Engine clause</v>
      </c>
      <c r="AC253" s="24">
        <v>-1</v>
      </c>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row>
    <row r="254" spans="2:97">
      <c r="B254"/>
      <c r="C254" s="15" t="str">
        <v>Delta Air Lines additional SPE sales to increase SPE holding</v>
      </c>
      <c r="D254" s="23"/>
      <c r="E254" s="23">
        <v>0</v>
      </c>
      <c r="F254" s="23">
        <v>0</v>
      </c>
      <c r="G254" s="23">
        <f t="shared" si="13"/>
        <v>0</v>
      </c>
      <c r="H254" s="23" t="e" cm="1">
        <f t="array" ref="H254">INDEX('GLOBAL LOG'!#REF!,ROW()-169+15)</f>
        <v>#REF!</v>
      </c>
      <c r="I254" s="23" t="e">
        <f>_xlfn.XLOOKUP(H254,#REF!,#REF!,"",0,1)</f>
        <v>#REF!</v>
      </c>
      <c r="J254" s="23" t="str">
        <f>IFERROR(I254*#REF!,"")</f>
        <v/>
      </c>
      <c r="K254" s="23" t="e" cm="1">
        <f t="array" ref="K254">INDEX('GLOBAL LOG'!#REF!,ROW()-169+15)</f>
        <v>#REF!</v>
      </c>
      <c r="L254" s="23" t="e">
        <f>_xlfn.XLOOKUP(K254,#REF!,#REF!,"",0,1)</f>
        <v>#REF!</v>
      </c>
      <c r="M254" s="23" t="str">
        <f>IFERROR(L254*#REF!,"")</f>
        <v/>
      </c>
      <c r="N254" s="23">
        <f t="shared" si="14"/>
        <v>-1</v>
      </c>
      <c r="O254" s="23">
        <f t="shared" si="15"/>
        <v>-1</v>
      </c>
      <c r="P254" s="23">
        <f t="shared" si="16"/>
        <v>-1</v>
      </c>
      <c r="Q254" s="24">
        <f t="shared" si="17"/>
        <v>-1</v>
      </c>
      <c r="R254" s="3"/>
      <c r="S254" s="1" t="str">
        <v>Delta Air Lines additional SPE sales to increase SPE holding</v>
      </c>
      <c r="T254" s="24">
        <v>-1</v>
      </c>
      <c r="U254"/>
      <c r="V254" s="1" t="str">
        <v>Delta Air Lines additional SPE sales to increase SPE holding</v>
      </c>
      <c r="W254" s="24">
        <v>-1</v>
      </c>
      <c r="X254"/>
      <c r="Y254" s="1" t="str">
        <v>Delta Air Lines additional SPE sales to increase SPE holding</v>
      </c>
      <c r="Z254" s="24">
        <v>-1</v>
      </c>
      <c r="AA254"/>
      <c r="AB254" s="1" t="str">
        <v>Delta Air Lines additional SPE sales to increase SPE holding</v>
      </c>
      <c r="AC254" s="24">
        <v>-1</v>
      </c>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row>
    <row r="255" spans="2:97">
      <c r="B255"/>
      <c r="C255" s="15" t="str">
        <v>Delta Air Lines extending to next SV after 20 years, rather then 15 years (in aligment with other engine types)</v>
      </c>
      <c r="D255" s="23"/>
      <c r="E255" s="23">
        <v>0</v>
      </c>
      <c r="F255" s="23">
        <v>0</v>
      </c>
      <c r="G255" s="23">
        <f t="shared" si="13"/>
        <v>0</v>
      </c>
      <c r="H255" s="23" t="e" cm="1">
        <f t="array" ref="H255">INDEX('GLOBAL LOG'!#REF!,ROW()-169+15)</f>
        <v>#REF!</v>
      </c>
      <c r="I255" s="23" t="e">
        <f>_xlfn.XLOOKUP(H255,#REF!,#REF!,"",0,1)</f>
        <v>#REF!</v>
      </c>
      <c r="J255" s="23" t="str">
        <f>IFERROR(I255*#REF!,"")</f>
        <v/>
      </c>
      <c r="K255" s="23" t="e" cm="1">
        <f t="array" ref="K255">INDEX('GLOBAL LOG'!#REF!,ROW()-169+15)</f>
        <v>#REF!</v>
      </c>
      <c r="L255" s="23" t="e">
        <f>_xlfn.XLOOKUP(K255,#REF!,#REF!,"",0,1)</f>
        <v>#REF!</v>
      </c>
      <c r="M255" s="23" t="str">
        <f>IFERROR(L255*#REF!,"")</f>
        <v/>
      </c>
      <c r="N255" s="23">
        <f t="shared" si="14"/>
        <v>-1</v>
      </c>
      <c r="O255" s="23">
        <f t="shared" si="15"/>
        <v>-1</v>
      </c>
      <c r="P255" s="23">
        <f t="shared" si="16"/>
        <v>-1</v>
      </c>
      <c r="Q255" s="24">
        <f t="shared" si="17"/>
        <v>-1</v>
      </c>
      <c r="R255" s="3"/>
      <c r="S255" s="1" t="str">
        <v>Delta Air Lines extending to next SV after 20 years, rather then 15 years (in aligment with other engine types)</v>
      </c>
      <c r="T255" s="24">
        <v>-1</v>
      </c>
      <c r="U255"/>
      <c r="V255" s="1" t="str">
        <v>Delta Air Lines extending to next SV after 20 years, rather then 15 years (in aligment with other engine types)</v>
      </c>
      <c r="W255" s="24">
        <v>-1</v>
      </c>
      <c r="X255"/>
      <c r="Y255" s="1" t="str">
        <v>Delta Air Lines extending to next SV after 20 years, rather then 15 years (in aligment with other engine types)</v>
      </c>
      <c r="Z255" s="24">
        <v>-1</v>
      </c>
      <c r="AA255"/>
      <c r="AB255" s="1" t="str">
        <v>Delta Air Lines extending to next SV after 20 years, rather then 15 years (in aligment with other engine types)</v>
      </c>
      <c r="AC255" s="24">
        <v>-1</v>
      </c>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row>
    <row r="256" spans="2:97">
      <c r="B256"/>
      <c r="C256" s="15" t="str">
        <v>Philippine Airlines Contract amendment if new AC campaign</v>
      </c>
      <c r="D256" s="23"/>
      <c r="E256" s="23">
        <v>0</v>
      </c>
      <c r="F256" s="23">
        <v>0</v>
      </c>
      <c r="G256" s="23">
        <f t="shared" si="13"/>
        <v>0</v>
      </c>
      <c r="H256" s="23" t="e" cm="1">
        <f t="array" ref="H256">INDEX('GLOBAL LOG'!#REF!,ROW()-169+15)</f>
        <v>#REF!</v>
      </c>
      <c r="I256" s="23" t="e">
        <f>_xlfn.XLOOKUP(H256,#REF!,#REF!,"",0,1)</f>
        <v>#REF!</v>
      </c>
      <c r="J256" s="23" t="str">
        <f>IFERROR(I256*#REF!,"")</f>
        <v/>
      </c>
      <c r="K256" s="23" t="e" cm="1">
        <f t="array" ref="K256">INDEX('GLOBAL LOG'!#REF!,ROW()-169+15)</f>
        <v>#REF!</v>
      </c>
      <c r="L256" s="23" t="e">
        <f>_xlfn.XLOOKUP(K256,#REF!,#REF!,"",0,1)</f>
        <v>#REF!</v>
      </c>
      <c r="M256" s="23" t="str">
        <f>IFERROR(L256*#REF!,"")</f>
        <v/>
      </c>
      <c r="N256" s="23">
        <f t="shared" si="14"/>
        <v>-1</v>
      </c>
      <c r="O256" s="23">
        <f t="shared" si="15"/>
        <v>-1</v>
      </c>
      <c r="P256" s="23">
        <f t="shared" si="16"/>
        <v>-1</v>
      </c>
      <c r="Q256" s="24">
        <f t="shared" si="17"/>
        <v>-1</v>
      </c>
      <c r="R256" s="3"/>
      <c r="S256" s="1" t="str">
        <v>Philippine Airlines Contract amendment if new AC campaign</v>
      </c>
      <c r="T256" s="24">
        <v>-1</v>
      </c>
      <c r="U256"/>
      <c r="V256" s="1" t="str">
        <v>Philippine Airlines Contract amendment if new AC campaign</v>
      </c>
      <c r="W256" s="24">
        <v>-1</v>
      </c>
      <c r="X256"/>
      <c r="Y256" s="1" t="str">
        <v>Philippine Airlines Contract amendment if new AC campaign</v>
      </c>
      <c r="Z256" s="24">
        <v>-1</v>
      </c>
      <c r="AA256"/>
      <c r="AB256" s="1" t="str">
        <v>Philippine Airlines Contract amendment if new AC campaign</v>
      </c>
      <c r="AC256" s="24">
        <v>-1</v>
      </c>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row>
    <row r="257" spans="2:97">
      <c r="B257"/>
      <c r="C257" s="15" t="str">
        <v xml:space="preserve">Philippine Airlines Contract amendment if new AC campaign </v>
      </c>
      <c r="D257" s="23"/>
      <c r="E257" s="23">
        <v>0</v>
      </c>
      <c r="F257" s="23">
        <v>0</v>
      </c>
      <c r="G257" s="23">
        <f t="shared" si="13"/>
        <v>0</v>
      </c>
      <c r="H257" s="23" t="e" cm="1">
        <f t="array" ref="H257">INDEX('GLOBAL LOG'!#REF!,ROW()-169+15)</f>
        <v>#REF!</v>
      </c>
      <c r="I257" s="23" t="e">
        <f>_xlfn.XLOOKUP(H257,#REF!,#REF!,"",0,1)</f>
        <v>#REF!</v>
      </c>
      <c r="J257" s="23" t="str">
        <f>IFERROR(I257*#REF!,"")</f>
        <v/>
      </c>
      <c r="K257" s="23" t="e" cm="1">
        <f t="array" ref="K257">INDEX('GLOBAL LOG'!#REF!,ROW()-169+15)</f>
        <v>#REF!</v>
      </c>
      <c r="L257" s="23" t="e">
        <f>_xlfn.XLOOKUP(K257,#REF!,#REF!,"",0,1)</f>
        <v>#REF!</v>
      </c>
      <c r="M257" s="23" t="str">
        <f>IFERROR(L257*#REF!,"")</f>
        <v/>
      </c>
      <c r="N257" s="23">
        <f t="shared" si="14"/>
        <v>-1</v>
      </c>
      <c r="O257" s="23">
        <f t="shared" si="15"/>
        <v>-1</v>
      </c>
      <c r="P257" s="23">
        <f t="shared" si="16"/>
        <v>-1</v>
      </c>
      <c r="Q257" s="24">
        <f t="shared" si="17"/>
        <v>-1</v>
      </c>
      <c r="R257" s="3"/>
      <c r="S257" s="1" t="str">
        <v xml:space="preserve">Philippine Airlines Contract amendment if new AC campaign </v>
      </c>
      <c r="T257" s="24">
        <v>-1</v>
      </c>
      <c r="U257"/>
      <c r="V257" s="1" t="str">
        <v xml:space="preserve">Philippine Airlines Contract amendment if new AC campaign </v>
      </c>
      <c r="W257" s="24">
        <v>-1</v>
      </c>
      <c r="X257"/>
      <c r="Y257" s="1" t="str">
        <v xml:space="preserve">Philippine Airlines Contract amendment if new AC campaign </v>
      </c>
      <c r="Z257" s="24">
        <v>-1</v>
      </c>
      <c r="AA257"/>
      <c r="AB257" s="1" t="str">
        <v xml:space="preserve">Philippine Airlines Contract amendment if new AC campaign </v>
      </c>
      <c r="AC257" s="24">
        <v>-1</v>
      </c>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row>
    <row r="258" spans="2:97">
      <c r="B258"/>
      <c r="C258" s="15" t="str">
        <v>Singapore Airlines Batch 2 restrucuture could be in scope - after T1000 onerous negotiaion</v>
      </c>
      <c r="D258" s="23"/>
      <c r="E258" s="23">
        <v>0</v>
      </c>
      <c r="F258" s="23">
        <v>0</v>
      </c>
      <c r="G258" s="23">
        <f t="shared" si="13"/>
        <v>0</v>
      </c>
      <c r="H258" s="23" t="e" cm="1">
        <f t="array" ref="H258">INDEX('GLOBAL LOG'!#REF!,ROW()-169+15)</f>
        <v>#REF!</v>
      </c>
      <c r="I258" s="23" t="e">
        <f>_xlfn.XLOOKUP(H258,#REF!,#REF!,"",0,1)</f>
        <v>#REF!</v>
      </c>
      <c r="J258" s="23" t="str">
        <f>IFERROR(I258*#REF!,"")</f>
        <v/>
      </c>
      <c r="K258" s="23" t="e" cm="1">
        <f t="array" ref="K258">INDEX('GLOBAL LOG'!#REF!,ROW()-169+15)</f>
        <v>#REF!</v>
      </c>
      <c r="L258" s="23" t="e">
        <f>_xlfn.XLOOKUP(K258,#REF!,#REF!,"",0,1)</f>
        <v>#REF!</v>
      </c>
      <c r="M258" s="23" t="str">
        <f>IFERROR(L258*#REF!,"")</f>
        <v/>
      </c>
      <c r="N258" s="23">
        <f t="shared" si="14"/>
        <v>-1</v>
      </c>
      <c r="O258" s="23">
        <f t="shared" si="15"/>
        <v>-1</v>
      </c>
      <c r="P258" s="23">
        <f t="shared" si="16"/>
        <v>-1</v>
      </c>
      <c r="Q258" s="24">
        <f t="shared" si="17"/>
        <v>-1</v>
      </c>
      <c r="R258" s="3"/>
      <c r="S258" s="1" t="str">
        <v>Singapore Airlines Batch 2 restrucuture could be in scope - after T1000 onerous negotiaion</v>
      </c>
      <c r="T258" s="24">
        <v>-1</v>
      </c>
      <c r="U258"/>
      <c r="V258" s="1" t="str">
        <v>Singapore Airlines Batch 2 restrucuture could be in scope - after T1000 onerous negotiaion</v>
      </c>
      <c r="W258" s="24">
        <v>-1</v>
      </c>
      <c r="X258"/>
      <c r="Y258" s="1" t="str">
        <v>Singapore Airlines Batch 2 restrucuture could be in scope - after T1000 onerous negotiaion</v>
      </c>
      <c r="Z258" s="24">
        <v>-1</v>
      </c>
      <c r="AA258"/>
      <c r="AB258" s="1" t="str">
        <v>Singapore Airlines Batch 2 restrucuture could be in scope - after T1000 onerous negotiaion</v>
      </c>
      <c r="AC258" s="24">
        <v>-1</v>
      </c>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row>
    <row r="259" spans="2:97">
      <c r="B259"/>
      <c r="C259" s="15" t="str">
        <v>Vietnam Airlines Part 2: Min Term Extension</v>
      </c>
      <c r="D259" s="23"/>
      <c r="E259" s="23">
        <v>0</v>
      </c>
      <c r="F259" s="23">
        <v>0</v>
      </c>
      <c r="G259" s="23">
        <f t="shared" si="13"/>
        <v>0</v>
      </c>
      <c r="H259" s="23" t="e" cm="1">
        <f t="array" ref="H259">INDEX('GLOBAL LOG'!#REF!,ROW()-169+15)</f>
        <v>#REF!</v>
      </c>
      <c r="I259" s="23" t="e">
        <f>_xlfn.XLOOKUP(H259,#REF!,#REF!,"",0,1)</f>
        <v>#REF!</v>
      </c>
      <c r="J259" s="23" t="str">
        <f>IFERROR(I259*#REF!,"")</f>
        <v/>
      </c>
      <c r="K259" s="23" t="e" cm="1">
        <f t="array" ref="K259">INDEX('GLOBAL LOG'!#REF!,ROW()-169+15)</f>
        <v>#REF!</v>
      </c>
      <c r="L259" s="23" t="e">
        <f>_xlfn.XLOOKUP(K259,#REF!,#REF!,"",0,1)</f>
        <v>#REF!</v>
      </c>
      <c r="M259" s="23" t="str">
        <f>IFERROR(L259*#REF!,"")</f>
        <v/>
      </c>
      <c r="N259" s="23">
        <f t="shared" si="14"/>
        <v>-1</v>
      </c>
      <c r="O259" s="23">
        <f t="shared" si="15"/>
        <v>-1</v>
      </c>
      <c r="P259" s="23">
        <f t="shared" si="16"/>
        <v>-1</v>
      </c>
      <c r="Q259" s="24">
        <f t="shared" si="17"/>
        <v>-1</v>
      </c>
      <c r="R259" s="3"/>
      <c r="S259" s="1" t="str">
        <v>Vietnam Airlines Part 2: Min Term Extension</v>
      </c>
      <c r="T259" s="24">
        <v>-1</v>
      </c>
      <c r="U259"/>
      <c r="V259" s="1" t="str">
        <v>Vietnam Airlines Part 2: Min Term Extension</v>
      </c>
      <c r="W259" s="24">
        <v>-1</v>
      </c>
      <c r="X259"/>
      <c r="Y259" s="1" t="str">
        <v>Vietnam Airlines Part 2: Min Term Extension</v>
      </c>
      <c r="Z259" s="24">
        <v>-1</v>
      </c>
      <c r="AA259"/>
      <c r="AB259" s="1" t="str">
        <v>Vietnam Airlines Part 2: Min Term Extension</v>
      </c>
      <c r="AC259" s="24">
        <v>-1</v>
      </c>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row>
    <row r="260" spans="2:97">
      <c r="B260"/>
      <c r="C260" s="15" t="str">
        <v xml:space="preserve">Japan Airlines SPE #1 - benefit to CRP </v>
      </c>
      <c r="D260" s="23"/>
      <c r="E260" s="23">
        <v>0</v>
      </c>
      <c r="F260" s="23">
        <v>0</v>
      </c>
      <c r="G260" s="23">
        <f t="shared" si="13"/>
        <v>0</v>
      </c>
      <c r="H260" s="23" t="e" cm="1">
        <f t="array" ref="H260">INDEX('GLOBAL LOG'!#REF!,ROW()-169+15)</f>
        <v>#REF!</v>
      </c>
      <c r="I260" s="23" t="e">
        <f>_xlfn.XLOOKUP(H260,#REF!,#REF!,"",0,1)</f>
        <v>#REF!</v>
      </c>
      <c r="J260" s="23" t="str">
        <f>IFERROR(I260*#REF!,"")</f>
        <v/>
      </c>
      <c r="K260" s="23" t="e" cm="1">
        <f t="array" ref="K260">INDEX('GLOBAL LOG'!#REF!,ROW()-169+15)</f>
        <v>#REF!</v>
      </c>
      <c r="L260" s="23" t="e">
        <f>_xlfn.XLOOKUP(K260,#REF!,#REF!,"",0,1)</f>
        <v>#REF!</v>
      </c>
      <c r="M260" s="23" t="str">
        <f>IFERROR(L260*#REF!,"")</f>
        <v/>
      </c>
      <c r="N260" s="23">
        <f t="shared" si="14"/>
        <v>-1</v>
      </c>
      <c r="O260" s="23">
        <f t="shared" si="15"/>
        <v>-1</v>
      </c>
      <c r="P260" s="23">
        <f t="shared" si="16"/>
        <v>-1</v>
      </c>
      <c r="Q260" s="24">
        <f t="shared" si="17"/>
        <v>-1</v>
      </c>
      <c r="R260" s="3"/>
      <c r="S260" s="1" t="str">
        <v xml:space="preserve">Japan Airlines SPE #1 - benefit to CRP </v>
      </c>
      <c r="T260" s="24">
        <v>-1</v>
      </c>
      <c r="U260"/>
      <c r="V260" s="1" t="str">
        <v xml:space="preserve">Japan Airlines SPE #1 - benefit to CRP </v>
      </c>
      <c r="W260" s="24">
        <v>-1</v>
      </c>
      <c r="X260"/>
      <c r="Y260" s="1" t="str">
        <v xml:space="preserve">Japan Airlines SPE #1 - benefit to CRP </v>
      </c>
      <c r="Z260" s="24">
        <v>-1</v>
      </c>
      <c r="AA260"/>
      <c r="AB260" s="1" t="str">
        <v xml:space="preserve">Japan Airlines SPE #1 - benefit to CRP </v>
      </c>
      <c r="AC260" s="24">
        <v>-1</v>
      </c>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row>
    <row r="261" spans="2:97">
      <c r="B261"/>
      <c r="C261" s="15" t="str">
        <v>Japan Airlines SPE #2 - would be in trade for SL2 and net neutral benefit</v>
      </c>
      <c r="D261" s="23"/>
      <c r="E261" s="23">
        <v>0</v>
      </c>
      <c r="F261" s="23">
        <v>0</v>
      </c>
      <c r="G261" s="23">
        <f t="shared" si="13"/>
        <v>0</v>
      </c>
      <c r="H261" s="23" t="e" cm="1">
        <f t="array" ref="H261">INDEX('GLOBAL LOG'!#REF!,ROW()-169+15)</f>
        <v>#REF!</v>
      </c>
      <c r="I261" s="23" t="e">
        <f>_xlfn.XLOOKUP(H261,#REF!,#REF!,"",0,1)</f>
        <v>#REF!</v>
      </c>
      <c r="J261" s="23" t="str">
        <f>IFERROR(I261*#REF!,"")</f>
        <v/>
      </c>
      <c r="K261" s="23" t="e" cm="1">
        <f t="array" ref="K261">INDEX('GLOBAL LOG'!#REF!,ROW()-169+15)</f>
        <v>#REF!</v>
      </c>
      <c r="L261" s="23" t="e">
        <f>_xlfn.XLOOKUP(K261,#REF!,#REF!,"",0,1)</f>
        <v>#REF!</v>
      </c>
      <c r="M261" s="23" t="str">
        <f>IFERROR(L261*#REF!,"")</f>
        <v/>
      </c>
      <c r="N261" s="23">
        <f t="shared" si="14"/>
        <v>-1</v>
      </c>
      <c r="O261" s="23">
        <f t="shared" si="15"/>
        <v>-1</v>
      </c>
      <c r="P261" s="23">
        <f t="shared" si="16"/>
        <v>-1</v>
      </c>
      <c r="Q261" s="24">
        <f t="shared" si="17"/>
        <v>-1</v>
      </c>
      <c r="R261" s="3"/>
      <c r="S261" s="1" t="str">
        <v>Japan Airlines SPE #2 - would be in trade for SL2 and net neutral benefit</v>
      </c>
      <c r="T261" s="24">
        <v>-1</v>
      </c>
      <c r="U261"/>
      <c r="V261" s="1" t="str">
        <v>Japan Airlines SPE #2 - would be in trade for SL2 and net neutral benefit</v>
      </c>
      <c r="W261" s="24">
        <v>-1</v>
      </c>
      <c r="X261"/>
      <c r="Y261" s="1" t="str">
        <v>Japan Airlines SPE #2 - would be in trade for SL2 and net neutral benefit</v>
      </c>
      <c r="Z261" s="24">
        <v>-1</v>
      </c>
      <c r="AA261"/>
      <c r="AB261" s="1" t="str">
        <v>Japan Airlines SPE #2 - would be in trade for SL2 and net neutral benefit</v>
      </c>
      <c r="AC261" s="24">
        <v>-1</v>
      </c>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row>
    <row r="262" spans="2:97">
      <c r="B262"/>
      <c r="C262" s="15" t="str">
        <v>Japan Airlines 7 yr extension of existing contract  (included as option in contract) - Looks like double count vs above row 59</v>
      </c>
      <c r="D262" s="23"/>
      <c r="E262" s="23">
        <v>3.2</v>
      </c>
      <c r="F262" s="23" t="str">
        <v>Harry to confirm</v>
      </c>
      <c r="G262" s="23" t="e">
        <f t="shared" si="13"/>
        <v>#VALUE!</v>
      </c>
      <c r="H262" s="23" t="e" cm="1">
        <f t="array" ref="H262">INDEX('GLOBAL LOG'!#REF!,ROW()-169+15)</f>
        <v>#REF!</v>
      </c>
      <c r="I262" s="23" t="e">
        <f>_xlfn.XLOOKUP(H262,#REF!,#REF!,"",0,1)</f>
        <v>#REF!</v>
      </c>
      <c r="J262" s="23" t="str">
        <f>IFERROR(I262*#REF!,"")</f>
        <v/>
      </c>
      <c r="K262" s="23" t="e" cm="1">
        <f t="array" ref="K262">INDEX('GLOBAL LOG'!#REF!,ROW()-169+15)</f>
        <v>#REF!</v>
      </c>
      <c r="L262" s="23" t="e">
        <f>_xlfn.XLOOKUP(K262,#REF!,#REF!,"",0,1)</f>
        <v>#REF!</v>
      </c>
      <c r="M262" s="23" t="str">
        <f>IFERROR(L262*#REF!,"")</f>
        <v/>
      </c>
      <c r="N262" s="23">
        <f t="shared" si="14"/>
        <v>-1</v>
      </c>
      <c r="O262" s="23">
        <f t="shared" si="15"/>
        <v>-1</v>
      </c>
      <c r="P262" s="23">
        <f t="shared" si="16"/>
        <v>-1</v>
      </c>
      <c r="Q262" s="24">
        <f t="shared" si="17"/>
        <v>-1</v>
      </c>
      <c r="R262" s="3"/>
      <c r="S262" s="1" t="str">
        <v>Japan Airlines 7 yr extension of existing contract  (included as option in contract) - Looks like double count vs above row 59</v>
      </c>
      <c r="T262" s="24">
        <v>-1</v>
      </c>
      <c r="U262"/>
      <c r="V262" s="1" t="str">
        <v>Japan Airlines 7 yr extension of existing contract  (included as option in contract) - Looks like double count vs above row 59</v>
      </c>
      <c r="W262" s="24">
        <v>-1</v>
      </c>
      <c r="X262"/>
      <c r="Y262" s="1" t="str">
        <v>Japan Airlines 7 yr extension of existing contract  (included as option in contract) - Looks like double count vs above row 59</v>
      </c>
      <c r="Z262" s="24">
        <v>-1</v>
      </c>
      <c r="AA262"/>
      <c r="AB262" s="1" t="str">
        <v>Japan Airlines 7 yr extension of existing contract  (included as option in contract) - Looks like double count vs above row 59</v>
      </c>
      <c r="AC262" s="24">
        <v>-1</v>
      </c>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row>
    <row r="263" spans="2:97">
      <c r="B263"/>
      <c r="C263" s="15" t="str">
        <v>Air India Flexibility rights - value trade being considered as part of 2025 Campaign for 30+70</v>
      </c>
      <c r="D263" s="23"/>
      <c r="E263" s="23">
        <v>0</v>
      </c>
      <c r="F263" s="23">
        <v>0</v>
      </c>
      <c r="G263" s="23">
        <f t="shared" si="13"/>
        <v>0</v>
      </c>
      <c r="H263" s="23" t="e" cm="1">
        <f t="array" ref="H263">INDEX('GLOBAL LOG'!#REF!,ROW()-169+15)</f>
        <v>#REF!</v>
      </c>
      <c r="I263" s="23" t="e">
        <f>_xlfn.XLOOKUP(H263,#REF!,#REF!,"",0,1)</f>
        <v>#REF!</v>
      </c>
      <c r="J263" s="23" t="str">
        <f>IFERROR(I263*#REF!,"")</f>
        <v/>
      </c>
      <c r="K263" s="23" t="e" cm="1">
        <f t="array" ref="K263">INDEX('GLOBAL LOG'!#REF!,ROW()-169+15)</f>
        <v>#REF!</v>
      </c>
      <c r="L263" s="23" t="e">
        <f>_xlfn.XLOOKUP(K263,#REF!,#REF!,"",0,1)</f>
        <v>#REF!</v>
      </c>
      <c r="M263" s="23" t="str">
        <f>IFERROR(L263*#REF!,"")</f>
        <v/>
      </c>
      <c r="N263" s="23">
        <f t="shared" si="14"/>
        <v>-1</v>
      </c>
      <c r="O263" s="23">
        <f t="shared" si="15"/>
        <v>-1</v>
      </c>
      <c r="P263" s="23">
        <f t="shared" si="16"/>
        <v>-1</v>
      </c>
      <c r="Q263" s="24">
        <f t="shared" si="17"/>
        <v>-1</v>
      </c>
      <c r="R263" s="3"/>
      <c r="S263" s="1" t="str">
        <v>Air India Flexibility rights - value trade being considered as part of 2025 Campaign for 30+70</v>
      </c>
      <c r="T263" s="24">
        <v>-1</v>
      </c>
      <c r="U263"/>
      <c r="V263" s="1" t="str">
        <v>Air India Flexibility rights - value trade being considered as part of 2025 Campaign for 30+70</v>
      </c>
      <c r="W263" s="24">
        <v>-1</v>
      </c>
      <c r="X263"/>
      <c r="Y263" s="1" t="str">
        <v>Air India Flexibility rights - value trade being considered as part of 2025 Campaign for 30+70</v>
      </c>
      <c r="Z263" s="24">
        <v>-1</v>
      </c>
      <c r="AA263"/>
      <c r="AB263" s="1" t="str">
        <v>Air India Flexibility rights - value trade being considered as part of 2025 Campaign for 30+70</v>
      </c>
      <c r="AC263" s="24">
        <v>-1</v>
      </c>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row>
    <row r="264" spans="2:97">
      <c r="B264"/>
      <c r="C264" s="15" t="str">
        <v>Air India £500m credit back held on CRP and is not "real" due to credit back clause. a min term extension or end at next SV would resolve this.</v>
      </c>
      <c r="D264" s="23"/>
      <c r="E264" s="23">
        <v>0</v>
      </c>
      <c r="F264" s="23">
        <v>0</v>
      </c>
      <c r="G264" s="23">
        <f t="shared" si="13"/>
        <v>0</v>
      </c>
      <c r="H264" s="23" t="e" cm="1">
        <f t="array" ref="H264">INDEX('GLOBAL LOG'!#REF!,ROW()-169+15)</f>
        <v>#REF!</v>
      </c>
      <c r="I264" s="23" t="e">
        <f>_xlfn.XLOOKUP(H264,#REF!,#REF!,"",0,1)</f>
        <v>#REF!</v>
      </c>
      <c r="J264" s="23" t="str">
        <f>IFERROR(I264*#REF!,"")</f>
        <v/>
      </c>
      <c r="K264" s="23" t="e" cm="1">
        <f t="array" ref="K264">INDEX('GLOBAL LOG'!#REF!,ROW()-169+15)</f>
        <v>#REF!</v>
      </c>
      <c r="L264" s="23" t="e">
        <f>_xlfn.XLOOKUP(K264,#REF!,#REF!,"",0,1)</f>
        <v>#REF!</v>
      </c>
      <c r="M264" s="23" t="str">
        <f>IFERROR(L264*#REF!,"")</f>
        <v/>
      </c>
      <c r="N264" s="23">
        <f t="shared" si="14"/>
        <v>-1</v>
      </c>
      <c r="O264" s="23">
        <f t="shared" si="15"/>
        <v>-1</v>
      </c>
      <c r="P264" s="23">
        <f t="shared" si="16"/>
        <v>-1</v>
      </c>
      <c r="Q264" s="24">
        <f t="shared" si="17"/>
        <v>-1</v>
      </c>
      <c r="R264" s="3"/>
      <c r="S264" s="1" t="str">
        <v>Air India £500m credit back held on CRP and is not "real" due to credit back clause. a min term extension or end at next SV would resolve this.</v>
      </c>
      <c r="T264" s="24">
        <v>-1</v>
      </c>
      <c r="U264"/>
      <c r="V264" s="1" t="str">
        <v>Air India £500m credit back held on CRP and is not "real" due to credit back clause. a min term extension or end at next SV would resolve this.</v>
      </c>
      <c r="W264" s="24">
        <v>-1</v>
      </c>
      <c r="X264"/>
      <c r="Y264" s="1" t="str">
        <v>Air India £500m credit back held on CRP and is not "real" due to credit back clause. a min term extension or end at next SV would resolve this.</v>
      </c>
      <c r="Z264" s="24">
        <v>-1</v>
      </c>
      <c r="AA264"/>
      <c r="AB264" s="1" t="str">
        <v>Air India £500m credit back held on CRP and is not "real" due to credit back clause. a min term extension or end at next SV would resolve this.</v>
      </c>
      <c r="AC264" s="24">
        <v>-1</v>
      </c>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row>
    <row r="265" spans="2:97">
      <c r="B265"/>
      <c r="C265" s="15" t="str">
        <v xml:space="preserve">SAS Group Potential Low probability opportunity to upsell LRU service as there has been some discussion with SAS on this. Lufthansa Technic incumbent LRU service supplier </v>
      </c>
      <c r="D265" s="23"/>
      <c r="E265" s="23">
        <v>0</v>
      </c>
      <c r="F265" s="23">
        <v>0</v>
      </c>
      <c r="G265" s="23">
        <f t="shared" si="13"/>
        <v>0</v>
      </c>
      <c r="H265" s="23" t="e" cm="1">
        <f t="array" ref="H265">INDEX('GLOBAL LOG'!#REF!,ROW()-169+15)</f>
        <v>#REF!</v>
      </c>
      <c r="I265" s="23" t="e">
        <f>_xlfn.XLOOKUP(H265,#REF!,#REF!,"",0,1)</f>
        <v>#REF!</v>
      </c>
      <c r="J265" s="23" t="str">
        <f>IFERROR(I265*#REF!,"")</f>
        <v/>
      </c>
      <c r="K265" s="23" t="e" cm="1">
        <f t="array" ref="K265">INDEX('GLOBAL LOG'!#REF!,ROW()-169+15)</f>
        <v>#REF!</v>
      </c>
      <c r="L265" s="23" t="e">
        <f>_xlfn.XLOOKUP(K265,#REF!,#REF!,"",0,1)</f>
        <v>#REF!</v>
      </c>
      <c r="M265" s="23" t="str">
        <f>IFERROR(L265*#REF!,"")</f>
        <v/>
      </c>
      <c r="N265" s="23">
        <f t="shared" si="14"/>
        <v>-1</v>
      </c>
      <c r="O265" s="23">
        <f t="shared" si="15"/>
        <v>-1</v>
      </c>
      <c r="P265" s="23">
        <f t="shared" si="16"/>
        <v>-1</v>
      </c>
      <c r="Q265" s="24">
        <f t="shared" si="17"/>
        <v>-1</v>
      </c>
      <c r="R265" s="3"/>
      <c r="S265" s="1" t="str">
        <v xml:space="preserve">SAS Group Potential Low probability opportunity to upsell LRU service as there has been some discussion with SAS on this. Lufthansa Technic incumbent LRU service supplier </v>
      </c>
      <c r="T265" s="24">
        <v>-1</v>
      </c>
      <c r="U265"/>
      <c r="V265" s="1" t="str">
        <v xml:space="preserve">SAS Group Potential Low probability opportunity to upsell LRU service as there has been some discussion with SAS on this. Lufthansa Technic incumbent LRU service supplier </v>
      </c>
      <c r="W265" s="24">
        <v>-1</v>
      </c>
      <c r="X265"/>
      <c r="Y265" s="1" t="str">
        <v xml:space="preserve">SAS Group Potential Low probability opportunity to upsell LRU service as there has been some discussion with SAS on this. Lufthansa Technic incumbent LRU service supplier </v>
      </c>
      <c r="Z265" s="24">
        <v>-1</v>
      </c>
      <c r="AA265"/>
      <c r="AB265" s="1" t="str">
        <v xml:space="preserve">SAS Group Potential Low probability opportunity to upsell LRU service as there has been some discussion with SAS on this. Lufthansa Technic incumbent LRU service supplier </v>
      </c>
      <c r="AC265" s="24">
        <v>-1</v>
      </c>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row>
    <row r="266" spans="2:97">
      <c r="B266"/>
      <c r="C266" s="15" t="str">
        <v xml:space="preserve">China Airlines 4 March 2026: Transition of 3 AerCap leased aircraft from Sichuan to China Airlines with aircraft being purchased from AerCap.  Contract amendments signed at end Jan-26 to move from Sichuan Life TCA to existing China Airlines Life TCA with profit upside due to better margins on China Airlines CRP.   </v>
      </c>
      <c r="D266" s="23"/>
      <c r="E266" s="23">
        <v>0</v>
      </c>
      <c r="F266" s="23">
        <v>0</v>
      </c>
      <c r="G266" s="23">
        <f t="shared" si="13"/>
        <v>0</v>
      </c>
      <c r="H266" s="23" t="e" cm="1">
        <f t="array" ref="H266">INDEX('GLOBAL LOG'!#REF!,ROW()-169+15)</f>
        <v>#REF!</v>
      </c>
      <c r="I266" s="23" t="e">
        <f>_xlfn.XLOOKUP(H266,#REF!,#REF!,"",0,1)</f>
        <v>#REF!</v>
      </c>
      <c r="J266" s="23" t="str">
        <f>IFERROR(I266*#REF!,"")</f>
        <v/>
      </c>
      <c r="K266" s="23" t="e" cm="1">
        <f t="array" ref="K266">INDEX('GLOBAL LOG'!#REF!,ROW()-169+15)</f>
        <v>#REF!</v>
      </c>
      <c r="L266" s="23" t="e">
        <f>_xlfn.XLOOKUP(K266,#REF!,#REF!,"",0,1)</f>
        <v>#REF!</v>
      </c>
      <c r="M266" s="23" t="str">
        <f>IFERROR(L266*#REF!,"")</f>
        <v/>
      </c>
      <c r="N266" s="23">
        <f t="shared" si="14"/>
        <v>-1</v>
      </c>
      <c r="O266" s="23">
        <f t="shared" si="15"/>
        <v>-1</v>
      </c>
      <c r="P266" s="23">
        <f t="shared" si="16"/>
        <v>-1</v>
      </c>
      <c r="Q266" s="24">
        <f t="shared" si="17"/>
        <v>-1</v>
      </c>
      <c r="R266" s="3"/>
      <c r="S266" s="1" t="str">
        <v xml:space="preserve">China Airlines 4 March 2026: Transition of 3 AerCap leased aircraft from Sichuan to China Airlines with aircraft being purchased from AerCap.  Contract amendments signed at end Jan-26 to move from Sichuan Life TCA to existing China Airlines Life TCA with profit upside due to better margins on China Airlines CRP.   </v>
      </c>
      <c r="T266" s="24">
        <v>-1</v>
      </c>
      <c r="U266"/>
      <c r="V266" s="1" t="str">
        <v xml:space="preserve">China Airlines 4 March 2026: Transition of 3 AerCap leased aircraft from Sichuan to China Airlines with aircraft being purchased from AerCap.  Contract amendments signed at end Jan-26 to move from Sichuan Life TCA to existing China Airlines Life TCA with profit upside due to better margins on China Airlines CRP.   </v>
      </c>
      <c r="W266" s="24">
        <v>-1</v>
      </c>
      <c r="X266"/>
      <c r="Y266" s="1" t="str">
        <v xml:space="preserve">China Airlines 4 March 2026: Transition of 3 AerCap leased aircraft from Sichuan to China Airlines with aircraft being purchased from AerCap.  Contract amendments signed at end Jan-26 to move from Sichuan Life TCA to existing China Airlines Life TCA with profit upside due to better margins on China Airlines CRP.   </v>
      </c>
      <c r="Z266" s="24">
        <v>-1</v>
      </c>
      <c r="AA266"/>
      <c r="AB266" s="1" t="str">
        <v xml:space="preserve">China Airlines 4 March 2026: Transition of 3 AerCap leased aircraft from Sichuan to China Airlines with aircraft being purchased from AerCap.  Contract amendments signed at end Jan-26 to move from Sichuan Life TCA to existing China Airlines Life TCA with profit upside due to better margins on China Airlines CRP.   </v>
      </c>
      <c r="AC266" s="24">
        <v>-1</v>
      </c>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row>
    <row r="267" spans="2:97">
      <c r="B267"/>
      <c r="C267" s="15" t="str">
        <v>China Airlines 4 March 2026: Following transition of 3 ex-Sichuan aircraft to China Airlines Life TCA (separate line item), given these aircraft have been purchased by China Airlines, there is a request/opprotunity to convert from Life TCA to Term TCA with potential to improve margin (albeit the existing deal is already good and so the improvement might be a challenge).</v>
      </c>
      <c r="D267" s="23"/>
      <c r="E267" s="23">
        <v>0</v>
      </c>
      <c r="F267" s="23">
        <v>0</v>
      </c>
      <c r="G267" s="23">
        <f t="shared" si="13"/>
        <v>0</v>
      </c>
      <c r="H267" s="23" t="e" cm="1">
        <f t="array" ref="H267">INDEX('GLOBAL LOG'!#REF!,ROW()-169+15)</f>
        <v>#REF!</v>
      </c>
      <c r="I267" s="23" t="e">
        <f>_xlfn.XLOOKUP(H267,#REF!,#REF!,"",0,1)</f>
        <v>#REF!</v>
      </c>
      <c r="J267" s="23" t="str">
        <f>IFERROR(I267*#REF!,"")</f>
        <v/>
      </c>
      <c r="K267" s="23" t="e" cm="1">
        <f t="array" ref="K267">INDEX('GLOBAL LOG'!#REF!,ROW()-169+15)</f>
        <v>#REF!</v>
      </c>
      <c r="L267" s="23" t="e">
        <f>_xlfn.XLOOKUP(K267,#REF!,#REF!,"",0,1)</f>
        <v>#REF!</v>
      </c>
      <c r="M267" s="23" t="str">
        <f>IFERROR(L267*#REF!,"")</f>
        <v/>
      </c>
      <c r="N267" s="23">
        <f t="shared" si="14"/>
        <v>-1</v>
      </c>
      <c r="O267" s="23">
        <f t="shared" si="15"/>
        <v>-1</v>
      </c>
      <c r="P267" s="23">
        <f t="shared" si="16"/>
        <v>-1</v>
      </c>
      <c r="Q267" s="24">
        <f t="shared" si="17"/>
        <v>-1</v>
      </c>
      <c r="R267" s="3"/>
      <c r="S267" s="1" t="str">
        <v>China Airlines 4 March 2026: Following transition of 3 ex-Sichuan aircraft to China Airlines Life TCA (separate line item), given these aircraft have been purchased by China Airlines, there is a request/opprotunity to convert from Life TCA to Term TCA with potential to improve margin (albeit the existing deal is already good and so the improvement might be a challenge).</v>
      </c>
      <c r="T267" s="24">
        <v>-1</v>
      </c>
      <c r="U267"/>
      <c r="V267" s="1" t="str">
        <v>China Airlines 4 March 2026: Following transition of 3 ex-Sichuan aircraft to China Airlines Life TCA (separate line item), given these aircraft have been purchased by China Airlines, there is a request/opprotunity to convert from Life TCA to Term TCA with potential to improve margin (albeit the existing deal is already good and so the improvement might be a challenge).</v>
      </c>
      <c r="W267" s="24">
        <v>-1</v>
      </c>
      <c r="X267"/>
      <c r="Y267" s="1" t="str">
        <v>China Airlines 4 March 2026: Following transition of 3 ex-Sichuan aircraft to China Airlines Life TCA (separate line item), given these aircraft have been purchased by China Airlines, there is a request/opprotunity to convert from Life TCA to Term TCA with potential to improve margin (albeit the existing deal is already good and so the improvement might be a challenge).</v>
      </c>
      <c r="Z267" s="24">
        <v>-1</v>
      </c>
      <c r="AA267"/>
      <c r="AB267" s="1" t="str">
        <v>China Airlines 4 March 2026: Following transition of 3 ex-Sichuan aircraft to China Airlines Life TCA (separate line item), given these aircraft have been purchased by China Airlines, there is a request/opprotunity to convert from Life TCA to Term TCA with potential to improve margin (albeit the existing deal is already good and so the improvement might be a challenge).</v>
      </c>
      <c r="AC267" s="24">
        <v>-1</v>
      </c>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row>
    <row r="268" spans="2:97">
      <c r="B268"/>
      <c r="C268" s="15" t="str">
        <v>China Southern 4 March 2026: Campaign started for TCA for China Southern's Block 2 fleet.  This presents an opportunity to pull forward spare engine delivery and potenitially sell additional spare engines to support the wider fleet.  Also potential to combine Block 2 into existing TCA.</v>
      </c>
      <c r="D268" s="23"/>
      <c r="E268" s="23">
        <v>0</v>
      </c>
      <c r="F268" s="23">
        <v>0</v>
      </c>
      <c r="G268" s="23">
        <f t="shared" si="13"/>
        <v>0</v>
      </c>
      <c r="H268" s="23" t="e" cm="1">
        <f t="array" ref="H268">INDEX('GLOBAL LOG'!#REF!,ROW()-169+15)</f>
        <v>#REF!</v>
      </c>
      <c r="I268" s="23" t="e">
        <f>_xlfn.XLOOKUP(H268,#REF!,#REF!,"",0,1)</f>
        <v>#REF!</v>
      </c>
      <c r="J268" s="23" t="str">
        <f>IFERROR(I268*#REF!,"")</f>
        <v/>
      </c>
      <c r="K268" s="23" t="e" cm="1">
        <f t="array" ref="K268">INDEX('GLOBAL LOG'!#REF!,ROW()-169+15)</f>
        <v>#REF!</v>
      </c>
      <c r="L268" s="23" t="e">
        <f>_xlfn.XLOOKUP(K268,#REF!,#REF!,"",0,1)</f>
        <v>#REF!</v>
      </c>
      <c r="M268" s="23" t="str">
        <f>IFERROR(L268*#REF!,"")</f>
        <v/>
      </c>
      <c r="N268" s="23">
        <f t="shared" si="14"/>
        <v>-1</v>
      </c>
      <c r="O268" s="23">
        <f t="shared" si="15"/>
        <v>-1</v>
      </c>
      <c r="P268" s="23">
        <f t="shared" si="16"/>
        <v>-1</v>
      </c>
      <c r="Q268" s="24">
        <f t="shared" si="17"/>
        <v>-1</v>
      </c>
      <c r="R268" s="3"/>
      <c r="S268" s="1" t="str">
        <v>China Southern 4 March 2026: Campaign started for TCA for China Southern's Block 2 fleet.  This presents an opportunity to pull forward spare engine delivery and potenitially sell additional spare engines to support the wider fleet.  Also potential to combine Block 2 into existing TCA.</v>
      </c>
      <c r="T268" s="24">
        <v>-1</v>
      </c>
      <c r="U268"/>
      <c r="V268" s="1" t="str">
        <v>China Southern 4 March 2026: Campaign started for TCA for China Southern's Block 2 fleet.  This presents an opportunity to pull forward spare engine delivery and potenitially sell additional spare engines to support the wider fleet.  Also potential to combine Block 2 into existing TCA.</v>
      </c>
      <c r="W268" s="24">
        <v>-1</v>
      </c>
      <c r="X268"/>
      <c r="Y268" s="1" t="str">
        <v>China Southern 4 March 2026: Campaign started for TCA for China Southern's Block 2 fleet.  This presents an opportunity to pull forward spare engine delivery and potenitially sell additional spare engines to support the wider fleet.  Also potential to combine Block 2 into existing TCA.</v>
      </c>
      <c r="Z268" s="24">
        <v>-1</v>
      </c>
      <c r="AA268"/>
      <c r="AB268" s="1" t="str">
        <v>China Southern 4 March 2026: Campaign started for TCA for China Southern's Block 2 fleet.  This presents an opportunity to pull forward spare engine delivery and potenitially sell additional spare engines to support the wider fleet.  Also potential to combine Block 2 into existing TCA.</v>
      </c>
      <c r="AC268" s="24">
        <v>-1</v>
      </c>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row>
    <row r="269" spans="2:97">
      <c r="B269"/>
      <c r="C269" s="15" t="str">
        <v xml:space="preserve">China Eastern </v>
      </c>
      <c r="D269" s="23"/>
      <c r="E269" s="23">
        <v>0</v>
      </c>
      <c r="F269" s="23">
        <v>0</v>
      </c>
      <c r="G269" s="23">
        <f t="shared" si="13"/>
        <v>0</v>
      </c>
      <c r="H269" s="23" t="e" cm="1">
        <f t="array" ref="H269">INDEX('GLOBAL LOG'!#REF!,ROW()-169+15)</f>
        <v>#REF!</v>
      </c>
      <c r="I269" s="23" t="e">
        <f>_xlfn.XLOOKUP(H269,#REF!,#REF!,"",0,1)</f>
        <v>#REF!</v>
      </c>
      <c r="J269" s="23" t="str">
        <f>IFERROR(I269*#REF!,"")</f>
        <v/>
      </c>
      <c r="K269" s="23" t="e" cm="1">
        <f t="array" ref="K269">INDEX('GLOBAL LOG'!#REF!,ROW()-169+15)</f>
        <v>#REF!</v>
      </c>
      <c r="L269" s="23" t="e">
        <f>_xlfn.XLOOKUP(K269,#REF!,#REF!,"",0,1)</f>
        <v>#REF!</v>
      </c>
      <c r="M269" s="23" t="str">
        <f>IFERROR(L269*#REF!,"")</f>
        <v/>
      </c>
      <c r="N269" s="23">
        <f t="shared" si="14"/>
        <v>-1</v>
      </c>
      <c r="O269" s="23">
        <f t="shared" si="15"/>
        <v>-1</v>
      </c>
      <c r="P269" s="23">
        <f t="shared" si="16"/>
        <v>-1</v>
      </c>
      <c r="Q269" s="24">
        <f t="shared" si="17"/>
        <v>-1</v>
      </c>
      <c r="R269" s="3"/>
      <c r="S269" s="1" t="str">
        <v xml:space="preserve">China Eastern </v>
      </c>
      <c r="T269" s="24">
        <v>-1</v>
      </c>
      <c r="U269"/>
      <c r="V269" s="1" t="str">
        <v xml:space="preserve">China Eastern </v>
      </c>
      <c r="W269" s="24">
        <v>-1</v>
      </c>
      <c r="X269"/>
      <c r="Y269" s="1" t="str">
        <v xml:space="preserve">China Eastern </v>
      </c>
      <c r="Z269" s="24">
        <v>-1</v>
      </c>
      <c r="AA269"/>
      <c r="AB269" s="1" t="str">
        <v xml:space="preserve">China Eastern </v>
      </c>
      <c r="AC269" s="24">
        <v>-1</v>
      </c>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row>
    <row r="270" spans="2:97">
      <c r="B270"/>
      <c r="C270" s="15" t="str">
        <v xml:space="preserve">Air China </v>
      </c>
      <c r="D270" s="23"/>
      <c r="E270" s="23">
        <v>0</v>
      </c>
      <c r="F270" s="23">
        <v>0</v>
      </c>
      <c r="G270" s="23">
        <f t="shared" si="13"/>
        <v>0</v>
      </c>
      <c r="H270" s="23" t="e" cm="1">
        <f t="array" ref="H270">INDEX('GLOBAL LOG'!#REF!,ROW()-169+15)</f>
        <v>#REF!</v>
      </c>
      <c r="I270" s="23" t="e">
        <f>_xlfn.XLOOKUP(H270,#REF!,#REF!,"",0,1)</f>
        <v>#REF!</v>
      </c>
      <c r="J270" s="23" t="str">
        <f>IFERROR(I270*#REF!,"")</f>
        <v/>
      </c>
      <c r="K270" s="23" t="e" cm="1">
        <f t="array" ref="K270">INDEX('GLOBAL LOG'!#REF!,ROW()-169+15)</f>
        <v>#REF!</v>
      </c>
      <c r="L270" s="23" t="e">
        <f>_xlfn.XLOOKUP(K270,#REF!,#REF!,"",0,1)</f>
        <v>#REF!</v>
      </c>
      <c r="M270" s="23" t="str">
        <f>IFERROR(L270*#REF!,"")</f>
        <v/>
      </c>
      <c r="N270" s="23">
        <f t="shared" si="14"/>
        <v>-1</v>
      </c>
      <c r="O270" s="23">
        <f t="shared" si="15"/>
        <v>-1</v>
      </c>
      <c r="P270" s="23">
        <f t="shared" si="16"/>
        <v>-1</v>
      </c>
      <c r="Q270" s="24">
        <f t="shared" si="17"/>
        <v>-1</v>
      </c>
      <c r="R270" s="3"/>
      <c r="S270" s="1" t="str">
        <v xml:space="preserve">Air China </v>
      </c>
      <c r="T270" s="24">
        <v>-1</v>
      </c>
      <c r="U270"/>
      <c r="V270" s="1" t="str">
        <v xml:space="preserve">Air China </v>
      </c>
      <c r="W270" s="24">
        <v>-1</v>
      </c>
      <c r="X270"/>
      <c r="Y270" s="1" t="str">
        <v xml:space="preserve">Air China </v>
      </c>
      <c r="Z270" s="24">
        <v>-1</v>
      </c>
      <c r="AA270"/>
      <c r="AB270" s="1" t="str">
        <v xml:space="preserve">Air China </v>
      </c>
      <c r="AC270" s="24">
        <v>-1</v>
      </c>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row>
    <row r="271" spans="2:97">
      <c r="B271"/>
      <c r="C271" s="15" t="str">
        <v>Virgin Atlantic Airways Min Term Extention to  address CRP issue around some A/C engs reaching 2R during 2026 and potentially only have 3 months notice to exit TCA</v>
      </c>
      <c r="D271" s="23"/>
      <c r="E271" s="23">
        <v>0</v>
      </c>
      <c r="F271" s="23">
        <v>0</v>
      </c>
      <c r="G271" s="23">
        <f t="shared" si="13"/>
        <v>0</v>
      </c>
      <c r="H271" s="23" t="e" cm="1">
        <f t="array" ref="H271">INDEX('GLOBAL LOG'!#REF!,ROW()-169+15)</f>
        <v>#REF!</v>
      </c>
      <c r="I271" s="23" t="e">
        <f>_xlfn.XLOOKUP(H271,#REF!,#REF!,"",0,1)</f>
        <v>#REF!</v>
      </c>
      <c r="J271" s="23" t="str">
        <f>IFERROR(I271*#REF!,"")</f>
        <v/>
      </c>
      <c r="K271" s="23" t="e" cm="1">
        <f t="array" ref="K271">INDEX('GLOBAL LOG'!#REF!,ROW()-169+15)</f>
        <v>#REF!</v>
      </c>
      <c r="L271" s="23" t="e">
        <f>_xlfn.XLOOKUP(K271,#REF!,#REF!,"",0,1)</f>
        <v>#REF!</v>
      </c>
      <c r="M271" s="23" t="str">
        <f>IFERROR(L271*#REF!,"")</f>
        <v/>
      </c>
      <c r="N271" s="23">
        <f t="shared" si="14"/>
        <v>-1</v>
      </c>
      <c r="O271" s="23">
        <f t="shared" si="15"/>
        <v>-1</v>
      </c>
      <c r="P271" s="23">
        <f t="shared" si="16"/>
        <v>-1</v>
      </c>
      <c r="Q271" s="24">
        <f t="shared" si="17"/>
        <v>-1</v>
      </c>
      <c r="R271" s="3"/>
      <c r="S271" s="1" t="str">
        <v>Virgin Atlantic Airways Min Term Extention to  address CRP issue around some A/C engs reaching 2R during 2026 and potentially only have 3 months notice to exit TCA</v>
      </c>
      <c r="T271" s="24">
        <v>-1</v>
      </c>
      <c r="U271"/>
      <c r="V271" s="1" t="str">
        <v>Virgin Atlantic Airways Min Term Extention to  address CRP issue around some A/C engs reaching 2R during 2026 and potentially only have 3 months notice to exit TCA</v>
      </c>
      <c r="W271" s="24">
        <v>-1</v>
      </c>
      <c r="X271"/>
      <c r="Y271" s="1" t="str">
        <v>Virgin Atlantic Airways Min Term Extention to  address CRP issue around some A/C engs reaching 2R during 2026 and potentially only have 3 months notice to exit TCA</v>
      </c>
      <c r="Z271" s="24">
        <v>-1</v>
      </c>
      <c r="AA271"/>
      <c r="AB271" s="1" t="str">
        <v>Virgin Atlantic Airways Min Term Extention to  address CRP issue around some A/C engs reaching 2R during 2026 and potentially only have 3 months notice to exit TCA</v>
      </c>
      <c r="AC271" s="24">
        <v>-1</v>
      </c>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row>
    <row r="272" spans="2:97">
      <c r="B272"/>
      <c r="C272" s="15" t="str">
        <v>Iberia Life Min Term extension to 25 years for 7 owned a/c and 12 years for leased a/c, plus removal of EoCL for a $/efh discount on both Engine &amp; LLPs.</v>
      </c>
      <c r="D272" s="23"/>
      <c r="E272" s="23">
        <v>0</v>
      </c>
      <c r="F272" s="23">
        <v>0</v>
      </c>
      <c r="G272" s="23">
        <f t="shared" si="13"/>
        <v>0</v>
      </c>
      <c r="H272" s="23" t="e" cm="1">
        <f t="array" ref="H272">INDEX('GLOBAL LOG'!#REF!,ROW()-169+15)</f>
        <v>#REF!</v>
      </c>
      <c r="I272" s="23" t="e">
        <f>_xlfn.XLOOKUP(H272,#REF!,#REF!,"",0,1)</f>
        <v>#REF!</v>
      </c>
      <c r="J272" s="23" t="str">
        <f>IFERROR(I272*#REF!,"")</f>
        <v/>
      </c>
      <c r="K272" s="23" t="e" cm="1">
        <f t="array" ref="K272">INDEX('GLOBAL LOG'!#REF!,ROW()-169+15)</f>
        <v>#REF!</v>
      </c>
      <c r="L272" s="23" t="e">
        <f>_xlfn.XLOOKUP(K272,#REF!,#REF!,"",0,1)</f>
        <v>#REF!</v>
      </c>
      <c r="M272" s="23" t="str">
        <f>IFERROR(L272*#REF!,"")</f>
        <v/>
      </c>
      <c r="N272" s="23">
        <f t="shared" si="14"/>
        <v>-1</v>
      </c>
      <c r="O272" s="23">
        <f t="shared" si="15"/>
        <v>-1</v>
      </c>
      <c r="P272" s="23">
        <f t="shared" si="16"/>
        <v>-1</v>
      </c>
      <c r="Q272" s="24">
        <f t="shared" si="17"/>
        <v>-1</v>
      </c>
      <c r="R272" s="3"/>
      <c r="S272" s="1" t="str">
        <v>Iberia Life Min Term extension to 25 years for 7 owned a/c and 12 years for leased a/c, plus removal of EoCL for a $/efh discount on both Engine &amp; LLPs.</v>
      </c>
      <c r="T272" s="24">
        <v>-1</v>
      </c>
      <c r="U272"/>
      <c r="V272" s="1" t="str">
        <v>Iberia Life Min Term extension to 25 years for 7 owned a/c and 12 years for leased a/c, plus removal of EoCL for a $/efh discount on both Engine &amp; LLPs.</v>
      </c>
      <c r="W272" s="24">
        <v>-1</v>
      </c>
      <c r="X272"/>
      <c r="Y272" s="1" t="str">
        <v>Iberia Life Min Term extension to 25 years for 7 owned a/c and 12 years for leased a/c, plus removal of EoCL for a $/efh discount on both Engine &amp; LLPs.</v>
      </c>
      <c r="Z272" s="24">
        <v>-1</v>
      </c>
      <c r="AA272"/>
      <c r="AB272" s="1" t="str">
        <v>Iberia Life Min Term extension to 25 years for 7 owned a/c and 12 years for leased a/c, plus removal of EoCL for a $/efh discount on both Engine &amp; LLPs.</v>
      </c>
      <c r="AC272" s="24">
        <v>-1</v>
      </c>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row>
    <row r="273" spans="2:97">
      <c r="B273"/>
      <c r="C273" s="15" t="str">
        <v>Iberia LLP upsell for the 2x leased (used) a/c and further Min Term extension (+6yrs to 2036)</v>
      </c>
      <c r="D273" s="23"/>
      <c r="E273" s="23">
        <v>0</v>
      </c>
      <c r="F273" s="23">
        <v>0</v>
      </c>
      <c r="G273" s="23">
        <f t="shared" si="13"/>
        <v>0</v>
      </c>
      <c r="H273" s="23" t="e" cm="1">
        <f t="array" ref="H273">INDEX('GLOBAL LOG'!#REF!,ROW()-169+15)</f>
        <v>#REF!</v>
      </c>
      <c r="I273" s="23" t="e">
        <f>_xlfn.XLOOKUP(H273,#REF!,#REF!,"",0,1)</f>
        <v>#REF!</v>
      </c>
      <c r="J273" s="23" t="str">
        <f>IFERROR(I273*#REF!,"")</f>
        <v/>
      </c>
      <c r="K273" s="23" t="e" cm="1">
        <f t="array" ref="K273">INDEX('GLOBAL LOG'!#REF!,ROW()-169+15)</f>
        <v>#REF!</v>
      </c>
      <c r="L273" s="23" t="e">
        <f>_xlfn.XLOOKUP(K273,#REF!,#REF!,"",0,1)</f>
        <v>#REF!</v>
      </c>
      <c r="M273" s="23" t="str">
        <f>IFERROR(L273*#REF!,"")</f>
        <v/>
      </c>
      <c r="N273" s="23">
        <f t="shared" si="14"/>
        <v>-1</v>
      </c>
      <c r="O273" s="23">
        <f t="shared" si="15"/>
        <v>-1</v>
      </c>
      <c r="P273" s="23">
        <f t="shared" si="16"/>
        <v>-1</v>
      </c>
      <c r="Q273" s="24">
        <f t="shared" si="17"/>
        <v>-1</v>
      </c>
      <c r="R273" s="3"/>
      <c r="S273" s="1" t="str">
        <v>Iberia LLP upsell for the 2x leased (used) a/c and further Min Term extension (+6yrs to 2036)</v>
      </c>
      <c r="T273" s="24">
        <v>-1</v>
      </c>
      <c r="U273"/>
      <c r="V273" s="1" t="str">
        <v>Iberia LLP upsell for the 2x leased (used) a/c and further Min Term extension (+6yrs to 2036)</v>
      </c>
      <c r="W273" s="24">
        <v>-1</v>
      </c>
      <c r="X273"/>
      <c r="Y273" s="1" t="str">
        <v>Iberia LLP upsell for the 2x leased (used) a/c and further Min Term extension (+6yrs to 2036)</v>
      </c>
      <c r="Z273" s="24">
        <v>-1</v>
      </c>
      <c r="AA273"/>
      <c r="AB273" s="1" t="str">
        <v>Iberia LLP upsell for the 2x leased (used) a/c and further Min Term extension (+6yrs to 2036)</v>
      </c>
      <c r="AC273" s="24">
        <v>-1</v>
      </c>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row>
    <row r="274" spans="2:97">
      <c r="B274"/>
      <c r="C274" s="15" t="str">
        <v>Turkish Airlines Inclusion of minU alleviation clause in all 3 Trent 700 contracts plus standardised NDSES remedies</v>
      </c>
      <c r="D274" s="23"/>
      <c r="E274" s="23">
        <v>0</v>
      </c>
      <c r="F274" s="23">
        <v>0</v>
      </c>
      <c r="G274" s="23">
        <f t="shared" si="13"/>
        <v>0</v>
      </c>
      <c r="H274" s="23" t="e" cm="1">
        <f t="array" ref="H274">INDEX('GLOBAL LOG'!#REF!,ROW()-169+15)</f>
        <v>#REF!</v>
      </c>
      <c r="I274" s="23" t="e">
        <f>_xlfn.XLOOKUP(H274,#REF!,#REF!,"",0,1)</f>
        <v>#REF!</v>
      </c>
      <c r="J274" s="23" t="str">
        <f>IFERROR(I274*#REF!,"")</f>
        <v/>
      </c>
      <c r="K274" s="23" t="e" cm="1">
        <f t="array" ref="K274">INDEX('GLOBAL LOG'!#REF!,ROW()-169+15)</f>
        <v>#REF!</v>
      </c>
      <c r="L274" s="23" t="e">
        <f>_xlfn.XLOOKUP(K274,#REF!,#REF!,"",0,1)</f>
        <v>#REF!</v>
      </c>
      <c r="M274" s="23" t="str">
        <f>IFERROR(L274*#REF!,"")</f>
        <v/>
      </c>
      <c r="N274" s="23">
        <f t="shared" si="14"/>
        <v>-1</v>
      </c>
      <c r="O274" s="23">
        <f t="shared" si="15"/>
        <v>-1</v>
      </c>
      <c r="P274" s="23">
        <f t="shared" si="16"/>
        <v>-1</v>
      </c>
      <c r="Q274" s="24">
        <f t="shared" si="17"/>
        <v>-1</v>
      </c>
      <c r="R274" s="3"/>
      <c r="S274" s="1" t="str">
        <v>Turkish Airlines Inclusion of minU alleviation clause in all 3 Trent 700 contracts plus standardised NDSES remedies</v>
      </c>
      <c r="T274" s="24">
        <v>-1</v>
      </c>
      <c r="U274"/>
      <c r="V274" s="1" t="str">
        <v>Turkish Airlines Inclusion of minU alleviation clause in all 3 Trent 700 contracts plus standardised NDSES remedies</v>
      </c>
      <c r="W274" s="24">
        <v>-1</v>
      </c>
      <c r="X274"/>
      <c r="Y274" s="1" t="str">
        <v>Turkish Airlines Inclusion of minU alleviation clause in all 3 Trent 700 contracts plus standardised NDSES remedies</v>
      </c>
      <c r="Z274" s="24">
        <v>-1</v>
      </c>
      <c r="AA274"/>
      <c r="AB274" s="1" t="str">
        <v>Turkish Airlines Inclusion of minU alleviation clause in all 3 Trent 700 contracts plus standardised NDSES remedies</v>
      </c>
      <c r="AC274" s="24">
        <v>-1</v>
      </c>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row>
    <row r="275" spans="2:97">
      <c r="B275"/>
      <c r="C275" s="15" t="str">
        <v>Air Mauritius Potential cancellation of 3 X Additional A350-900s. Fleet review ongoing with Seabury.</v>
      </c>
      <c r="D275" s="23"/>
      <c r="E275" s="23">
        <v>0</v>
      </c>
      <c r="F275" s="23">
        <v>0</v>
      </c>
      <c r="G275" s="23">
        <f t="shared" si="13"/>
        <v>0</v>
      </c>
      <c r="H275" s="23" t="e" cm="1">
        <f t="array" ref="H275">INDEX('GLOBAL LOG'!#REF!,ROW()-169+15)</f>
        <v>#REF!</v>
      </c>
      <c r="I275" s="23" t="e">
        <f>_xlfn.XLOOKUP(H275,#REF!,#REF!,"",0,1)</f>
        <v>#REF!</v>
      </c>
      <c r="J275" s="23" t="str">
        <f>IFERROR(I275*#REF!,"")</f>
        <v/>
      </c>
      <c r="K275" s="23" t="e" cm="1">
        <f t="array" ref="K275">INDEX('GLOBAL LOG'!#REF!,ROW()-169+15)</f>
        <v>#REF!</v>
      </c>
      <c r="L275" s="23" t="e">
        <f>_xlfn.XLOOKUP(K275,#REF!,#REF!,"",0,1)</f>
        <v>#REF!</v>
      </c>
      <c r="M275" s="23" t="str">
        <f>IFERROR(L275*#REF!,"")</f>
        <v/>
      </c>
      <c r="N275" s="23">
        <f t="shared" si="14"/>
        <v>-1</v>
      </c>
      <c r="O275" s="23">
        <f t="shared" si="15"/>
        <v>-1</v>
      </c>
      <c r="P275" s="23">
        <f t="shared" si="16"/>
        <v>-1</v>
      </c>
      <c r="Q275" s="24">
        <f t="shared" si="17"/>
        <v>-1</v>
      </c>
      <c r="R275" s="3"/>
      <c r="S275" s="1" t="str">
        <v>Air Mauritius Potential cancellation of 3 X Additional A350-900s. Fleet review ongoing with Seabury.</v>
      </c>
      <c r="T275" s="24">
        <v>-1</v>
      </c>
      <c r="U275"/>
      <c r="V275" s="1" t="str">
        <v>Air Mauritius Potential cancellation of 3 X Additional A350-900s. Fleet review ongoing with Seabury.</v>
      </c>
      <c r="W275" s="24">
        <v>-1</v>
      </c>
      <c r="X275"/>
      <c r="Y275" s="1" t="str">
        <v>Air Mauritius Potential cancellation of 3 X Additional A350-900s. Fleet review ongoing with Seabury.</v>
      </c>
      <c r="Z275" s="24">
        <v>-1</v>
      </c>
      <c r="AA275"/>
      <c r="AB275" s="1" t="str">
        <v>Air Mauritius Potential cancellation of 3 X Additional A350-900s. Fleet review ongoing with Seabury.</v>
      </c>
      <c r="AC275" s="24">
        <v>-1</v>
      </c>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row>
    <row r="276" spans="2:97">
      <c r="B276"/>
      <c r="C276" s="15" t="str">
        <v>Delta Air Lines New campaign deal uplifting pack margin to enable release of £59m onerous provision in AP6. Contracts signed</v>
      </c>
      <c r="D276" s="23"/>
      <c r="E276" s="23">
        <v>59</v>
      </c>
      <c r="F276" s="23">
        <v>0</v>
      </c>
      <c r="G276" s="23">
        <f t="shared" si="13"/>
        <v>59</v>
      </c>
      <c r="H276" s="23" t="e" cm="1">
        <f t="array" ref="H276">INDEX('GLOBAL LOG'!#REF!,ROW()-169+15)</f>
        <v>#REF!</v>
      </c>
      <c r="I276" s="23" t="e">
        <f>_xlfn.XLOOKUP(H276,#REF!,#REF!,"",0,1)</f>
        <v>#REF!</v>
      </c>
      <c r="J276" s="23" t="str">
        <f>IFERROR(I276*#REF!,"")</f>
        <v/>
      </c>
      <c r="K276" s="23" t="e" cm="1">
        <f t="array" ref="K276">INDEX('GLOBAL LOG'!#REF!,ROW()-169+15)</f>
        <v>#REF!</v>
      </c>
      <c r="L276" s="23" t="e">
        <f>_xlfn.XLOOKUP(K276,#REF!,#REF!,"",0,1)</f>
        <v>#REF!</v>
      </c>
      <c r="M276" s="23" t="str">
        <f>IFERROR(L276*#REF!,"")</f>
        <v/>
      </c>
      <c r="N276" s="23">
        <f t="shared" si="14"/>
        <v>-1</v>
      </c>
      <c r="O276" s="23">
        <f t="shared" si="15"/>
        <v>-1</v>
      </c>
      <c r="P276" s="23">
        <f t="shared" si="16"/>
        <v>-1</v>
      </c>
      <c r="Q276" s="24">
        <f t="shared" si="17"/>
        <v>-1</v>
      </c>
      <c r="R276" s="3"/>
      <c r="S276" s="1" t="str">
        <v>Delta Air Lines New campaign deal uplifting pack margin to enable release of £59m onerous provision in AP6. Contracts signed</v>
      </c>
      <c r="T276" s="24">
        <v>-1</v>
      </c>
      <c r="U276"/>
      <c r="V276" s="1" t="str">
        <v>Delta Air Lines New campaign deal uplifting pack margin to enable release of £59m onerous provision in AP6. Contracts signed</v>
      </c>
      <c r="W276" s="24">
        <v>-1</v>
      </c>
      <c r="X276"/>
      <c r="Y276" s="1" t="str">
        <v>Delta Air Lines New campaign deal uplifting pack margin to enable release of £59m onerous provision in AP6. Contracts signed</v>
      </c>
      <c r="Z276" s="24">
        <v>-1</v>
      </c>
      <c r="AA276"/>
      <c r="AB276" s="1" t="str">
        <v>Delta Air Lines New campaign deal uplifting pack margin to enable release of £59m onerous provision in AP6. Contracts signed</v>
      </c>
      <c r="AC276" s="24">
        <v>-1</v>
      </c>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row>
    <row r="277" spans="2:97">
      <c r="B277"/>
      <c r="C277" s="15" t="str">
        <v xml:space="preserve"> </v>
      </c>
      <c r="D277" s="23"/>
      <c r="E277" s="23">
        <v>0</v>
      </c>
      <c r="F277" s="23">
        <v>0</v>
      </c>
      <c r="G277" s="23">
        <f t="shared" si="13"/>
        <v>0</v>
      </c>
      <c r="H277" s="23" t="e" cm="1">
        <f t="array" ref="H277">INDEX('GLOBAL LOG'!#REF!,ROW()-169+15)</f>
        <v>#REF!</v>
      </c>
      <c r="I277" s="23" t="e">
        <f>_xlfn.XLOOKUP(H277,#REF!,#REF!,"",0,1)</f>
        <v>#REF!</v>
      </c>
      <c r="J277" s="23" t="str">
        <f>IFERROR(I277*#REF!,"")</f>
        <v/>
      </c>
      <c r="K277" s="23" t="e" cm="1">
        <f t="array" ref="K277">INDEX('GLOBAL LOG'!#REF!,ROW()-169+15)</f>
        <v>#REF!</v>
      </c>
      <c r="L277" s="23" t="e">
        <f>_xlfn.XLOOKUP(K277,#REF!,#REF!,"",0,1)</f>
        <v>#REF!</v>
      </c>
      <c r="M277" s="23" t="str">
        <f>IFERROR(L277*#REF!,"")</f>
        <v/>
      </c>
      <c r="N277" s="23">
        <f t="shared" si="14"/>
        <v>-1</v>
      </c>
      <c r="O277" s="23">
        <f t="shared" si="15"/>
        <v>-1</v>
      </c>
      <c r="P277" s="23">
        <f t="shared" si="16"/>
        <v>-1</v>
      </c>
      <c r="Q277" s="24">
        <f t="shared" si="17"/>
        <v>-1</v>
      </c>
      <c r="R277" s="3"/>
      <c r="S277" s="1" t="str">
        <v xml:space="preserve"> </v>
      </c>
      <c r="T277" s="24">
        <v>-1</v>
      </c>
      <c r="U277"/>
      <c r="V277" s="1" t="str">
        <v xml:space="preserve"> </v>
      </c>
      <c r="W277" s="24">
        <v>-1</v>
      </c>
      <c r="X277"/>
      <c r="Y277" s="1" t="str">
        <v xml:space="preserve"> </v>
      </c>
      <c r="Z277" s="24">
        <v>-1</v>
      </c>
      <c r="AA277"/>
      <c r="AB277" s="1" t="str">
        <v xml:space="preserve"> </v>
      </c>
      <c r="AC277" s="24">
        <v>-1</v>
      </c>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row>
    <row r="278" spans="2:97">
      <c r="B278"/>
      <c r="C278" s="15" t="str">
        <v xml:space="preserve"> </v>
      </c>
      <c r="D278" s="23"/>
      <c r="E278" s="23">
        <v>0</v>
      </c>
      <c r="F278" s="23">
        <v>0</v>
      </c>
      <c r="G278" s="23">
        <f t="shared" si="13"/>
        <v>0</v>
      </c>
      <c r="H278" s="23" t="e" cm="1">
        <f t="array" ref="H278">INDEX('GLOBAL LOG'!#REF!,ROW()-169+15)</f>
        <v>#REF!</v>
      </c>
      <c r="I278" s="23" t="e">
        <f>_xlfn.XLOOKUP(H278,#REF!,#REF!,"",0,1)</f>
        <v>#REF!</v>
      </c>
      <c r="J278" s="23" t="str">
        <f>IFERROR(I278*#REF!,"")</f>
        <v/>
      </c>
      <c r="K278" s="23" t="e" cm="1">
        <f t="array" ref="K278">INDEX('GLOBAL LOG'!#REF!,ROW()-169+15)</f>
        <v>#REF!</v>
      </c>
      <c r="L278" s="23" t="e">
        <f>_xlfn.XLOOKUP(K278,#REF!,#REF!,"",0,1)</f>
        <v>#REF!</v>
      </c>
      <c r="M278" s="23" t="str">
        <f>IFERROR(L278*#REF!,"")</f>
        <v/>
      </c>
      <c r="N278" s="23">
        <f t="shared" si="14"/>
        <v>-1</v>
      </c>
      <c r="O278" s="23">
        <f t="shared" si="15"/>
        <v>-1</v>
      </c>
      <c r="P278" s="23">
        <f t="shared" si="16"/>
        <v>-1</v>
      </c>
      <c r="Q278" s="24">
        <f t="shared" si="17"/>
        <v>-1</v>
      </c>
      <c r="R278" s="3"/>
      <c r="S278" s="1" t="str">
        <v xml:space="preserve"> </v>
      </c>
      <c r="T278" s="24">
        <v>-1</v>
      </c>
      <c r="U278"/>
      <c r="V278" s="1" t="str">
        <v xml:space="preserve"> </v>
      </c>
      <c r="W278" s="24">
        <v>-1</v>
      </c>
      <c r="X278"/>
      <c r="Y278" s="1" t="str">
        <v xml:space="preserve"> </v>
      </c>
      <c r="Z278" s="24">
        <v>-1</v>
      </c>
      <c r="AA278"/>
      <c r="AB278" s="1" t="str">
        <v xml:space="preserve"> </v>
      </c>
      <c r="AC278" s="24">
        <v>-1</v>
      </c>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row>
    <row r="279" spans="2:97">
      <c r="B279"/>
      <c r="C279" s="15" t="str">
        <v xml:space="preserve"> </v>
      </c>
      <c r="D279" s="23"/>
      <c r="E279" s="23">
        <v>0</v>
      </c>
      <c r="F279" s="23">
        <v>0</v>
      </c>
      <c r="G279" s="23">
        <f t="shared" si="13"/>
        <v>0</v>
      </c>
      <c r="H279" s="23" t="e" cm="1">
        <f t="array" ref="H279">INDEX('GLOBAL LOG'!#REF!,ROW()-169+15)</f>
        <v>#REF!</v>
      </c>
      <c r="I279" s="23" t="e">
        <f>_xlfn.XLOOKUP(H279,#REF!,#REF!,"",0,1)</f>
        <v>#REF!</v>
      </c>
      <c r="J279" s="23" t="str">
        <f>IFERROR(I279*#REF!,"")</f>
        <v/>
      </c>
      <c r="K279" s="23" t="e" cm="1">
        <f t="array" ref="K279">INDEX('GLOBAL LOG'!#REF!,ROW()-169+15)</f>
        <v>#REF!</v>
      </c>
      <c r="L279" s="23" t="e">
        <f>_xlfn.XLOOKUP(K279,#REF!,#REF!,"",0,1)</f>
        <v>#REF!</v>
      </c>
      <c r="M279" s="23" t="str">
        <f>IFERROR(L279*#REF!,"")</f>
        <v/>
      </c>
      <c r="N279" s="23">
        <f t="shared" si="14"/>
        <v>-1</v>
      </c>
      <c r="O279" s="23">
        <f t="shared" si="15"/>
        <v>-1</v>
      </c>
      <c r="P279" s="23">
        <f t="shared" si="16"/>
        <v>-1</v>
      </c>
      <c r="Q279" s="24">
        <f t="shared" si="17"/>
        <v>-1</v>
      </c>
      <c r="R279" s="3"/>
      <c r="S279" s="1" t="str">
        <v xml:space="preserve"> </v>
      </c>
      <c r="T279" s="24">
        <v>-1</v>
      </c>
      <c r="U279"/>
      <c r="V279" s="1" t="str">
        <v xml:space="preserve"> </v>
      </c>
      <c r="W279" s="24">
        <v>-1</v>
      </c>
      <c r="X279"/>
      <c r="Y279" s="1" t="str">
        <v xml:space="preserve"> </v>
      </c>
      <c r="Z279" s="24">
        <v>-1</v>
      </c>
      <c r="AA279"/>
      <c r="AB279" s="1" t="str">
        <v xml:space="preserve"> </v>
      </c>
      <c r="AC279" s="24">
        <v>-1</v>
      </c>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row>
    <row r="280" spans="2:97">
      <c r="B280"/>
      <c r="C280" s="15" t="str">
        <v xml:space="preserve"> </v>
      </c>
      <c r="D280" s="23"/>
      <c r="E280" s="23">
        <v>0</v>
      </c>
      <c r="F280" s="23">
        <v>0</v>
      </c>
      <c r="G280" s="23">
        <f t="shared" si="13"/>
        <v>0</v>
      </c>
      <c r="H280" s="23" t="e" cm="1">
        <f t="array" ref="H280">INDEX('GLOBAL LOG'!#REF!,ROW()-169+15)</f>
        <v>#REF!</v>
      </c>
      <c r="I280" s="23" t="e">
        <f>_xlfn.XLOOKUP(H280,#REF!,#REF!,"",0,1)</f>
        <v>#REF!</v>
      </c>
      <c r="J280" s="23" t="str">
        <f>IFERROR(I280*#REF!,"")</f>
        <v/>
      </c>
      <c r="K280" s="23" t="e" cm="1">
        <f t="array" ref="K280">INDEX('GLOBAL LOG'!#REF!,ROW()-169+15)</f>
        <v>#REF!</v>
      </c>
      <c r="L280" s="23" t="e">
        <f>_xlfn.XLOOKUP(K280,#REF!,#REF!,"",0,1)</f>
        <v>#REF!</v>
      </c>
      <c r="M280" s="23" t="str">
        <f>IFERROR(L280*#REF!,"")</f>
        <v/>
      </c>
      <c r="N280" s="23">
        <f t="shared" si="14"/>
        <v>-1</v>
      </c>
      <c r="O280" s="23">
        <f t="shared" si="15"/>
        <v>-1</v>
      </c>
      <c r="P280" s="23">
        <f t="shared" si="16"/>
        <v>-1</v>
      </c>
      <c r="Q280" s="24">
        <f t="shared" si="17"/>
        <v>-1</v>
      </c>
      <c r="R280" s="3"/>
      <c r="S280" s="1" t="str">
        <v xml:space="preserve"> </v>
      </c>
      <c r="T280" s="24">
        <v>-1</v>
      </c>
      <c r="U280"/>
      <c r="V280" s="1" t="str">
        <v xml:space="preserve"> </v>
      </c>
      <c r="W280" s="24">
        <v>-1</v>
      </c>
      <c r="X280"/>
      <c r="Y280" s="1" t="str">
        <v xml:space="preserve"> </v>
      </c>
      <c r="Z280" s="24">
        <v>-1</v>
      </c>
      <c r="AA280"/>
      <c r="AB280" s="1" t="str">
        <v xml:space="preserve"> </v>
      </c>
      <c r="AC280" s="24">
        <v>-1</v>
      </c>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row>
    <row r="281" spans="2:97">
      <c r="B281"/>
      <c r="C281" s="15" t="str">
        <v xml:space="preserve"> </v>
      </c>
      <c r="D281" s="23"/>
      <c r="E281" s="23">
        <v>0</v>
      </c>
      <c r="F281" s="23">
        <v>0</v>
      </c>
      <c r="G281" s="23">
        <f t="shared" si="13"/>
        <v>0</v>
      </c>
      <c r="H281" s="23" t="e" cm="1">
        <f t="array" ref="H281">INDEX('GLOBAL LOG'!#REF!,ROW()-169+15)</f>
        <v>#REF!</v>
      </c>
      <c r="I281" s="23" t="e">
        <f>_xlfn.XLOOKUP(H281,#REF!,#REF!,"",0,1)</f>
        <v>#REF!</v>
      </c>
      <c r="J281" s="23" t="str">
        <f>IFERROR(I281*#REF!,"")</f>
        <v/>
      </c>
      <c r="K281" s="23" t="e" cm="1">
        <f t="array" ref="K281">INDEX('GLOBAL LOG'!#REF!,ROW()-169+15)</f>
        <v>#REF!</v>
      </c>
      <c r="L281" s="23" t="e">
        <f>_xlfn.XLOOKUP(K281,#REF!,#REF!,"",0,1)</f>
        <v>#REF!</v>
      </c>
      <c r="M281" s="23" t="str">
        <f>IFERROR(L281*#REF!,"")</f>
        <v/>
      </c>
      <c r="N281" s="23">
        <f t="shared" si="14"/>
        <v>-1</v>
      </c>
      <c r="O281" s="23">
        <f t="shared" si="15"/>
        <v>-1</v>
      </c>
      <c r="P281" s="23">
        <f t="shared" si="16"/>
        <v>-1</v>
      </c>
      <c r="Q281" s="24">
        <f t="shared" si="17"/>
        <v>-1</v>
      </c>
      <c r="R281" s="3"/>
      <c r="S281" s="1" t="str">
        <v xml:space="preserve"> </v>
      </c>
      <c r="T281" s="24">
        <v>-1</v>
      </c>
      <c r="U281"/>
      <c r="V281" s="1" t="str">
        <v xml:space="preserve"> </v>
      </c>
      <c r="W281" s="24">
        <v>-1</v>
      </c>
      <c r="X281"/>
      <c r="Y281" s="1" t="str">
        <v xml:space="preserve"> </v>
      </c>
      <c r="Z281" s="24">
        <v>-1</v>
      </c>
      <c r="AA281"/>
      <c r="AB281" s="1" t="str">
        <v xml:space="preserve"> </v>
      </c>
      <c r="AC281" s="24">
        <v>-1</v>
      </c>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row>
    <row r="282" spans="2:97">
      <c r="B282"/>
      <c r="C282" s="15" t="str">
        <v xml:space="preserve"> </v>
      </c>
      <c r="D282" s="23"/>
      <c r="E282" s="23">
        <v>0</v>
      </c>
      <c r="F282" s="23">
        <v>0</v>
      </c>
      <c r="G282" s="23">
        <f t="shared" si="13"/>
        <v>0</v>
      </c>
      <c r="H282" s="23" t="e" cm="1">
        <f t="array" ref="H282">INDEX('GLOBAL LOG'!#REF!,ROW()-169+15)</f>
        <v>#REF!</v>
      </c>
      <c r="I282" s="23" t="e">
        <f>_xlfn.XLOOKUP(H282,#REF!,#REF!,"",0,1)</f>
        <v>#REF!</v>
      </c>
      <c r="J282" s="23" t="str">
        <f>IFERROR(I282*#REF!,"")</f>
        <v/>
      </c>
      <c r="K282" s="23" t="e" cm="1">
        <f t="array" ref="K282">INDEX('GLOBAL LOG'!#REF!,ROW()-169+15)</f>
        <v>#REF!</v>
      </c>
      <c r="L282" s="23" t="e">
        <f>_xlfn.XLOOKUP(K282,#REF!,#REF!,"",0,1)</f>
        <v>#REF!</v>
      </c>
      <c r="M282" s="23" t="str">
        <f>IFERROR(L282*#REF!,"")</f>
        <v/>
      </c>
      <c r="N282" s="23">
        <f t="shared" si="14"/>
        <v>-1</v>
      </c>
      <c r="O282" s="23">
        <f t="shared" si="15"/>
        <v>-1</v>
      </c>
      <c r="P282" s="23">
        <f t="shared" si="16"/>
        <v>-1</v>
      </c>
      <c r="Q282" s="24">
        <f t="shared" si="17"/>
        <v>-1</v>
      </c>
      <c r="R282" s="3"/>
      <c r="S282" s="1" t="str">
        <v xml:space="preserve"> </v>
      </c>
      <c r="T282" s="24">
        <v>-1</v>
      </c>
      <c r="U282"/>
      <c r="V282" s="1" t="str">
        <v xml:space="preserve"> </v>
      </c>
      <c r="W282" s="24">
        <v>-1</v>
      </c>
      <c r="X282"/>
      <c r="Y282" s="1" t="str">
        <v xml:space="preserve"> </v>
      </c>
      <c r="Z282" s="24">
        <v>-1</v>
      </c>
      <c r="AA282"/>
      <c r="AB282" s="1" t="str">
        <v xml:space="preserve"> </v>
      </c>
      <c r="AC282" s="24">
        <v>-1</v>
      </c>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row>
    <row r="283" spans="2:97">
      <c r="B283"/>
      <c r="C283" s="15" t="str">
        <v xml:space="preserve"> </v>
      </c>
      <c r="D283" s="23"/>
      <c r="E283" s="23">
        <v>0</v>
      </c>
      <c r="F283" s="23">
        <v>0</v>
      </c>
      <c r="G283" s="23">
        <f t="shared" si="13"/>
        <v>0</v>
      </c>
      <c r="H283" s="23" t="e" cm="1">
        <f t="array" ref="H283">INDEX('GLOBAL LOG'!#REF!,ROW()-169+15)</f>
        <v>#REF!</v>
      </c>
      <c r="I283" s="23" t="e">
        <f>_xlfn.XLOOKUP(H283,#REF!,#REF!,"",0,1)</f>
        <v>#REF!</v>
      </c>
      <c r="J283" s="23" t="str">
        <f>IFERROR(I283*#REF!,"")</f>
        <v/>
      </c>
      <c r="K283" s="23" t="e" cm="1">
        <f t="array" ref="K283">INDEX('GLOBAL LOG'!#REF!,ROW()-169+15)</f>
        <v>#REF!</v>
      </c>
      <c r="L283" s="23" t="e">
        <f>_xlfn.XLOOKUP(K283,#REF!,#REF!,"",0,1)</f>
        <v>#REF!</v>
      </c>
      <c r="M283" s="23" t="str">
        <f>IFERROR(L283*#REF!,"")</f>
        <v/>
      </c>
      <c r="N283" s="23">
        <f t="shared" si="14"/>
        <v>-1</v>
      </c>
      <c r="O283" s="23">
        <f t="shared" si="15"/>
        <v>-1</v>
      </c>
      <c r="P283" s="23">
        <f t="shared" si="16"/>
        <v>-1</v>
      </c>
      <c r="Q283" s="24">
        <f t="shared" si="17"/>
        <v>-1</v>
      </c>
      <c r="R283" s="3"/>
      <c r="S283" s="1" t="str">
        <v xml:space="preserve"> </v>
      </c>
      <c r="T283" s="24">
        <v>-1</v>
      </c>
      <c r="U283"/>
      <c r="V283" s="1" t="str">
        <v xml:space="preserve"> </v>
      </c>
      <c r="W283" s="24">
        <v>-1</v>
      </c>
      <c r="X283"/>
      <c r="Y283" s="1" t="str">
        <v xml:space="preserve"> </v>
      </c>
      <c r="Z283" s="24">
        <v>-1</v>
      </c>
      <c r="AA283"/>
      <c r="AB283" s="1" t="str">
        <v xml:space="preserve"> </v>
      </c>
      <c r="AC283" s="24">
        <v>-1</v>
      </c>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row>
    <row r="284" spans="2:97">
      <c r="B284"/>
      <c r="C284" s="15" t="str">
        <v xml:space="preserve"> </v>
      </c>
      <c r="D284" s="23"/>
      <c r="E284" s="23">
        <v>0</v>
      </c>
      <c r="F284" s="23">
        <v>0</v>
      </c>
      <c r="G284" s="23">
        <f t="shared" si="13"/>
        <v>0</v>
      </c>
      <c r="H284" s="23" t="e" cm="1">
        <f t="array" ref="H284">INDEX('GLOBAL LOG'!#REF!,ROW()-169+15)</f>
        <v>#REF!</v>
      </c>
      <c r="I284" s="23" t="e">
        <f>_xlfn.XLOOKUP(H284,#REF!,#REF!,"",0,1)</f>
        <v>#REF!</v>
      </c>
      <c r="J284" s="23" t="str">
        <f>IFERROR(I284*#REF!,"")</f>
        <v/>
      </c>
      <c r="K284" s="23" t="e" cm="1">
        <f t="array" ref="K284">INDEX('GLOBAL LOG'!#REF!,ROW()-169+15)</f>
        <v>#REF!</v>
      </c>
      <c r="L284" s="23" t="e">
        <f>_xlfn.XLOOKUP(K284,#REF!,#REF!,"",0,1)</f>
        <v>#REF!</v>
      </c>
      <c r="M284" s="23" t="str">
        <f>IFERROR(L284*#REF!,"")</f>
        <v/>
      </c>
      <c r="N284" s="23">
        <f t="shared" si="14"/>
        <v>-1</v>
      </c>
      <c r="O284" s="23">
        <f t="shared" si="15"/>
        <v>-1</v>
      </c>
      <c r="P284" s="23">
        <f t="shared" si="16"/>
        <v>-1</v>
      </c>
      <c r="Q284" s="24">
        <f t="shared" si="17"/>
        <v>-1</v>
      </c>
      <c r="R284" s="3"/>
      <c r="S284" s="1" t="str">
        <v xml:space="preserve"> </v>
      </c>
      <c r="T284" s="24">
        <v>-1</v>
      </c>
      <c r="U284"/>
      <c r="V284" s="1" t="str">
        <v xml:space="preserve"> </v>
      </c>
      <c r="W284" s="24">
        <v>-1</v>
      </c>
      <c r="X284"/>
      <c r="Y284" s="1" t="str">
        <v xml:space="preserve"> </v>
      </c>
      <c r="Z284" s="24">
        <v>-1</v>
      </c>
      <c r="AA284"/>
      <c r="AB284" s="1" t="str">
        <v xml:space="preserve"> </v>
      </c>
      <c r="AC284" s="24">
        <v>-1</v>
      </c>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row>
    <row r="285" spans="2:97">
      <c r="B285"/>
      <c r="C285" s="15" t="str">
        <v xml:space="preserve"> </v>
      </c>
      <c r="D285" s="23"/>
      <c r="E285" s="23">
        <v>0</v>
      </c>
      <c r="F285" s="23">
        <v>0</v>
      </c>
      <c r="G285" s="23">
        <f t="shared" si="13"/>
        <v>0</v>
      </c>
      <c r="H285" s="23" t="e" cm="1">
        <f t="array" ref="H285">INDEX('GLOBAL LOG'!#REF!,ROW()-169+15)</f>
        <v>#REF!</v>
      </c>
      <c r="I285" s="23" t="e">
        <f>_xlfn.XLOOKUP(H285,#REF!,#REF!,"",0,1)</f>
        <v>#REF!</v>
      </c>
      <c r="J285" s="23" t="str">
        <f>IFERROR(I285*#REF!,"")</f>
        <v/>
      </c>
      <c r="K285" s="23" t="e" cm="1">
        <f t="array" ref="K285">INDEX('GLOBAL LOG'!#REF!,ROW()-169+15)</f>
        <v>#REF!</v>
      </c>
      <c r="L285" s="23" t="e">
        <f>_xlfn.XLOOKUP(K285,#REF!,#REF!,"",0,1)</f>
        <v>#REF!</v>
      </c>
      <c r="M285" s="23" t="str">
        <f>IFERROR(L285*#REF!,"")</f>
        <v/>
      </c>
      <c r="N285" s="23">
        <f t="shared" si="14"/>
        <v>-1</v>
      </c>
      <c r="O285" s="23">
        <f t="shared" si="15"/>
        <v>-1</v>
      </c>
      <c r="P285" s="23">
        <f t="shared" si="16"/>
        <v>-1</v>
      </c>
      <c r="Q285" s="24">
        <f t="shared" si="17"/>
        <v>-1</v>
      </c>
      <c r="R285" s="3"/>
      <c r="S285" s="1" t="str">
        <v xml:space="preserve"> </v>
      </c>
      <c r="T285" s="24">
        <v>-1</v>
      </c>
      <c r="U285"/>
      <c r="V285" s="1" t="str">
        <v xml:space="preserve"> </v>
      </c>
      <c r="W285" s="24">
        <v>-1</v>
      </c>
      <c r="X285"/>
      <c r="Y285" s="1" t="str">
        <v xml:space="preserve"> </v>
      </c>
      <c r="Z285" s="24">
        <v>-1</v>
      </c>
      <c r="AA285"/>
      <c r="AB285" s="1" t="str">
        <v xml:space="preserve"> </v>
      </c>
      <c r="AC285" s="24">
        <v>-1</v>
      </c>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row>
    <row r="286" spans="2:97">
      <c r="B286"/>
      <c r="C286" s="15" t="str">
        <v xml:space="preserve"> </v>
      </c>
      <c r="D286" s="23"/>
      <c r="E286" s="23">
        <v>0</v>
      </c>
      <c r="F286" s="23">
        <v>0</v>
      </c>
      <c r="G286" s="23">
        <f t="shared" si="13"/>
        <v>0</v>
      </c>
      <c r="H286" s="23" t="e" cm="1">
        <f t="array" ref="H286">INDEX('GLOBAL LOG'!#REF!,ROW()-169+15)</f>
        <v>#REF!</v>
      </c>
      <c r="I286" s="23" t="e">
        <f>_xlfn.XLOOKUP(H286,#REF!,#REF!,"",0,1)</f>
        <v>#REF!</v>
      </c>
      <c r="J286" s="23" t="str">
        <f>IFERROR(I286*#REF!,"")</f>
        <v/>
      </c>
      <c r="K286" s="23" t="e" cm="1">
        <f t="array" ref="K286">INDEX('GLOBAL LOG'!#REF!,ROW()-169+15)</f>
        <v>#REF!</v>
      </c>
      <c r="L286" s="23" t="e">
        <f>_xlfn.XLOOKUP(K286,#REF!,#REF!,"",0,1)</f>
        <v>#REF!</v>
      </c>
      <c r="M286" s="23" t="str">
        <f>IFERROR(L286*#REF!,"")</f>
        <v/>
      </c>
      <c r="N286" s="23">
        <f t="shared" si="14"/>
        <v>-1</v>
      </c>
      <c r="O286" s="23">
        <f t="shared" si="15"/>
        <v>-1</v>
      </c>
      <c r="P286" s="23">
        <f t="shared" si="16"/>
        <v>-1</v>
      </c>
      <c r="Q286" s="24">
        <f t="shared" si="17"/>
        <v>-1</v>
      </c>
      <c r="R286" s="3"/>
      <c r="S286" s="1" t="str">
        <v xml:space="preserve"> </v>
      </c>
      <c r="T286" s="24">
        <v>-1</v>
      </c>
      <c r="U286"/>
      <c r="V286" s="1" t="str">
        <v xml:space="preserve"> </v>
      </c>
      <c r="W286" s="24">
        <v>-1</v>
      </c>
      <c r="X286"/>
      <c r="Y286" s="1" t="str">
        <v xml:space="preserve"> </v>
      </c>
      <c r="Z286" s="24">
        <v>-1</v>
      </c>
      <c r="AA286"/>
      <c r="AB286" s="1" t="str">
        <v xml:space="preserve"> </v>
      </c>
      <c r="AC286" s="24">
        <v>-1</v>
      </c>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row>
    <row r="287" spans="2:97">
      <c r="B287"/>
      <c r="C287" s="15" t="str">
        <v xml:space="preserve"> </v>
      </c>
      <c r="D287" s="23"/>
      <c r="E287" s="23">
        <v>0</v>
      </c>
      <c r="F287" s="23">
        <v>0</v>
      </c>
      <c r="G287" s="23">
        <f t="shared" si="13"/>
        <v>0</v>
      </c>
      <c r="H287" s="23" t="e" cm="1">
        <f t="array" ref="H287">INDEX('GLOBAL LOG'!#REF!,ROW()-169+15)</f>
        <v>#REF!</v>
      </c>
      <c r="I287" s="23" t="e">
        <f>_xlfn.XLOOKUP(H287,#REF!,#REF!,"",0,1)</f>
        <v>#REF!</v>
      </c>
      <c r="J287" s="23" t="str">
        <f>IFERROR(I287*#REF!,"")</f>
        <v/>
      </c>
      <c r="K287" s="23" t="e" cm="1">
        <f t="array" ref="K287">INDEX('GLOBAL LOG'!#REF!,ROW()-169+15)</f>
        <v>#REF!</v>
      </c>
      <c r="L287" s="23" t="e">
        <f>_xlfn.XLOOKUP(K287,#REF!,#REF!,"",0,1)</f>
        <v>#REF!</v>
      </c>
      <c r="M287" s="23" t="str">
        <f>IFERROR(L287*#REF!,"")</f>
        <v/>
      </c>
      <c r="N287" s="23">
        <f t="shared" si="14"/>
        <v>-1</v>
      </c>
      <c r="O287" s="23">
        <f t="shared" si="15"/>
        <v>-1</v>
      </c>
      <c r="P287" s="23">
        <f t="shared" si="16"/>
        <v>-1</v>
      </c>
      <c r="Q287" s="24">
        <f t="shared" si="17"/>
        <v>-1</v>
      </c>
      <c r="R287" s="3"/>
      <c r="S287" s="1" t="str">
        <v xml:space="preserve"> </v>
      </c>
      <c r="T287" s="24">
        <v>-1</v>
      </c>
      <c r="U287"/>
      <c r="V287" s="1" t="str">
        <v xml:space="preserve"> </v>
      </c>
      <c r="W287" s="24">
        <v>-1</v>
      </c>
      <c r="X287"/>
      <c r="Y287" s="1" t="str">
        <v xml:space="preserve"> </v>
      </c>
      <c r="Z287" s="24">
        <v>-1</v>
      </c>
      <c r="AA287"/>
      <c r="AB287" s="1" t="str">
        <v xml:space="preserve"> </v>
      </c>
      <c r="AC287" s="24">
        <v>-1</v>
      </c>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row>
    <row r="288" spans="2:97">
      <c r="B288"/>
      <c r="C288" s="15" t="str">
        <v xml:space="preserve"> </v>
      </c>
      <c r="D288" s="23"/>
      <c r="E288" s="23">
        <v>0</v>
      </c>
      <c r="F288" s="23">
        <v>0</v>
      </c>
      <c r="G288" s="23">
        <f t="shared" si="13"/>
        <v>0</v>
      </c>
      <c r="H288" s="23" t="e" cm="1">
        <f t="array" ref="H288">INDEX('GLOBAL LOG'!#REF!,ROW()-169+15)</f>
        <v>#REF!</v>
      </c>
      <c r="I288" s="23" t="e">
        <f>_xlfn.XLOOKUP(H288,#REF!,#REF!,"",0,1)</f>
        <v>#REF!</v>
      </c>
      <c r="J288" s="23" t="str">
        <f>IFERROR(I288*#REF!,"")</f>
        <v/>
      </c>
      <c r="K288" s="23" t="e" cm="1">
        <f t="array" ref="K288">INDEX('GLOBAL LOG'!#REF!,ROW()-169+15)</f>
        <v>#REF!</v>
      </c>
      <c r="L288" s="23" t="e">
        <f>_xlfn.XLOOKUP(K288,#REF!,#REF!,"",0,1)</f>
        <v>#REF!</v>
      </c>
      <c r="M288" s="23" t="str">
        <f>IFERROR(L288*#REF!,"")</f>
        <v/>
      </c>
      <c r="N288" s="23">
        <f t="shared" si="14"/>
        <v>-1</v>
      </c>
      <c r="O288" s="23">
        <f t="shared" si="15"/>
        <v>-1</v>
      </c>
      <c r="P288" s="23">
        <f t="shared" si="16"/>
        <v>-1</v>
      </c>
      <c r="Q288" s="24">
        <f t="shared" si="17"/>
        <v>-1</v>
      </c>
      <c r="R288" s="3"/>
      <c r="S288" s="1" t="str">
        <v xml:space="preserve"> </v>
      </c>
      <c r="T288" s="24">
        <v>-1</v>
      </c>
      <c r="U288"/>
      <c r="V288" s="1" t="str">
        <v xml:space="preserve"> </v>
      </c>
      <c r="W288" s="24">
        <v>-1</v>
      </c>
      <c r="X288"/>
      <c r="Y288" s="1" t="str">
        <v xml:space="preserve"> </v>
      </c>
      <c r="Z288" s="24">
        <v>-1</v>
      </c>
      <c r="AA288"/>
      <c r="AB288" s="1" t="str">
        <v xml:space="preserve"> </v>
      </c>
      <c r="AC288" s="24">
        <v>-1</v>
      </c>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row>
    <row r="289" spans="2:97">
      <c r="B289"/>
      <c r="C289" s="15" t="str">
        <v xml:space="preserve"> </v>
      </c>
      <c r="D289" s="23"/>
      <c r="E289" s="23">
        <v>0</v>
      </c>
      <c r="F289" s="23">
        <v>0</v>
      </c>
      <c r="G289" s="23">
        <f t="shared" si="13"/>
        <v>0</v>
      </c>
      <c r="H289" s="23" t="e" cm="1">
        <f t="array" ref="H289">INDEX('GLOBAL LOG'!#REF!,ROW()-169+15)</f>
        <v>#REF!</v>
      </c>
      <c r="I289" s="23" t="e">
        <f>_xlfn.XLOOKUP(H289,#REF!,#REF!,"",0,1)</f>
        <v>#REF!</v>
      </c>
      <c r="J289" s="23" t="str">
        <f>IFERROR(I289*#REF!,"")</f>
        <v/>
      </c>
      <c r="K289" s="23" t="e" cm="1">
        <f t="array" ref="K289">INDEX('GLOBAL LOG'!#REF!,ROW()-169+15)</f>
        <v>#REF!</v>
      </c>
      <c r="L289" s="23" t="e">
        <f>_xlfn.XLOOKUP(K289,#REF!,#REF!,"",0,1)</f>
        <v>#REF!</v>
      </c>
      <c r="M289" s="23" t="str">
        <f>IFERROR(L289*#REF!,"")</f>
        <v/>
      </c>
      <c r="N289" s="23">
        <f t="shared" si="14"/>
        <v>-1</v>
      </c>
      <c r="O289" s="23">
        <f t="shared" si="15"/>
        <v>-1</v>
      </c>
      <c r="P289" s="23">
        <f t="shared" si="16"/>
        <v>-1</v>
      </c>
      <c r="Q289" s="24">
        <f t="shared" si="17"/>
        <v>-1</v>
      </c>
      <c r="R289" s="3"/>
      <c r="S289" s="1" t="str">
        <v xml:space="preserve"> </v>
      </c>
      <c r="T289" s="24">
        <v>-1</v>
      </c>
      <c r="U289"/>
      <c r="V289" s="1" t="str">
        <v xml:space="preserve"> </v>
      </c>
      <c r="W289" s="24">
        <v>-1</v>
      </c>
      <c r="X289"/>
      <c r="Y289" s="1" t="str">
        <v xml:space="preserve"> </v>
      </c>
      <c r="Z289" s="24">
        <v>-1</v>
      </c>
      <c r="AA289"/>
      <c r="AB289" s="1" t="str">
        <v xml:space="preserve"> </v>
      </c>
      <c r="AC289" s="24">
        <v>-1</v>
      </c>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row>
    <row r="290" spans="2:97">
      <c r="B290"/>
      <c r="C290" s="15" t="str">
        <v xml:space="preserve"> </v>
      </c>
      <c r="D290" s="23"/>
      <c r="E290" s="23">
        <v>0</v>
      </c>
      <c r="F290" s="23">
        <v>0</v>
      </c>
      <c r="G290" s="23">
        <f t="shared" si="13"/>
        <v>0</v>
      </c>
      <c r="H290" s="23" t="e" cm="1">
        <f t="array" ref="H290">INDEX('GLOBAL LOG'!#REF!,ROW()-169+15)</f>
        <v>#REF!</v>
      </c>
      <c r="I290" s="23" t="e">
        <f>_xlfn.XLOOKUP(H290,#REF!,#REF!,"",0,1)</f>
        <v>#REF!</v>
      </c>
      <c r="J290" s="23" t="str">
        <f>IFERROR(I290*#REF!,"")</f>
        <v/>
      </c>
      <c r="K290" s="23" t="e" cm="1">
        <f t="array" ref="K290">INDEX('GLOBAL LOG'!#REF!,ROW()-169+15)</f>
        <v>#REF!</v>
      </c>
      <c r="L290" s="23" t="e">
        <f>_xlfn.XLOOKUP(K290,#REF!,#REF!,"",0,1)</f>
        <v>#REF!</v>
      </c>
      <c r="M290" s="23" t="str">
        <f>IFERROR(L290*#REF!,"")</f>
        <v/>
      </c>
      <c r="N290" s="23">
        <f t="shared" si="14"/>
        <v>-1</v>
      </c>
      <c r="O290" s="23">
        <f t="shared" si="15"/>
        <v>-1</v>
      </c>
      <c r="P290" s="23">
        <f t="shared" si="16"/>
        <v>-1</v>
      </c>
      <c r="Q290" s="24">
        <f t="shared" si="17"/>
        <v>-1</v>
      </c>
      <c r="R290" s="3"/>
      <c r="S290" s="1" t="str">
        <v xml:space="preserve"> </v>
      </c>
      <c r="T290" s="24">
        <v>-1</v>
      </c>
      <c r="U290"/>
      <c r="V290" s="1" t="str">
        <v xml:space="preserve"> </v>
      </c>
      <c r="W290" s="24">
        <v>-1</v>
      </c>
      <c r="X290"/>
      <c r="Y290" s="1" t="str">
        <v xml:space="preserve"> </v>
      </c>
      <c r="Z290" s="24">
        <v>-1</v>
      </c>
      <c r="AA290"/>
      <c r="AB290" s="1" t="str">
        <v xml:space="preserve"> </v>
      </c>
      <c r="AC290" s="24">
        <v>-1</v>
      </c>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row>
    <row r="291" spans="2:97">
      <c r="B291"/>
      <c r="C291" s="15" t="str">
        <v xml:space="preserve"> </v>
      </c>
      <c r="D291" s="23"/>
      <c r="E291" s="23">
        <v>0</v>
      </c>
      <c r="F291" s="23">
        <v>0</v>
      </c>
      <c r="G291" s="23">
        <f t="shared" si="13"/>
        <v>0</v>
      </c>
      <c r="H291" s="23" t="e" cm="1">
        <f t="array" ref="H291">INDEX('GLOBAL LOG'!#REF!,ROW()-169+15)</f>
        <v>#REF!</v>
      </c>
      <c r="I291" s="23" t="e">
        <f>_xlfn.XLOOKUP(H291,#REF!,#REF!,"",0,1)</f>
        <v>#REF!</v>
      </c>
      <c r="J291" s="23" t="str">
        <f>IFERROR(I291*#REF!,"")</f>
        <v/>
      </c>
      <c r="K291" s="23" t="e" cm="1">
        <f t="array" ref="K291">INDEX('GLOBAL LOG'!#REF!,ROW()-169+15)</f>
        <v>#REF!</v>
      </c>
      <c r="L291" s="23" t="e">
        <f>_xlfn.XLOOKUP(K291,#REF!,#REF!,"",0,1)</f>
        <v>#REF!</v>
      </c>
      <c r="M291" s="23" t="str">
        <f>IFERROR(L291*#REF!,"")</f>
        <v/>
      </c>
      <c r="N291" s="23">
        <f t="shared" si="14"/>
        <v>-1</v>
      </c>
      <c r="O291" s="23">
        <f t="shared" si="15"/>
        <v>-1</v>
      </c>
      <c r="P291" s="23">
        <f t="shared" si="16"/>
        <v>-1</v>
      </c>
      <c r="Q291" s="24">
        <f t="shared" si="17"/>
        <v>-1</v>
      </c>
      <c r="R291" s="3"/>
      <c r="S291" s="1" t="str">
        <v xml:space="preserve"> </v>
      </c>
      <c r="T291" s="24">
        <v>-1</v>
      </c>
      <c r="U291"/>
      <c r="V291" s="1" t="str">
        <v xml:space="preserve"> </v>
      </c>
      <c r="W291" s="24">
        <v>-1</v>
      </c>
      <c r="X291"/>
      <c r="Y291" s="1" t="str">
        <v xml:space="preserve"> </v>
      </c>
      <c r="Z291" s="24">
        <v>-1</v>
      </c>
      <c r="AA291"/>
      <c r="AB291" s="1" t="str">
        <v xml:space="preserve"> </v>
      </c>
      <c r="AC291" s="24">
        <v>-1</v>
      </c>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row>
    <row r="292" spans="2:97">
      <c r="B292"/>
      <c r="C292" s="15"/>
      <c r="D292" s="23"/>
      <c r="E292" s="23"/>
      <c r="F292" s="23"/>
      <c r="G292" s="23">
        <f t="shared" si="13"/>
        <v>0</v>
      </c>
      <c r="H292" s="23" t="e" cm="1">
        <f t="array" ref="H292">INDEX('GLOBAL LOG'!#REF!,ROW()-169+15)</f>
        <v>#REF!</v>
      </c>
      <c r="I292" s="23" t="e">
        <f>_xlfn.XLOOKUP(H292,#REF!,#REF!,"",0,1)</f>
        <v>#REF!</v>
      </c>
      <c r="J292" s="23" t="str">
        <f>IFERROR(I292*#REF!,"")</f>
        <v/>
      </c>
      <c r="K292" s="23" t="e" cm="1">
        <f t="array" ref="K292">INDEX('GLOBAL LOG'!#REF!,ROW()-169+15)</f>
        <v>#REF!</v>
      </c>
      <c r="L292" s="23" t="e">
        <f>_xlfn.XLOOKUP(K292,#REF!,#REF!,"",0,1)</f>
        <v>#REF!</v>
      </c>
      <c r="M292" s="23" t="str">
        <f>IFERROR(L292*#REF!,"")</f>
        <v/>
      </c>
      <c r="N292" s="23">
        <f t="shared" si="14"/>
        <v>-1</v>
      </c>
      <c r="O292" s="23">
        <f t="shared" si="15"/>
        <v>-1</v>
      </c>
      <c r="P292" s="23">
        <f t="shared" si="16"/>
        <v>-1</v>
      </c>
      <c r="Q292" s="24">
        <f t="shared" si="17"/>
        <v>-1</v>
      </c>
      <c r="R292" s="3"/>
      <c r="S292" s="1">
        <v>0</v>
      </c>
      <c r="T292" s="24">
        <v>-1</v>
      </c>
      <c r="U292"/>
      <c r="V292" s="1">
        <v>0</v>
      </c>
      <c r="W292" s="24">
        <v>-1</v>
      </c>
      <c r="X292"/>
      <c r="Y292" s="1">
        <v>0</v>
      </c>
      <c r="Z292" s="24">
        <v>-1</v>
      </c>
      <c r="AA292"/>
      <c r="AB292" s="1">
        <v>0</v>
      </c>
      <c r="AC292" s="24">
        <v>-1</v>
      </c>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row>
    <row r="293" spans="2:97">
      <c r="B293"/>
      <c r="C293" s="15"/>
      <c r="D293" s="23"/>
      <c r="E293" s="23"/>
      <c r="F293" s="23"/>
      <c r="G293" s="23">
        <f t="shared" si="13"/>
        <v>0</v>
      </c>
      <c r="H293" s="23" t="e" cm="1">
        <f t="array" ref="H293">INDEX('GLOBAL LOG'!#REF!,ROW()-169+15)</f>
        <v>#REF!</v>
      </c>
      <c r="I293" s="23" t="e">
        <f>_xlfn.XLOOKUP(H293,#REF!,#REF!,"",0,1)</f>
        <v>#REF!</v>
      </c>
      <c r="J293" s="23" t="str">
        <f>IFERROR(I293*#REF!,"")</f>
        <v/>
      </c>
      <c r="K293" s="23" t="e" cm="1">
        <f t="array" ref="K293">INDEX('GLOBAL LOG'!#REF!,ROW()-169+15)</f>
        <v>#REF!</v>
      </c>
      <c r="L293" s="23" t="e">
        <f>_xlfn.XLOOKUP(K293,#REF!,#REF!,"",0,1)</f>
        <v>#REF!</v>
      </c>
      <c r="M293" s="23" t="str">
        <f>IFERROR(L293*#REF!,"")</f>
        <v/>
      </c>
      <c r="N293" s="23">
        <f t="shared" si="14"/>
        <v>-1</v>
      </c>
      <c r="O293" s="23">
        <f t="shared" si="15"/>
        <v>-1</v>
      </c>
      <c r="P293" s="23">
        <f t="shared" si="16"/>
        <v>-1</v>
      </c>
      <c r="Q293" s="24">
        <f t="shared" si="17"/>
        <v>-1</v>
      </c>
      <c r="R293" s="3"/>
      <c r="S293" s="1">
        <v>0</v>
      </c>
      <c r="T293" s="24">
        <v>-1</v>
      </c>
      <c r="U293"/>
      <c r="V293" s="1">
        <v>0</v>
      </c>
      <c r="W293" s="24">
        <v>-1</v>
      </c>
      <c r="X293"/>
      <c r="Y293" s="1">
        <v>0</v>
      </c>
      <c r="Z293" s="24">
        <v>-1</v>
      </c>
      <c r="AA293"/>
      <c r="AB293" s="1">
        <v>0</v>
      </c>
      <c r="AC293" s="24">
        <v>-1</v>
      </c>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row>
    <row r="294" spans="2:97">
      <c r="B294"/>
      <c r="C294" s="15"/>
      <c r="D294" s="23"/>
      <c r="E294" s="23"/>
      <c r="F294" s="23"/>
      <c r="G294" s="23">
        <f t="shared" si="13"/>
        <v>0</v>
      </c>
      <c r="H294" s="23" t="e" cm="1">
        <f t="array" ref="H294">INDEX('GLOBAL LOG'!#REF!,ROW()-169+15)</f>
        <v>#REF!</v>
      </c>
      <c r="I294" s="23" t="e">
        <f>_xlfn.XLOOKUP(H294,#REF!,#REF!,"",0,1)</f>
        <v>#REF!</v>
      </c>
      <c r="J294" s="23" t="str">
        <f>IFERROR(I294*#REF!,"")</f>
        <v/>
      </c>
      <c r="K294" s="23" t="e" cm="1">
        <f t="array" ref="K294">INDEX('GLOBAL LOG'!#REF!,ROW()-169+15)</f>
        <v>#REF!</v>
      </c>
      <c r="L294" s="23" t="e">
        <f>_xlfn.XLOOKUP(K294,#REF!,#REF!,"",0,1)</f>
        <v>#REF!</v>
      </c>
      <c r="M294" s="23" t="str">
        <f>IFERROR(L294*#REF!,"")</f>
        <v/>
      </c>
      <c r="N294" s="23">
        <f t="shared" si="14"/>
        <v>-1</v>
      </c>
      <c r="O294" s="23">
        <f t="shared" si="15"/>
        <v>-1</v>
      </c>
      <c r="P294" s="23">
        <f t="shared" si="16"/>
        <v>-1</v>
      </c>
      <c r="Q294" s="24">
        <f t="shared" si="17"/>
        <v>-1</v>
      </c>
      <c r="R294" s="3"/>
      <c r="S294" s="1">
        <v>0</v>
      </c>
      <c r="T294" s="24">
        <v>-1</v>
      </c>
      <c r="U294"/>
      <c r="V294" s="1">
        <v>0</v>
      </c>
      <c r="W294" s="24">
        <v>-1</v>
      </c>
      <c r="X294"/>
      <c r="Y294" s="1">
        <v>0</v>
      </c>
      <c r="Z294" s="24">
        <v>-1</v>
      </c>
      <c r="AA294"/>
      <c r="AB294" s="1">
        <v>0</v>
      </c>
      <c r="AC294" s="24">
        <v>-1</v>
      </c>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row>
    <row r="295" spans="2:97">
      <c r="B295"/>
      <c r="C295" s="15"/>
      <c r="D295" s="23"/>
      <c r="E295" s="23"/>
      <c r="F295" s="23"/>
      <c r="G295" s="23">
        <f t="shared" si="13"/>
        <v>0</v>
      </c>
      <c r="H295" s="23" t="e" cm="1">
        <f t="array" ref="H295">INDEX('GLOBAL LOG'!#REF!,ROW()-169+15)</f>
        <v>#REF!</v>
      </c>
      <c r="I295" s="23" t="e">
        <f>_xlfn.XLOOKUP(H295,#REF!,#REF!,"",0,1)</f>
        <v>#REF!</v>
      </c>
      <c r="J295" s="23" t="str">
        <f>IFERROR(I295*#REF!,"")</f>
        <v/>
      </c>
      <c r="K295" s="23" t="e" cm="1">
        <f t="array" ref="K295">INDEX('GLOBAL LOG'!#REF!,ROW()-169+15)</f>
        <v>#REF!</v>
      </c>
      <c r="L295" s="23" t="e">
        <f>_xlfn.XLOOKUP(K295,#REF!,#REF!,"",0,1)</f>
        <v>#REF!</v>
      </c>
      <c r="M295" s="23" t="str">
        <f>IFERROR(L295*#REF!,"")</f>
        <v/>
      </c>
      <c r="N295" s="23">
        <f t="shared" si="14"/>
        <v>-1</v>
      </c>
      <c r="O295" s="23">
        <f t="shared" si="15"/>
        <v>-1</v>
      </c>
      <c r="P295" s="23">
        <f t="shared" si="16"/>
        <v>-1</v>
      </c>
      <c r="Q295" s="24">
        <f t="shared" si="17"/>
        <v>-1</v>
      </c>
      <c r="R295" s="3"/>
      <c r="S295" s="1">
        <v>0</v>
      </c>
      <c r="T295" s="24">
        <v>-1</v>
      </c>
      <c r="U295"/>
      <c r="V295" s="1">
        <v>0</v>
      </c>
      <c r="W295" s="24">
        <v>-1</v>
      </c>
      <c r="X295"/>
      <c r="Y295" s="1">
        <v>0</v>
      </c>
      <c r="Z295" s="24">
        <v>-1</v>
      </c>
      <c r="AA295"/>
      <c r="AB295" s="1">
        <v>0</v>
      </c>
      <c r="AC295" s="24">
        <v>-1</v>
      </c>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row>
    <row r="296" spans="2:97">
      <c r="B296"/>
      <c r="C296" s="15"/>
      <c r="D296" s="23"/>
      <c r="E296" s="23"/>
      <c r="F296" s="23"/>
      <c r="G296" s="23">
        <f t="shared" si="13"/>
        <v>0</v>
      </c>
      <c r="H296" s="23" t="e" cm="1">
        <f t="array" ref="H296">INDEX('GLOBAL LOG'!#REF!,ROW()-169+15)</f>
        <v>#REF!</v>
      </c>
      <c r="I296" s="23" t="e">
        <f>_xlfn.XLOOKUP(H296,#REF!,#REF!,"",0,1)</f>
        <v>#REF!</v>
      </c>
      <c r="J296" s="23" t="str">
        <f>IFERROR(I296*#REF!,"")</f>
        <v/>
      </c>
      <c r="K296" s="23" t="e" cm="1">
        <f t="array" ref="K296">INDEX('GLOBAL LOG'!#REF!,ROW()-169+15)</f>
        <v>#REF!</v>
      </c>
      <c r="L296" s="23" t="e">
        <f>_xlfn.XLOOKUP(K296,#REF!,#REF!,"",0,1)</f>
        <v>#REF!</v>
      </c>
      <c r="M296" s="23" t="str">
        <f>IFERROR(L296*#REF!,"")</f>
        <v/>
      </c>
      <c r="N296" s="23">
        <f t="shared" si="14"/>
        <v>-1</v>
      </c>
      <c r="O296" s="23">
        <f t="shared" si="15"/>
        <v>-1</v>
      </c>
      <c r="P296" s="23">
        <f t="shared" si="16"/>
        <v>-1</v>
      </c>
      <c r="Q296" s="24">
        <f t="shared" si="17"/>
        <v>-1</v>
      </c>
      <c r="R296" s="3"/>
      <c r="S296" s="1">
        <v>0</v>
      </c>
      <c r="T296" s="24">
        <v>-1</v>
      </c>
      <c r="U296"/>
      <c r="V296" s="1">
        <v>0</v>
      </c>
      <c r="W296" s="24">
        <v>-1</v>
      </c>
      <c r="X296"/>
      <c r="Y296" s="1">
        <v>0</v>
      </c>
      <c r="Z296" s="24">
        <v>-1</v>
      </c>
      <c r="AA296"/>
      <c r="AB296" s="1">
        <v>0</v>
      </c>
      <c r="AC296" s="24">
        <v>-1</v>
      </c>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row>
    <row r="297" spans="2:97">
      <c r="B297"/>
      <c r="C297" s="15"/>
      <c r="D297" s="23"/>
      <c r="E297" s="23"/>
      <c r="F297" s="23"/>
      <c r="G297" s="23">
        <f t="shared" si="13"/>
        <v>0</v>
      </c>
      <c r="H297" s="23" t="e" cm="1">
        <f t="array" ref="H297">INDEX('GLOBAL LOG'!#REF!,ROW()-169+15)</f>
        <v>#REF!</v>
      </c>
      <c r="I297" s="23" t="e">
        <f>_xlfn.XLOOKUP(H297,#REF!,#REF!,"",0,1)</f>
        <v>#REF!</v>
      </c>
      <c r="J297" s="23" t="str">
        <f>IFERROR(I297*#REF!,"")</f>
        <v/>
      </c>
      <c r="K297" s="23" t="e" cm="1">
        <f t="array" ref="K297">INDEX('GLOBAL LOG'!#REF!,ROW()-169+15)</f>
        <v>#REF!</v>
      </c>
      <c r="L297" s="23" t="e">
        <f>_xlfn.XLOOKUP(K297,#REF!,#REF!,"",0,1)</f>
        <v>#REF!</v>
      </c>
      <c r="M297" s="23" t="str">
        <f>IFERROR(L297*#REF!,"")</f>
        <v/>
      </c>
      <c r="N297" s="23">
        <f t="shared" si="14"/>
        <v>-1</v>
      </c>
      <c r="O297" s="23">
        <f t="shared" si="15"/>
        <v>-1</v>
      </c>
      <c r="P297" s="23">
        <f t="shared" si="16"/>
        <v>-1</v>
      </c>
      <c r="Q297" s="24">
        <f t="shared" si="17"/>
        <v>-1</v>
      </c>
      <c r="R297" s="3"/>
      <c r="S297" s="1">
        <v>0</v>
      </c>
      <c r="T297" s="24">
        <v>-1</v>
      </c>
      <c r="U297"/>
      <c r="V297" s="1">
        <v>0</v>
      </c>
      <c r="W297" s="24">
        <v>-1</v>
      </c>
      <c r="X297"/>
      <c r="Y297" s="1">
        <v>0</v>
      </c>
      <c r="Z297" s="24">
        <v>-1</v>
      </c>
      <c r="AA297"/>
      <c r="AB297" s="1">
        <v>0</v>
      </c>
      <c r="AC297" s="24">
        <v>-1</v>
      </c>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row>
    <row r="298" spans="2:97">
      <c r="B298"/>
      <c r="C298" s="15"/>
      <c r="D298" s="23"/>
      <c r="E298" s="23"/>
      <c r="F298" s="23"/>
      <c r="G298" s="23">
        <f t="shared" ref="G298:G361" si="18">E298+F298</f>
        <v>0</v>
      </c>
      <c r="H298" s="23" t="e" cm="1">
        <f t="array" ref="H298">INDEX('GLOBAL LOG'!#REF!,ROW()-169+15)</f>
        <v>#REF!</v>
      </c>
      <c r="I298" s="23" t="e">
        <f>_xlfn.XLOOKUP(H298,#REF!,#REF!,"",0,1)</f>
        <v>#REF!</v>
      </c>
      <c r="J298" s="23" t="str">
        <f>IFERROR(I298*#REF!,"")</f>
        <v/>
      </c>
      <c r="K298" s="23" t="e" cm="1">
        <f t="array" ref="K298">INDEX('GLOBAL LOG'!#REF!,ROW()-169+15)</f>
        <v>#REF!</v>
      </c>
      <c r="L298" s="23" t="e">
        <f>_xlfn.XLOOKUP(K298,#REF!,#REF!,"",0,1)</f>
        <v>#REF!</v>
      </c>
      <c r="M298" s="23" t="str">
        <f>IFERROR(L298*#REF!,"")</f>
        <v/>
      </c>
      <c r="N298" s="23">
        <f t="shared" ref="N298:N361" si="19">IFERROR(D298*J298*M298,-1)</f>
        <v>-1</v>
      </c>
      <c r="O298" s="23">
        <f t="shared" ref="O298:O361" si="20">IFERROR(E298*J298*M298,-1)</f>
        <v>-1</v>
      </c>
      <c r="P298" s="23">
        <f t="shared" ref="P298:P361" si="21">IFERROR(F298*J298*M298,-1)</f>
        <v>-1</v>
      </c>
      <c r="Q298" s="24">
        <f t="shared" ref="Q298:Q361" si="22">IFERROR(G298*J298*M298,-1)</f>
        <v>-1</v>
      </c>
      <c r="R298" s="3"/>
      <c r="S298" s="1">
        <v>0</v>
      </c>
      <c r="T298" s="24">
        <v>-1</v>
      </c>
      <c r="U298"/>
      <c r="V298" s="1">
        <v>0</v>
      </c>
      <c r="W298" s="24">
        <v>-1</v>
      </c>
      <c r="X298"/>
      <c r="Y298" s="1">
        <v>0</v>
      </c>
      <c r="Z298" s="24">
        <v>-1</v>
      </c>
      <c r="AA298"/>
      <c r="AB298" s="1">
        <v>0</v>
      </c>
      <c r="AC298" s="24">
        <v>-1</v>
      </c>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row>
    <row r="299" spans="2:97">
      <c r="B299"/>
      <c r="C299" s="15"/>
      <c r="D299" s="23"/>
      <c r="E299" s="23"/>
      <c r="F299" s="23"/>
      <c r="G299" s="23">
        <f t="shared" si="18"/>
        <v>0</v>
      </c>
      <c r="H299" s="23" t="e" cm="1">
        <f t="array" ref="H299">INDEX('GLOBAL LOG'!#REF!,ROW()-169+15)</f>
        <v>#REF!</v>
      </c>
      <c r="I299" s="23" t="e">
        <f>_xlfn.XLOOKUP(H299,#REF!,#REF!,"",0,1)</f>
        <v>#REF!</v>
      </c>
      <c r="J299" s="23" t="str">
        <f>IFERROR(I299*#REF!,"")</f>
        <v/>
      </c>
      <c r="K299" s="23" t="e" cm="1">
        <f t="array" ref="K299">INDEX('GLOBAL LOG'!#REF!,ROW()-169+15)</f>
        <v>#REF!</v>
      </c>
      <c r="L299" s="23" t="e">
        <f>_xlfn.XLOOKUP(K299,#REF!,#REF!,"",0,1)</f>
        <v>#REF!</v>
      </c>
      <c r="M299" s="23" t="str">
        <f>IFERROR(L299*#REF!,"")</f>
        <v/>
      </c>
      <c r="N299" s="23">
        <f t="shared" si="19"/>
        <v>-1</v>
      </c>
      <c r="O299" s="23">
        <f t="shared" si="20"/>
        <v>-1</v>
      </c>
      <c r="P299" s="23">
        <f t="shared" si="21"/>
        <v>-1</v>
      </c>
      <c r="Q299" s="24">
        <f t="shared" si="22"/>
        <v>-1</v>
      </c>
      <c r="R299" s="3"/>
      <c r="S299" s="1">
        <v>0</v>
      </c>
      <c r="T299" s="24">
        <v>-1</v>
      </c>
      <c r="U299"/>
      <c r="V299" s="1">
        <v>0</v>
      </c>
      <c r="W299" s="24">
        <v>-1</v>
      </c>
      <c r="X299"/>
      <c r="Y299" s="1">
        <v>0</v>
      </c>
      <c r="Z299" s="24">
        <v>-1</v>
      </c>
      <c r="AA299"/>
      <c r="AB299" s="1">
        <v>0</v>
      </c>
      <c r="AC299" s="24">
        <v>-1</v>
      </c>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row>
    <row r="300" spans="2:97">
      <c r="B300"/>
      <c r="C300" s="15"/>
      <c r="D300" s="23"/>
      <c r="E300" s="23"/>
      <c r="F300" s="23"/>
      <c r="G300" s="23">
        <f t="shared" si="18"/>
        <v>0</v>
      </c>
      <c r="H300" s="23" t="e" cm="1">
        <f t="array" ref="H300">INDEX('GLOBAL LOG'!#REF!,ROW()-169+15)</f>
        <v>#REF!</v>
      </c>
      <c r="I300" s="23" t="e">
        <f>_xlfn.XLOOKUP(H300,#REF!,#REF!,"",0,1)</f>
        <v>#REF!</v>
      </c>
      <c r="J300" s="23" t="str">
        <f>IFERROR(I300*#REF!,"")</f>
        <v/>
      </c>
      <c r="K300" s="23" t="e" cm="1">
        <f t="array" ref="K300">INDEX('GLOBAL LOG'!#REF!,ROW()-169+15)</f>
        <v>#REF!</v>
      </c>
      <c r="L300" s="23" t="e">
        <f>_xlfn.XLOOKUP(K300,#REF!,#REF!,"",0,1)</f>
        <v>#REF!</v>
      </c>
      <c r="M300" s="23" t="str">
        <f>IFERROR(L300*#REF!,"")</f>
        <v/>
      </c>
      <c r="N300" s="23">
        <f t="shared" si="19"/>
        <v>-1</v>
      </c>
      <c r="O300" s="23">
        <f t="shared" si="20"/>
        <v>-1</v>
      </c>
      <c r="P300" s="23">
        <f t="shared" si="21"/>
        <v>-1</v>
      </c>
      <c r="Q300" s="24">
        <f t="shared" si="22"/>
        <v>-1</v>
      </c>
      <c r="R300" s="3"/>
      <c r="S300" s="1">
        <v>0</v>
      </c>
      <c r="T300" s="24">
        <v>-1</v>
      </c>
      <c r="U300"/>
      <c r="V300" s="1">
        <v>0</v>
      </c>
      <c r="W300" s="24">
        <v>-1</v>
      </c>
      <c r="X300"/>
      <c r="Y300" s="1">
        <v>0</v>
      </c>
      <c r="Z300" s="24">
        <v>-1</v>
      </c>
      <c r="AA300"/>
      <c r="AB300" s="1">
        <v>0</v>
      </c>
      <c r="AC300" s="24">
        <v>-1</v>
      </c>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row>
    <row r="301" spans="2:97">
      <c r="B301"/>
      <c r="C301" s="15"/>
      <c r="D301" s="23"/>
      <c r="E301" s="23"/>
      <c r="F301" s="23"/>
      <c r="G301" s="23">
        <f t="shared" si="18"/>
        <v>0</v>
      </c>
      <c r="H301" s="23" t="e" cm="1">
        <f t="array" ref="H301">INDEX('GLOBAL LOG'!#REF!,ROW()-169+15)</f>
        <v>#REF!</v>
      </c>
      <c r="I301" s="23" t="e">
        <f>_xlfn.XLOOKUP(H301,#REF!,#REF!,"",0,1)</f>
        <v>#REF!</v>
      </c>
      <c r="J301" s="23" t="str">
        <f>IFERROR(I301*#REF!,"")</f>
        <v/>
      </c>
      <c r="K301" s="23" t="e" cm="1">
        <f t="array" ref="K301">INDEX('GLOBAL LOG'!#REF!,ROW()-169+15)</f>
        <v>#REF!</v>
      </c>
      <c r="L301" s="23" t="e">
        <f>_xlfn.XLOOKUP(K301,#REF!,#REF!,"",0,1)</f>
        <v>#REF!</v>
      </c>
      <c r="M301" s="23" t="str">
        <f>IFERROR(L301*#REF!,"")</f>
        <v/>
      </c>
      <c r="N301" s="23">
        <f t="shared" si="19"/>
        <v>-1</v>
      </c>
      <c r="O301" s="23">
        <f t="shared" si="20"/>
        <v>-1</v>
      </c>
      <c r="P301" s="23">
        <f t="shared" si="21"/>
        <v>-1</v>
      </c>
      <c r="Q301" s="24">
        <f t="shared" si="22"/>
        <v>-1</v>
      </c>
      <c r="R301" s="3"/>
      <c r="S301" s="1">
        <v>0</v>
      </c>
      <c r="T301" s="24">
        <v>-1</v>
      </c>
      <c r="U301"/>
      <c r="V301" s="1">
        <v>0</v>
      </c>
      <c r="W301" s="24">
        <v>-1</v>
      </c>
      <c r="X301"/>
      <c r="Y301" s="1">
        <v>0</v>
      </c>
      <c r="Z301" s="24">
        <v>-1</v>
      </c>
      <c r="AA301"/>
      <c r="AB301" s="1">
        <v>0</v>
      </c>
      <c r="AC301" s="24">
        <v>-1</v>
      </c>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row>
    <row r="302" spans="2:97">
      <c r="B302"/>
      <c r="C302" s="15"/>
      <c r="D302" s="23"/>
      <c r="E302" s="23"/>
      <c r="F302" s="23"/>
      <c r="G302" s="23">
        <f t="shared" si="18"/>
        <v>0</v>
      </c>
      <c r="H302" s="23" t="e" cm="1">
        <f t="array" ref="H302">INDEX('GLOBAL LOG'!#REF!,ROW()-169+15)</f>
        <v>#REF!</v>
      </c>
      <c r="I302" s="23" t="e">
        <f>_xlfn.XLOOKUP(H302,#REF!,#REF!,"",0,1)</f>
        <v>#REF!</v>
      </c>
      <c r="J302" s="23" t="str">
        <f>IFERROR(I302*#REF!,"")</f>
        <v/>
      </c>
      <c r="K302" s="23" t="e" cm="1">
        <f t="array" ref="K302">INDEX('GLOBAL LOG'!#REF!,ROW()-169+15)</f>
        <v>#REF!</v>
      </c>
      <c r="L302" s="23" t="e">
        <f>_xlfn.XLOOKUP(K302,#REF!,#REF!,"",0,1)</f>
        <v>#REF!</v>
      </c>
      <c r="M302" s="23" t="str">
        <f>IFERROR(L302*#REF!,"")</f>
        <v/>
      </c>
      <c r="N302" s="23">
        <f t="shared" si="19"/>
        <v>-1</v>
      </c>
      <c r="O302" s="23">
        <f t="shared" si="20"/>
        <v>-1</v>
      </c>
      <c r="P302" s="23">
        <f t="shared" si="21"/>
        <v>-1</v>
      </c>
      <c r="Q302" s="24">
        <f t="shared" si="22"/>
        <v>-1</v>
      </c>
      <c r="R302" s="3"/>
      <c r="S302" s="1">
        <v>0</v>
      </c>
      <c r="T302" s="24">
        <v>-1</v>
      </c>
      <c r="U302"/>
      <c r="V302" s="1">
        <v>0</v>
      </c>
      <c r="W302" s="24">
        <v>-1</v>
      </c>
      <c r="X302"/>
      <c r="Y302" s="1">
        <v>0</v>
      </c>
      <c r="Z302" s="24">
        <v>-1</v>
      </c>
      <c r="AA302"/>
      <c r="AB302" s="1">
        <v>0</v>
      </c>
      <c r="AC302" s="24">
        <v>-1</v>
      </c>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row>
    <row r="303" spans="2:97">
      <c r="B303"/>
      <c r="C303" s="15"/>
      <c r="D303" s="23"/>
      <c r="E303" s="23"/>
      <c r="F303" s="23"/>
      <c r="G303" s="23">
        <f t="shared" si="18"/>
        <v>0</v>
      </c>
      <c r="H303" s="23" t="e" cm="1">
        <f t="array" ref="H303">INDEX('GLOBAL LOG'!#REF!,ROW()-169+15)</f>
        <v>#REF!</v>
      </c>
      <c r="I303" s="23" t="e">
        <f>_xlfn.XLOOKUP(H303,#REF!,#REF!,"",0,1)</f>
        <v>#REF!</v>
      </c>
      <c r="J303" s="23" t="str">
        <f>IFERROR(I303*#REF!,"")</f>
        <v/>
      </c>
      <c r="K303" s="23" t="e" cm="1">
        <f t="array" ref="K303">INDEX('GLOBAL LOG'!#REF!,ROW()-169+15)</f>
        <v>#REF!</v>
      </c>
      <c r="L303" s="23" t="e">
        <f>_xlfn.XLOOKUP(K303,#REF!,#REF!,"",0,1)</f>
        <v>#REF!</v>
      </c>
      <c r="M303" s="23" t="str">
        <f>IFERROR(L303*#REF!,"")</f>
        <v/>
      </c>
      <c r="N303" s="23">
        <f t="shared" si="19"/>
        <v>-1</v>
      </c>
      <c r="O303" s="23">
        <f t="shared" si="20"/>
        <v>-1</v>
      </c>
      <c r="P303" s="23">
        <f t="shared" si="21"/>
        <v>-1</v>
      </c>
      <c r="Q303" s="24">
        <f t="shared" si="22"/>
        <v>-1</v>
      </c>
      <c r="R303" s="3"/>
      <c r="S303" s="1">
        <v>0</v>
      </c>
      <c r="T303" s="24">
        <v>-1</v>
      </c>
      <c r="U303"/>
      <c r="V303" s="1">
        <v>0</v>
      </c>
      <c r="W303" s="24">
        <v>-1</v>
      </c>
      <c r="X303"/>
      <c r="Y303" s="1">
        <v>0</v>
      </c>
      <c r="Z303" s="24">
        <v>-1</v>
      </c>
      <c r="AA303"/>
      <c r="AB303" s="1">
        <v>0</v>
      </c>
      <c r="AC303" s="24">
        <v>-1</v>
      </c>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row>
    <row r="304" spans="2:97">
      <c r="B304"/>
      <c r="C304" s="15"/>
      <c r="D304" s="23"/>
      <c r="E304" s="23"/>
      <c r="F304" s="23"/>
      <c r="G304" s="23">
        <f t="shared" si="18"/>
        <v>0</v>
      </c>
      <c r="H304" s="23" t="e" cm="1">
        <f t="array" ref="H304">INDEX('GLOBAL LOG'!#REF!,ROW()-169+15)</f>
        <v>#REF!</v>
      </c>
      <c r="I304" s="23" t="e">
        <f>_xlfn.XLOOKUP(H304,#REF!,#REF!,"",0,1)</f>
        <v>#REF!</v>
      </c>
      <c r="J304" s="23" t="str">
        <f>IFERROR(I304*#REF!,"")</f>
        <v/>
      </c>
      <c r="K304" s="23" t="e" cm="1">
        <f t="array" ref="K304">INDEX('GLOBAL LOG'!#REF!,ROW()-169+15)</f>
        <v>#REF!</v>
      </c>
      <c r="L304" s="23" t="e">
        <f>_xlfn.XLOOKUP(K304,#REF!,#REF!,"",0,1)</f>
        <v>#REF!</v>
      </c>
      <c r="M304" s="23" t="str">
        <f>IFERROR(L304*#REF!,"")</f>
        <v/>
      </c>
      <c r="N304" s="23">
        <f t="shared" si="19"/>
        <v>-1</v>
      </c>
      <c r="O304" s="23">
        <f t="shared" si="20"/>
        <v>-1</v>
      </c>
      <c r="P304" s="23">
        <f t="shared" si="21"/>
        <v>-1</v>
      </c>
      <c r="Q304" s="24">
        <f t="shared" si="22"/>
        <v>-1</v>
      </c>
      <c r="R304" s="3"/>
      <c r="S304" s="1">
        <v>0</v>
      </c>
      <c r="T304" s="24">
        <v>-1</v>
      </c>
      <c r="U304"/>
      <c r="V304" s="1">
        <v>0</v>
      </c>
      <c r="W304" s="24">
        <v>-1</v>
      </c>
      <c r="X304"/>
      <c r="Y304" s="1">
        <v>0</v>
      </c>
      <c r="Z304" s="24">
        <v>-1</v>
      </c>
      <c r="AA304"/>
      <c r="AB304" s="1">
        <v>0</v>
      </c>
      <c r="AC304" s="24">
        <v>-1</v>
      </c>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row>
    <row r="305" spans="2:97">
      <c r="B305"/>
      <c r="C305" s="15"/>
      <c r="D305" s="23"/>
      <c r="E305" s="23"/>
      <c r="F305" s="23"/>
      <c r="G305" s="23">
        <f t="shared" si="18"/>
        <v>0</v>
      </c>
      <c r="H305" s="23" t="e" cm="1">
        <f t="array" ref="H305">INDEX('GLOBAL LOG'!#REF!,ROW()-169+15)</f>
        <v>#REF!</v>
      </c>
      <c r="I305" s="23" t="e">
        <f>_xlfn.XLOOKUP(H305,#REF!,#REF!,"",0,1)</f>
        <v>#REF!</v>
      </c>
      <c r="J305" s="23" t="str">
        <f>IFERROR(I305*#REF!,"")</f>
        <v/>
      </c>
      <c r="K305" s="23" t="e" cm="1">
        <f t="array" ref="K305">INDEX('GLOBAL LOG'!#REF!,ROW()-169+15)</f>
        <v>#REF!</v>
      </c>
      <c r="L305" s="23" t="e">
        <f>_xlfn.XLOOKUP(K305,#REF!,#REF!,"",0,1)</f>
        <v>#REF!</v>
      </c>
      <c r="M305" s="23" t="str">
        <f>IFERROR(L305*#REF!,"")</f>
        <v/>
      </c>
      <c r="N305" s="23">
        <f t="shared" si="19"/>
        <v>-1</v>
      </c>
      <c r="O305" s="23">
        <f t="shared" si="20"/>
        <v>-1</v>
      </c>
      <c r="P305" s="23">
        <f t="shared" si="21"/>
        <v>-1</v>
      </c>
      <c r="Q305" s="24">
        <f t="shared" si="22"/>
        <v>-1</v>
      </c>
      <c r="R305" s="3"/>
      <c r="S305" s="1">
        <v>0</v>
      </c>
      <c r="T305" s="24">
        <v>-1</v>
      </c>
      <c r="U305"/>
      <c r="V305" s="1">
        <v>0</v>
      </c>
      <c r="W305" s="24">
        <v>-1</v>
      </c>
      <c r="X305"/>
      <c r="Y305" s="1">
        <v>0</v>
      </c>
      <c r="Z305" s="24">
        <v>-1</v>
      </c>
      <c r="AA305"/>
      <c r="AB305" s="1">
        <v>0</v>
      </c>
      <c r="AC305" s="24">
        <v>-1</v>
      </c>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row>
    <row r="306" spans="2:97">
      <c r="B306"/>
      <c r="C306" s="15"/>
      <c r="D306" s="23"/>
      <c r="E306" s="23"/>
      <c r="F306" s="23"/>
      <c r="G306" s="23">
        <f t="shared" si="18"/>
        <v>0</v>
      </c>
      <c r="H306" s="23" t="e" cm="1">
        <f t="array" ref="H306">INDEX('GLOBAL LOG'!#REF!,ROW()-169+15)</f>
        <v>#REF!</v>
      </c>
      <c r="I306" s="23" t="e">
        <f>_xlfn.XLOOKUP(H306,#REF!,#REF!,"",0,1)</f>
        <v>#REF!</v>
      </c>
      <c r="J306" s="23" t="str">
        <f>IFERROR(I306*#REF!,"")</f>
        <v/>
      </c>
      <c r="K306" s="23" t="e" cm="1">
        <f t="array" ref="K306">INDEX('GLOBAL LOG'!#REF!,ROW()-169+15)</f>
        <v>#REF!</v>
      </c>
      <c r="L306" s="23" t="e">
        <f>_xlfn.XLOOKUP(K306,#REF!,#REF!,"",0,1)</f>
        <v>#REF!</v>
      </c>
      <c r="M306" s="23" t="str">
        <f>IFERROR(L306*#REF!,"")</f>
        <v/>
      </c>
      <c r="N306" s="23">
        <f t="shared" si="19"/>
        <v>-1</v>
      </c>
      <c r="O306" s="23">
        <f t="shared" si="20"/>
        <v>-1</v>
      </c>
      <c r="P306" s="23">
        <f t="shared" si="21"/>
        <v>-1</v>
      </c>
      <c r="Q306" s="24">
        <f t="shared" si="22"/>
        <v>-1</v>
      </c>
      <c r="R306" s="3"/>
      <c r="S306" s="1">
        <v>0</v>
      </c>
      <c r="T306" s="24">
        <v>-1</v>
      </c>
      <c r="U306"/>
      <c r="V306" s="1">
        <v>0</v>
      </c>
      <c r="W306" s="24">
        <v>-1</v>
      </c>
      <c r="X306"/>
      <c r="Y306" s="1">
        <v>0</v>
      </c>
      <c r="Z306" s="24">
        <v>-1</v>
      </c>
      <c r="AA306"/>
      <c r="AB306" s="1">
        <v>0</v>
      </c>
      <c r="AC306" s="24">
        <v>-1</v>
      </c>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row>
    <row r="307" spans="2:97">
      <c r="B307"/>
      <c r="C307" s="15"/>
      <c r="D307" s="23"/>
      <c r="E307" s="23"/>
      <c r="F307" s="23"/>
      <c r="G307" s="23">
        <f t="shared" si="18"/>
        <v>0</v>
      </c>
      <c r="H307" s="23" t="e" cm="1">
        <f t="array" ref="H307">INDEX('GLOBAL LOG'!#REF!,ROW()-169+15)</f>
        <v>#REF!</v>
      </c>
      <c r="I307" s="23" t="e">
        <f>_xlfn.XLOOKUP(H307,#REF!,#REF!,"",0,1)</f>
        <v>#REF!</v>
      </c>
      <c r="J307" s="23" t="str">
        <f>IFERROR(I307*#REF!,"")</f>
        <v/>
      </c>
      <c r="K307" s="23" t="e" cm="1">
        <f t="array" ref="K307">INDEX('GLOBAL LOG'!#REF!,ROW()-169+15)</f>
        <v>#REF!</v>
      </c>
      <c r="L307" s="23" t="e">
        <f>_xlfn.XLOOKUP(K307,#REF!,#REF!,"",0,1)</f>
        <v>#REF!</v>
      </c>
      <c r="M307" s="23" t="str">
        <f>IFERROR(L307*#REF!,"")</f>
        <v/>
      </c>
      <c r="N307" s="23">
        <f t="shared" si="19"/>
        <v>-1</v>
      </c>
      <c r="O307" s="23">
        <f t="shared" si="20"/>
        <v>-1</v>
      </c>
      <c r="P307" s="23">
        <f t="shared" si="21"/>
        <v>-1</v>
      </c>
      <c r="Q307" s="24">
        <f t="shared" si="22"/>
        <v>-1</v>
      </c>
      <c r="R307" s="3"/>
      <c r="S307" s="1">
        <v>0</v>
      </c>
      <c r="T307" s="24">
        <v>-1</v>
      </c>
      <c r="U307"/>
      <c r="V307" s="1">
        <v>0</v>
      </c>
      <c r="W307" s="24">
        <v>-1</v>
      </c>
      <c r="X307"/>
      <c r="Y307" s="1">
        <v>0</v>
      </c>
      <c r="Z307" s="24">
        <v>-1</v>
      </c>
      <c r="AA307"/>
      <c r="AB307" s="1">
        <v>0</v>
      </c>
      <c r="AC307" s="24">
        <v>-1</v>
      </c>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row>
    <row r="308" spans="2:97">
      <c r="B308"/>
      <c r="C308" s="15"/>
      <c r="D308" s="23"/>
      <c r="E308" s="23"/>
      <c r="F308" s="23"/>
      <c r="G308" s="23">
        <f t="shared" si="18"/>
        <v>0</v>
      </c>
      <c r="H308" s="23" t="e" cm="1">
        <f t="array" ref="H308">INDEX('GLOBAL LOG'!#REF!,ROW()-169+15)</f>
        <v>#REF!</v>
      </c>
      <c r="I308" s="23" t="e">
        <f>_xlfn.XLOOKUP(H308,#REF!,#REF!,"",0,1)</f>
        <v>#REF!</v>
      </c>
      <c r="J308" s="23" t="str">
        <f>IFERROR(I308*#REF!,"")</f>
        <v/>
      </c>
      <c r="K308" s="23" t="e" cm="1">
        <f t="array" ref="K308">INDEX('GLOBAL LOG'!#REF!,ROW()-169+15)</f>
        <v>#REF!</v>
      </c>
      <c r="L308" s="23" t="e">
        <f>_xlfn.XLOOKUP(K308,#REF!,#REF!,"",0,1)</f>
        <v>#REF!</v>
      </c>
      <c r="M308" s="23" t="str">
        <f>IFERROR(L308*#REF!,"")</f>
        <v/>
      </c>
      <c r="N308" s="23">
        <f t="shared" si="19"/>
        <v>-1</v>
      </c>
      <c r="O308" s="23">
        <f t="shared" si="20"/>
        <v>-1</v>
      </c>
      <c r="P308" s="23">
        <f t="shared" si="21"/>
        <v>-1</v>
      </c>
      <c r="Q308" s="24">
        <f t="shared" si="22"/>
        <v>-1</v>
      </c>
      <c r="R308" s="3"/>
      <c r="S308" s="1">
        <v>0</v>
      </c>
      <c r="T308" s="24">
        <v>-1</v>
      </c>
      <c r="U308"/>
      <c r="V308" s="1">
        <v>0</v>
      </c>
      <c r="W308" s="24">
        <v>-1</v>
      </c>
      <c r="X308"/>
      <c r="Y308" s="1">
        <v>0</v>
      </c>
      <c r="Z308" s="24">
        <v>-1</v>
      </c>
      <c r="AA308"/>
      <c r="AB308" s="1">
        <v>0</v>
      </c>
      <c r="AC308" s="24">
        <v>-1</v>
      </c>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row>
    <row r="309" spans="2:97">
      <c r="B309"/>
      <c r="C309" s="15"/>
      <c r="D309" s="23"/>
      <c r="E309" s="23"/>
      <c r="F309" s="23"/>
      <c r="G309" s="23">
        <f t="shared" si="18"/>
        <v>0</v>
      </c>
      <c r="H309" s="23" t="e" cm="1">
        <f t="array" ref="H309">INDEX('GLOBAL LOG'!#REF!,ROW()-169+15)</f>
        <v>#REF!</v>
      </c>
      <c r="I309" s="23" t="e">
        <f>_xlfn.XLOOKUP(H309,#REF!,#REF!,"",0,1)</f>
        <v>#REF!</v>
      </c>
      <c r="J309" s="23" t="str">
        <f>IFERROR(I309*#REF!,"")</f>
        <v/>
      </c>
      <c r="K309" s="23" t="e" cm="1">
        <f t="array" ref="K309">INDEX('GLOBAL LOG'!#REF!,ROW()-169+15)</f>
        <v>#REF!</v>
      </c>
      <c r="L309" s="23" t="e">
        <f>_xlfn.XLOOKUP(K309,#REF!,#REF!,"",0,1)</f>
        <v>#REF!</v>
      </c>
      <c r="M309" s="23" t="str">
        <f>IFERROR(L309*#REF!,"")</f>
        <v/>
      </c>
      <c r="N309" s="23">
        <f t="shared" si="19"/>
        <v>-1</v>
      </c>
      <c r="O309" s="23">
        <f t="shared" si="20"/>
        <v>-1</v>
      </c>
      <c r="P309" s="23">
        <f t="shared" si="21"/>
        <v>-1</v>
      </c>
      <c r="Q309" s="24">
        <f t="shared" si="22"/>
        <v>-1</v>
      </c>
      <c r="R309" s="3"/>
      <c r="S309" s="1">
        <v>0</v>
      </c>
      <c r="T309" s="24">
        <v>-1</v>
      </c>
      <c r="U309"/>
      <c r="V309" s="1">
        <v>0</v>
      </c>
      <c r="W309" s="24">
        <v>-1</v>
      </c>
      <c r="X309"/>
      <c r="Y309" s="1">
        <v>0</v>
      </c>
      <c r="Z309" s="24">
        <v>-1</v>
      </c>
      <c r="AA309"/>
      <c r="AB309" s="1">
        <v>0</v>
      </c>
      <c r="AC309" s="24">
        <v>-1</v>
      </c>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row>
    <row r="310" spans="2:97">
      <c r="B310"/>
      <c r="C310" s="15"/>
      <c r="D310" s="23"/>
      <c r="E310" s="23"/>
      <c r="F310" s="23"/>
      <c r="G310" s="23">
        <f t="shared" si="18"/>
        <v>0</v>
      </c>
      <c r="H310" s="23" t="e" cm="1">
        <f t="array" ref="H310">INDEX('GLOBAL LOG'!#REF!,ROW()-169+15)</f>
        <v>#REF!</v>
      </c>
      <c r="I310" s="23" t="e">
        <f>_xlfn.XLOOKUP(H310,#REF!,#REF!,"",0,1)</f>
        <v>#REF!</v>
      </c>
      <c r="J310" s="23" t="str">
        <f>IFERROR(I310*#REF!,"")</f>
        <v/>
      </c>
      <c r="K310" s="23" t="e" cm="1">
        <f t="array" ref="K310">INDEX('GLOBAL LOG'!#REF!,ROW()-169+15)</f>
        <v>#REF!</v>
      </c>
      <c r="L310" s="23" t="e">
        <f>_xlfn.XLOOKUP(K310,#REF!,#REF!,"",0,1)</f>
        <v>#REF!</v>
      </c>
      <c r="M310" s="23" t="str">
        <f>IFERROR(L310*#REF!,"")</f>
        <v/>
      </c>
      <c r="N310" s="23">
        <f t="shared" si="19"/>
        <v>-1</v>
      </c>
      <c r="O310" s="23">
        <f t="shared" si="20"/>
        <v>-1</v>
      </c>
      <c r="P310" s="23">
        <f t="shared" si="21"/>
        <v>-1</v>
      </c>
      <c r="Q310" s="24">
        <f t="shared" si="22"/>
        <v>-1</v>
      </c>
      <c r="R310" s="3"/>
      <c r="S310" s="1">
        <v>0</v>
      </c>
      <c r="T310" s="24">
        <v>-1</v>
      </c>
      <c r="U310"/>
      <c r="V310" s="1">
        <v>0</v>
      </c>
      <c r="W310" s="24">
        <v>-1</v>
      </c>
      <c r="X310"/>
      <c r="Y310" s="1">
        <v>0</v>
      </c>
      <c r="Z310" s="24">
        <v>-1</v>
      </c>
      <c r="AA310"/>
      <c r="AB310" s="1">
        <v>0</v>
      </c>
      <c r="AC310" s="24">
        <v>-1</v>
      </c>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row>
    <row r="311" spans="2:97">
      <c r="B311"/>
      <c r="C311" s="15"/>
      <c r="D311" s="23"/>
      <c r="E311" s="23"/>
      <c r="F311" s="23"/>
      <c r="G311" s="23">
        <f t="shared" si="18"/>
        <v>0</v>
      </c>
      <c r="H311" s="23" t="e" cm="1">
        <f t="array" ref="H311">INDEX('GLOBAL LOG'!#REF!,ROW()-169+15)</f>
        <v>#REF!</v>
      </c>
      <c r="I311" s="23" t="e">
        <f>_xlfn.XLOOKUP(H311,#REF!,#REF!,"",0,1)</f>
        <v>#REF!</v>
      </c>
      <c r="J311" s="23" t="str">
        <f>IFERROR(I311*#REF!,"")</f>
        <v/>
      </c>
      <c r="K311" s="23" t="e" cm="1">
        <f t="array" ref="K311">INDEX('GLOBAL LOG'!#REF!,ROW()-169+15)</f>
        <v>#REF!</v>
      </c>
      <c r="L311" s="23" t="e">
        <f>_xlfn.XLOOKUP(K311,#REF!,#REF!,"",0,1)</f>
        <v>#REF!</v>
      </c>
      <c r="M311" s="23" t="str">
        <f>IFERROR(L311*#REF!,"")</f>
        <v/>
      </c>
      <c r="N311" s="23">
        <f t="shared" si="19"/>
        <v>-1</v>
      </c>
      <c r="O311" s="23">
        <f t="shared" si="20"/>
        <v>-1</v>
      </c>
      <c r="P311" s="23">
        <f t="shared" si="21"/>
        <v>-1</v>
      </c>
      <c r="Q311" s="24">
        <f t="shared" si="22"/>
        <v>-1</v>
      </c>
      <c r="R311" s="3"/>
      <c r="S311" s="1">
        <v>0</v>
      </c>
      <c r="T311" s="24">
        <v>-1</v>
      </c>
      <c r="U311"/>
      <c r="V311" s="1">
        <v>0</v>
      </c>
      <c r="W311" s="24">
        <v>-1</v>
      </c>
      <c r="X311"/>
      <c r="Y311" s="1">
        <v>0</v>
      </c>
      <c r="Z311" s="24">
        <v>-1</v>
      </c>
      <c r="AA311"/>
      <c r="AB311" s="1">
        <v>0</v>
      </c>
      <c r="AC311" s="24">
        <v>-1</v>
      </c>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row>
    <row r="312" spans="2:97">
      <c r="B312"/>
      <c r="C312" s="15"/>
      <c r="D312" s="23"/>
      <c r="E312" s="23"/>
      <c r="F312" s="23"/>
      <c r="G312" s="23">
        <f t="shared" si="18"/>
        <v>0</v>
      </c>
      <c r="H312" s="23" t="e" cm="1">
        <f t="array" ref="H312">INDEX('GLOBAL LOG'!#REF!,ROW()-169+15)</f>
        <v>#REF!</v>
      </c>
      <c r="I312" s="23" t="e">
        <f>_xlfn.XLOOKUP(H312,#REF!,#REF!,"",0,1)</f>
        <v>#REF!</v>
      </c>
      <c r="J312" s="23" t="str">
        <f>IFERROR(I312*#REF!,"")</f>
        <v/>
      </c>
      <c r="K312" s="23" t="e" cm="1">
        <f t="array" ref="K312">INDEX('GLOBAL LOG'!#REF!,ROW()-169+15)</f>
        <v>#REF!</v>
      </c>
      <c r="L312" s="23" t="e">
        <f>_xlfn.XLOOKUP(K312,#REF!,#REF!,"",0,1)</f>
        <v>#REF!</v>
      </c>
      <c r="M312" s="23" t="str">
        <f>IFERROR(L312*#REF!,"")</f>
        <v/>
      </c>
      <c r="N312" s="23">
        <f t="shared" si="19"/>
        <v>-1</v>
      </c>
      <c r="O312" s="23">
        <f t="shared" si="20"/>
        <v>-1</v>
      </c>
      <c r="P312" s="23">
        <f t="shared" si="21"/>
        <v>-1</v>
      </c>
      <c r="Q312" s="24">
        <f t="shared" si="22"/>
        <v>-1</v>
      </c>
      <c r="R312" s="3"/>
      <c r="S312" s="1">
        <v>0</v>
      </c>
      <c r="T312" s="24">
        <v>-1</v>
      </c>
      <c r="U312"/>
      <c r="V312" s="1">
        <v>0</v>
      </c>
      <c r="W312" s="24">
        <v>-1</v>
      </c>
      <c r="X312"/>
      <c r="Y312" s="1">
        <v>0</v>
      </c>
      <c r="Z312" s="24">
        <v>-1</v>
      </c>
      <c r="AA312"/>
      <c r="AB312" s="1">
        <v>0</v>
      </c>
      <c r="AC312" s="24">
        <v>-1</v>
      </c>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row>
    <row r="313" spans="2:97">
      <c r="B313"/>
      <c r="C313" s="15"/>
      <c r="D313" s="23"/>
      <c r="E313" s="23"/>
      <c r="F313" s="23"/>
      <c r="G313" s="23">
        <f t="shared" si="18"/>
        <v>0</v>
      </c>
      <c r="H313" s="23" t="e" cm="1">
        <f t="array" ref="H313">INDEX('GLOBAL LOG'!#REF!,ROW()-169+15)</f>
        <v>#REF!</v>
      </c>
      <c r="I313" s="23" t="e">
        <f>_xlfn.XLOOKUP(H313,#REF!,#REF!,"",0,1)</f>
        <v>#REF!</v>
      </c>
      <c r="J313" s="23" t="str">
        <f>IFERROR(I313*#REF!,"")</f>
        <v/>
      </c>
      <c r="K313" s="23" t="e" cm="1">
        <f t="array" ref="K313">INDEX('GLOBAL LOG'!#REF!,ROW()-169+15)</f>
        <v>#REF!</v>
      </c>
      <c r="L313" s="23" t="e">
        <f>_xlfn.XLOOKUP(K313,#REF!,#REF!,"",0,1)</f>
        <v>#REF!</v>
      </c>
      <c r="M313" s="23" t="str">
        <f>IFERROR(L313*#REF!,"")</f>
        <v/>
      </c>
      <c r="N313" s="23">
        <f t="shared" si="19"/>
        <v>-1</v>
      </c>
      <c r="O313" s="23">
        <f t="shared" si="20"/>
        <v>-1</v>
      </c>
      <c r="P313" s="23">
        <f t="shared" si="21"/>
        <v>-1</v>
      </c>
      <c r="Q313" s="24">
        <f t="shared" si="22"/>
        <v>-1</v>
      </c>
      <c r="R313" s="3"/>
      <c r="S313" s="1">
        <v>0</v>
      </c>
      <c r="T313" s="24">
        <v>-1</v>
      </c>
      <c r="U313"/>
      <c r="V313" s="1">
        <v>0</v>
      </c>
      <c r="W313" s="24">
        <v>-1</v>
      </c>
      <c r="X313"/>
      <c r="Y313" s="1">
        <v>0</v>
      </c>
      <c r="Z313" s="24">
        <v>-1</v>
      </c>
      <c r="AA313"/>
      <c r="AB313" s="1">
        <v>0</v>
      </c>
      <c r="AC313" s="24">
        <v>-1</v>
      </c>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row>
    <row r="314" spans="2:97">
      <c r="B314"/>
      <c r="C314" s="15"/>
      <c r="D314" s="23"/>
      <c r="E314" s="23"/>
      <c r="F314" s="23"/>
      <c r="G314" s="23">
        <f t="shared" si="18"/>
        <v>0</v>
      </c>
      <c r="H314" s="23" t="e" cm="1">
        <f t="array" ref="H314">INDEX('GLOBAL LOG'!#REF!,ROW()-169+15)</f>
        <v>#REF!</v>
      </c>
      <c r="I314" s="23" t="e">
        <f>_xlfn.XLOOKUP(H314,#REF!,#REF!,"",0,1)</f>
        <v>#REF!</v>
      </c>
      <c r="J314" s="23" t="str">
        <f>IFERROR(I314*#REF!,"")</f>
        <v/>
      </c>
      <c r="K314" s="23" t="e" cm="1">
        <f t="array" ref="K314">INDEX('GLOBAL LOG'!#REF!,ROW()-169+15)</f>
        <v>#REF!</v>
      </c>
      <c r="L314" s="23" t="e">
        <f>_xlfn.XLOOKUP(K314,#REF!,#REF!,"",0,1)</f>
        <v>#REF!</v>
      </c>
      <c r="M314" s="23" t="str">
        <f>IFERROR(L314*#REF!,"")</f>
        <v/>
      </c>
      <c r="N314" s="23">
        <f t="shared" si="19"/>
        <v>-1</v>
      </c>
      <c r="O314" s="23">
        <f t="shared" si="20"/>
        <v>-1</v>
      </c>
      <c r="P314" s="23">
        <f t="shared" si="21"/>
        <v>-1</v>
      </c>
      <c r="Q314" s="24">
        <f t="shared" si="22"/>
        <v>-1</v>
      </c>
      <c r="R314" s="3"/>
      <c r="S314" s="1">
        <v>0</v>
      </c>
      <c r="T314" s="24">
        <v>-1</v>
      </c>
      <c r="U314"/>
      <c r="V314" s="1">
        <v>0</v>
      </c>
      <c r="W314" s="24">
        <v>-1</v>
      </c>
      <c r="X314"/>
      <c r="Y314" s="1">
        <v>0</v>
      </c>
      <c r="Z314" s="24">
        <v>-1</v>
      </c>
      <c r="AA314"/>
      <c r="AB314" s="1">
        <v>0</v>
      </c>
      <c r="AC314" s="24">
        <v>-1</v>
      </c>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row>
    <row r="315" spans="2:97">
      <c r="B315"/>
      <c r="C315" s="15"/>
      <c r="D315" s="23"/>
      <c r="E315" s="23"/>
      <c r="F315" s="23"/>
      <c r="G315" s="23">
        <f t="shared" si="18"/>
        <v>0</v>
      </c>
      <c r="H315" s="23" t="e" cm="1">
        <f t="array" ref="H315">INDEX('GLOBAL LOG'!#REF!,ROW()-169+15)</f>
        <v>#REF!</v>
      </c>
      <c r="I315" s="23" t="e">
        <f>_xlfn.XLOOKUP(H315,#REF!,#REF!,"",0,1)</f>
        <v>#REF!</v>
      </c>
      <c r="J315" s="23" t="str">
        <f>IFERROR(I315*#REF!,"")</f>
        <v/>
      </c>
      <c r="K315" s="23" t="e" cm="1">
        <f t="array" ref="K315">INDEX('GLOBAL LOG'!#REF!,ROW()-169+15)</f>
        <v>#REF!</v>
      </c>
      <c r="L315" s="23" t="e">
        <f>_xlfn.XLOOKUP(K315,#REF!,#REF!,"",0,1)</f>
        <v>#REF!</v>
      </c>
      <c r="M315" s="23" t="str">
        <f>IFERROR(L315*#REF!,"")</f>
        <v/>
      </c>
      <c r="N315" s="23">
        <f t="shared" si="19"/>
        <v>-1</v>
      </c>
      <c r="O315" s="23">
        <f t="shared" si="20"/>
        <v>-1</v>
      </c>
      <c r="P315" s="23">
        <f t="shared" si="21"/>
        <v>-1</v>
      </c>
      <c r="Q315" s="24">
        <f t="shared" si="22"/>
        <v>-1</v>
      </c>
      <c r="R315" s="3"/>
      <c r="S315" s="1">
        <v>0</v>
      </c>
      <c r="T315" s="24">
        <v>-1</v>
      </c>
      <c r="U315"/>
      <c r="V315" s="1">
        <v>0</v>
      </c>
      <c r="W315" s="24">
        <v>-1</v>
      </c>
      <c r="X315"/>
      <c r="Y315" s="1">
        <v>0</v>
      </c>
      <c r="Z315" s="24">
        <v>-1</v>
      </c>
      <c r="AA315"/>
      <c r="AB315" s="1">
        <v>0</v>
      </c>
      <c r="AC315" s="24">
        <v>-1</v>
      </c>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row>
    <row r="316" spans="2:97">
      <c r="B316"/>
      <c r="C316" s="15"/>
      <c r="D316" s="23"/>
      <c r="E316" s="23"/>
      <c r="F316" s="23"/>
      <c r="G316" s="23">
        <f t="shared" si="18"/>
        <v>0</v>
      </c>
      <c r="H316" s="23" t="e" cm="1">
        <f t="array" ref="H316">INDEX('GLOBAL LOG'!#REF!,ROW()-169+15)</f>
        <v>#REF!</v>
      </c>
      <c r="I316" s="23" t="e">
        <f>_xlfn.XLOOKUP(H316,#REF!,#REF!,"",0,1)</f>
        <v>#REF!</v>
      </c>
      <c r="J316" s="23" t="str">
        <f>IFERROR(I316*#REF!,"")</f>
        <v/>
      </c>
      <c r="K316" s="23" t="e" cm="1">
        <f t="array" ref="K316">INDEX('GLOBAL LOG'!#REF!,ROW()-169+15)</f>
        <v>#REF!</v>
      </c>
      <c r="L316" s="23" t="e">
        <f>_xlfn.XLOOKUP(K316,#REF!,#REF!,"",0,1)</f>
        <v>#REF!</v>
      </c>
      <c r="M316" s="23" t="str">
        <f>IFERROR(L316*#REF!,"")</f>
        <v/>
      </c>
      <c r="N316" s="23">
        <f t="shared" si="19"/>
        <v>-1</v>
      </c>
      <c r="O316" s="23">
        <f t="shared" si="20"/>
        <v>-1</v>
      </c>
      <c r="P316" s="23">
        <f t="shared" si="21"/>
        <v>-1</v>
      </c>
      <c r="Q316" s="24">
        <f t="shared" si="22"/>
        <v>-1</v>
      </c>
      <c r="R316" s="3"/>
      <c r="S316" s="1">
        <v>0</v>
      </c>
      <c r="T316" s="24">
        <v>-1</v>
      </c>
      <c r="U316"/>
      <c r="V316" s="1">
        <v>0</v>
      </c>
      <c r="W316" s="24">
        <v>-1</v>
      </c>
      <c r="X316"/>
      <c r="Y316" s="1">
        <v>0</v>
      </c>
      <c r="Z316" s="24">
        <v>-1</v>
      </c>
      <c r="AA316"/>
      <c r="AB316" s="1">
        <v>0</v>
      </c>
      <c r="AC316" s="24">
        <v>-1</v>
      </c>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row>
    <row r="317" spans="2:97">
      <c r="B317"/>
      <c r="C317" s="15"/>
      <c r="D317" s="23"/>
      <c r="E317" s="23"/>
      <c r="F317" s="23"/>
      <c r="G317" s="23">
        <f t="shared" si="18"/>
        <v>0</v>
      </c>
      <c r="H317" s="23" t="e" cm="1">
        <f t="array" ref="H317">INDEX('GLOBAL LOG'!#REF!,ROW()-169+15)</f>
        <v>#REF!</v>
      </c>
      <c r="I317" s="23" t="e">
        <f>_xlfn.XLOOKUP(H317,#REF!,#REF!,"",0,1)</f>
        <v>#REF!</v>
      </c>
      <c r="J317" s="23" t="str">
        <f>IFERROR(I317*#REF!,"")</f>
        <v/>
      </c>
      <c r="K317" s="23" t="e" cm="1">
        <f t="array" ref="K317">INDEX('GLOBAL LOG'!#REF!,ROW()-169+15)</f>
        <v>#REF!</v>
      </c>
      <c r="L317" s="23" t="e">
        <f>_xlfn.XLOOKUP(K317,#REF!,#REF!,"",0,1)</f>
        <v>#REF!</v>
      </c>
      <c r="M317" s="23" t="str">
        <f>IFERROR(L317*#REF!,"")</f>
        <v/>
      </c>
      <c r="N317" s="23">
        <f t="shared" si="19"/>
        <v>-1</v>
      </c>
      <c r="O317" s="23">
        <f t="shared" si="20"/>
        <v>-1</v>
      </c>
      <c r="P317" s="23">
        <f t="shared" si="21"/>
        <v>-1</v>
      </c>
      <c r="Q317" s="24">
        <f t="shared" si="22"/>
        <v>-1</v>
      </c>
      <c r="R317" s="3"/>
      <c r="S317" s="1">
        <v>0</v>
      </c>
      <c r="T317" s="24">
        <v>-1</v>
      </c>
      <c r="U317"/>
      <c r="V317" s="1">
        <v>0</v>
      </c>
      <c r="W317" s="24">
        <v>-1</v>
      </c>
      <c r="X317"/>
      <c r="Y317" s="1">
        <v>0</v>
      </c>
      <c r="Z317" s="24">
        <v>-1</v>
      </c>
      <c r="AA317"/>
      <c r="AB317" s="1">
        <v>0</v>
      </c>
      <c r="AC317" s="24">
        <v>-1</v>
      </c>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row>
    <row r="318" spans="2:97">
      <c r="B318"/>
      <c r="C318" s="15"/>
      <c r="D318" s="23"/>
      <c r="E318" s="23"/>
      <c r="F318" s="23"/>
      <c r="G318" s="23">
        <f t="shared" si="18"/>
        <v>0</v>
      </c>
      <c r="H318" s="23" t="e" cm="1">
        <f t="array" ref="H318">INDEX('GLOBAL LOG'!#REF!,ROW()-169+15)</f>
        <v>#REF!</v>
      </c>
      <c r="I318" s="23" t="e">
        <f>_xlfn.XLOOKUP(H318,#REF!,#REF!,"",0,1)</f>
        <v>#REF!</v>
      </c>
      <c r="J318" s="23" t="str">
        <f>IFERROR(I318*#REF!,"")</f>
        <v/>
      </c>
      <c r="K318" s="23" t="e" cm="1">
        <f t="array" ref="K318">INDEX('GLOBAL LOG'!#REF!,ROW()-169+15)</f>
        <v>#REF!</v>
      </c>
      <c r="L318" s="23" t="e">
        <f>_xlfn.XLOOKUP(K318,#REF!,#REF!,"",0,1)</f>
        <v>#REF!</v>
      </c>
      <c r="M318" s="23" t="str">
        <f>IFERROR(L318*#REF!,"")</f>
        <v/>
      </c>
      <c r="N318" s="23">
        <f t="shared" si="19"/>
        <v>-1</v>
      </c>
      <c r="O318" s="23">
        <f t="shared" si="20"/>
        <v>-1</v>
      </c>
      <c r="P318" s="23">
        <f t="shared" si="21"/>
        <v>-1</v>
      </c>
      <c r="Q318" s="24">
        <f t="shared" si="22"/>
        <v>-1</v>
      </c>
      <c r="R318" s="3"/>
      <c r="S318" s="1">
        <v>0</v>
      </c>
      <c r="T318" s="24">
        <v>-1</v>
      </c>
      <c r="U318"/>
      <c r="V318" s="1">
        <v>0</v>
      </c>
      <c r="W318" s="24">
        <v>-1</v>
      </c>
      <c r="X318"/>
      <c r="Y318" s="1">
        <v>0</v>
      </c>
      <c r="Z318" s="24">
        <v>-1</v>
      </c>
      <c r="AA318"/>
      <c r="AB318" s="1">
        <v>0</v>
      </c>
      <c r="AC318" s="24">
        <v>-1</v>
      </c>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row>
    <row r="319" spans="2:97">
      <c r="B319"/>
      <c r="C319" s="15"/>
      <c r="D319" s="23"/>
      <c r="E319" s="23"/>
      <c r="F319" s="23"/>
      <c r="G319" s="23">
        <f t="shared" si="18"/>
        <v>0</v>
      </c>
      <c r="H319" s="23" t="e" cm="1">
        <f t="array" ref="H319">INDEX('GLOBAL LOG'!#REF!,ROW()-169+15)</f>
        <v>#REF!</v>
      </c>
      <c r="I319" s="23" t="e">
        <f>_xlfn.XLOOKUP(H319,#REF!,#REF!,"",0,1)</f>
        <v>#REF!</v>
      </c>
      <c r="J319" s="23" t="str">
        <f>IFERROR(I319*#REF!,"")</f>
        <v/>
      </c>
      <c r="K319" s="23" t="e" cm="1">
        <f t="array" ref="K319">INDEX('GLOBAL LOG'!#REF!,ROW()-169+15)</f>
        <v>#REF!</v>
      </c>
      <c r="L319" s="23" t="e">
        <f>_xlfn.XLOOKUP(K319,#REF!,#REF!,"",0,1)</f>
        <v>#REF!</v>
      </c>
      <c r="M319" s="23" t="str">
        <f>IFERROR(L319*#REF!,"")</f>
        <v/>
      </c>
      <c r="N319" s="23">
        <f t="shared" si="19"/>
        <v>-1</v>
      </c>
      <c r="O319" s="23">
        <f t="shared" si="20"/>
        <v>-1</v>
      </c>
      <c r="P319" s="23">
        <f t="shared" si="21"/>
        <v>-1</v>
      </c>
      <c r="Q319" s="24">
        <f t="shared" si="22"/>
        <v>-1</v>
      </c>
      <c r="R319" s="3"/>
      <c r="S319" s="1">
        <v>0</v>
      </c>
      <c r="T319" s="24">
        <v>-1</v>
      </c>
      <c r="U319"/>
      <c r="V319" s="1">
        <v>0</v>
      </c>
      <c r="W319" s="24">
        <v>-1</v>
      </c>
      <c r="X319"/>
      <c r="Y319" s="1">
        <v>0</v>
      </c>
      <c r="Z319" s="24">
        <v>-1</v>
      </c>
      <c r="AA319"/>
      <c r="AB319" s="1">
        <v>0</v>
      </c>
      <c r="AC319" s="24">
        <v>-1</v>
      </c>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row>
    <row r="320" spans="2:97">
      <c r="B320"/>
      <c r="C320" s="15"/>
      <c r="D320" s="23"/>
      <c r="E320" s="23"/>
      <c r="F320" s="23"/>
      <c r="G320" s="23">
        <f t="shared" si="18"/>
        <v>0</v>
      </c>
      <c r="H320" s="23" t="e" cm="1">
        <f t="array" ref="H320">INDEX('GLOBAL LOG'!#REF!,ROW()-169+15)</f>
        <v>#REF!</v>
      </c>
      <c r="I320" s="23" t="e">
        <f>_xlfn.XLOOKUP(H320,#REF!,#REF!,"",0,1)</f>
        <v>#REF!</v>
      </c>
      <c r="J320" s="23" t="str">
        <f>IFERROR(I320*#REF!,"")</f>
        <v/>
      </c>
      <c r="K320" s="23" t="e" cm="1">
        <f t="array" ref="K320">INDEX('GLOBAL LOG'!#REF!,ROW()-169+15)</f>
        <v>#REF!</v>
      </c>
      <c r="L320" s="23" t="e">
        <f>_xlfn.XLOOKUP(K320,#REF!,#REF!,"",0,1)</f>
        <v>#REF!</v>
      </c>
      <c r="M320" s="23" t="str">
        <f>IFERROR(L320*#REF!,"")</f>
        <v/>
      </c>
      <c r="N320" s="23">
        <f t="shared" si="19"/>
        <v>-1</v>
      </c>
      <c r="O320" s="23">
        <f t="shared" si="20"/>
        <v>-1</v>
      </c>
      <c r="P320" s="23">
        <f t="shared" si="21"/>
        <v>-1</v>
      </c>
      <c r="Q320" s="24">
        <f t="shared" si="22"/>
        <v>-1</v>
      </c>
      <c r="R320" s="3"/>
      <c r="S320" s="1">
        <v>0</v>
      </c>
      <c r="T320" s="24">
        <v>-1</v>
      </c>
      <c r="U320"/>
      <c r="V320" s="1">
        <v>0</v>
      </c>
      <c r="W320" s="24">
        <v>-1</v>
      </c>
      <c r="X320"/>
      <c r="Y320" s="1">
        <v>0</v>
      </c>
      <c r="Z320" s="24">
        <v>-1</v>
      </c>
      <c r="AA320"/>
      <c r="AB320" s="1">
        <v>0</v>
      </c>
      <c r="AC320" s="24">
        <v>-1</v>
      </c>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row>
    <row r="321" spans="2:97">
      <c r="B321"/>
      <c r="C321" s="15"/>
      <c r="D321" s="23"/>
      <c r="E321" s="23"/>
      <c r="F321" s="23"/>
      <c r="G321" s="23">
        <f t="shared" si="18"/>
        <v>0</v>
      </c>
      <c r="H321" s="23" t="e" cm="1">
        <f t="array" ref="H321">INDEX('GLOBAL LOG'!#REF!,ROW()-169+15)</f>
        <v>#REF!</v>
      </c>
      <c r="I321" s="23" t="e">
        <f>_xlfn.XLOOKUP(H321,#REF!,#REF!,"",0,1)</f>
        <v>#REF!</v>
      </c>
      <c r="J321" s="23" t="str">
        <f>IFERROR(I321*#REF!,"")</f>
        <v/>
      </c>
      <c r="K321" s="23" t="e" cm="1">
        <f t="array" ref="K321">INDEX('GLOBAL LOG'!#REF!,ROW()-169+15)</f>
        <v>#REF!</v>
      </c>
      <c r="L321" s="23" t="e">
        <f>_xlfn.XLOOKUP(K321,#REF!,#REF!,"",0,1)</f>
        <v>#REF!</v>
      </c>
      <c r="M321" s="23" t="str">
        <f>IFERROR(L321*#REF!,"")</f>
        <v/>
      </c>
      <c r="N321" s="23">
        <f t="shared" si="19"/>
        <v>-1</v>
      </c>
      <c r="O321" s="23">
        <f t="shared" si="20"/>
        <v>-1</v>
      </c>
      <c r="P321" s="23">
        <f t="shared" si="21"/>
        <v>-1</v>
      </c>
      <c r="Q321" s="24">
        <f t="shared" si="22"/>
        <v>-1</v>
      </c>
      <c r="R321" s="3"/>
      <c r="S321" s="1">
        <v>0</v>
      </c>
      <c r="T321" s="24">
        <v>-1</v>
      </c>
      <c r="U321"/>
      <c r="V321" s="1">
        <v>0</v>
      </c>
      <c r="W321" s="24">
        <v>-1</v>
      </c>
      <c r="X321"/>
      <c r="Y321" s="1">
        <v>0</v>
      </c>
      <c r="Z321" s="24">
        <v>-1</v>
      </c>
      <c r="AA321"/>
      <c r="AB321" s="1">
        <v>0</v>
      </c>
      <c r="AC321" s="24">
        <v>-1</v>
      </c>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row>
    <row r="322" spans="2:97">
      <c r="B322"/>
      <c r="C322" s="15"/>
      <c r="D322" s="23"/>
      <c r="E322" s="23"/>
      <c r="F322" s="23"/>
      <c r="G322" s="23">
        <f t="shared" si="18"/>
        <v>0</v>
      </c>
      <c r="H322" s="23" t="e" cm="1">
        <f t="array" ref="H322">INDEX('GLOBAL LOG'!#REF!,ROW()-169+15)</f>
        <v>#REF!</v>
      </c>
      <c r="I322" s="23" t="e">
        <f>_xlfn.XLOOKUP(H322,#REF!,#REF!,"",0,1)</f>
        <v>#REF!</v>
      </c>
      <c r="J322" s="23" t="str">
        <f>IFERROR(I322*#REF!,"")</f>
        <v/>
      </c>
      <c r="K322" s="23" t="e" cm="1">
        <f t="array" ref="K322">INDEX('GLOBAL LOG'!#REF!,ROW()-169+15)</f>
        <v>#REF!</v>
      </c>
      <c r="L322" s="23" t="e">
        <f>_xlfn.XLOOKUP(K322,#REF!,#REF!,"",0,1)</f>
        <v>#REF!</v>
      </c>
      <c r="M322" s="23" t="str">
        <f>IFERROR(L322*#REF!,"")</f>
        <v/>
      </c>
      <c r="N322" s="23">
        <f t="shared" si="19"/>
        <v>-1</v>
      </c>
      <c r="O322" s="23">
        <f t="shared" si="20"/>
        <v>-1</v>
      </c>
      <c r="P322" s="23">
        <f t="shared" si="21"/>
        <v>-1</v>
      </c>
      <c r="Q322" s="24">
        <f t="shared" si="22"/>
        <v>-1</v>
      </c>
      <c r="R322" s="3"/>
      <c r="S322" s="1">
        <v>0</v>
      </c>
      <c r="T322" s="24">
        <v>-1</v>
      </c>
      <c r="U322"/>
      <c r="V322" s="1">
        <v>0</v>
      </c>
      <c r="W322" s="24">
        <v>-1</v>
      </c>
      <c r="X322"/>
      <c r="Y322" s="1">
        <v>0</v>
      </c>
      <c r="Z322" s="24">
        <v>-1</v>
      </c>
      <c r="AA322"/>
      <c r="AB322" s="1">
        <v>0</v>
      </c>
      <c r="AC322" s="24">
        <v>-1</v>
      </c>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row>
    <row r="323" spans="2:97">
      <c r="B323"/>
      <c r="C323" s="15"/>
      <c r="D323" s="23"/>
      <c r="E323" s="23"/>
      <c r="F323" s="23"/>
      <c r="G323" s="23">
        <f t="shared" si="18"/>
        <v>0</v>
      </c>
      <c r="H323" s="23" t="e" cm="1">
        <f t="array" ref="H323">INDEX('GLOBAL LOG'!#REF!,ROW()-169+15)</f>
        <v>#REF!</v>
      </c>
      <c r="I323" s="23" t="e">
        <f>_xlfn.XLOOKUP(H323,#REF!,#REF!,"",0,1)</f>
        <v>#REF!</v>
      </c>
      <c r="J323" s="23" t="str">
        <f>IFERROR(I323*#REF!,"")</f>
        <v/>
      </c>
      <c r="K323" s="23" t="e" cm="1">
        <f t="array" ref="K323">INDEX('GLOBAL LOG'!#REF!,ROW()-169+15)</f>
        <v>#REF!</v>
      </c>
      <c r="L323" s="23" t="e">
        <f>_xlfn.XLOOKUP(K323,#REF!,#REF!,"",0,1)</f>
        <v>#REF!</v>
      </c>
      <c r="M323" s="23" t="str">
        <f>IFERROR(L323*#REF!,"")</f>
        <v/>
      </c>
      <c r="N323" s="23">
        <f t="shared" si="19"/>
        <v>-1</v>
      </c>
      <c r="O323" s="23">
        <f t="shared" si="20"/>
        <v>-1</v>
      </c>
      <c r="P323" s="23">
        <f t="shared" si="21"/>
        <v>-1</v>
      </c>
      <c r="Q323" s="24">
        <f t="shared" si="22"/>
        <v>-1</v>
      </c>
      <c r="R323" s="3"/>
      <c r="S323" s="1">
        <v>0</v>
      </c>
      <c r="T323" s="24">
        <v>-1</v>
      </c>
      <c r="U323"/>
      <c r="V323" s="1">
        <v>0</v>
      </c>
      <c r="W323" s="24">
        <v>-1</v>
      </c>
      <c r="X323"/>
      <c r="Y323" s="1">
        <v>0</v>
      </c>
      <c r="Z323" s="24">
        <v>-1</v>
      </c>
      <c r="AA323"/>
      <c r="AB323" s="1">
        <v>0</v>
      </c>
      <c r="AC323" s="24">
        <v>-1</v>
      </c>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row>
    <row r="324" spans="2:97">
      <c r="B324"/>
      <c r="C324" s="15"/>
      <c r="D324" s="23"/>
      <c r="E324" s="23"/>
      <c r="F324" s="23"/>
      <c r="G324" s="23">
        <f t="shared" si="18"/>
        <v>0</v>
      </c>
      <c r="H324" s="23" t="e" cm="1">
        <f t="array" ref="H324">INDEX('GLOBAL LOG'!#REF!,ROW()-169+15)</f>
        <v>#REF!</v>
      </c>
      <c r="I324" s="23" t="e">
        <f>_xlfn.XLOOKUP(H324,#REF!,#REF!,"",0,1)</f>
        <v>#REF!</v>
      </c>
      <c r="J324" s="23" t="str">
        <f>IFERROR(I324*#REF!,"")</f>
        <v/>
      </c>
      <c r="K324" s="23" t="e" cm="1">
        <f t="array" ref="K324">INDEX('GLOBAL LOG'!#REF!,ROW()-169+15)</f>
        <v>#REF!</v>
      </c>
      <c r="L324" s="23" t="e">
        <f>_xlfn.XLOOKUP(K324,#REF!,#REF!,"",0,1)</f>
        <v>#REF!</v>
      </c>
      <c r="M324" s="23" t="str">
        <f>IFERROR(L324*#REF!,"")</f>
        <v/>
      </c>
      <c r="N324" s="23">
        <f t="shared" si="19"/>
        <v>-1</v>
      </c>
      <c r="O324" s="23">
        <f t="shared" si="20"/>
        <v>-1</v>
      </c>
      <c r="P324" s="23">
        <f t="shared" si="21"/>
        <v>-1</v>
      </c>
      <c r="Q324" s="24">
        <f t="shared" si="22"/>
        <v>-1</v>
      </c>
      <c r="R324" s="3"/>
      <c r="S324" s="1">
        <v>0</v>
      </c>
      <c r="T324" s="24">
        <v>-1</v>
      </c>
      <c r="U324"/>
      <c r="V324" s="1">
        <v>0</v>
      </c>
      <c r="W324" s="24">
        <v>-1</v>
      </c>
      <c r="X324"/>
      <c r="Y324" s="1">
        <v>0</v>
      </c>
      <c r="Z324" s="24">
        <v>-1</v>
      </c>
      <c r="AA324"/>
      <c r="AB324" s="1">
        <v>0</v>
      </c>
      <c r="AC324" s="24">
        <v>-1</v>
      </c>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row>
    <row r="325" spans="2:97">
      <c r="B325"/>
      <c r="C325" s="15"/>
      <c r="D325" s="23"/>
      <c r="E325" s="23"/>
      <c r="F325" s="23"/>
      <c r="G325" s="23">
        <f t="shared" si="18"/>
        <v>0</v>
      </c>
      <c r="H325" s="23" t="e" cm="1">
        <f t="array" ref="H325">INDEX('GLOBAL LOG'!#REF!,ROW()-169+15)</f>
        <v>#REF!</v>
      </c>
      <c r="I325" s="23" t="e">
        <f>_xlfn.XLOOKUP(H325,#REF!,#REF!,"",0,1)</f>
        <v>#REF!</v>
      </c>
      <c r="J325" s="23" t="str">
        <f>IFERROR(I325*#REF!,"")</f>
        <v/>
      </c>
      <c r="K325" s="23" t="e" cm="1">
        <f t="array" ref="K325">INDEX('GLOBAL LOG'!#REF!,ROW()-169+15)</f>
        <v>#REF!</v>
      </c>
      <c r="L325" s="23" t="e">
        <f>_xlfn.XLOOKUP(K325,#REF!,#REF!,"",0,1)</f>
        <v>#REF!</v>
      </c>
      <c r="M325" s="23" t="str">
        <f>IFERROR(L325*#REF!,"")</f>
        <v/>
      </c>
      <c r="N325" s="23">
        <f t="shared" si="19"/>
        <v>-1</v>
      </c>
      <c r="O325" s="23">
        <f t="shared" si="20"/>
        <v>-1</v>
      </c>
      <c r="P325" s="23">
        <f t="shared" si="21"/>
        <v>-1</v>
      </c>
      <c r="Q325" s="24">
        <f t="shared" si="22"/>
        <v>-1</v>
      </c>
      <c r="R325" s="3"/>
      <c r="S325" s="1">
        <v>0</v>
      </c>
      <c r="T325" s="24">
        <v>-1</v>
      </c>
      <c r="U325"/>
      <c r="V325" s="1">
        <v>0</v>
      </c>
      <c r="W325" s="24">
        <v>-1</v>
      </c>
      <c r="X325"/>
      <c r="Y325" s="1">
        <v>0</v>
      </c>
      <c r="Z325" s="24">
        <v>-1</v>
      </c>
      <c r="AA325"/>
      <c r="AB325" s="1">
        <v>0</v>
      </c>
      <c r="AC325" s="24">
        <v>-1</v>
      </c>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row>
    <row r="326" spans="2:97">
      <c r="B326"/>
      <c r="C326" s="15"/>
      <c r="D326" s="23"/>
      <c r="E326" s="23"/>
      <c r="F326" s="23"/>
      <c r="G326" s="23">
        <f t="shared" si="18"/>
        <v>0</v>
      </c>
      <c r="H326" s="23" t="e" cm="1">
        <f t="array" ref="H326">INDEX('GLOBAL LOG'!#REF!,ROW()-169+15)</f>
        <v>#REF!</v>
      </c>
      <c r="I326" s="23" t="e">
        <f>_xlfn.XLOOKUP(H326,#REF!,#REF!,"",0,1)</f>
        <v>#REF!</v>
      </c>
      <c r="J326" s="23" t="str">
        <f>IFERROR(I326*#REF!,"")</f>
        <v/>
      </c>
      <c r="K326" s="23" t="e" cm="1">
        <f t="array" ref="K326">INDEX('GLOBAL LOG'!#REF!,ROW()-169+15)</f>
        <v>#REF!</v>
      </c>
      <c r="L326" s="23" t="e">
        <f>_xlfn.XLOOKUP(K326,#REF!,#REF!,"",0,1)</f>
        <v>#REF!</v>
      </c>
      <c r="M326" s="23" t="str">
        <f>IFERROR(L326*#REF!,"")</f>
        <v/>
      </c>
      <c r="N326" s="23">
        <f t="shared" si="19"/>
        <v>-1</v>
      </c>
      <c r="O326" s="23">
        <f t="shared" si="20"/>
        <v>-1</v>
      </c>
      <c r="P326" s="23">
        <f t="shared" si="21"/>
        <v>-1</v>
      </c>
      <c r="Q326" s="24">
        <f t="shared" si="22"/>
        <v>-1</v>
      </c>
      <c r="R326" s="3"/>
      <c r="S326" s="1">
        <v>0</v>
      </c>
      <c r="T326" s="24">
        <v>-1</v>
      </c>
      <c r="U326"/>
      <c r="V326" s="1">
        <v>0</v>
      </c>
      <c r="W326" s="24">
        <v>-1</v>
      </c>
      <c r="X326"/>
      <c r="Y326" s="1">
        <v>0</v>
      </c>
      <c r="Z326" s="24">
        <v>-1</v>
      </c>
      <c r="AA326"/>
      <c r="AB326" s="1">
        <v>0</v>
      </c>
      <c r="AC326" s="24">
        <v>-1</v>
      </c>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row>
    <row r="327" spans="2:97">
      <c r="B327"/>
      <c r="C327" s="15"/>
      <c r="D327" s="23"/>
      <c r="E327" s="23"/>
      <c r="F327" s="23"/>
      <c r="G327" s="23">
        <f t="shared" si="18"/>
        <v>0</v>
      </c>
      <c r="H327" s="23" t="e" cm="1">
        <f t="array" ref="H327">INDEX('GLOBAL LOG'!#REF!,ROW()-169+15)</f>
        <v>#REF!</v>
      </c>
      <c r="I327" s="23" t="e">
        <f>_xlfn.XLOOKUP(H327,#REF!,#REF!,"",0,1)</f>
        <v>#REF!</v>
      </c>
      <c r="J327" s="23" t="str">
        <f>IFERROR(I327*#REF!,"")</f>
        <v/>
      </c>
      <c r="K327" s="23" t="e" cm="1">
        <f t="array" ref="K327">INDEX('GLOBAL LOG'!#REF!,ROW()-169+15)</f>
        <v>#REF!</v>
      </c>
      <c r="L327" s="23" t="e">
        <f>_xlfn.XLOOKUP(K327,#REF!,#REF!,"",0,1)</f>
        <v>#REF!</v>
      </c>
      <c r="M327" s="23" t="str">
        <f>IFERROR(L327*#REF!,"")</f>
        <v/>
      </c>
      <c r="N327" s="23">
        <f t="shared" si="19"/>
        <v>-1</v>
      </c>
      <c r="O327" s="23">
        <f t="shared" si="20"/>
        <v>-1</v>
      </c>
      <c r="P327" s="23">
        <f t="shared" si="21"/>
        <v>-1</v>
      </c>
      <c r="Q327" s="24">
        <f t="shared" si="22"/>
        <v>-1</v>
      </c>
      <c r="R327" s="3"/>
      <c r="S327" s="1">
        <v>0</v>
      </c>
      <c r="T327" s="24">
        <v>-1</v>
      </c>
      <c r="U327"/>
      <c r="V327" s="1">
        <v>0</v>
      </c>
      <c r="W327" s="24">
        <v>-1</v>
      </c>
      <c r="X327"/>
      <c r="Y327" s="1">
        <v>0</v>
      </c>
      <c r="Z327" s="24">
        <v>-1</v>
      </c>
      <c r="AA327"/>
      <c r="AB327" s="1">
        <v>0</v>
      </c>
      <c r="AC327" s="24">
        <v>-1</v>
      </c>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row>
    <row r="328" spans="2:97">
      <c r="B328"/>
      <c r="C328" s="15"/>
      <c r="D328" s="23"/>
      <c r="E328" s="23"/>
      <c r="F328" s="23"/>
      <c r="G328" s="23">
        <f t="shared" si="18"/>
        <v>0</v>
      </c>
      <c r="H328" s="23" t="e" cm="1">
        <f t="array" ref="H328">INDEX('GLOBAL LOG'!#REF!,ROW()-169+15)</f>
        <v>#REF!</v>
      </c>
      <c r="I328" s="23" t="e">
        <f>_xlfn.XLOOKUP(H328,#REF!,#REF!,"",0,1)</f>
        <v>#REF!</v>
      </c>
      <c r="J328" s="23" t="str">
        <f>IFERROR(I328*#REF!,"")</f>
        <v/>
      </c>
      <c r="K328" s="23" t="e" cm="1">
        <f t="array" ref="K328">INDEX('GLOBAL LOG'!#REF!,ROW()-169+15)</f>
        <v>#REF!</v>
      </c>
      <c r="L328" s="23" t="e">
        <f>_xlfn.XLOOKUP(K328,#REF!,#REF!,"",0,1)</f>
        <v>#REF!</v>
      </c>
      <c r="M328" s="23" t="str">
        <f>IFERROR(L328*#REF!,"")</f>
        <v/>
      </c>
      <c r="N328" s="23">
        <f t="shared" si="19"/>
        <v>-1</v>
      </c>
      <c r="O328" s="23">
        <f t="shared" si="20"/>
        <v>-1</v>
      </c>
      <c r="P328" s="23">
        <f t="shared" si="21"/>
        <v>-1</v>
      </c>
      <c r="Q328" s="24">
        <f t="shared" si="22"/>
        <v>-1</v>
      </c>
      <c r="R328" s="3"/>
      <c r="S328" s="1">
        <v>0</v>
      </c>
      <c r="T328" s="24">
        <v>-1</v>
      </c>
      <c r="U328"/>
      <c r="V328" s="1">
        <v>0</v>
      </c>
      <c r="W328" s="24">
        <v>-1</v>
      </c>
      <c r="X328"/>
      <c r="Y328" s="1">
        <v>0</v>
      </c>
      <c r="Z328" s="24">
        <v>-1</v>
      </c>
      <c r="AA328"/>
      <c r="AB328" s="1">
        <v>0</v>
      </c>
      <c r="AC328" s="24">
        <v>-1</v>
      </c>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row>
    <row r="329" spans="2:97">
      <c r="B329"/>
      <c r="C329" s="15"/>
      <c r="D329" s="23"/>
      <c r="E329" s="23"/>
      <c r="F329" s="23"/>
      <c r="G329" s="23">
        <f t="shared" si="18"/>
        <v>0</v>
      </c>
      <c r="H329" s="23" t="e" cm="1">
        <f t="array" ref="H329">INDEX('GLOBAL LOG'!#REF!,ROW()-169+15)</f>
        <v>#REF!</v>
      </c>
      <c r="I329" s="23" t="e">
        <f>_xlfn.XLOOKUP(H329,#REF!,#REF!,"",0,1)</f>
        <v>#REF!</v>
      </c>
      <c r="J329" s="23" t="str">
        <f>IFERROR(I329*#REF!,"")</f>
        <v/>
      </c>
      <c r="K329" s="23" t="e" cm="1">
        <f t="array" ref="K329">INDEX('GLOBAL LOG'!#REF!,ROW()-169+15)</f>
        <v>#REF!</v>
      </c>
      <c r="L329" s="23" t="e">
        <f>_xlfn.XLOOKUP(K329,#REF!,#REF!,"",0,1)</f>
        <v>#REF!</v>
      </c>
      <c r="M329" s="23" t="str">
        <f>IFERROR(L329*#REF!,"")</f>
        <v/>
      </c>
      <c r="N329" s="23">
        <f t="shared" si="19"/>
        <v>-1</v>
      </c>
      <c r="O329" s="23">
        <f t="shared" si="20"/>
        <v>-1</v>
      </c>
      <c r="P329" s="23">
        <f t="shared" si="21"/>
        <v>-1</v>
      </c>
      <c r="Q329" s="24">
        <f t="shared" si="22"/>
        <v>-1</v>
      </c>
      <c r="R329" s="3"/>
      <c r="S329" s="1">
        <v>0</v>
      </c>
      <c r="T329" s="24">
        <v>-1</v>
      </c>
      <c r="U329"/>
      <c r="V329" s="1">
        <v>0</v>
      </c>
      <c r="W329" s="24">
        <v>-1</v>
      </c>
      <c r="X329"/>
      <c r="Y329" s="1">
        <v>0</v>
      </c>
      <c r="Z329" s="24">
        <v>-1</v>
      </c>
      <c r="AA329"/>
      <c r="AB329" s="1">
        <v>0</v>
      </c>
      <c r="AC329" s="24">
        <v>-1</v>
      </c>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row>
    <row r="330" spans="2:97">
      <c r="B330"/>
      <c r="C330" s="15"/>
      <c r="D330" s="23"/>
      <c r="E330" s="23"/>
      <c r="F330" s="23"/>
      <c r="G330" s="23">
        <f t="shared" si="18"/>
        <v>0</v>
      </c>
      <c r="H330" s="23" t="e" cm="1">
        <f t="array" ref="H330">INDEX('GLOBAL LOG'!#REF!,ROW()-169+15)</f>
        <v>#REF!</v>
      </c>
      <c r="I330" s="23" t="e">
        <f>_xlfn.XLOOKUP(H330,#REF!,#REF!,"",0,1)</f>
        <v>#REF!</v>
      </c>
      <c r="J330" s="23" t="str">
        <f>IFERROR(I330*#REF!,"")</f>
        <v/>
      </c>
      <c r="K330" s="23" t="e" cm="1">
        <f t="array" ref="K330">INDEX('GLOBAL LOG'!#REF!,ROW()-169+15)</f>
        <v>#REF!</v>
      </c>
      <c r="L330" s="23" t="e">
        <f>_xlfn.XLOOKUP(K330,#REF!,#REF!,"",0,1)</f>
        <v>#REF!</v>
      </c>
      <c r="M330" s="23" t="str">
        <f>IFERROR(L330*#REF!,"")</f>
        <v/>
      </c>
      <c r="N330" s="23">
        <f t="shared" si="19"/>
        <v>-1</v>
      </c>
      <c r="O330" s="23">
        <f t="shared" si="20"/>
        <v>-1</v>
      </c>
      <c r="P330" s="23">
        <f t="shared" si="21"/>
        <v>-1</v>
      </c>
      <c r="Q330" s="24">
        <f t="shared" si="22"/>
        <v>-1</v>
      </c>
      <c r="R330" s="3"/>
      <c r="S330" s="1">
        <v>0</v>
      </c>
      <c r="T330" s="24">
        <v>-1</v>
      </c>
      <c r="U330"/>
      <c r="V330" s="1">
        <v>0</v>
      </c>
      <c r="W330" s="24">
        <v>-1</v>
      </c>
      <c r="X330"/>
      <c r="Y330" s="1">
        <v>0</v>
      </c>
      <c r="Z330" s="24">
        <v>-1</v>
      </c>
      <c r="AA330"/>
      <c r="AB330" s="1">
        <v>0</v>
      </c>
      <c r="AC330" s="24">
        <v>-1</v>
      </c>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row>
    <row r="331" spans="2:97">
      <c r="B331"/>
      <c r="C331" s="15"/>
      <c r="D331" s="23"/>
      <c r="E331" s="23"/>
      <c r="F331" s="23"/>
      <c r="G331" s="23">
        <f t="shared" si="18"/>
        <v>0</v>
      </c>
      <c r="H331" s="23" t="e" cm="1">
        <f t="array" ref="H331">INDEX('GLOBAL LOG'!#REF!,ROW()-169+15)</f>
        <v>#REF!</v>
      </c>
      <c r="I331" s="23" t="e">
        <f>_xlfn.XLOOKUP(H331,#REF!,#REF!,"",0,1)</f>
        <v>#REF!</v>
      </c>
      <c r="J331" s="23" t="str">
        <f>IFERROR(I331*#REF!,"")</f>
        <v/>
      </c>
      <c r="K331" s="23" t="e" cm="1">
        <f t="array" ref="K331">INDEX('GLOBAL LOG'!#REF!,ROW()-169+15)</f>
        <v>#REF!</v>
      </c>
      <c r="L331" s="23" t="e">
        <f>_xlfn.XLOOKUP(K331,#REF!,#REF!,"",0,1)</f>
        <v>#REF!</v>
      </c>
      <c r="M331" s="23" t="str">
        <f>IFERROR(L331*#REF!,"")</f>
        <v/>
      </c>
      <c r="N331" s="23">
        <f t="shared" si="19"/>
        <v>-1</v>
      </c>
      <c r="O331" s="23">
        <f t="shared" si="20"/>
        <v>-1</v>
      </c>
      <c r="P331" s="23">
        <f t="shared" si="21"/>
        <v>-1</v>
      </c>
      <c r="Q331" s="24">
        <f t="shared" si="22"/>
        <v>-1</v>
      </c>
      <c r="R331" s="3"/>
      <c r="S331" s="1">
        <v>0</v>
      </c>
      <c r="T331" s="24">
        <v>-1</v>
      </c>
      <c r="U331"/>
      <c r="V331" s="1">
        <v>0</v>
      </c>
      <c r="W331" s="24">
        <v>-1</v>
      </c>
      <c r="X331"/>
      <c r="Y331" s="1">
        <v>0</v>
      </c>
      <c r="Z331" s="24">
        <v>-1</v>
      </c>
      <c r="AA331"/>
      <c r="AB331" s="1">
        <v>0</v>
      </c>
      <c r="AC331" s="24">
        <v>-1</v>
      </c>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row>
    <row r="332" spans="2:97">
      <c r="B332"/>
      <c r="C332" s="15"/>
      <c r="D332" s="23"/>
      <c r="E332" s="23"/>
      <c r="F332" s="23"/>
      <c r="G332" s="23">
        <f t="shared" si="18"/>
        <v>0</v>
      </c>
      <c r="H332" s="23" t="e" cm="1">
        <f t="array" ref="H332">INDEX('GLOBAL LOG'!#REF!,ROW()-169+15)</f>
        <v>#REF!</v>
      </c>
      <c r="I332" s="23" t="e">
        <f>_xlfn.XLOOKUP(H332,#REF!,#REF!,"",0,1)</f>
        <v>#REF!</v>
      </c>
      <c r="J332" s="23" t="str">
        <f>IFERROR(I332*#REF!,"")</f>
        <v/>
      </c>
      <c r="K332" s="23" t="e" cm="1">
        <f t="array" ref="K332">INDEX('GLOBAL LOG'!#REF!,ROW()-169+15)</f>
        <v>#REF!</v>
      </c>
      <c r="L332" s="23" t="e">
        <f>_xlfn.XLOOKUP(K332,#REF!,#REF!,"",0,1)</f>
        <v>#REF!</v>
      </c>
      <c r="M332" s="23" t="str">
        <f>IFERROR(L332*#REF!,"")</f>
        <v/>
      </c>
      <c r="N332" s="23">
        <f t="shared" si="19"/>
        <v>-1</v>
      </c>
      <c r="O332" s="23">
        <f t="shared" si="20"/>
        <v>-1</v>
      </c>
      <c r="P332" s="23">
        <f t="shared" si="21"/>
        <v>-1</v>
      </c>
      <c r="Q332" s="24">
        <f t="shared" si="22"/>
        <v>-1</v>
      </c>
      <c r="R332" s="3"/>
      <c r="S332" s="1">
        <v>0</v>
      </c>
      <c r="T332" s="24">
        <v>-1</v>
      </c>
      <c r="U332"/>
      <c r="V332" s="1">
        <v>0</v>
      </c>
      <c r="W332" s="24">
        <v>-1</v>
      </c>
      <c r="X332"/>
      <c r="Y332" s="1">
        <v>0</v>
      </c>
      <c r="Z332" s="24">
        <v>-1</v>
      </c>
      <c r="AA332"/>
      <c r="AB332" s="1">
        <v>0</v>
      </c>
      <c r="AC332" s="24">
        <v>-1</v>
      </c>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row>
    <row r="333" spans="2:97">
      <c r="B333"/>
      <c r="C333" s="15"/>
      <c r="D333" s="23"/>
      <c r="E333" s="23"/>
      <c r="F333" s="23"/>
      <c r="G333" s="23">
        <f t="shared" si="18"/>
        <v>0</v>
      </c>
      <c r="H333" s="23" t="e" cm="1">
        <f t="array" ref="H333">INDEX('GLOBAL LOG'!#REF!,ROW()-169+15)</f>
        <v>#REF!</v>
      </c>
      <c r="I333" s="23" t="e">
        <f>_xlfn.XLOOKUP(H333,#REF!,#REF!,"",0,1)</f>
        <v>#REF!</v>
      </c>
      <c r="J333" s="23" t="str">
        <f>IFERROR(I333*#REF!,"")</f>
        <v/>
      </c>
      <c r="K333" s="23" t="e" cm="1">
        <f t="array" ref="K333">INDEX('GLOBAL LOG'!#REF!,ROW()-169+15)</f>
        <v>#REF!</v>
      </c>
      <c r="L333" s="23" t="e">
        <f>_xlfn.XLOOKUP(K333,#REF!,#REF!,"",0,1)</f>
        <v>#REF!</v>
      </c>
      <c r="M333" s="23" t="str">
        <f>IFERROR(L333*#REF!,"")</f>
        <v/>
      </c>
      <c r="N333" s="23">
        <f t="shared" si="19"/>
        <v>-1</v>
      </c>
      <c r="O333" s="23">
        <f t="shared" si="20"/>
        <v>-1</v>
      </c>
      <c r="P333" s="23">
        <f t="shared" si="21"/>
        <v>-1</v>
      </c>
      <c r="Q333" s="24">
        <f t="shared" si="22"/>
        <v>-1</v>
      </c>
      <c r="R333" s="3"/>
      <c r="S333" s="1">
        <v>0</v>
      </c>
      <c r="T333" s="24">
        <v>-1</v>
      </c>
      <c r="U333"/>
      <c r="V333" s="1">
        <v>0</v>
      </c>
      <c r="W333" s="24">
        <v>-1</v>
      </c>
      <c r="X333"/>
      <c r="Y333" s="1">
        <v>0</v>
      </c>
      <c r="Z333" s="24">
        <v>-1</v>
      </c>
      <c r="AA333"/>
      <c r="AB333" s="1">
        <v>0</v>
      </c>
      <c r="AC333" s="24">
        <v>-1</v>
      </c>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row>
    <row r="334" spans="2:97">
      <c r="B334"/>
      <c r="C334" s="15"/>
      <c r="D334" s="23"/>
      <c r="E334" s="23"/>
      <c r="F334" s="23"/>
      <c r="G334" s="23">
        <f t="shared" si="18"/>
        <v>0</v>
      </c>
      <c r="H334" s="23" t="e" cm="1">
        <f t="array" ref="H334">INDEX('GLOBAL LOG'!#REF!,ROW()-169+15)</f>
        <v>#REF!</v>
      </c>
      <c r="I334" s="23" t="e">
        <f>_xlfn.XLOOKUP(H334,#REF!,#REF!,"",0,1)</f>
        <v>#REF!</v>
      </c>
      <c r="J334" s="23" t="str">
        <f>IFERROR(I334*#REF!,"")</f>
        <v/>
      </c>
      <c r="K334" s="23" t="e" cm="1">
        <f t="array" ref="K334">INDEX('GLOBAL LOG'!#REF!,ROW()-169+15)</f>
        <v>#REF!</v>
      </c>
      <c r="L334" s="23" t="e">
        <f>_xlfn.XLOOKUP(K334,#REF!,#REF!,"",0,1)</f>
        <v>#REF!</v>
      </c>
      <c r="M334" s="23" t="str">
        <f>IFERROR(L334*#REF!,"")</f>
        <v/>
      </c>
      <c r="N334" s="23">
        <f t="shared" si="19"/>
        <v>-1</v>
      </c>
      <c r="O334" s="23">
        <f t="shared" si="20"/>
        <v>-1</v>
      </c>
      <c r="P334" s="23">
        <f t="shared" si="21"/>
        <v>-1</v>
      </c>
      <c r="Q334" s="24">
        <f t="shared" si="22"/>
        <v>-1</v>
      </c>
      <c r="R334" s="3"/>
      <c r="S334" s="1">
        <v>0</v>
      </c>
      <c r="T334" s="24">
        <v>-1</v>
      </c>
      <c r="U334"/>
      <c r="V334" s="1">
        <v>0</v>
      </c>
      <c r="W334" s="24">
        <v>-1</v>
      </c>
      <c r="X334"/>
      <c r="Y334" s="1">
        <v>0</v>
      </c>
      <c r="Z334" s="24">
        <v>-1</v>
      </c>
      <c r="AA334"/>
      <c r="AB334" s="1">
        <v>0</v>
      </c>
      <c r="AC334" s="24">
        <v>-1</v>
      </c>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row>
    <row r="335" spans="2:97">
      <c r="B335"/>
      <c r="C335" s="15"/>
      <c r="D335" s="23"/>
      <c r="E335" s="23"/>
      <c r="F335" s="23"/>
      <c r="G335" s="23">
        <f t="shared" si="18"/>
        <v>0</v>
      </c>
      <c r="H335" s="23" t="e" cm="1">
        <f t="array" ref="H335">INDEX('GLOBAL LOG'!#REF!,ROW()-169+15)</f>
        <v>#REF!</v>
      </c>
      <c r="I335" s="23" t="e">
        <f>_xlfn.XLOOKUP(H335,#REF!,#REF!,"",0,1)</f>
        <v>#REF!</v>
      </c>
      <c r="J335" s="23" t="str">
        <f>IFERROR(I335*#REF!,"")</f>
        <v/>
      </c>
      <c r="K335" s="23" t="e" cm="1">
        <f t="array" ref="K335">INDEX('GLOBAL LOG'!#REF!,ROW()-169+15)</f>
        <v>#REF!</v>
      </c>
      <c r="L335" s="23" t="e">
        <f>_xlfn.XLOOKUP(K335,#REF!,#REF!,"",0,1)</f>
        <v>#REF!</v>
      </c>
      <c r="M335" s="23" t="str">
        <f>IFERROR(L335*#REF!,"")</f>
        <v/>
      </c>
      <c r="N335" s="23">
        <f t="shared" si="19"/>
        <v>-1</v>
      </c>
      <c r="O335" s="23">
        <f t="shared" si="20"/>
        <v>-1</v>
      </c>
      <c r="P335" s="23">
        <f t="shared" si="21"/>
        <v>-1</v>
      </c>
      <c r="Q335" s="24">
        <f t="shared" si="22"/>
        <v>-1</v>
      </c>
      <c r="R335" s="3"/>
      <c r="S335" s="1">
        <v>0</v>
      </c>
      <c r="T335" s="24">
        <v>-1</v>
      </c>
      <c r="U335"/>
      <c r="V335" s="1">
        <v>0</v>
      </c>
      <c r="W335" s="24">
        <v>-1</v>
      </c>
      <c r="X335"/>
      <c r="Y335" s="1">
        <v>0</v>
      </c>
      <c r="Z335" s="24">
        <v>-1</v>
      </c>
      <c r="AA335"/>
      <c r="AB335" s="1">
        <v>0</v>
      </c>
      <c r="AC335" s="24">
        <v>-1</v>
      </c>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row>
    <row r="336" spans="2:97">
      <c r="B336"/>
      <c r="C336" s="15"/>
      <c r="D336" s="23"/>
      <c r="E336" s="23"/>
      <c r="F336" s="23"/>
      <c r="G336" s="23">
        <f t="shared" si="18"/>
        <v>0</v>
      </c>
      <c r="H336" s="23" t="e" cm="1">
        <f t="array" ref="H336">INDEX('GLOBAL LOG'!#REF!,ROW()-169+15)</f>
        <v>#REF!</v>
      </c>
      <c r="I336" s="23" t="e">
        <f>_xlfn.XLOOKUP(H336,#REF!,#REF!,"",0,1)</f>
        <v>#REF!</v>
      </c>
      <c r="J336" s="23" t="str">
        <f>IFERROR(I336*#REF!,"")</f>
        <v/>
      </c>
      <c r="K336" s="23" t="e" cm="1">
        <f t="array" ref="K336">INDEX('GLOBAL LOG'!#REF!,ROW()-169+15)</f>
        <v>#REF!</v>
      </c>
      <c r="L336" s="23" t="e">
        <f>_xlfn.XLOOKUP(K336,#REF!,#REF!,"",0,1)</f>
        <v>#REF!</v>
      </c>
      <c r="M336" s="23" t="str">
        <f>IFERROR(L336*#REF!,"")</f>
        <v/>
      </c>
      <c r="N336" s="23">
        <f t="shared" si="19"/>
        <v>-1</v>
      </c>
      <c r="O336" s="23">
        <f t="shared" si="20"/>
        <v>-1</v>
      </c>
      <c r="P336" s="23">
        <f t="shared" si="21"/>
        <v>-1</v>
      </c>
      <c r="Q336" s="24">
        <f t="shared" si="22"/>
        <v>-1</v>
      </c>
      <c r="R336" s="3"/>
      <c r="S336" s="1">
        <v>0</v>
      </c>
      <c r="T336" s="24">
        <v>-1</v>
      </c>
      <c r="U336"/>
      <c r="V336" s="1">
        <v>0</v>
      </c>
      <c r="W336" s="24">
        <v>-1</v>
      </c>
      <c r="X336"/>
      <c r="Y336" s="1">
        <v>0</v>
      </c>
      <c r="Z336" s="24">
        <v>-1</v>
      </c>
      <c r="AA336"/>
      <c r="AB336" s="1">
        <v>0</v>
      </c>
      <c r="AC336" s="24">
        <v>-1</v>
      </c>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row>
    <row r="337" spans="2:97">
      <c r="B337"/>
      <c r="C337" s="15"/>
      <c r="D337" s="23"/>
      <c r="E337" s="23"/>
      <c r="F337" s="23"/>
      <c r="G337" s="23">
        <f t="shared" si="18"/>
        <v>0</v>
      </c>
      <c r="H337" s="23" t="e" cm="1">
        <f t="array" ref="H337">INDEX('GLOBAL LOG'!#REF!,ROW()-169+15)</f>
        <v>#REF!</v>
      </c>
      <c r="I337" s="23" t="e">
        <f>_xlfn.XLOOKUP(H337,#REF!,#REF!,"",0,1)</f>
        <v>#REF!</v>
      </c>
      <c r="J337" s="23" t="str">
        <f>IFERROR(I337*#REF!,"")</f>
        <v/>
      </c>
      <c r="K337" s="23" t="e" cm="1">
        <f t="array" ref="K337">INDEX('GLOBAL LOG'!#REF!,ROW()-169+15)</f>
        <v>#REF!</v>
      </c>
      <c r="L337" s="23" t="e">
        <f>_xlfn.XLOOKUP(K337,#REF!,#REF!,"",0,1)</f>
        <v>#REF!</v>
      </c>
      <c r="M337" s="23" t="str">
        <f>IFERROR(L337*#REF!,"")</f>
        <v/>
      </c>
      <c r="N337" s="23">
        <f t="shared" si="19"/>
        <v>-1</v>
      </c>
      <c r="O337" s="23">
        <f t="shared" si="20"/>
        <v>-1</v>
      </c>
      <c r="P337" s="23">
        <f t="shared" si="21"/>
        <v>-1</v>
      </c>
      <c r="Q337" s="24">
        <f t="shared" si="22"/>
        <v>-1</v>
      </c>
      <c r="R337" s="3"/>
      <c r="S337" s="1">
        <v>0</v>
      </c>
      <c r="T337" s="24">
        <v>-1</v>
      </c>
      <c r="U337"/>
      <c r="V337" s="1">
        <v>0</v>
      </c>
      <c r="W337" s="24">
        <v>-1</v>
      </c>
      <c r="X337"/>
      <c r="Y337" s="1">
        <v>0</v>
      </c>
      <c r="Z337" s="24">
        <v>-1</v>
      </c>
      <c r="AA337"/>
      <c r="AB337" s="1">
        <v>0</v>
      </c>
      <c r="AC337" s="24">
        <v>-1</v>
      </c>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row>
    <row r="338" spans="2:97">
      <c r="B338"/>
      <c r="C338" s="15"/>
      <c r="D338" s="23"/>
      <c r="E338" s="23"/>
      <c r="F338" s="23"/>
      <c r="G338" s="23">
        <f t="shared" si="18"/>
        <v>0</v>
      </c>
      <c r="H338" s="23" t="e" cm="1">
        <f t="array" ref="H338">INDEX('GLOBAL LOG'!#REF!,ROW()-169+15)</f>
        <v>#REF!</v>
      </c>
      <c r="I338" s="23" t="e">
        <f>_xlfn.XLOOKUP(H338,#REF!,#REF!,"",0,1)</f>
        <v>#REF!</v>
      </c>
      <c r="J338" s="23" t="str">
        <f>IFERROR(I338*#REF!,"")</f>
        <v/>
      </c>
      <c r="K338" s="23" t="e" cm="1">
        <f t="array" ref="K338">INDEX('GLOBAL LOG'!#REF!,ROW()-169+15)</f>
        <v>#REF!</v>
      </c>
      <c r="L338" s="23" t="e">
        <f>_xlfn.XLOOKUP(K338,#REF!,#REF!,"",0,1)</f>
        <v>#REF!</v>
      </c>
      <c r="M338" s="23" t="str">
        <f>IFERROR(L338*#REF!,"")</f>
        <v/>
      </c>
      <c r="N338" s="23">
        <f t="shared" si="19"/>
        <v>-1</v>
      </c>
      <c r="O338" s="23">
        <f t="shared" si="20"/>
        <v>-1</v>
      </c>
      <c r="P338" s="23">
        <f t="shared" si="21"/>
        <v>-1</v>
      </c>
      <c r="Q338" s="24">
        <f t="shared" si="22"/>
        <v>-1</v>
      </c>
      <c r="R338" s="3"/>
      <c r="S338" s="1">
        <v>0</v>
      </c>
      <c r="T338" s="24">
        <v>-1</v>
      </c>
      <c r="U338"/>
      <c r="V338" s="1">
        <v>0</v>
      </c>
      <c r="W338" s="24">
        <v>-1</v>
      </c>
      <c r="X338"/>
      <c r="Y338" s="1">
        <v>0</v>
      </c>
      <c r="Z338" s="24">
        <v>-1</v>
      </c>
      <c r="AA338"/>
      <c r="AB338" s="1">
        <v>0</v>
      </c>
      <c r="AC338" s="24">
        <v>-1</v>
      </c>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row>
    <row r="339" spans="2:97">
      <c r="B339"/>
      <c r="C339" s="15"/>
      <c r="D339" s="23"/>
      <c r="E339" s="23"/>
      <c r="F339" s="23"/>
      <c r="G339" s="23">
        <f t="shared" si="18"/>
        <v>0</v>
      </c>
      <c r="H339" s="23" t="e" cm="1">
        <f t="array" ref="H339">INDEX('GLOBAL LOG'!#REF!,ROW()-169+15)</f>
        <v>#REF!</v>
      </c>
      <c r="I339" s="23" t="e">
        <f>_xlfn.XLOOKUP(H339,#REF!,#REF!,"",0,1)</f>
        <v>#REF!</v>
      </c>
      <c r="J339" s="23" t="str">
        <f>IFERROR(I339*#REF!,"")</f>
        <v/>
      </c>
      <c r="K339" s="23" t="e" cm="1">
        <f t="array" ref="K339">INDEX('GLOBAL LOG'!#REF!,ROW()-169+15)</f>
        <v>#REF!</v>
      </c>
      <c r="L339" s="23" t="e">
        <f>_xlfn.XLOOKUP(K339,#REF!,#REF!,"",0,1)</f>
        <v>#REF!</v>
      </c>
      <c r="M339" s="23" t="str">
        <f>IFERROR(L339*#REF!,"")</f>
        <v/>
      </c>
      <c r="N339" s="23">
        <f t="shared" si="19"/>
        <v>-1</v>
      </c>
      <c r="O339" s="23">
        <f t="shared" si="20"/>
        <v>-1</v>
      </c>
      <c r="P339" s="23">
        <f t="shared" si="21"/>
        <v>-1</v>
      </c>
      <c r="Q339" s="24">
        <f t="shared" si="22"/>
        <v>-1</v>
      </c>
      <c r="R339" s="3"/>
      <c r="S339" s="1">
        <v>0</v>
      </c>
      <c r="T339" s="24">
        <v>-1</v>
      </c>
      <c r="U339"/>
      <c r="V339" s="1">
        <v>0</v>
      </c>
      <c r="W339" s="24">
        <v>-1</v>
      </c>
      <c r="X339"/>
      <c r="Y339" s="1">
        <v>0</v>
      </c>
      <c r="Z339" s="24">
        <v>-1</v>
      </c>
      <c r="AA339"/>
      <c r="AB339" s="1">
        <v>0</v>
      </c>
      <c r="AC339" s="24">
        <v>-1</v>
      </c>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row>
    <row r="340" spans="2:97">
      <c r="B340"/>
      <c r="C340" s="15"/>
      <c r="D340" s="23"/>
      <c r="E340" s="23"/>
      <c r="F340" s="23"/>
      <c r="G340" s="23">
        <f t="shared" si="18"/>
        <v>0</v>
      </c>
      <c r="H340" s="23" t="e" cm="1">
        <f t="array" ref="H340">INDEX('GLOBAL LOG'!#REF!,ROW()-169+15)</f>
        <v>#REF!</v>
      </c>
      <c r="I340" s="23" t="e">
        <f>_xlfn.XLOOKUP(H340,#REF!,#REF!,"",0,1)</f>
        <v>#REF!</v>
      </c>
      <c r="J340" s="23" t="str">
        <f>IFERROR(I340*#REF!,"")</f>
        <v/>
      </c>
      <c r="K340" s="23" t="e" cm="1">
        <f t="array" ref="K340">INDEX('GLOBAL LOG'!#REF!,ROW()-169+15)</f>
        <v>#REF!</v>
      </c>
      <c r="L340" s="23" t="e">
        <f>_xlfn.XLOOKUP(K340,#REF!,#REF!,"",0,1)</f>
        <v>#REF!</v>
      </c>
      <c r="M340" s="23" t="str">
        <f>IFERROR(L340*#REF!,"")</f>
        <v/>
      </c>
      <c r="N340" s="23">
        <f t="shared" si="19"/>
        <v>-1</v>
      </c>
      <c r="O340" s="23">
        <f t="shared" si="20"/>
        <v>-1</v>
      </c>
      <c r="P340" s="23">
        <f t="shared" si="21"/>
        <v>-1</v>
      </c>
      <c r="Q340" s="24">
        <f t="shared" si="22"/>
        <v>-1</v>
      </c>
      <c r="R340" s="3"/>
      <c r="S340" s="1">
        <v>0</v>
      </c>
      <c r="T340" s="24">
        <v>-1</v>
      </c>
      <c r="U340"/>
      <c r="V340" s="1">
        <v>0</v>
      </c>
      <c r="W340" s="24">
        <v>-1</v>
      </c>
      <c r="X340"/>
      <c r="Y340" s="1">
        <v>0</v>
      </c>
      <c r="Z340" s="24">
        <v>-1</v>
      </c>
      <c r="AA340"/>
      <c r="AB340" s="1">
        <v>0</v>
      </c>
      <c r="AC340" s="24">
        <v>-1</v>
      </c>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row>
    <row r="341" spans="2:97">
      <c r="B341"/>
      <c r="C341" s="15"/>
      <c r="D341" s="23"/>
      <c r="E341" s="23"/>
      <c r="F341" s="23"/>
      <c r="G341" s="23">
        <f t="shared" si="18"/>
        <v>0</v>
      </c>
      <c r="H341" s="23" t="e" cm="1">
        <f t="array" ref="H341">INDEX('GLOBAL LOG'!#REF!,ROW()-169+15)</f>
        <v>#REF!</v>
      </c>
      <c r="I341" s="23" t="e">
        <f>_xlfn.XLOOKUP(H341,#REF!,#REF!,"",0,1)</f>
        <v>#REF!</v>
      </c>
      <c r="J341" s="23" t="str">
        <f>IFERROR(I341*#REF!,"")</f>
        <v/>
      </c>
      <c r="K341" s="23" t="e" cm="1">
        <f t="array" ref="K341">INDEX('GLOBAL LOG'!#REF!,ROW()-169+15)</f>
        <v>#REF!</v>
      </c>
      <c r="L341" s="23" t="e">
        <f>_xlfn.XLOOKUP(K341,#REF!,#REF!,"",0,1)</f>
        <v>#REF!</v>
      </c>
      <c r="M341" s="23" t="str">
        <f>IFERROR(L341*#REF!,"")</f>
        <v/>
      </c>
      <c r="N341" s="23">
        <f t="shared" si="19"/>
        <v>-1</v>
      </c>
      <c r="O341" s="23">
        <f t="shared" si="20"/>
        <v>-1</v>
      </c>
      <c r="P341" s="23">
        <f t="shared" si="21"/>
        <v>-1</v>
      </c>
      <c r="Q341" s="24">
        <f t="shared" si="22"/>
        <v>-1</v>
      </c>
      <c r="R341" s="3"/>
      <c r="S341" s="1">
        <v>0</v>
      </c>
      <c r="T341" s="24">
        <v>-1</v>
      </c>
      <c r="U341"/>
      <c r="V341" s="1">
        <v>0</v>
      </c>
      <c r="W341" s="24">
        <v>-1</v>
      </c>
      <c r="X341"/>
      <c r="Y341" s="1">
        <v>0</v>
      </c>
      <c r="Z341" s="24">
        <v>-1</v>
      </c>
      <c r="AA341"/>
      <c r="AB341" s="1">
        <v>0</v>
      </c>
      <c r="AC341" s="24">
        <v>-1</v>
      </c>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row>
    <row r="342" spans="2:97">
      <c r="B342"/>
      <c r="C342" s="15"/>
      <c r="D342" s="23"/>
      <c r="E342" s="23"/>
      <c r="F342" s="23"/>
      <c r="G342" s="23">
        <f t="shared" si="18"/>
        <v>0</v>
      </c>
      <c r="H342" s="23" t="e" cm="1">
        <f t="array" ref="H342">INDEX('GLOBAL LOG'!#REF!,ROW()-169+15)</f>
        <v>#REF!</v>
      </c>
      <c r="I342" s="23" t="e">
        <f>_xlfn.XLOOKUP(H342,#REF!,#REF!,"",0,1)</f>
        <v>#REF!</v>
      </c>
      <c r="J342" s="23" t="str">
        <f>IFERROR(I342*#REF!,"")</f>
        <v/>
      </c>
      <c r="K342" s="23" t="e" cm="1">
        <f t="array" ref="K342">INDEX('GLOBAL LOG'!#REF!,ROW()-169+15)</f>
        <v>#REF!</v>
      </c>
      <c r="L342" s="23" t="e">
        <f>_xlfn.XLOOKUP(K342,#REF!,#REF!,"",0,1)</f>
        <v>#REF!</v>
      </c>
      <c r="M342" s="23" t="str">
        <f>IFERROR(L342*#REF!,"")</f>
        <v/>
      </c>
      <c r="N342" s="23">
        <f t="shared" si="19"/>
        <v>-1</v>
      </c>
      <c r="O342" s="23">
        <f t="shared" si="20"/>
        <v>-1</v>
      </c>
      <c r="P342" s="23">
        <f t="shared" si="21"/>
        <v>-1</v>
      </c>
      <c r="Q342" s="24">
        <f t="shared" si="22"/>
        <v>-1</v>
      </c>
      <c r="R342" s="3"/>
      <c r="S342" s="1">
        <v>0</v>
      </c>
      <c r="T342" s="24">
        <v>-1</v>
      </c>
      <c r="U342"/>
      <c r="V342" s="1">
        <v>0</v>
      </c>
      <c r="W342" s="24">
        <v>-1</v>
      </c>
      <c r="X342"/>
      <c r="Y342" s="1">
        <v>0</v>
      </c>
      <c r="Z342" s="24">
        <v>-1</v>
      </c>
      <c r="AA342"/>
      <c r="AB342" s="1">
        <v>0</v>
      </c>
      <c r="AC342" s="24">
        <v>-1</v>
      </c>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row>
    <row r="343" spans="2:97">
      <c r="B343"/>
      <c r="C343" s="15"/>
      <c r="D343" s="23"/>
      <c r="E343" s="23"/>
      <c r="F343" s="23"/>
      <c r="G343" s="23">
        <f t="shared" si="18"/>
        <v>0</v>
      </c>
      <c r="H343" s="23" t="e" cm="1">
        <f t="array" ref="H343">INDEX('GLOBAL LOG'!#REF!,ROW()-169+15)</f>
        <v>#REF!</v>
      </c>
      <c r="I343" s="23" t="e">
        <f>_xlfn.XLOOKUP(H343,#REF!,#REF!,"",0,1)</f>
        <v>#REF!</v>
      </c>
      <c r="J343" s="23" t="str">
        <f>IFERROR(I343*#REF!,"")</f>
        <v/>
      </c>
      <c r="K343" s="23" t="e" cm="1">
        <f t="array" ref="K343">INDEX('GLOBAL LOG'!#REF!,ROW()-169+15)</f>
        <v>#REF!</v>
      </c>
      <c r="L343" s="23" t="e">
        <f>_xlfn.XLOOKUP(K343,#REF!,#REF!,"",0,1)</f>
        <v>#REF!</v>
      </c>
      <c r="M343" s="23" t="str">
        <f>IFERROR(L343*#REF!,"")</f>
        <v/>
      </c>
      <c r="N343" s="23">
        <f t="shared" si="19"/>
        <v>-1</v>
      </c>
      <c r="O343" s="23">
        <f t="shared" si="20"/>
        <v>-1</v>
      </c>
      <c r="P343" s="23">
        <f t="shared" si="21"/>
        <v>-1</v>
      </c>
      <c r="Q343" s="24">
        <f t="shared" si="22"/>
        <v>-1</v>
      </c>
      <c r="R343" s="3"/>
      <c r="S343" s="1">
        <v>0</v>
      </c>
      <c r="T343" s="24">
        <v>-1</v>
      </c>
      <c r="U343"/>
      <c r="V343" s="1">
        <v>0</v>
      </c>
      <c r="W343" s="24">
        <v>-1</v>
      </c>
      <c r="X343"/>
      <c r="Y343" s="1">
        <v>0</v>
      </c>
      <c r="Z343" s="24">
        <v>-1</v>
      </c>
      <c r="AA343"/>
      <c r="AB343" s="1">
        <v>0</v>
      </c>
      <c r="AC343" s="24">
        <v>-1</v>
      </c>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row>
    <row r="344" spans="2:97">
      <c r="B344"/>
      <c r="C344" s="15"/>
      <c r="D344" s="23"/>
      <c r="E344" s="23"/>
      <c r="F344" s="23"/>
      <c r="G344" s="23">
        <f t="shared" si="18"/>
        <v>0</v>
      </c>
      <c r="H344" s="23" t="e" cm="1">
        <f t="array" ref="H344">INDEX('GLOBAL LOG'!#REF!,ROW()-169+15)</f>
        <v>#REF!</v>
      </c>
      <c r="I344" s="23" t="e">
        <f>_xlfn.XLOOKUP(H344,#REF!,#REF!,"",0,1)</f>
        <v>#REF!</v>
      </c>
      <c r="J344" s="23" t="str">
        <f>IFERROR(I344*#REF!,"")</f>
        <v/>
      </c>
      <c r="K344" s="23" t="e" cm="1">
        <f t="array" ref="K344">INDEX('GLOBAL LOG'!#REF!,ROW()-169+15)</f>
        <v>#REF!</v>
      </c>
      <c r="L344" s="23" t="e">
        <f>_xlfn.XLOOKUP(K344,#REF!,#REF!,"",0,1)</f>
        <v>#REF!</v>
      </c>
      <c r="M344" s="23" t="str">
        <f>IFERROR(L344*#REF!,"")</f>
        <v/>
      </c>
      <c r="N344" s="23">
        <f t="shared" si="19"/>
        <v>-1</v>
      </c>
      <c r="O344" s="23">
        <f t="shared" si="20"/>
        <v>-1</v>
      </c>
      <c r="P344" s="23">
        <f t="shared" si="21"/>
        <v>-1</v>
      </c>
      <c r="Q344" s="24">
        <f t="shared" si="22"/>
        <v>-1</v>
      </c>
      <c r="R344" s="3"/>
      <c r="S344" s="1">
        <v>0</v>
      </c>
      <c r="T344" s="24">
        <v>-1</v>
      </c>
      <c r="U344"/>
      <c r="V344" s="1">
        <v>0</v>
      </c>
      <c r="W344" s="24">
        <v>-1</v>
      </c>
      <c r="X344"/>
      <c r="Y344" s="1">
        <v>0</v>
      </c>
      <c r="Z344" s="24">
        <v>-1</v>
      </c>
      <c r="AA344"/>
      <c r="AB344" s="1">
        <v>0</v>
      </c>
      <c r="AC344" s="24">
        <v>-1</v>
      </c>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row>
    <row r="345" spans="2:97">
      <c r="B345"/>
      <c r="C345" s="15"/>
      <c r="D345" s="23"/>
      <c r="E345" s="23"/>
      <c r="F345" s="23"/>
      <c r="G345" s="23">
        <f t="shared" si="18"/>
        <v>0</v>
      </c>
      <c r="H345" s="23" t="e" cm="1">
        <f t="array" ref="H345">INDEX('GLOBAL LOG'!#REF!,ROW()-169+15)</f>
        <v>#REF!</v>
      </c>
      <c r="I345" s="23" t="e">
        <f>_xlfn.XLOOKUP(H345,#REF!,#REF!,"",0,1)</f>
        <v>#REF!</v>
      </c>
      <c r="J345" s="23" t="str">
        <f>IFERROR(I345*#REF!,"")</f>
        <v/>
      </c>
      <c r="K345" s="23" t="e" cm="1">
        <f t="array" ref="K345">INDEX('GLOBAL LOG'!#REF!,ROW()-169+15)</f>
        <v>#REF!</v>
      </c>
      <c r="L345" s="23" t="e">
        <f>_xlfn.XLOOKUP(K345,#REF!,#REF!,"",0,1)</f>
        <v>#REF!</v>
      </c>
      <c r="M345" s="23" t="str">
        <f>IFERROR(L345*#REF!,"")</f>
        <v/>
      </c>
      <c r="N345" s="23">
        <f t="shared" si="19"/>
        <v>-1</v>
      </c>
      <c r="O345" s="23">
        <f t="shared" si="20"/>
        <v>-1</v>
      </c>
      <c r="P345" s="23">
        <f t="shared" si="21"/>
        <v>-1</v>
      </c>
      <c r="Q345" s="24">
        <f t="shared" si="22"/>
        <v>-1</v>
      </c>
      <c r="R345" s="3"/>
      <c r="S345" s="1">
        <v>0</v>
      </c>
      <c r="T345" s="24">
        <v>-1</v>
      </c>
      <c r="U345"/>
      <c r="V345" s="1">
        <v>0</v>
      </c>
      <c r="W345" s="24">
        <v>-1</v>
      </c>
      <c r="X345"/>
      <c r="Y345" s="1">
        <v>0</v>
      </c>
      <c r="Z345" s="24">
        <v>-1</v>
      </c>
      <c r="AA345"/>
      <c r="AB345" s="1">
        <v>0</v>
      </c>
      <c r="AC345" s="24">
        <v>-1</v>
      </c>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row>
    <row r="346" spans="2:97">
      <c r="B346"/>
      <c r="C346" s="15"/>
      <c r="D346" s="23"/>
      <c r="E346" s="23"/>
      <c r="F346" s="23"/>
      <c r="G346" s="23">
        <f t="shared" si="18"/>
        <v>0</v>
      </c>
      <c r="H346" s="23" t="e" cm="1">
        <f t="array" ref="H346">INDEX('GLOBAL LOG'!#REF!,ROW()-169+15)</f>
        <v>#REF!</v>
      </c>
      <c r="I346" s="23" t="e">
        <f>_xlfn.XLOOKUP(H346,#REF!,#REF!,"",0,1)</f>
        <v>#REF!</v>
      </c>
      <c r="J346" s="23" t="str">
        <f>IFERROR(I346*#REF!,"")</f>
        <v/>
      </c>
      <c r="K346" s="23" t="e" cm="1">
        <f t="array" ref="K346">INDEX('GLOBAL LOG'!#REF!,ROW()-169+15)</f>
        <v>#REF!</v>
      </c>
      <c r="L346" s="23" t="e">
        <f>_xlfn.XLOOKUP(K346,#REF!,#REF!,"",0,1)</f>
        <v>#REF!</v>
      </c>
      <c r="M346" s="23" t="str">
        <f>IFERROR(L346*#REF!,"")</f>
        <v/>
      </c>
      <c r="N346" s="23">
        <f t="shared" si="19"/>
        <v>-1</v>
      </c>
      <c r="O346" s="23">
        <f t="shared" si="20"/>
        <v>-1</v>
      </c>
      <c r="P346" s="23">
        <f t="shared" si="21"/>
        <v>-1</v>
      </c>
      <c r="Q346" s="24">
        <f t="shared" si="22"/>
        <v>-1</v>
      </c>
      <c r="R346" s="3"/>
      <c r="S346" s="1">
        <v>0</v>
      </c>
      <c r="T346" s="24">
        <v>-1</v>
      </c>
      <c r="U346"/>
      <c r="V346" s="1">
        <v>0</v>
      </c>
      <c r="W346" s="24">
        <v>-1</v>
      </c>
      <c r="X346"/>
      <c r="Y346" s="1">
        <v>0</v>
      </c>
      <c r="Z346" s="24">
        <v>-1</v>
      </c>
      <c r="AA346"/>
      <c r="AB346" s="1">
        <v>0</v>
      </c>
      <c r="AC346" s="24">
        <v>-1</v>
      </c>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row>
    <row r="347" spans="2:97">
      <c r="B347"/>
      <c r="C347" s="15"/>
      <c r="D347" s="23"/>
      <c r="E347" s="23"/>
      <c r="F347" s="23"/>
      <c r="G347" s="23">
        <f t="shared" si="18"/>
        <v>0</v>
      </c>
      <c r="H347" s="23" t="e" cm="1">
        <f t="array" ref="H347">INDEX('GLOBAL LOG'!#REF!,ROW()-169+15)</f>
        <v>#REF!</v>
      </c>
      <c r="I347" s="23" t="e">
        <f>_xlfn.XLOOKUP(H347,#REF!,#REF!,"",0,1)</f>
        <v>#REF!</v>
      </c>
      <c r="J347" s="23" t="str">
        <f>IFERROR(I347*#REF!,"")</f>
        <v/>
      </c>
      <c r="K347" s="23" t="e" cm="1">
        <f t="array" ref="K347">INDEX('GLOBAL LOG'!#REF!,ROW()-169+15)</f>
        <v>#REF!</v>
      </c>
      <c r="L347" s="23" t="e">
        <f>_xlfn.XLOOKUP(K347,#REF!,#REF!,"",0,1)</f>
        <v>#REF!</v>
      </c>
      <c r="M347" s="23" t="str">
        <f>IFERROR(L347*#REF!,"")</f>
        <v/>
      </c>
      <c r="N347" s="23">
        <f t="shared" si="19"/>
        <v>-1</v>
      </c>
      <c r="O347" s="23">
        <f t="shared" si="20"/>
        <v>-1</v>
      </c>
      <c r="P347" s="23">
        <f t="shared" si="21"/>
        <v>-1</v>
      </c>
      <c r="Q347" s="24">
        <f t="shared" si="22"/>
        <v>-1</v>
      </c>
      <c r="R347" s="3"/>
      <c r="S347" s="1">
        <v>0</v>
      </c>
      <c r="T347" s="24">
        <v>-1</v>
      </c>
      <c r="U347"/>
      <c r="V347" s="1">
        <v>0</v>
      </c>
      <c r="W347" s="24">
        <v>-1</v>
      </c>
      <c r="X347"/>
      <c r="Y347" s="1">
        <v>0</v>
      </c>
      <c r="Z347" s="24">
        <v>-1</v>
      </c>
      <c r="AA347"/>
      <c r="AB347" s="1">
        <v>0</v>
      </c>
      <c r="AC347" s="24">
        <v>-1</v>
      </c>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row>
    <row r="348" spans="2:97">
      <c r="B348"/>
      <c r="C348" s="15"/>
      <c r="D348" s="23"/>
      <c r="E348" s="23"/>
      <c r="F348" s="23"/>
      <c r="G348" s="23">
        <f t="shared" si="18"/>
        <v>0</v>
      </c>
      <c r="H348" s="23" t="e" cm="1">
        <f t="array" ref="H348">INDEX('GLOBAL LOG'!#REF!,ROW()-169+15)</f>
        <v>#REF!</v>
      </c>
      <c r="I348" s="23" t="e">
        <f>_xlfn.XLOOKUP(H348,#REF!,#REF!,"",0,1)</f>
        <v>#REF!</v>
      </c>
      <c r="J348" s="23" t="str">
        <f>IFERROR(I348*#REF!,"")</f>
        <v/>
      </c>
      <c r="K348" s="23" t="e" cm="1">
        <f t="array" ref="K348">INDEX('GLOBAL LOG'!#REF!,ROW()-169+15)</f>
        <v>#REF!</v>
      </c>
      <c r="L348" s="23" t="e">
        <f>_xlfn.XLOOKUP(K348,#REF!,#REF!,"",0,1)</f>
        <v>#REF!</v>
      </c>
      <c r="M348" s="23" t="str">
        <f>IFERROR(L348*#REF!,"")</f>
        <v/>
      </c>
      <c r="N348" s="23">
        <f t="shared" si="19"/>
        <v>-1</v>
      </c>
      <c r="O348" s="23">
        <f t="shared" si="20"/>
        <v>-1</v>
      </c>
      <c r="P348" s="23">
        <f t="shared" si="21"/>
        <v>-1</v>
      </c>
      <c r="Q348" s="24">
        <f t="shared" si="22"/>
        <v>-1</v>
      </c>
      <c r="R348" s="3"/>
      <c r="S348" s="1">
        <v>0</v>
      </c>
      <c r="T348" s="24">
        <v>-1</v>
      </c>
      <c r="U348"/>
      <c r="V348" s="1">
        <v>0</v>
      </c>
      <c r="W348" s="24">
        <v>-1</v>
      </c>
      <c r="X348"/>
      <c r="Y348" s="1">
        <v>0</v>
      </c>
      <c r="Z348" s="24">
        <v>-1</v>
      </c>
      <c r="AA348"/>
      <c r="AB348" s="1">
        <v>0</v>
      </c>
      <c r="AC348" s="24">
        <v>-1</v>
      </c>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CF348"/>
      <c r="CG348"/>
      <c r="CH348"/>
      <c r="CI348"/>
      <c r="CJ348"/>
      <c r="CK348"/>
      <c r="CL348"/>
      <c r="CM348"/>
      <c r="CN348"/>
      <c r="CO348"/>
      <c r="CP348"/>
      <c r="CQ348"/>
      <c r="CR348"/>
      <c r="CS348"/>
    </row>
    <row r="349" spans="2:97">
      <c r="B349"/>
      <c r="C349" s="15"/>
      <c r="D349" s="23"/>
      <c r="E349" s="23"/>
      <c r="F349" s="23"/>
      <c r="G349" s="23">
        <f t="shared" si="18"/>
        <v>0</v>
      </c>
      <c r="H349" s="23" t="e" cm="1">
        <f t="array" ref="H349">INDEX('GLOBAL LOG'!#REF!,ROW()-169+15)</f>
        <v>#REF!</v>
      </c>
      <c r="I349" s="23" t="e">
        <f>_xlfn.XLOOKUP(H349,#REF!,#REF!,"",0,1)</f>
        <v>#REF!</v>
      </c>
      <c r="J349" s="23" t="str">
        <f>IFERROR(I349*#REF!,"")</f>
        <v/>
      </c>
      <c r="K349" s="23" t="e" cm="1">
        <f t="array" ref="K349">INDEX('GLOBAL LOG'!#REF!,ROW()-169+15)</f>
        <v>#REF!</v>
      </c>
      <c r="L349" s="23" t="e">
        <f>_xlfn.XLOOKUP(K349,#REF!,#REF!,"",0,1)</f>
        <v>#REF!</v>
      </c>
      <c r="M349" s="23" t="str">
        <f>IFERROR(L349*#REF!,"")</f>
        <v/>
      </c>
      <c r="N349" s="23">
        <f t="shared" si="19"/>
        <v>-1</v>
      </c>
      <c r="O349" s="23">
        <f t="shared" si="20"/>
        <v>-1</v>
      </c>
      <c r="P349" s="23">
        <f t="shared" si="21"/>
        <v>-1</v>
      </c>
      <c r="Q349" s="24">
        <f t="shared" si="22"/>
        <v>-1</v>
      </c>
      <c r="R349" s="3"/>
      <c r="S349" s="1">
        <v>0</v>
      </c>
      <c r="T349" s="24">
        <v>-1</v>
      </c>
      <c r="U349"/>
      <c r="V349" s="1">
        <v>0</v>
      </c>
      <c r="W349" s="24">
        <v>-1</v>
      </c>
      <c r="X349"/>
      <c r="Y349" s="1">
        <v>0</v>
      </c>
      <c r="Z349" s="24">
        <v>-1</v>
      </c>
      <c r="AA349"/>
      <c r="AB349" s="1">
        <v>0</v>
      </c>
      <c r="AC349" s="24">
        <v>-1</v>
      </c>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row>
    <row r="350" spans="2:97">
      <c r="B350"/>
      <c r="C350" s="15"/>
      <c r="D350" s="23"/>
      <c r="E350" s="23"/>
      <c r="F350" s="23"/>
      <c r="G350" s="23">
        <f t="shared" si="18"/>
        <v>0</v>
      </c>
      <c r="H350" s="23" t="e" cm="1">
        <f t="array" ref="H350">INDEX('GLOBAL LOG'!#REF!,ROW()-169+15)</f>
        <v>#REF!</v>
      </c>
      <c r="I350" s="23" t="e">
        <f>_xlfn.XLOOKUP(H350,#REF!,#REF!,"",0,1)</f>
        <v>#REF!</v>
      </c>
      <c r="J350" s="23" t="str">
        <f>IFERROR(I350*#REF!,"")</f>
        <v/>
      </c>
      <c r="K350" s="23" t="e" cm="1">
        <f t="array" ref="K350">INDEX('GLOBAL LOG'!#REF!,ROW()-169+15)</f>
        <v>#REF!</v>
      </c>
      <c r="L350" s="23" t="e">
        <f>_xlfn.XLOOKUP(K350,#REF!,#REF!,"",0,1)</f>
        <v>#REF!</v>
      </c>
      <c r="M350" s="23" t="str">
        <f>IFERROR(L350*#REF!,"")</f>
        <v/>
      </c>
      <c r="N350" s="23">
        <f t="shared" si="19"/>
        <v>-1</v>
      </c>
      <c r="O350" s="23">
        <f t="shared" si="20"/>
        <v>-1</v>
      </c>
      <c r="P350" s="23">
        <f t="shared" si="21"/>
        <v>-1</v>
      </c>
      <c r="Q350" s="24">
        <f t="shared" si="22"/>
        <v>-1</v>
      </c>
      <c r="R350" s="3"/>
      <c r="S350" s="1">
        <v>0</v>
      </c>
      <c r="T350" s="24">
        <v>-1</v>
      </c>
      <c r="U350"/>
      <c r="V350" s="1">
        <v>0</v>
      </c>
      <c r="W350" s="24">
        <v>-1</v>
      </c>
      <c r="X350"/>
      <c r="Y350" s="1">
        <v>0</v>
      </c>
      <c r="Z350" s="24">
        <v>-1</v>
      </c>
      <c r="AA350"/>
      <c r="AB350" s="1">
        <v>0</v>
      </c>
      <c r="AC350" s="24">
        <v>-1</v>
      </c>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CF350"/>
      <c r="CG350"/>
      <c r="CH350"/>
      <c r="CI350"/>
      <c r="CJ350"/>
      <c r="CK350"/>
      <c r="CL350"/>
      <c r="CM350"/>
      <c r="CN350"/>
      <c r="CO350"/>
      <c r="CP350"/>
      <c r="CQ350"/>
      <c r="CR350"/>
      <c r="CS350"/>
    </row>
    <row r="351" spans="2:97">
      <c r="B351"/>
      <c r="C351" s="15"/>
      <c r="D351" s="23"/>
      <c r="E351" s="23"/>
      <c r="F351" s="23"/>
      <c r="G351" s="23">
        <f t="shared" si="18"/>
        <v>0</v>
      </c>
      <c r="H351" s="23" t="e" cm="1">
        <f t="array" ref="H351">INDEX('GLOBAL LOG'!#REF!,ROW()-169+15)</f>
        <v>#REF!</v>
      </c>
      <c r="I351" s="23" t="e">
        <f>_xlfn.XLOOKUP(H351,#REF!,#REF!,"",0,1)</f>
        <v>#REF!</v>
      </c>
      <c r="J351" s="23" t="str">
        <f>IFERROR(I351*#REF!,"")</f>
        <v/>
      </c>
      <c r="K351" s="23" t="e" cm="1">
        <f t="array" ref="K351">INDEX('GLOBAL LOG'!#REF!,ROW()-169+15)</f>
        <v>#REF!</v>
      </c>
      <c r="L351" s="23" t="e">
        <f>_xlfn.XLOOKUP(K351,#REF!,#REF!,"",0,1)</f>
        <v>#REF!</v>
      </c>
      <c r="M351" s="23" t="str">
        <f>IFERROR(L351*#REF!,"")</f>
        <v/>
      </c>
      <c r="N351" s="23">
        <f t="shared" si="19"/>
        <v>-1</v>
      </c>
      <c r="O351" s="23">
        <f t="shared" si="20"/>
        <v>-1</v>
      </c>
      <c r="P351" s="23">
        <f t="shared" si="21"/>
        <v>-1</v>
      </c>
      <c r="Q351" s="24">
        <f t="shared" si="22"/>
        <v>-1</v>
      </c>
      <c r="R351" s="3"/>
      <c r="S351" s="1">
        <v>0</v>
      </c>
      <c r="T351" s="24">
        <v>-1</v>
      </c>
      <c r="U351"/>
      <c r="V351" s="1">
        <v>0</v>
      </c>
      <c r="W351" s="24">
        <v>-1</v>
      </c>
      <c r="X351"/>
      <c r="Y351" s="1">
        <v>0</v>
      </c>
      <c r="Z351" s="24">
        <v>-1</v>
      </c>
      <c r="AA351"/>
      <c r="AB351" s="1">
        <v>0</v>
      </c>
      <c r="AC351" s="24">
        <v>-1</v>
      </c>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row>
    <row r="352" spans="2:97">
      <c r="B352"/>
      <c r="C352" s="15"/>
      <c r="D352" s="23"/>
      <c r="E352" s="23"/>
      <c r="F352" s="23"/>
      <c r="G352" s="23">
        <f t="shared" si="18"/>
        <v>0</v>
      </c>
      <c r="H352" s="23" t="e" cm="1">
        <f t="array" ref="H352">INDEX('GLOBAL LOG'!#REF!,ROW()-169+15)</f>
        <v>#REF!</v>
      </c>
      <c r="I352" s="23" t="e">
        <f>_xlfn.XLOOKUP(H352,#REF!,#REF!,"",0,1)</f>
        <v>#REF!</v>
      </c>
      <c r="J352" s="23" t="str">
        <f>IFERROR(I352*#REF!,"")</f>
        <v/>
      </c>
      <c r="K352" s="23" t="e" cm="1">
        <f t="array" ref="K352">INDEX('GLOBAL LOG'!#REF!,ROW()-169+15)</f>
        <v>#REF!</v>
      </c>
      <c r="L352" s="23" t="e">
        <f>_xlfn.XLOOKUP(K352,#REF!,#REF!,"",0,1)</f>
        <v>#REF!</v>
      </c>
      <c r="M352" s="23" t="str">
        <f>IFERROR(L352*#REF!,"")</f>
        <v/>
      </c>
      <c r="N352" s="23">
        <f t="shared" si="19"/>
        <v>-1</v>
      </c>
      <c r="O352" s="23">
        <f t="shared" si="20"/>
        <v>-1</v>
      </c>
      <c r="P352" s="23">
        <f t="shared" si="21"/>
        <v>-1</v>
      </c>
      <c r="Q352" s="24">
        <f t="shared" si="22"/>
        <v>-1</v>
      </c>
      <c r="R352" s="3"/>
      <c r="S352" s="1">
        <v>0</v>
      </c>
      <c r="T352" s="24">
        <v>-1</v>
      </c>
      <c r="U352"/>
      <c r="V352" s="1">
        <v>0</v>
      </c>
      <c r="W352" s="24">
        <v>-1</v>
      </c>
      <c r="X352"/>
      <c r="Y352" s="1">
        <v>0</v>
      </c>
      <c r="Z352" s="24">
        <v>-1</v>
      </c>
      <c r="AA352"/>
      <c r="AB352" s="1">
        <v>0</v>
      </c>
      <c r="AC352" s="24">
        <v>-1</v>
      </c>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row>
    <row r="353" spans="2:97">
      <c r="B353"/>
      <c r="C353" s="15"/>
      <c r="D353" s="23"/>
      <c r="E353" s="23"/>
      <c r="F353" s="23"/>
      <c r="G353" s="23">
        <f t="shared" si="18"/>
        <v>0</v>
      </c>
      <c r="H353" s="23" t="e" cm="1">
        <f t="array" ref="H353">INDEX('GLOBAL LOG'!#REF!,ROW()-169+15)</f>
        <v>#REF!</v>
      </c>
      <c r="I353" s="23" t="e">
        <f>_xlfn.XLOOKUP(H353,#REF!,#REF!,"",0,1)</f>
        <v>#REF!</v>
      </c>
      <c r="J353" s="23" t="str">
        <f>IFERROR(I353*#REF!,"")</f>
        <v/>
      </c>
      <c r="K353" s="23" t="e" cm="1">
        <f t="array" ref="K353">INDEX('GLOBAL LOG'!#REF!,ROW()-169+15)</f>
        <v>#REF!</v>
      </c>
      <c r="L353" s="23" t="e">
        <f>_xlfn.XLOOKUP(K353,#REF!,#REF!,"",0,1)</f>
        <v>#REF!</v>
      </c>
      <c r="M353" s="23" t="str">
        <f>IFERROR(L353*#REF!,"")</f>
        <v/>
      </c>
      <c r="N353" s="23">
        <f t="shared" si="19"/>
        <v>-1</v>
      </c>
      <c r="O353" s="23">
        <f t="shared" si="20"/>
        <v>-1</v>
      </c>
      <c r="P353" s="23">
        <f t="shared" si="21"/>
        <v>-1</v>
      </c>
      <c r="Q353" s="24">
        <f t="shared" si="22"/>
        <v>-1</v>
      </c>
      <c r="R353" s="3"/>
      <c r="S353" s="1">
        <v>0</v>
      </c>
      <c r="T353" s="24">
        <v>-1</v>
      </c>
      <c r="U353"/>
      <c r="V353" s="1">
        <v>0</v>
      </c>
      <c r="W353" s="24">
        <v>-1</v>
      </c>
      <c r="X353"/>
      <c r="Y353" s="1">
        <v>0</v>
      </c>
      <c r="Z353" s="24">
        <v>-1</v>
      </c>
      <c r="AA353"/>
      <c r="AB353" s="1">
        <v>0</v>
      </c>
      <c r="AC353" s="24">
        <v>-1</v>
      </c>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row>
    <row r="354" spans="2:97">
      <c r="B354"/>
      <c r="C354" s="15"/>
      <c r="D354" s="23"/>
      <c r="E354" s="23"/>
      <c r="F354" s="23"/>
      <c r="G354" s="23">
        <f t="shared" si="18"/>
        <v>0</v>
      </c>
      <c r="H354" s="23" t="e" cm="1">
        <f t="array" ref="H354">INDEX('GLOBAL LOG'!#REF!,ROW()-169+15)</f>
        <v>#REF!</v>
      </c>
      <c r="I354" s="23" t="e">
        <f>_xlfn.XLOOKUP(H354,#REF!,#REF!,"",0,1)</f>
        <v>#REF!</v>
      </c>
      <c r="J354" s="23" t="str">
        <f>IFERROR(I354*#REF!,"")</f>
        <v/>
      </c>
      <c r="K354" s="23" t="e" cm="1">
        <f t="array" ref="K354">INDEX('GLOBAL LOG'!#REF!,ROW()-169+15)</f>
        <v>#REF!</v>
      </c>
      <c r="L354" s="23" t="e">
        <f>_xlfn.XLOOKUP(K354,#REF!,#REF!,"",0,1)</f>
        <v>#REF!</v>
      </c>
      <c r="M354" s="23" t="str">
        <f>IFERROR(L354*#REF!,"")</f>
        <v/>
      </c>
      <c r="N354" s="23">
        <f t="shared" si="19"/>
        <v>-1</v>
      </c>
      <c r="O354" s="23">
        <f t="shared" si="20"/>
        <v>-1</v>
      </c>
      <c r="P354" s="23">
        <f t="shared" si="21"/>
        <v>-1</v>
      </c>
      <c r="Q354" s="24">
        <f t="shared" si="22"/>
        <v>-1</v>
      </c>
      <c r="R354" s="3"/>
      <c r="S354" s="1">
        <v>0</v>
      </c>
      <c r="T354" s="24">
        <v>-1</v>
      </c>
      <c r="U354"/>
      <c r="V354" s="1">
        <v>0</v>
      </c>
      <c r="W354" s="24">
        <v>-1</v>
      </c>
      <c r="X354"/>
      <c r="Y354" s="1">
        <v>0</v>
      </c>
      <c r="Z354" s="24">
        <v>-1</v>
      </c>
      <c r="AA354"/>
      <c r="AB354" s="1">
        <v>0</v>
      </c>
      <c r="AC354" s="24">
        <v>-1</v>
      </c>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row>
    <row r="355" spans="2:97">
      <c r="B355"/>
      <c r="C355" s="15"/>
      <c r="D355" s="23"/>
      <c r="E355" s="23"/>
      <c r="F355" s="23"/>
      <c r="G355" s="23">
        <f t="shared" si="18"/>
        <v>0</v>
      </c>
      <c r="H355" s="23" t="e" cm="1">
        <f t="array" ref="H355">INDEX('GLOBAL LOG'!#REF!,ROW()-169+15)</f>
        <v>#REF!</v>
      </c>
      <c r="I355" s="23" t="e">
        <f>_xlfn.XLOOKUP(H355,#REF!,#REF!,"",0,1)</f>
        <v>#REF!</v>
      </c>
      <c r="J355" s="23" t="str">
        <f>IFERROR(I355*#REF!,"")</f>
        <v/>
      </c>
      <c r="K355" s="23" t="e" cm="1">
        <f t="array" ref="K355">INDEX('GLOBAL LOG'!#REF!,ROW()-169+15)</f>
        <v>#REF!</v>
      </c>
      <c r="L355" s="23" t="e">
        <f>_xlfn.XLOOKUP(K355,#REF!,#REF!,"",0,1)</f>
        <v>#REF!</v>
      </c>
      <c r="M355" s="23" t="str">
        <f>IFERROR(L355*#REF!,"")</f>
        <v/>
      </c>
      <c r="N355" s="23">
        <f t="shared" si="19"/>
        <v>-1</v>
      </c>
      <c r="O355" s="23">
        <f t="shared" si="20"/>
        <v>-1</v>
      </c>
      <c r="P355" s="23">
        <f t="shared" si="21"/>
        <v>-1</v>
      </c>
      <c r="Q355" s="24">
        <f t="shared" si="22"/>
        <v>-1</v>
      </c>
      <c r="R355" s="3"/>
      <c r="S355" s="1">
        <v>0</v>
      </c>
      <c r="T355" s="24">
        <v>-1</v>
      </c>
      <c r="U355"/>
      <c r="V355" s="1">
        <v>0</v>
      </c>
      <c r="W355" s="24">
        <v>-1</v>
      </c>
      <c r="X355"/>
      <c r="Y355" s="1">
        <v>0</v>
      </c>
      <c r="Z355" s="24">
        <v>-1</v>
      </c>
      <c r="AA355"/>
      <c r="AB355" s="1">
        <v>0</v>
      </c>
      <c r="AC355" s="24">
        <v>-1</v>
      </c>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row>
    <row r="356" spans="2:97">
      <c r="B356"/>
      <c r="C356" s="15"/>
      <c r="D356" s="23"/>
      <c r="E356" s="23"/>
      <c r="F356" s="23"/>
      <c r="G356" s="23">
        <f t="shared" si="18"/>
        <v>0</v>
      </c>
      <c r="H356" s="23" t="e" cm="1">
        <f t="array" ref="H356">INDEX('GLOBAL LOG'!#REF!,ROW()-169+15)</f>
        <v>#REF!</v>
      </c>
      <c r="I356" s="23" t="e">
        <f>_xlfn.XLOOKUP(H356,#REF!,#REF!,"",0,1)</f>
        <v>#REF!</v>
      </c>
      <c r="J356" s="23" t="str">
        <f>IFERROR(I356*#REF!,"")</f>
        <v/>
      </c>
      <c r="K356" s="23" t="e" cm="1">
        <f t="array" ref="K356">INDEX('GLOBAL LOG'!#REF!,ROW()-169+15)</f>
        <v>#REF!</v>
      </c>
      <c r="L356" s="23" t="e">
        <f>_xlfn.XLOOKUP(K356,#REF!,#REF!,"",0,1)</f>
        <v>#REF!</v>
      </c>
      <c r="M356" s="23" t="str">
        <f>IFERROR(L356*#REF!,"")</f>
        <v/>
      </c>
      <c r="N356" s="23">
        <f t="shared" si="19"/>
        <v>-1</v>
      </c>
      <c r="O356" s="23">
        <f t="shared" si="20"/>
        <v>-1</v>
      </c>
      <c r="P356" s="23">
        <f t="shared" si="21"/>
        <v>-1</v>
      </c>
      <c r="Q356" s="24">
        <f t="shared" si="22"/>
        <v>-1</v>
      </c>
      <c r="R356" s="3"/>
      <c r="S356" s="1">
        <v>0</v>
      </c>
      <c r="T356" s="24">
        <v>-1</v>
      </c>
      <c r="U356"/>
      <c r="V356" s="1">
        <v>0</v>
      </c>
      <c r="W356" s="24">
        <v>-1</v>
      </c>
      <c r="X356"/>
      <c r="Y356" s="1">
        <v>0</v>
      </c>
      <c r="Z356" s="24">
        <v>-1</v>
      </c>
      <c r="AA356"/>
      <c r="AB356" s="1">
        <v>0</v>
      </c>
      <c r="AC356" s="24">
        <v>-1</v>
      </c>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row>
    <row r="357" spans="2:97">
      <c r="B357"/>
      <c r="C357" s="15"/>
      <c r="D357" s="23"/>
      <c r="E357" s="23"/>
      <c r="F357" s="23"/>
      <c r="G357" s="23">
        <f t="shared" si="18"/>
        <v>0</v>
      </c>
      <c r="H357" s="23" t="e" cm="1">
        <f t="array" ref="H357">INDEX('GLOBAL LOG'!#REF!,ROW()-169+15)</f>
        <v>#REF!</v>
      </c>
      <c r="I357" s="23" t="e">
        <f>_xlfn.XLOOKUP(H357,#REF!,#REF!,"",0,1)</f>
        <v>#REF!</v>
      </c>
      <c r="J357" s="23" t="str">
        <f>IFERROR(I357*#REF!,"")</f>
        <v/>
      </c>
      <c r="K357" s="23" t="e" cm="1">
        <f t="array" ref="K357">INDEX('GLOBAL LOG'!#REF!,ROW()-169+15)</f>
        <v>#REF!</v>
      </c>
      <c r="L357" s="23" t="e">
        <f>_xlfn.XLOOKUP(K357,#REF!,#REF!,"",0,1)</f>
        <v>#REF!</v>
      </c>
      <c r="M357" s="23" t="str">
        <f>IFERROR(L357*#REF!,"")</f>
        <v/>
      </c>
      <c r="N357" s="23">
        <f t="shared" si="19"/>
        <v>-1</v>
      </c>
      <c r="O357" s="23">
        <f t="shared" si="20"/>
        <v>-1</v>
      </c>
      <c r="P357" s="23">
        <f t="shared" si="21"/>
        <v>-1</v>
      </c>
      <c r="Q357" s="24">
        <f t="shared" si="22"/>
        <v>-1</v>
      </c>
      <c r="R357" s="3"/>
      <c r="S357" s="1">
        <v>0</v>
      </c>
      <c r="T357" s="24">
        <v>-1</v>
      </c>
      <c r="U357"/>
      <c r="V357" s="1">
        <v>0</v>
      </c>
      <c r="W357" s="24">
        <v>-1</v>
      </c>
      <c r="X357"/>
      <c r="Y357" s="1">
        <v>0</v>
      </c>
      <c r="Z357" s="24">
        <v>-1</v>
      </c>
      <c r="AA357"/>
      <c r="AB357" s="1">
        <v>0</v>
      </c>
      <c r="AC357" s="24">
        <v>-1</v>
      </c>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row>
    <row r="358" spans="2:97">
      <c r="B358"/>
      <c r="C358" s="15"/>
      <c r="D358" s="23"/>
      <c r="E358" s="23"/>
      <c r="F358" s="23"/>
      <c r="G358" s="23">
        <f t="shared" si="18"/>
        <v>0</v>
      </c>
      <c r="H358" s="23" t="e" cm="1">
        <f t="array" ref="H358">INDEX('GLOBAL LOG'!#REF!,ROW()-169+15)</f>
        <v>#REF!</v>
      </c>
      <c r="I358" s="23" t="e">
        <f>_xlfn.XLOOKUP(H358,#REF!,#REF!,"",0,1)</f>
        <v>#REF!</v>
      </c>
      <c r="J358" s="23" t="str">
        <f>IFERROR(I358*#REF!,"")</f>
        <v/>
      </c>
      <c r="K358" s="23" t="e" cm="1">
        <f t="array" ref="K358">INDEX('GLOBAL LOG'!#REF!,ROW()-169+15)</f>
        <v>#REF!</v>
      </c>
      <c r="L358" s="23" t="e">
        <f>_xlfn.XLOOKUP(K358,#REF!,#REF!,"",0,1)</f>
        <v>#REF!</v>
      </c>
      <c r="M358" s="23" t="str">
        <f>IFERROR(L358*#REF!,"")</f>
        <v/>
      </c>
      <c r="N358" s="23">
        <f t="shared" si="19"/>
        <v>-1</v>
      </c>
      <c r="O358" s="23">
        <f t="shared" si="20"/>
        <v>-1</v>
      </c>
      <c r="P358" s="23">
        <f t="shared" si="21"/>
        <v>-1</v>
      </c>
      <c r="Q358" s="24">
        <f t="shared" si="22"/>
        <v>-1</v>
      </c>
      <c r="R358" s="3"/>
      <c r="S358" s="1">
        <v>0</v>
      </c>
      <c r="T358" s="24">
        <v>-1</v>
      </c>
      <c r="U358"/>
      <c r="V358" s="1">
        <v>0</v>
      </c>
      <c r="W358" s="24">
        <v>-1</v>
      </c>
      <c r="X358"/>
      <c r="Y358" s="1">
        <v>0</v>
      </c>
      <c r="Z358" s="24">
        <v>-1</v>
      </c>
      <c r="AA358"/>
      <c r="AB358" s="1">
        <v>0</v>
      </c>
      <c r="AC358" s="24">
        <v>-1</v>
      </c>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row>
    <row r="359" spans="2:97">
      <c r="B359"/>
      <c r="C359" s="15"/>
      <c r="D359" s="23"/>
      <c r="E359" s="23"/>
      <c r="F359" s="23"/>
      <c r="G359" s="23">
        <f t="shared" si="18"/>
        <v>0</v>
      </c>
      <c r="H359" s="23" t="e" cm="1">
        <f t="array" ref="H359">INDEX('GLOBAL LOG'!#REF!,ROW()-169+15)</f>
        <v>#REF!</v>
      </c>
      <c r="I359" s="23" t="e">
        <f>_xlfn.XLOOKUP(H359,#REF!,#REF!,"",0,1)</f>
        <v>#REF!</v>
      </c>
      <c r="J359" s="23" t="str">
        <f>IFERROR(I359*#REF!,"")</f>
        <v/>
      </c>
      <c r="K359" s="23" t="e" cm="1">
        <f t="array" ref="K359">INDEX('GLOBAL LOG'!#REF!,ROW()-169+15)</f>
        <v>#REF!</v>
      </c>
      <c r="L359" s="23" t="e">
        <f>_xlfn.XLOOKUP(K359,#REF!,#REF!,"",0,1)</f>
        <v>#REF!</v>
      </c>
      <c r="M359" s="23" t="str">
        <f>IFERROR(L359*#REF!,"")</f>
        <v/>
      </c>
      <c r="N359" s="23">
        <f t="shared" si="19"/>
        <v>-1</v>
      </c>
      <c r="O359" s="23">
        <f t="shared" si="20"/>
        <v>-1</v>
      </c>
      <c r="P359" s="23">
        <f t="shared" si="21"/>
        <v>-1</v>
      </c>
      <c r="Q359" s="24">
        <f t="shared" si="22"/>
        <v>-1</v>
      </c>
      <c r="R359" s="3"/>
      <c r="S359" s="1">
        <v>0</v>
      </c>
      <c r="T359" s="24">
        <v>-1</v>
      </c>
      <c r="U359"/>
      <c r="V359" s="1">
        <v>0</v>
      </c>
      <c r="W359" s="24">
        <v>-1</v>
      </c>
      <c r="X359"/>
      <c r="Y359" s="1">
        <v>0</v>
      </c>
      <c r="Z359" s="24">
        <v>-1</v>
      </c>
      <c r="AA359"/>
      <c r="AB359" s="1">
        <v>0</v>
      </c>
      <c r="AC359" s="24">
        <v>-1</v>
      </c>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c r="CD359"/>
      <c r="CE359"/>
      <c r="CF359"/>
      <c r="CG359"/>
      <c r="CH359"/>
      <c r="CI359"/>
      <c r="CJ359"/>
      <c r="CK359"/>
      <c r="CL359"/>
      <c r="CM359"/>
      <c r="CN359"/>
      <c r="CO359"/>
      <c r="CP359"/>
      <c r="CQ359"/>
      <c r="CR359"/>
      <c r="CS359"/>
    </row>
    <row r="360" spans="2:97">
      <c r="B360"/>
      <c r="C360" s="15"/>
      <c r="D360" s="23"/>
      <c r="E360" s="23"/>
      <c r="F360" s="23"/>
      <c r="G360" s="23">
        <f t="shared" si="18"/>
        <v>0</v>
      </c>
      <c r="H360" s="23" t="e" cm="1">
        <f t="array" ref="H360">INDEX('GLOBAL LOG'!#REF!,ROW()-169+15)</f>
        <v>#REF!</v>
      </c>
      <c r="I360" s="23" t="e">
        <f>_xlfn.XLOOKUP(H360,#REF!,#REF!,"",0,1)</f>
        <v>#REF!</v>
      </c>
      <c r="J360" s="23" t="str">
        <f>IFERROR(I360*#REF!,"")</f>
        <v/>
      </c>
      <c r="K360" s="23" t="e" cm="1">
        <f t="array" ref="K360">INDEX('GLOBAL LOG'!#REF!,ROW()-169+15)</f>
        <v>#REF!</v>
      </c>
      <c r="L360" s="23" t="e">
        <f>_xlfn.XLOOKUP(K360,#REF!,#REF!,"",0,1)</f>
        <v>#REF!</v>
      </c>
      <c r="M360" s="23" t="str">
        <f>IFERROR(L360*#REF!,"")</f>
        <v/>
      </c>
      <c r="N360" s="23">
        <f t="shared" si="19"/>
        <v>-1</v>
      </c>
      <c r="O360" s="23">
        <f t="shared" si="20"/>
        <v>-1</v>
      </c>
      <c r="P360" s="23">
        <f t="shared" si="21"/>
        <v>-1</v>
      </c>
      <c r="Q360" s="24">
        <f t="shared" si="22"/>
        <v>-1</v>
      </c>
      <c r="R360" s="3"/>
      <c r="S360" s="1">
        <v>0</v>
      </c>
      <c r="T360" s="24">
        <v>-1</v>
      </c>
      <c r="U360"/>
      <c r="V360" s="1">
        <v>0</v>
      </c>
      <c r="W360" s="24">
        <v>-1</v>
      </c>
      <c r="X360"/>
      <c r="Y360" s="1">
        <v>0</v>
      </c>
      <c r="Z360" s="24">
        <v>-1</v>
      </c>
      <c r="AA360"/>
      <c r="AB360" s="1">
        <v>0</v>
      </c>
      <c r="AC360" s="24">
        <v>-1</v>
      </c>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c r="CD360"/>
      <c r="CE360"/>
      <c r="CF360"/>
      <c r="CG360"/>
      <c r="CH360"/>
      <c r="CI360"/>
      <c r="CJ360"/>
      <c r="CK360"/>
      <c r="CL360"/>
      <c r="CM360"/>
      <c r="CN360"/>
      <c r="CO360"/>
      <c r="CP360"/>
      <c r="CQ360"/>
      <c r="CR360"/>
      <c r="CS360"/>
    </row>
    <row r="361" spans="2:97">
      <c r="B361"/>
      <c r="C361" s="15"/>
      <c r="D361" s="23"/>
      <c r="E361" s="23"/>
      <c r="F361" s="23"/>
      <c r="G361" s="23">
        <f t="shared" si="18"/>
        <v>0</v>
      </c>
      <c r="H361" s="23" t="e" cm="1">
        <f t="array" ref="H361">INDEX('GLOBAL LOG'!#REF!,ROW()-169+15)</f>
        <v>#REF!</v>
      </c>
      <c r="I361" s="23" t="e">
        <f>_xlfn.XLOOKUP(H361,#REF!,#REF!,"",0,1)</f>
        <v>#REF!</v>
      </c>
      <c r="J361" s="23" t="str">
        <f>IFERROR(I361*#REF!,"")</f>
        <v/>
      </c>
      <c r="K361" s="23" t="e" cm="1">
        <f t="array" ref="K361">INDEX('GLOBAL LOG'!#REF!,ROW()-169+15)</f>
        <v>#REF!</v>
      </c>
      <c r="L361" s="23" t="e">
        <f>_xlfn.XLOOKUP(K361,#REF!,#REF!,"",0,1)</f>
        <v>#REF!</v>
      </c>
      <c r="M361" s="23" t="str">
        <f>IFERROR(L361*#REF!,"")</f>
        <v/>
      </c>
      <c r="N361" s="23">
        <f t="shared" si="19"/>
        <v>-1</v>
      </c>
      <c r="O361" s="23">
        <f t="shared" si="20"/>
        <v>-1</v>
      </c>
      <c r="P361" s="23">
        <f t="shared" si="21"/>
        <v>-1</v>
      </c>
      <c r="Q361" s="24">
        <f t="shared" si="22"/>
        <v>-1</v>
      </c>
      <c r="R361" s="3"/>
      <c r="S361" s="1">
        <v>0</v>
      </c>
      <c r="T361" s="24">
        <v>-1</v>
      </c>
      <c r="U361"/>
      <c r="V361" s="1">
        <v>0</v>
      </c>
      <c r="W361" s="24">
        <v>-1</v>
      </c>
      <c r="X361"/>
      <c r="Y361" s="1">
        <v>0</v>
      </c>
      <c r="Z361" s="24">
        <v>-1</v>
      </c>
      <c r="AA361"/>
      <c r="AB361" s="1">
        <v>0</v>
      </c>
      <c r="AC361" s="24">
        <v>-1</v>
      </c>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c r="CG361"/>
      <c r="CH361"/>
      <c r="CI361"/>
      <c r="CJ361"/>
      <c r="CK361"/>
      <c r="CL361"/>
      <c r="CM361"/>
      <c r="CN361"/>
      <c r="CO361"/>
      <c r="CP361"/>
      <c r="CQ361"/>
      <c r="CR361"/>
      <c r="CS361"/>
    </row>
    <row r="362" spans="2:97">
      <c r="B362"/>
      <c r="C362" s="15"/>
      <c r="D362" s="23"/>
      <c r="E362" s="23"/>
      <c r="F362" s="23"/>
      <c r="G362" s="23">
        <f t="shared" ref="G362:G425" si="23">E362+F362</f>
        <v>0</v>
      </c>
      <c r="H362" s="23" t="e" cm="1">
        <f t="array" ref="H362">INDEX('GLOBAL LOG'!#REF!,ROW()-169+15)</f>
        <v>#REF!</v>
      </c>
      <c r="I362" s="23" t="e">
        <f>_xlfn.XLOOKUP(H362,#REF!,#REF!,"",0,1)</f>
        <v>#REF!</v>
      </c>
      <c r="J362" s="23" t="str">
        <f>IFERROR(I362*#REF!,"")</f>
        <v/>
      </c>
      <c r="K362" s="23" t="e" cm="1">
        <f t="array" ref="K362">INDEX('GLOBAL LOG'!#REF!,ROW()-169+15)</f>
        <v>#REF!</v>
      </c>
      <c r="L362" s="23" t="e">
        <f>_xlfn.XLOOKUP(K362,#REF!,#REF!,"",0,1)</f>
        <v>#REF!</v>
      </c>
      <c r="M362" s="23" t="str">
        <f>IFERROR(L362*#REF!,"")</f>
        <v/>
      </c>
      <c r="N362" s="23">
        <f t="shared" ref="N362:N425" si="24">IFERROR(D362*J362*M362,-1)</f>
        <v>-1</v>
      </c>
      <c r="O362" s="23">
        <f t="shared" ref="O362:O425" si="25">IFERROR(E362*J362*M362,-1)</f>
        <v>-1</v>
      </c>
      <c r="P362" s="23">
        <f t="shared" ref="P362:P425" si="26">IFERROR(F362*J362*M362,-1)</f>
        <v>-1</v>
      </c>
      <c r="Q362" s="24">
        <f t="shared" ref="Q362:Q425" si="27">IFERROR(G362*J362*M362,-1)</f>
        <v>-1</v>
      </c>
      <c r="R362" s="3"/>
      <c r="S362" s="1">
        <v>0</v>
      </c>
      <c r="T362" s="24">
        <v>-1</v>
      </c>
      <c r="U362"/>
      <c r="V362" s="1">
        <v>0</v>
      </c>
      <c r="W362" s="24">
        <v>-1</v>
      </c>
      <c r="X362"/>
      <c r="Y362" s="1">
        <v>0</v>
      </c>
      <c r="Z362" s="24">
        <v>-1</v>
      </c>
      <c r="AA362"/>
      <c r="AB362" s="1">
        <v>0</v>
      </c>
      <c r="AC362" s="24">
        <v>-1</v>
      </c>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c r="CE362"/>
      <c r="CF362"/>
      <c r="CG362"/>
      <c r="CH362"/>
      <c r="CI362"/>
      <c r="CJ362"/>
      <c r="CK362"/>
      <c r="CL362"/>
      <c r="CM362"/>
      <c r="CN362"/>
      <c r="CO362"/>
      <c r="CP362"/>
      <c r="CQ362"/>
      <c r="CR362"/>
      <c r="CS362"/>
    </row>
    <row r="363" spans="2:97">
      <c r="B363"/>
      <c r="C363" s="15"/>
      <c r="D363" s="23"/>
      <c r="E363" s="23"/>
      <c r="F363" s="23"/>
      <c r="G363" s="23">
        <f t="shared" si="23"/>
        <v>0</v>
      </c>
      <c r="H363" s="23" t="e" cm="1">
        <f t="array" ref="H363">INDEX('GLOBAL LOG'!#REF!,ROW()-169+15)</f>
        <v>#REF!</v>
      </c>
      <c r="I363" s="23" t="e">
        <f>_xlfn.XLOOKUP(H363,#REF!,#REF!,"",0,1)</f>
        <v>#REF!</v>
      </c>
      <c r="J363" s="23" t="str">
        <f>IFERROR(I363*#REF!,"")</f>
        <v/>
      </c>
      <c r="K363" s="23" t="e" cm="1">
        <f t="array" ref="K363">INDEX('GLOBAL LOG'!#REF!,ROW()-169+15)</f>
        <v>#REF!</v>
      </c>
      <c r="L363" s="23" t="e">
        <f>_xlfn.XLOOKUP(K363,#REF!,#REF!,"",0,1)</f>
        <v>#REF!</v>
      </c>
      <c r="M363" s="23" t="str">
        <f>IFERROR(L363*#REF!,"")</f>
        <v/>
      </c>
      <c r="N363" s="23">
        <f t="shared" si="24"/>
        <v>-1</v>
      </c>
      <c r="O363" s="23">
        <f t="shared" si="25"/>
        <v>-1</v>
      </c>
      <c r="P363" s="23">
        <f t="shared" si="26"/>
        <v>-1</v>
      </c>
      <c r="Q363" s="24">
        <f t="shared" si="27"/>
        <v>-1</v>
      </c>
      <c r="R363" s="3"/>
      <c r="S363" s="1">
        <v>0</v>
      </c>
      <c r="T363" s="24">
        <v>-1</v>
      </c>
      <c r="U363"/>
      <c r="V363" s="1">
        <v>0</v>
      </c>
      <c r="W363" s="24">
        <v>-1</v>
      </c>
      <c r="X363"/>
      <c r="Y363" s="1">
        <v>0</v>
      </c>
      <c r="Z363" s="24">
        <v>-1</v>
      </c>
      <c r="AA363"/>
      <c r="AB363" s="1">
        <v>0</v>
      </c>
      <c r="AC363" s="24">
        <v>-1</v>
      </c>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c r="CD363"/>
      <c r="CE363"/>
      <c r="CF363"/>
      <c r="CG363"/>
      <c r="CH363"/>
      <c r="CI363"/>
      <c r="CJ363"/>
      <c r="CK363"/>
      <c r="CL363"/>
      <c r="CM363"/>
      <c r="CN363"/>
      <c r="CO363"/>
      <c r="CP363"/>
      <c r="CQ363"/>
      <c r="CR363"/>
      <c r="CS363"/>
    </row>
    <row r="364" spans="2:97">
      <c r="B364"/>
      <c r="C364" s="15"/>
      <c r="D364" s="23"/>
      <c r="E364" s="23"/>
      <c r="F364" s="23"/>
      <c r="G364" s="23">
        <f t="shared" si="23"/>
        <v>0</v>
      </c>
      <c r="H364" s="23" t="e" cm="1">
        <f t="array" ref="H364">INDEX('GLOBAL LOG'!#REF!,ROW()-169+15)</f>
        <v>#REF!</v>
      </c>
      <c r="I364" s="23" t="e">
        <f>_xlfn.XLOOKUP(H364,#REF!,#REF!,"",0,1)</f>
        <v>#REF!</v>
      </c>
      <c r="J364" s="23" t="str">
        <f>IFERROR(I364*#REF!,"")</f>
        <v/>
      </c>
      <c r="K364" s="23" t="e" cm="1">
        <f t="array" ref="K364">INDEX('GLOBAL LOG'!#REF!,ROW()-169+15)</f>
        <v>#REF!</v>
      </c>
      <c r="L364" s="23" t="e">
        <f>_xlfn.XLOOKUP(K364,#REF!,#REF!,"",0,1)</f>
        <v>#REF!</v>
      </c>
      <c r="M364" s="23" t="str">
        <f>IFERROR(L364*#REF!,"")</f>
        <v/>
      </c>
      <c r="N364" s="23">
        <f t="shared" si="24"/>
        <v>-1</v>
      </c>
      <c r="O364" s="23">
        <f t="shared" si="25"/>
        <v>-1</v>
      </c>
      <c r="P364" s="23">
        <f t="shared" si="26"/>
        <v>-1</v>
      </c>
      <c r="Q364" s="24">
        <f t="shared" si="27"/>
        <v>-1</v>
      </c>
      <c r="R364" s="3"/>
      <c r="S364" s="1">
        <v>0</v>
      </c>
      <c r="T364" s="24">
        <v>-1</v>
      </c>
      <c r="U364"/>
      <c r="V364" s="1">
        <v>0</v>
      </c>
      <c r="W364" s="24">
        <v>-1</v>
      </c>
      <c r="X364"/>
      <c r="Y364" s="1">
        <v>0</v>
      </c>
      <c r="Z364" s="24">
        <v>-1</v>
      </c>
      <c r="AA364"/>
      <c r="AB364" s="1">
        <v>0</v>
      </c>
      <c r="AC364" s="24">
        <v>-1</v>
      </c>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c r="CE364"/>
      <c r="CF364"/>
      <c r="CG364"/>
      <c r="CH364"/>
      <c r="CI364"/>
      <c r="CJ364"/>
      <c r="CK364"/>
      <c r="CL364"/>
      <c r="CM364"/>
      <c r="CN364"/>
      <c r="CO364"/>
      <c r="CP364"/>
      <c r="CQ364"/>
      <c r="CR364"/>
      <c r="CS364"/>
    </row>
    <row r="365" spans="2:97">
      <c r="B365"/>
      <c r="C365" s="15"/>
      <c r="D365" s="23"/>
      <c r="E365" s="23"/>
      <c r="F365" s="23"/>
      <c r="G365" s="23">
        <f t="shared" si="23"/>
        <v>0</v>
      </c>
      <c r="H365" s="23" t="e" cm="1">
        <f t="array" ref="H365">INDEX('GLOBAL LOG'!#REF!,ROW()-169+15)</f>
        <v>#REF!</v>
      </c>
      <c r="I365" s="23" t="e">
        <f>_xlfn.XLOOKUP(H365,#REF!,#REF!,"",0,1)</f>
        <v>#REF!</v>
      </c>
      <c r="J365" s="23" t="str">
        <f>IFERROR(I365*#REF!,"")</f>
        <v/>
      </c>
      <c r="K365" s="23" t="e" cm="1">
        <f t="array" ref="K365">INDEX('GLOBAL LOG'!#REF!,ROW()-169+15)</f>
        <v>#REF!</v>
      </c>
      <c r="L365" s="23" t="e">
        <f>_xlfn.XLOOKUP(K365,#REF!,#REF!,"",0,1)</f>
        <v>#REF!</v>
      </c>
      <c r="M365" s="23" t="str">
        <f>IFERROR(L365*#REF!,"")</f>
        <v/>
      </c>
      <c r="N365" s="23">
        <f t="shared" si="24"/>
        <v>-1</v>
      </c>
      <c r="O365" s="23">
        <f t="shared" si="25"/>
        <v>-1</v>
      </c>
      <c r="P365" s="23">
        <f t="shared" si="26"/>
        <v>-1</v>
      </c>
      <c r="Q365" s="24">
        <f t="shared" si="27"/>
        <v>-1</v>
      </c>
      <c r="R365" s="3"/>
      <c r="S365" s="1">
        <v>0</v>
      </c>
      <c r="T365" s="24">
        <v>-1</v>
      </c>
      <c r="U365"/>
      <c r="V365" s="1">
        <v>0</v>
      </c>
      <c r="W365" s="24">
        <v>-1</v>
      </c>
      <c r="X365"/>
      <c r="Y365" s="1">
        <v>0</v>
      </c>
      <c r="Z365" s="24">
        <v>-1</v>
      </c>
      <c r="AA365"/>
      <c r="AB365" s="1">
        <v>0</v>
      </c>
      <c r="AC365" s="24">
        <v>-1</v>
      </c>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c r="CC365"/>
      <c r="CD365"/>
      <c r="CE365"/>
      <c r="CF365"/>
      <c r="CG365"/>
      <c r="CH365"/>
      <c r="CI365"/>
      <c r="CJ365"/>
      <c r="CK365"/>
      <c r="CL365"/>
      <c r="CM365"/>
      <c r="CN365"/>
      <c r="CO365"/>
      <c r="CP365"/>
      <c r="CQ365"/>
      <c r="CR365"/>
      <c r="CS365"/>
    </row>
    <row r="366" spans="2:97">
      <c r="B366"/>
      <c r="C366" s="15"/>
      <c r="D366" s="23"/>
      <c r="E366" s="23"/>
      <c r="F366" s="23"/>
      <c r="G366" s="23">
        <f t="shared" si="23"/>
        <v>0</v>
      </c>
      <c r="H366" s="23" t="e" cm="1">
        <f t="array" ref="H366">INDEX('GLOBAL LOG'!#REF!,ROW()-169+15)</f>
        <v>#REF!</v>
      </c>
      <c r="I366" s="23" t="e">
        <f>_xlfn.XLOOKUP(H366,#REF!,#REF!,"",0,1)</f>
        <v>#REF!</v>
      </c>
      <c r="J366" s="23" t="str">
        <f>IFERROR(I366*#REF!,"")</f>
        <v/>
      </c>
      <c r="K366" s="23" t="e" cm="1">
        <f t="array" ref="K366">INDEX('GLOBAL LOG'!#REF!,ROW()-169+15)</f>
        <v>#REF!</v>
      </c>
      <c r="L366" s="23" t="e">
        <f>_xlfn.XLOOKUP(K366,#REF!,#REF!,"",0,1)</f>
        <v>#REF!</v>
      </c>
      <c r="M366" s="23" t="str">
        <f>IFERROR(L366*#REF!,"")</f>
        <v/>
      </c>
      <c r="N366" s="23">
        <f t="shared" si="24"/>
        <v>-1</v>
      </c>
      <c r="O366" s="23">
        <f t="shared" si="25"/>
        <v>-1</v>
      </c>
      <c r="P366" s="23">
        <f t="shared" si="26"/>
        <v>-1</v>
      </c>
      <c r="Q366" s="24">
        <f t="shared" si="27"/>
        <v>-1</v>
      </c>
      <c r="R366" s="3"/>
      <c r="S366" s="1">
        <v>0</v>
      </c>
      <c r="T366" s="24">
        <v>-1</v>
      </c>
      <c r="U366"/>
      <c r="V366" s="1">
        <v>0</v>
      </c>
      <c r="W366" s="24">
        <v>-1</v>
      </c>
      <c r="X366"/>
      <c r="Y366" s="1">
        <v>0</v>
      </c>
      <c r="Z366" s="24">
        <v>-1</v>
      </c>
      <c r="AA366"/>
      <c r="AB366" s="1">
        <v>0</v>
      </c>
      <c r="AC366" s="24">
        <v>-1</v>
      </c>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c r="CC366"/>
      <c r="CD366"/>
      <c r="CE366"/>
      <c r="CF366"/>
      <c r="CG366"/>
      <c r="CH366"/>
      <c r="CI366"/>
      <c r="CJ366"/>
      <c r="CK366"/>
      <c r="CL366"/>
      <c r="CM366"/>
      <c r="CN366"/>
      <c r="CO366"/>
      <c r="CP366"/>
      <c r="CQ366"/>
      <c r="CR366"/>
      <c r="CS366"/>
    </row>
    <row r="367" spans="2:97">
      <c r="B367"/>
      <c r="C367" s="15"/>
      <c r="D367" s="23"/>
      <c r="E367" s="23"/>
      <c r="F367" s="23"/>
      <c r="G367" s="23">
        <f t="shared" si="23"/>
        <v>0</v>
      </c>
      <c r="H367" s="23" t="e" cm="1">
        <f t="array" ref="H367">INDEX('GLOBAL LOG'!#REF!,ROW()-169+15)</f>
        <v>#REF!</v>
      </c>
      <c r="I367" s="23" t="e">
        <f>_xlfn.XLOOKUP(H367,#REF!,#REF!,"",0,1)</f>
        <v>#REF!</v>
      </c>
      <c r="J367" s="23" t="str">
        <f>IFERROR(I367*#REF!,"")</f>
        <v/>
      </c>
      <c r="K367" s="23" t="e" cm="1">
        <f t="array" ref="K367">INDEX('GLOBAL LOG'!#REF!,ROW()-169+15)</f>
        <v>#REF!</v>
      </c>
      <c r="L367" s="23" t="e">
        <f>_xlfn.XLOOKUP(K367,#REF!,#REF!,"",0,1)</f>
        <v>#REF!</v>
      </c>
      <c r="M367" s="23" t="str">
        <f>IFERROR(L367*#REF!,"")</f>
        <v/>
      </c>
      <c r="N367" s="23">
        <f t="shared" si="24"/>
        <v>-1</v>
      </c>
      <c r="O367" s="23">
        <f t="shared" si="25"/>
        <v>-1</v>
      </c>
      <c r="P367" s="23">
        <f t="shared" si="26"/>
        <v>-1</v>
      </c>
      <c r="Q367" s="24">
        <f t="shared" si="27"/>
        <v>-1</v>
      </c>
      <c r="R367" s="3"/>
      <c r="S367" s="1">
        <v>0</v>
      </c>
      <c r="T367" s="24">
        <v>-1</v>
      </c>
      <c r="U367"/>
      <c r="V367" s="1">
        <v>0</v>
      </c>
      <c r="W367" s="24">
        <v>-1</v>
      </c>
      <c r="X367"/>
      <c r="Y367" s="1">
        <v>0</v>
      </c>
      <c r="Z367" s="24">
        <v>-1</v>
      </c>
      <c r="AA367"/>
      <c r="AB367" s="1">
        <v>0</v>
      </c>
      <c r="AC367" s="24">
        <v>-1</v>
      </c>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c r="CD367"/>
      <c r="CE367"/>
      <c r="CF367"/>
      <c r="CG367"/>
      <c r="CH367"/>
      <c r="CI367"/>
      <c r="CJ367"/>
      <c r="CK367"/>
      <c r="CL367"/>
      <c r="CM367"/>
      <c r="CN367"/>
      <c r="CO367"/>
      <c r="CP367"/>
      <c r="CQ367"/>
      <c r="CR367"/>
      <c r="CS367"/>
    </row>
    <row r="368" spans="2:97">
      <c r="B368"/>
      <c r="C368" s="15"/>
      <c r="D368" s="23"/>
      <c r="E368" s="23"/>
      <c r="F368" s="23"/>
      <c r="G368" s="23">
        <f t="shared" si="23"/>
        <v>0</v>
      </c>
      <c r="H368" s="23" t="e" cm="1">
        <f t="array" ref="H368">INDEX('GLOBAL LOG'!#REF!,ROW()-169+15)</f>
        <v>#REF!</v>
      </c>
      <c r="I368" s="23" t="e">
        <f>_xlfn.XLOOKUP(H368,#REF!,#REF!,"",0,1)</f>
        <v>#REF!</v>
      </c>
      <c r="J368" s="23" t="str">
        <f>IFERROR(I368*#REF!,"")</f>
        <v/>
      </c>
      <c r="K368" s="23" t="e" cm="1">
        <f t="array" ref="K368">INDEX('GLOBAL LOG'!#REF!,ROW()-169+15)</f>
        <v>#REF!</v>
      </c>
      <c r="L368" s="23" t="e">
        <f>_xlfn.XLOOKUP(K368,#REF!,#REF!,"",0,1)</f>
        <v>#REF!</v>
      </c>
      <c r="M368" s="23" t="str">
        <f>IFERROR(L368*#REF!,"")</f>
        <v/>
      </c>
      <c r="N368" s="23">
        <f t="shared" si="24"/>
        <v>-1</v>
      </c>
      <c r="O368" s="23">
        <f t="shared" si="25"/>
        <v>-1</v>
      </c>
      <c r="P368" s="23">
        <f t="shared" si="26"/>
        <v>-1</v>
      </c>
      <c r="Q368" s="24">
        <f t="shared" si="27"/>
        <v>-1</v>
      </c>
      <c r="R368" s="3"/>
      <c r="S368" s="1">
        <v>0</v>
      </c>
      <c r="T368" s="24">
        <v>-1</v>
      </c>
      <c r="U368"/>
      <c r="V368" s="1">
        <v>0</v>
      </c>
      <c r="W368" s="24">
        <v>-1</v>
      </c>
      <c r="X368"/>
      <c r="Y368" s="1">
        <v>0</v>
      </c>
      <c r="Z368" s="24">
        <v>-1</v>
      </c>
      <c r="AA368"/>
      <c r="AB368" s="1">
        <v>0</v>
      </c>
      <c r="AC368" s="24">
        <v>-1</v>
      </c>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c r="CC368"/>
      <c r="CD368"/>
      <c r="CE368"/>
      <c r="CF368"/>
      <c r="CG368"/>
      <c r="CH368"/>
      <c r="CI368"/>
      <c r="CJ368"/>
      <c r="CK368"/>
      <c r="CL368"/>
      <c r="CM368"/>
      <c r="CN368"/>
      <c r="CO368"/>
      <c r="CP368"/>
      <c r="CQ368"/>
      <c r="CR368"/>
      <c r="CS368"/>
    </row>
    <row r="369" spans="2:97">
      <c r="B369"/>
      <c r="C369" s="15"/>
      <c r="D369" s="23"/>
      <c r="E369" s="23"/>
      <c r="F369" s="23"/>
      <c r="G369" s="23">
        <f t="shared" si="23"/>
        <v>0</v>
      </c>
      <c r="H369" s="23" t="e" cm="1">
        <f t="array" ref="H369">INDEX('GLOBAL LOG'!#REF!,ROW()-169+15)</f>
        <v>#REF!</v>
      </c>
      <c r="I369" s="23" t="e">
        <f>_xlfn.XLOOKUP(H369,#REF!,#REF!,"",0,1)</f>
        <v>#REF!</v>
      </c>
      <c r="J369" s="23" t="str">
        <f>IFERROR(I369*#REF!,"")</f>
        <v/>
      </c>
      <c r="K369" s="23" t="e" cm="1">
        <f t="array" ref="K369">INDEX('GLOBAL LOG'!#REF!,ROW()-169+15)</f>
        <v>#REF!</v>
      </c>
      <c r="L369" s="23" t="e">
        <f>_xlfn.XLOOKUP(K369,#REF!,#REF!,"",0,1)</f>
        <v>#REF!</v>
      </c>
      <c r="M369" s="23" t="str">
        <f>IFERROR(L369*#REF!,"")</f>
        <v/>
      </c>
      <c r="N369" s="23">
        <f t="shared" si="24"/>
        <v>-1</v>
      </c>
      <c r="O369" s="23">
        <f t="shared" si="25"/>
        <v>-1</v>
      </c>
      <c r="P369" s="23">
        <f t="shared" si="26"/>
        <v>-1</v>
      </c>
      <c r="Q369" s="24">
        <f t="shared" si="27"/>
        <v>-1</v>
      </c>
      <c r="R369" s="3"/>
      <c r="S369" s="1">
        <v>0</v>
      </c>
      <c r="T369" s="24">
        <v>-1</v>
      </c>
      <c r="U369"/>
      <c r="V369" s="1">
        <v>0</v>
      </c>
      <c r="W369" s="24">
        <v>-1</v>
      </c>
      <c r="X369"/>
      <c r="Y369" s="1">
        <v>0</v>
      </c>
      <c r="Z369" s="24">
        <v>-1</v>
      </c>
      <c r="AA369"/>
      <c r="AB369" s="1">
        <v>0</v>
      </c>
      <c r="AC369" s="24">
        <v>-1</v>
      </c>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c r="CC369"/>
      <c r="CD369"/>
      <c r="CE369"/>
      <c r="CF369"/>
      <c r="CG369"/>
      <c r="CH369"/>
      <c r="CI369"/>
      <c r="CJ369"/>
      <c r="CK369"/>
      <c r="CL369"/>
      <c r="CM369"/>
      <c r="CN369"/>
      <c r="CO369"/>
      <c r="CP369"/>
      <c r="CQ369"/>
      <c r="CR369"/>
      <c r="CS369"/>
    </row>
    <row r="370" spans="2:97">
      <c r="B370"/>
      <c r="C370" s="15"/>
      <c r="D370" s="23"/>
      <c r="E370" s="23"/>
      <c r="F370" s="23"/>
      <c r="G370" s="23">
        <f t="shared" si="23"/>
        <v>0</v>
      </c>
      <c r="H370" s="23" t="e" cm="1">
        <f t="array" ref="H370">INDEX('GLOBAL LOG'!#REF!,ROW()-169+15)</f>
        <v>#REF!</v>
      </c>
      <c r="I370" s="23" t="e">
        <f>_xlfn.XLOOKUP(H370,#REF!,#REF!,"",0,1)</f>
        <v>#REF!</v>
      </c>
      <c r="J370" s="23" t="str">
        <f>IFERROR(I370*#REF!,"")</f>
        <v/>
      </c>
      <c r="K370" s="23" t="e" cm="1">
        <f t="array" ref="K370">INDEX('GLOBAL LOG'!#REF!,ROW()-169+15)</f>
        <v>#REF!</v>
      </c>
      <c r="L370" s="23" t="e">
        <f>_xlfn.XLOOKUP(K370,#REF!,#REF!,"",0,1)</f>
        <v>#REF!</v>
      </c>
      <c r="M370" s="23" t="str">
        <f>IFERROR(L370*#REF!,"")</f>
        <v/>
      </c>
      <c r="N370" s="23">
        <f t="shared" si="24"/>
        <v>-1</v>
      </c>
      <c r="O370" s="23">
        <f t="shared" si="25"/>
        <v>-1</v>
      </c>
      <c r="P370" s="23">
        <f t="shared" si="26"/>
        <v>-1</v>
      </c>
      <c r="Q370" s="24">
        <f t="shared" si="27"/>
        <v>-1</v>
      </c>
      <c r="R370" s="3"/>
      <c r="S370" s="1">
        <v>0</v>
      </c>
      <c r="T370" s="24">
        <v>-1</v>
      </c>
      <c r="U370"/>
      <c r="V370" s="1">
        <v>0</v>
      </c>
      <c r="W370" s="24">
        <v>-1</v>
      </c>
      <c r="X370"/>
      <c r="Y370" s="1">
        <v>0</v>
      </c>
      <c r="Z370" s="24">
        <v>-1</v>
      </c>
      <c r="AA370"/>
      <c r="AB370" s="1">
        <v>0</v>
      </c>
      <c r="AC370" s="24">
        <v>-1</v>
      </c>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c r="CC370"/>
      <c r="CD370"/>
      <c r="CE370"/>
      <c r="CF370"/>
      <c r="CG370"/>
      <c r="CH370"/>
      <c r="CI370"/>
      <c r="CJ370"/>
      <c r="CK370"/>
      <c r="CL370"/>
      <c r="CM370"/>
      <c r="CN370"/>
      <c r="CO370"/>
      <c r="CP370"/>
      <c r="CQ370"/>
      <c r="CR370"/>
      <c r="CS370"/>
    </row>
    <row r="371" spans="2:97">
      <c r="B371"/>
      <c r="C371" s="15"/>
      <c r="D371" s="23"/>
      <c r="E371" s="23"/>
      <c r="F371" s="23"/>
      <c r="G371" s="23">
        <f t="shared" si="23"/>
        <v>0</v>
      </c>
      <c r="H371" s="23" t="e" cm="1">
        <f t="array" ref="H371">INDEX('GLOBAL LOG'!#REF!,ROW()-169+15)</f>
        <v>#REF!</v>
      </c>
      <c r="I371" s="23" t="e">
        <f>_xlfn.XLOOKUP(H371,#REF!,#REF!,"",0,1)</f>
        <v>#REF!</v>
      </c>
      <c r="J371" s="23" t="str">
        <f>IFERROR(I371*#REF!,"")</f>
        <v/>
      </c>
      <c r="K371" s="23" t="e" cm="1">
        <f t="array" ref="K371">INDEX('GLOBAL LOG'!#REF!,ROW()-169+15)</f>
        <v>#REF!</v>
      </c>
      <c r="L371" s="23" t="e">
        <f>_xlfn.XLOOKUP(K371,#REF!,#REF!,"",0,1)</f>
        <v>#REF!</v>
      </c>
      <c r="M371" s="23" t="str">
        <f>IFERROR(L371*#REF!,"")</f>
        <v/>
      </c>
      <c r="N371" s="23">
        <f t="shared" si="24"/>
        <v>-1</v>
      </c>
      <c r="O371" s="23">
        <f t="shared" si="25"/>
        <v>-1</v>
      </c>
      <c r="P371" s="23">
        <f t="shared" si="26"/>
        <v>-1</v>
      </c>
      <c r="Q371" s="24">
        <f t="shared" si="27"/>
        <v>-1</v>
      </c>
      <c r="R371" s="3"/>
      <c r="S371" s="1">
        <v>0</v>
      </c>
      <c r="T371" s="24">
        <v>-1</v>
      </c>
      <c r="U371"/>
      <c r="V371" s="1">
        <v>0</v>
      </c>
      <c r="W371" s="24">
        <v>-1</v>
      </c>
      <c r="X371"/>
      <c r="Y371" s="1">
        <v>0</v>
      </c>
      <c r="Z371" s="24">
        <v>-1</v>
      </c>
      <c r="AA371"/>
      <c r="AB371" s="1">
        <v>0</v>
      </c>
      <c r="AC371" s="24">
        <v>-1</v>
      </c>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c r="CD371"/>
      <c r="CE371"/>
      <c r="CF371"/>
      <c r="CG371"/>
      <c r="CH371"/>
      <c r="CI371"/>
      <c r="CJ371"/>
      <c r="CK371"/>
      <c r="CL371"/>
      <c r="CM371"/>
      <c r="CN371"/>
      <c r="CO371"/>
      <c r="CP371"/>
      <c r="CQ371"/>
      <c r="CR371"/>
      <c r="CS371"/>
    </row>
    <row r="372" spans="2:97">
      <c r="B372"/>
      <c r="C372" s="15"/>
      <c r="D372" s="23"/>
      <c r="E372" s="23"/>
      <c r="F372" s="23"/>
      <c r="G372" s="23">
        <f t="shared" si="23"/>
        <v>0</v>
      </c>
      <c r="H372" s="23" t="e" cm="1">
        <f t="array" ref="H372">INDEX('GLOBAL LOG'!#REF!,ROW()-169+15)</f>
        <v>#REF!</v>
      </c>
      <c r="I372" s="23" t="e">
        <f>_xlfn.XLOOKUP(H372,#REF!,#REF!,"",0,1)</f>
        <v>#REF!</v>
      </c>
      <c r="J372" s="23" t="str">
        <f>IFERROR(I372*#REF!,"")</f>
        <v/>
      </c>
      <c r="K372" s="23" t="e" cm="1">
        <f t="array" ref="K372">INDEX('GLOBAL LOG'!#REF!,ROW()-169+15)</f>
        <v>#REF!</v>
      </c>
      <c r="L372" s="23" t="e">
        <f>_xlfn.XLOOKUP(K372,#REF!,#REF!,"",0,1)</f>
        <v>#REF!</v>
      </c>
      <c r="M372" s="23" t="str">
        <f>IFERROR(L372*#REF!,"")</f>
        <v/>
      </c>
      <c r="N372" s="23">
        <f t="shared" si="24"/>
        <v>-1</v>
      </c>
      <c r="O372" s="23">
        <f t="shared" si="25"/>
        <v>-1</v>
      </c>
      <c r="P372" s="23">
        <f t="shared" si="26"/>
        <v>-1</v>
      </c>
      <c r="Q372" s="24">
        <f t="shared" si="27"/>
        <v>-1</v>
      </c>
      <c r="R372" s="3"/>
      <c r="S372" s="1">
        <v>0</v>
      </c>
      <c r="T372" s="24">
        <v>-1</v>
      </c>
      <c r="U372"/>
      <c r="V372" s="1">
        <v>0</v>
      </c>
      <c r="W372" s="24">
        <v>-1</v>
      </c>
      <c r="X372"/>
      <c r="Y372" s="1">
        <v>0</v>
      </c>
      <c r="Z372" s="24">
        <v>-1</v>
      </c>
      <c r="AA372"/>
      <c r="AB372" s="1">
        <v>0</v>
      </c>
      <c r="AC372" s="24">
        <v>-1</v>
      </c>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c r="CD372"/>
      <c r="CE372"/>
      <c r="CF372"/>
      <c r="CG372"/>
      <c r="CH372"/>
      <c r="CI372"/>
      <c r="CJ372"/>
      <c r="CK372"/>
      <c r="CL372"/>
      <c r="CM372"/>
      <c r="CN372"/>
      <c r="CO372"/>
      <c r="CP372"/>
      <c r="CQ372"/>
      <c r="CR372"/>
      <c r="CS372"/>
    </row>
    <row r="373" spans="2:97">
      <c r="B373"/>
      <c r="C373" s="15"/>
      <c r="D373" s="23"/>
      <c r="E373" s="23"/>
      <c r="F373" s="23"/>
      <c r="G373" s="23">
        <f t="shared" si="23"/>
        <v>0</v>
      </c>
      <c r="H373" s="23" t="e" cm="1">
        <f t="array" ref="H373">INDEX('GLOBAL LOG'!#REF!,ROW()-169+15)</f>
        <v>#REF!</v>
      </c>
      <c r="I373" s="23" t="e">
        <f>_xlfn.XLOOKUP(H373,#REF!,#REF!,"",0,1)</f>
        <v>#REF!</v>
      </c>
      <c r="J373" s="23" t="str">
        <f>IFERROR(I373*#REF!,"")</f>
        <v/>
      </c>
      <c r="K373" s="23" t="e" cm="1">
        <f t="array" ref="K373">INDEX('GLOBAL LOG'!#REF!,ROW()-169+15)</f>
        <v>#REF!</v>
      </c>
      <c r="L373" s="23" t="e">
        <f>_xlfn.XLOOKUP(K373,#REF!,#REF!,"",0,1)</f>
        <v>#REF!</v>
      </c>
      <c r="M373" s="23" t="str">
        <f>IFERROR(L373*#REF!,"")</f>
        <v/>
      </c>
      <c r="N373" s="23">
        <f t="shared" si="24"/>
        <v>-1</v>
      </c>
      <c r="O373" s="23">
        <f t="shared" si="25"/>
        <v>-1</v>
      </c>
      <c r="P373" s="23">
        <f t="shared" si="26"/>
        <v>-1</v>
      </c>
      <c r="Q373" s="24">
        <f t="shared" si="27"/>
        <v>-1</v>
      </c>
      <c r="R373" s="3"/>
      <c r="S373" s="1">
        <v>0</v>
      </c>
      <c r="T373" s="24">
        <v>-1</v>
      </c>
      <c r="U373"/>
      <c r="V373" s="1">
        <v>0</v>
      </c>
      <c r="W373" s="24">
        <v>-1</v>
      </c>
      <c r="X373"/>
      <c r="Y373" s="1">
        <v>0</v>
      </c>
      <c r="Z373" s="24">
        <v>-1</v>
      </c>
      <c r="AA373"/>
      <c r="AB373" s="1">
        <v>0</v>
      </c>
      <c r="AC373" s="24">
        <v>-1</v>
      </c>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c r="CC373"/>
      <c r="CD373"/>
      <c r="CE373"/>
      <c r="CF373"/>
      <c r="CG373"/>
      <c r="CH373"/>
      <c r="CI373"/>
      <c r="CJ373"/>
      <c r="CK373"/>
      <c r="CL373"/>
      <c r="CM373"/>
      <c r="CN373"/>
      <c r="CO373"/>
      <c r="CP373"/>
      <c r="CQ373"/>
      <c r="CR373"/>
      <c r="CS373"/>
    </row>
    <row r="374" spans="2:97">
      <c r="B374"/>
      <c r="C374" s="15"/>
      <c r="D374" s="23"/>
      <c r="E374" s="23"/>
      <c r="F374" s="23"/>
      <c r="G374" s="23">
        <f t="shared" si="23"/>
        <v>0</v>
      </c>
      <c r="H374" s="23" t="e" cm="1">
        <f t="array" ref="H374">INDEX('GLOBAL LOG'!#REF!,ROW()-169+15)</f>
        <v>#REF!</v>
      </c>
      <c r="I374" s="23" t="e">
        <f>_xlfn.XLOOKUP(H374,#REF!,#REF!,"",0,1)</f>
        <v>#REF!</v>
      </c>
      <c r="J374" s="23" t="str">
        <f>IFERROR(I374*#REF!,"")</f>
        <v/>
      </c>
      <c r="K374" s="23" t="e" cm="1">
        <f t="array" ref="K374">INDEX('GLOBAL LOG'!#REF!,ROW()-169+15)</f>
        <v>#REF!</v>
      </c>
      <c r="L374" s="23" t="e">
        <f>_xlfn.XLOOKUP(K374,#REF!,#REF!,"",0,1)</f>
        <v>#REF!</v>
      </c>
      <c r="M374" s="23" t="str">
        <f>IFERROR(L374*#REF!,"")</f>
        <v/>
      </c>
      <c r="N374" s="23">
        <f t="shared" si="24"/>
        <v>-1</v>
      </c>
      <c r="O374" s="23">
        <f t="shared" si="25"/>
        <v>-1</v>
      </c>
      <c r="P374" s="23">
        <f t="shared" si="26"/>
        <v>-1</v>
      </c>
      <c r="Q374" s="24">
        <f t="shared" si="27"/>
        <v>-1</v>
      </c>
      <c r="R374" s="3"/>
      <c r="S374" s="1">
        <v>0</v>
      </c>
      <c r="T374" s="24">
        <v>-1</v>
      </c>
      <c r="U374"/>
      <c r="V374" s="1">
        <v>0</v>
      </c>
      <c r="W374" s="24">
        <v>-1</v>
      </c>
      <c r="X374"/>
      <c r="Y374" s="1">
        <v>0</v>
      </c>
      <c r="Z374" s="24">
        <v>-1</v>
      </c>
      <c r="AA374"/>
      <c r="AB374" s="1">
        <v>0</v>
      </c>
      <c r="AC374" s="24">
        <v>-1</v>
      </c>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c r="CC374"/>
      <c r="CD374"/>
      <c r="CE374"/>
      <c r="CF374"/>
      <c r="CG374"/>
      <c r="CH374"/>
      <c r="CI374"/>
      <c r="CJ374"/>
      <c r="CK374"/>
      <c r="CL374"/>
      <c r="CM374"/>
      <c r="CN374"/>
      <c r="CO374"/>
      <c r="CP374"/>
      <c r="CQ374"/>
      <c r="CR374"/>
      <c r="CS374"/>
    </row>
    <row r="375" spans="2:97">
      <c r="B375"/>
      <c r="C375" s="15"/>
      <c r="D375" s="23"/>
      <c r="E375" s="23"/>
      <c r="F375" s="23"/>
      <c r="G375" s="23">
        <f t="shared" si="23"/>
        <v>0</v>
      </c>
      <c r="H375" s="23" t="e" cm="1">
        <f t="array" ref="H375">INDEX('GLOBAL LOG'!#REF!,ROW()-169+15)</f>
        <v>#REF!</v>
      </c>
      <c r="I375" s="23" t="e">
        <f>_xlfn.XLOOKUP(H375,#REF!,#REF!,"",0,1)</f>
        <v>#REF!</v>
      </c>
      <c r="J375" s="23" t="str">
        <f>IFERROR(I375*#REF!,"")</f>
        <v/>
      </c>
      <c r="K375" s="23" t="e" cm="1">
        <f t="array" ref="K375">INDEX('GLOBAL LOG'!#REF!,ROW()-169+15)</f>
        <v>#REF!</v>
      </c>
      <c r="L375" s="23" t="e">
        <f>_xlfn.XLOOKUP(K375,#REF!,#REF!,"",0,1)</f>
        <v>#REF!</v>
      </c>
      <c r="M375" s="23" t="str">
        <f>IFERROR(L375*#REF!,"")</f>
        <v/>
      </c>
      <c r="N375" s="23">
        <f t="shared" si="24"/>
        <v>-1</v>
      </c>
      <c r="O375" s="23">
        <f t="shared" si="25"/>
        <v>-1</v>
      </c>
      <c r="P375" s="23">
        <f t="shared" si="26"/>
        <v>-1</v>
      </c>
      <c r="Q375" s="24">
        <f t="shared" si="27"/>
        <v>-1</v>
      </c>
      <c r="R375" s="3"/>
      <c r="S375" s="1">
        <v>0</v>
      </c>
      <c r="T375" s="24">
        <v>-1</v>
      </c>
      <c r="U375"/>
      <c r="V375" s="1">
        <v>0</v>
      </c>
      <c r="W375" s="24">
        <v>-1</v>
      </c>
      <c r="X375"/>
      <c r="Y375" s="1">
        <v>0</v>
      </c>
      <c r="Z375" s="24">
        <v>-1</v>
      </c>
      <c r="AA375"/>
      <c r="AB375" s="1">
        <v>0</v>
      </c>
      <c r="AC375" s="24">
        <v>-1</v>
      </c>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c r="CC375"/>
      <c r="CD375"/>
      <c r="CE375"/>
      <c r="CF375"/>
      <c r="CG375"/>
      <c r="CH375"/>
      <c r="CI375"/>
      <c r="CJ375"/>
      <c r="CK375"/>
      <c r="CL375"/>
      <c r="CM375"/>
      <c r="CN375"/>
      <c r="CO375"/>
      <c r="CP375"/>
      <c r="CQ375"/>
      <c r="CR375"/>
      <c r="CS375"/>
    </row>
    <row r="376" spans="2:97">
      <c r="B376"/>
      <c r="C376" s="15"/>
      <c r="D376" s="23"/>
      <c r="E376" s="23"/>
      <c r="F376" s="23"/>
      <c r="G376" s="23">
        <f t="shared" si="23"/>
        <v>0</v>
      </c>
      <c r="H376" s="23" t="e" cm="1">
        <f t="array" ref="H376">INDEX('GLOBAL LOG'!#REF!,ROW()-169+15)</f>
        <v>#REF!</v>
      </c>
      <c r="I376" s="23" t="e">
        <f>_xlfn.XLOOKUP(H376,#REF!,#REF!,"",0,1)</f>
        <v>#REF!</v>
      </c>
      <c r="J376" s="23" t="str">
        <f>IFERROR(I376*#REF!,"")</f>
        <v/>
      </c>
      <c r="K376" s="23" t="e" cm="1">
        <f t="array" ref="K376">INDEX('GLOBAL LOG'!#REF!,ROW()-169+15)</f>
        <v>#REF!</v>
      </c>
      <c r="L376" s="23" t="e">
        <f>_xlfn.XLOOKUP(K376,#REF!,#REF!,"",0,1)</f>
        <v>#REF!</v>
      </c>
      <c r="M376" s="23" t="str">
        <f>IFERROR(L376*#REF!,"")</f>
        <v/>
      </c>
      <c r="N376" s="23">
        <f t="shared" si="24"/>
        <v>-1</v>
      </c>
      <c r="O376" s="23">
        <f t="shared" si="25"/>
        <v>-1</v>
      </c>
      <c r="P376" s="23">
        <f t="shared" si="26"/>
        <v>-1</v>
      </c>
      <c r="Q376" s="24">
        <f t="shared" si="27"/>
        <v>-1</v>
      </c>
      <c r="R376" s="3"/>
      <c r="S376" s="1">
        <v>0</v>
      </c>
      <c r="T376" s="24">
        <v>-1</v>
      </c>
      <c r="U376"/>
      <c r="V376" s="1">
        <v>0</v>
      </c>
      <c r="W376" s="24">
        <v>-1</v>
      </c>
      <c r="X376"/>
      <c r="Y376" s="1">
        <v>0</v>
      </c>
      <c r="Z376" s="24">
        <v>-1</v>
      </c>
      <c r="AA376"/>
      <c r="AB376" s="1">
        <v>0</v>
      </c>
      <c r="AC376" s="24">
        <v>-1</v>
      </c>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c r="CC376"/>
      <c r="CD376"/>
      <c r="CE376"/>
      <c r="CF376"/>
      <c r="CG376"/>
      <c r="CH376"/>
      <c r="CI376"/>
      <c r="CJ376"/>
      <c r="CK376"/>
      <c r="CL376"/>
      <c r="CM376"/>
      <c r="CN376"/>
      <c r="CO376"/>
      <c r="CP376"/>
      <c r="CQ376"/>
      <c r="CR376"/>
      <c r="CS376"/>
    </row>
    <row r="377" spans="2:97">
      <c r="B377"/>
      <c r="C377" s="15"/>
      <c r="D377" s="23"/>
      <c r="E377" s="23"/>
      <c r="F377" s="23"/>
      <c r="G377" s="23">
        <f t="shared" si="23"/>
        <v>0</v>
      </c>
      <c r="H377" s="23" t="e" cm="1">
        <f t="array" ref="H377">INDEX('GLOBAL LOG'!#REF!,ROW()-169+15)</f>
        <v>#REF!</v>
      </c>
      <c r="I377" s="23" t="e">
        <f>_xlfn.XLOOKUP(H377,#REF!,#REF!,"",0,1)</f>
        <v>#REF!</v>
      </c>
      <c r="J377" s="23" t="str">
        <f>IFERROR(I377*#REF!,"")</f>
        <v/>
      </c>
      <c r="K377" s="23" t="e" cm="1">
        <f t="array" ref="K377">INDEX('GLOBAL LOG'!#REF!,ROW()-169+15)</f>
        <v>#REF!</v>
      </c>
      <c r="L377" s="23" t="e">
        <f>_xlfn.XLOOKUP(K377,#REF!,#REF!,"",0,1)</f>
        <v>#REF!</v>
      </c>
      <c r="M377" s="23" t="str">
        <f>IFERROR(L377*#REF!,"")</f>
        <v/>
      </c>
      <c r="N377" s="23">
        <f t="shared" si="24"/>
        <v>-1</v>
      </c>
      <c r="O377" s="23">
        <f t="shared" si="25"/>
        <v>-1</v>
      </c>
      <c r="P377" s="23">
        <f t="shared" si="26"/>
        <v>-1</v>
      </c>
      <c r="Q377" s="24">
        <f t="shared" si="27"/>
        <v>-1</v>
      </c>
      <c r="R377" s="3"/>
      <c r="S377" s="1">
        <v>0</v>
      </c>
      <c r="T377" s="24">
        <v>-1</v>
      </c>
      <c r="U377"/>
      <c r="V377" s="1">
        <v>0</v>
      </c>
      <c r="W377" s="24">
        <v>-1</v>
      </c>
      <c r="X377"/>
      <c r="Y377" s="1">
        <v>0</v>
      </c>
      <c r="Z377" s="24">
        <v>-1</v>
      </c>
      <c r="AA377"/>
      <c r="AB377" s="1">
        <v>0</v>
      </c>
      <c r="AC377" s="24">
        <v>-1</v>
      </c>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c r="CC377"/>
      <c r="CD377"/>
      <c r="CE377"/>
      <c r="CF377"/>
      <c r="CG377"/>
      <c r="CH377"/>
      <c r="CI377"/>
      <c r="CJ377"/>
      <c r="CK377"/>
      <c r="CL377"/>
      <c r="CM377"/>
      <c r="CN377"/>
      <c r="CO377"/>
      <c r="CP377"/>
      <c r="CQ377"/>
      <c r="CR377"/>
      <c r="CS377"/>
    </row>
    <row r="378" spans="2:97">
      <c r="B378"/>
      <c r="C378" s="15"/>
      <c r="D378" s="23"/>
      <c r="E378" s="23"/>
      <c r="F378" s="23"/>
      <c r="G378" s="23">
        <f t="shared" si="23"/>
        <v>0</v>
      </c>
      <c r="H378" s="23" t="e" cm="1">
        <f t="array" ref="H378">INDEX('GLOBAL LOG'!#REF!,ROW()-169+15)</f>
        <v>#REF!</v>
      </c>
      <c r="I378" s="23" t="e">
        <f>_xlfn.XLOOKUP(H378,#REF!,#REF!,"",0,1)</f>
        <v>#REF!</v>
      </c>
      <c r="J378" s="23" t="str">
        <f>IFERROR(I378*#REF!,"")</f>
        <v/>
      </c>
      <c r="K378" s="23" t="e" cm="1">
        <f t="array" ref="K378">INDEX('GLOBAL LOG'!#REF!,ROW()-169+15)</f>
        <v>#REF!</v>
      </c>
      <c r="L378" s="23" t="e">
        <f>_xlfn.XLOOKUP(K378,#REF!,#REF!,"",0,1)</f>
        <v>#REF!</v>
      </c>
      <c r="M378" s="23" t="str">
        <f>IFERROR(L378*#REF!,"")</f>
        <v/>
      </c>
      <c r="N378" s="23">
        <f t="shared" si="24"/>
        <v>-1</v>
      </c>
      <c r="O378" s="23">
        <f t="shared" si="25"/>
        <v>-1</v>
      </c>
      <c r="P378" s="23">
        <f t="shared" si="26"/>
        <v>-1</v>
      </c>
      <c r="Q378" s="24">
        <f t="shared" si="27"/>
        <v>-1</v>
      </c>
      <c r="R378" s="3"/>
      <c r="S378" s="1">
        <v>0</v>
      </c>
      <c r="T378" s="24">
        <v>-1</v>
      </c>
      <c r="U378"/>
      <c r="V378" s="1">
        <v>0</v>
      </c>
      <c r="W378" s="24">
        <v>-1</v>
      </c>
      <c r="X378"/>
      <c r="Y378" s="1">
        <v>0</v>
      </c>
      <c r="Z378" s="24">
        <v>-1</v>
      </c>
      <c r="AA378"/>
      <c r="AB378" s="1">
        <v>0</v>
      </c>
      <c r="AC378" s="24">
        <v>-1</v>
      </c>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c r="CC378"/>
      <c r="CD378"/>
      <c r="CE378"/>
      <c r="CF378"/>
      <c r="CG378"/>
      <c r="CH378"/>
      <c r="CI378"/>
      <c r="CJ378"/>
      <c r="CK378"/>
      <c r="CL378"/>
      <c r="CM378"/>
      <c r="CN378"/>
      <c r="CO378"/>
      <c r="CP378"/>
      <c r="CQ378"/>
      <c r="CR378"/>
      <c r="CS378"/>
    </row>
    <row r="379" spans="2:97">
      <c r="B379"/>
      <c r="C379" s="15"/>
      <c r="D379" s="23"/>
      <c r="E379" s="23"/>
      <c r="F379" s="23"/>
      <c r="G379" s="23">
        <f t="shared" si="23"/>
        <v>0</v>
      </c>
      <c r="H379" s="23" t="e" cm="1">
        <f t="array" ref="H379">INDEX('GLOBAL LOG'!#REF!,ROW()-169+15)</f>
        <v>#REF!</v>
      </c>
      <c r="I379" s="23" t="e">
        <f>_xlfn.XLOOKUP(H379,#REF!,#REF!,"",0,1)</f>
        <v>#REF!</v>
      </c>
      <c r="J379" s="23" t="str">
        <f>IFERROR(I379*#REF!,"")</f>
        <v/>
      </c>
      <c r="K379" s="23" t="e" cm="1">
        <f t="array" ref="K379">INDEX('GLOBAL LOG'!#REF!,ROW()-169+15)</f>
        <v>#REF!</v>
      </c>
      <c r="L379" s="23" t="e">
        <f>_xlfn.XLOOKUP(K379,#REF!,#REF!,"",0,1)</f>
        <v>#REF!</v>
      </c>
      <c r="M379" s="23" t="str">
        <f>IFERROR(L379*#REF!,"")</f>
        <v/>
      </c>
      <c r="N379" s="23">
        <f t="shared" si="24"/>
        <v>-1</v>
      </c>
      <c r="O379" s="23">
        <f t="shared" si="25"/>
        <v>-1</v>
      </c>
      <c r="P379" s="23">
        <f t="shared" si="26"/>
        <v>-1</v>
      </c>
      <c r="Q379" s="24">
        <f t="shared" si="27"/>
        <v>-1</v>
      </c>
      <c r="R379" s="3"/>
      <c r="S379" s="1">
        <v>0</v>
      </c>
      <c r="T379" s="24">
        <v>-1</v>
      </c>
      <c r="U379"/>
      <c r="V379" s="1">
        <v>0</v>
      </c>
      <c r="W379" s="24">
        <v>-1</v>
      </c>
      <c r="X379"/>
      <c r="Y379" s="1">
        <v>0</v>
      </c>
      <c r="Z379" s="24">
        <v>-1</v>
      </c>
      <c r="AA379"/>
      <c r="AB379" s="1">
        <v>0</v>
      </c>
      <c r="AC379" s="24">
        <v>-1</v>
      </c>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c r="CC379"/>
      <c r="CD379"/>
      <c r="CE379"/>
      <c r="CF379"/>
      <c r="CG379"/>
      <c r="CH379"/>
      <c r="CI379"/>
      <c r="CJ379"/>
      <c r="CK379"/>
      <c r="CL379"/>
      <c r="CM379"/>
      <c r="CN379"/>
      <c r="CO379"/>
      <c r="CP379"/>
      <c r="CQ379"/>
      <c r="CR379"/>
      <c r="CS379"/>
    </row>
    <row r="380" spans="2:97">
      <c r="B380"/>
      <c r="C380" s="15"/>
      <c r="D380" s="23"/>
      <c r="E380" s="23"/>
      <c r="F380" s="23"/>
      <c r="G380" s="23">
        <f t="shared" si="23"/>
        <v>0</v>
      </c>
      <c r="H380" s="23" t="e" cm="1">
        <f t="array" ref="H380">INDEX('GLOBAL LOG'!#REF!,ROW()-169+15)</f>
        <v>#REF!</v>
      </c>
      <c r="I380" s="23" t="e">
        <f>_xlfn.XLOOKUP(H380,#REF!,#REF!,"",0,1)</f>
        <v>#REF!</v>
      </c>
      <c r="J380" s="23" t="str">
        <f>IFERROR(I380*#REF!,"")</f>
        <v/>
      </c>
      <c r="K380" s="23" t="e" cm="1">
        <f t="array" ref="K380">INDEX('GLOBAL LOG'!#REF!,ROW()-169+15)</f>
        <v>#REF!</v>
      </c>
      <c r="L380" s="23" t="e">
        <f>_xlfn.XLOOKUP(K380,#REF!,#REF!,"",0,1)</f>
        <v>#REF!</v>
      </c>
      <c r="M380" s="23" t="str">
        <f>IFERROR(L380*#REF!,"")</f>
        <v/>
      </c>
      <c r="N380" s="23">
        <f t="shared" si="24"/>
        <v>-1</v>
      </c>
      <c r="O380" s="23">
        <f t="shared" si="25"/>
        <v>-1</v>
      </c>
      <c r="P380" s="23">
        <f t="shared" si="26"/>
        <v>-1</v>
      </c>
      <c r="Q380" s="24">
        <f t="shared" si="27"/>
        <v>-1</v>
      </c>
      <c r="R380" s="3"/>
      <c r="S380" s="1">
        <v>0</v>
      </c>
      <c r="T380" s="24">
        <v>-1</v>
      </c>
      <c r="U380"/>
      <c r="V380" s="1">
        <v>0</v>
      </c>
      <c r="W380" s="24">
        <v>-1</v>
      </c>
      <c r="X380"/>
      <c r="Y380" s="1">
        <v>0</v>
      </c>
      <c r="Z380" s="24">
        <v>-1</v>
      </c>
      <c r="AA380"/>
      <c r="AB380" s="1">
        <v>0</v>
      </c>
      <c r="AC380" s="24">
        <v>-1</v>
      </c>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c r="CC380"/>
      <c r="CD380"/>
      <c r="CE380"/>
      <c r="CF380"/>
      <c r="CG380"/>
      <c r="CH380"/>
      <c r="CI380"/>
      <c r="CJ380"/>
      <c r="CK380"/>
      <c r="CL380"/>
      <c r="CM380"/>
      <c r="CN380"/>
      <c r="CO380"/>
      <c r="CP380"/>
      <c r="CQ380"/>
      <c r="CR380"/>
      <c r="CS380"/>
    </row>
    <row r="381" spans="2:97">
      <c r="B381"/>
      <c r="C381" s="15"/>
      <c r="D381" s="23"/>
      <c r="E381" s="23"/>
      <c r="F381" s="23"/>
      <c r="G381" s="23">
        <f t="shared" si="23"/>
        <v>0</v>
      </c>
      <c r="H381" s="23" t="e" cm="1">
        <f t="array" ref="H381">INDEX('GLOBAL LOG'!#REF!,ROW()-169+15)</f>
        <v>#REF!</v>
      </c>
      <c r="I381" s="23" t="e">
        <f>_xlfn.XLOOKUP(H381,#REF!,#REF!,"",0,1)</f>
        <v>#REF!</v>
      </c>
      <c r="J381" s="23" t="str">
        <f>IFERROR(I381*#REF!,"")</f>
        <v/>
      </c>
      <c r="K381" s="23" t="e" cm="1">
        <f t="array" ref="K381">INDEX('GLOBAL LOG'!#REF!,ROW()-169+15)</f>
        <v>#REF!</v>
      </c>
      <c r="L381" s="23" t="e">
        <f>_xlfn.XLOOKUP(K381,#REF!,#REF!,"",0,1)</f>
        <v>#REF!</v>
      </c>
      <c r="M381" s="23" t="str">
        <f>IFERROR(L381*#REF!,"")</f>
        <v/>
      </c>
      <c r="N381" s="23">
        <f t="shared" si="24"/>
        <v>-1</v>
      </c>
      <c r="O381" s="23">
        <f t="shared" si="25"/>
        <v>-1</v>
      </c>
      <c r="P381" s="23">
        <f t="shared" si="26"/>
        <v>-1</v>
      </c>
      <c r="Q381" s="24">
        <f t="shared" si="27"/>
        <v>-1</v>
      </c>
      <c r="R381" s="3"/>
      <c r="S381" s="1">
        <v>0</v>
      </c>
      <c r="T381" s="24">
        <v>-1</v>
      </c>
      <c r="U381"/>
      <c r="V381" s="1">
        <v>0</v>
      </c>
      <c r="W381" s="24">
        <v>-1</v>
      </c>
      <c r="X381"/>
      <c r="Y381" s="1">
        <v>0</v>
      </c>
      <c r="Z381" s="24">
        <v>-1</v>
      </c>
      <c r="AA381"/>
      <c r="AB381" s="1">
        <v>0</v>
      </c>
      <c r="AC381" s="24">
        <v>-1</v>
      </c>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c r="CE381"/>
      <c r="CF381"/>
      <c r="CG381"/>
      <c r="CH381"/>
      <c r="CI381"/>
      <c r="CJ381"/>
      <c r="CK381"/>
      <c r="CL381"/>
      <c r="CM381"/>
      <c r="CN381"/>
      <c r="CO381"/>
      <c r="CP381"/>
      <c r="CQ381"/>
      <c r="CR381"/>
      <c r="CS381"/>
    </row>
    <row r="382" spans="2:97">
      <c r="B382"/>
      <c r="C382" s="15"/>
      <c r="D382" s="23"/>
      <c r="E382" s="23"/>
      <c r="F382" s="23"/>
      <c r="G382" s="23">
        <f t="shared" si="23"/>
        <v>0</v>
      </c>
      <c r="H382" s="23" t="e" cm="1">
        <f t="array" ref="H382">INDEX('GLOBAL LOG'!#REF!,ROW()-169+15)</f>
        <v>#REF!</v>
      </c>
      <c r="I382" s="23" t="e">
        <f>_xlfn.XLOOKUP(H382,#REF!,#REF!,"",0,1)</f>
        <v>#REF!</v>
      </c>
      <c r="J382" s="23" t="str">
        <f>IFERROR(I382*#REF!,"")</f>
        <v/>
      </c>
      <c r="K382" s="23" t="e" cm="1">
        <f t="array" ref="K382">INDEX('GLOBAL LOG'!#REF!,ROW()-169+15)</f>
        <v>#REF!</v>
      </c>
      <c r="L382" s="23" t="e">
        <f>_xlfn.XLOOKUP(K382,#REF!,#REF!,"",0,1)</f>
        <v>#REF!</v>
      </c>
      <c r="M382" s="23" t="str">
        <f>IFERROR(L382*#REF!,"")</f>
        <v/>
      </c>
      <c r="N382" s="23">
        <f t="shared" si="24"/>
        <v>-1</v>
      </c>
      <c r="O382" s="23">
        <f t="shared" si="25"/>
        <v>-1</v>
      </c>
      <c r="P382" s="23">
        <f t="shared" si="26"/>
        <v>-1</v>
      </c>
      <c r="Q382" s="24">
        <f t="shared" si="27"/>
        <v>-1</v>
      </c>
      <c r="R382" s="3"/>
      <c r="S382" s="1">
        <v>0</v>
      </c>
      <c r="T382" s="24">
        <v>-1</v>
      </c>
      <c r="U382"/>
      <c r="V382" s="1">
        <v>0</v>
      </c>
      <c r="W382" s="24">
        <v>-1</v>
      </c>
      <c r="X382"/>
      <c r="Y382" s="1">
        <v>0</v>
      </c>
      <c r="Z382" s="24">
        <v>-1</v>
      </c>
      <c r="AA382"/>
      <c r="AB382" s="1">
        <v>0</v>
      </c>
      <c r="AC382" s="24">
        <v>-1</v>
      </c>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c r="CE382"/>
      <c r="CF382"/>
      <c r="CG382"/>
      <c r="CH382"/>
      <c r="CI382"/>
      <c r="CJ382"/>
      <c r="CK382"/>
      <c r="CL382"/>
      <c r="CM382"/>
      <c r="CN382"/>
      <c r="CO382"/>
      <c r="CP382"/>
      <c r="CQ382"/>
      <c r="CR382"/>
      <c r="CS382"/>
    </row>
    <row r="383" spans="2:97">
      <c r="B383"/>
      <c r="C383" s="15"/>
      <c r="D383" s="23"/>
      <c r="E383" s="23"/>
      <c r="F383" s="23"/>
      <c r="G383" s="23">
        <f t="shared" si="23"/>
        <v>0</v>
      </c>
      <c r="H383" s="23" t="e" cm="1">
        <f t="array" ref="H383">INDEX('GLOBAL LOG'!#REF!,ROW()-169+15)</f>
        <v>#REF!</v>
      </c>
      <c r="I383" s="23" t="e">
        <f>_xlfn.XLOOKUP(H383,#REF!,#REF!,"",0,1)</f>
        <v>#REF!</v>
      </c>
      <c r="J383" s="23" t="str">
        <f>IFERROR(I383*#REF!,"")</f>
        <v/>
      </c>
      <c r="K383" s="23" t="e" cm="1">
        <f t="array" ref="K383">INDEX('GLOBAL LOG'!#REF!,ROW()-169+15)</f>
        <v>#REF!</v>
      </c>
      <c r="L383" s="23" t="e">
        <f>_xlfn.XLOOKUP(K383,#REF!,#REF!,"",0,1)</f>
        <v>#REF!</v>
      </c>
      <c r="M383" s="23" t="str">
        <f>IFERROR(L383*#REF!,"")</f>
        <v/>
      </c>
      <c r="N383" s="23">
        <f t="shared" si="24"/>
        <v>-1</v>
      </c>
      <c r="O383" s="23">
        <f t="shared" si="25"/>
        <v>-1</v>
      </c>
      <c r="P383" s="23">
        <f t="shared" si="26"/>
        <v>-1</v>
      </c>
      <c r="Q383" s="24">
        <f t="shared" si="27"/>
        <v>-1</v>
      </c>
      <c r="R383" s="3"/>
      <c r="S383" s="1">
        <v>0</v>
      </c>
      <c r="T383" s="24">
        <v>-1</v>
      </c>
      <c r="U383"/>
      <c r="V383" s="1">
        <v>0</v>
      </c>
      <c r="W383" s="24">
        <v>-1</v>
      </c>
      <c r="X383"/>
      <c r="Y383" s="1">
        <v>0</v>
      </c>
      <c r="Z383" s="24">
        <v>-1</v>
      </c>
      <c r="AA383"/>
      <c r="AB383" s="1">
        <v>0</v>
      </c>
      <c r="AC383" s="24">
        <v>-1</v>
      </c>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CF383"/>
      <c r="CG383"/>
      <c r="CH383"/>
      <c r="CI383"/>
      <c r="CJ383"/>
      <c r="CK383"/>
      <c r="CL383"/>
      <c r="CM383"/>
      <c r="CN383"/>
      <c r="CO383"/>
      <c r="CP383"/>
      <c r="CQ383"/>
      <c r="CR383"/>
      <c r="CS383"/>
    </row>
    <row r="384" spans="2:97">
      <c r="B384"/>
      <c r="C384" s="15"/>
      <c r="D384" s="23"/>
      <c r="E384" s="23"/>
      <c r="F384" s="23"/>
      <c r="G384" s="23">
        <f t="shared" si="23"/>
        <v>0</v>
      </c>
      <c r="H384" s="23" t="e" cm="1">
        <f t="array" ref="H384">INDEX('GLOBAL LOG'!#REF!,ROW()-169+15)</f>
        <v>#REF!</v>
      </c>
      <c r="I384" s="23" t="e">
        <f>_xlfn.XLOOKUP(H384,#REF!,#REF!,"",0,1)</f>
        <v>#REF!</v>
      </c>
      <c r="J384" s="23" t="str">
        <f>IFERROR(I384*#REF!,"")</f>
        <v/>
      </c>
      <c r="K384" s="23" t="e" cm="1">
        <f t="array" ref="K384">INDEX('GLOBAL LOG'!#REF!,ROW()-169+15)</f>
        <v>#REF!</v>
      </c>
      <c r="L384" s="23" t="e">
        <f>_xlfn.XLOOKUP(K384,#REF!,#REF!,"",0,1)</f>
        <v>#REF!</v>
      </c>
      <c r="M384" s="23" t="str">
        <f>IFERROR(L384*#REF!,"")</f>
        <v/>
      </c>
      <c r="N384" s="23">
        <f t="shared" si="24"/>
        <v>-1</v>
      </c>
      <c r="O384" s="23">
        <f t="shared" si="25"/>
        <v>-1</v>
      </c>
      <c r="P384" s="23">
        <f t="shared" si="26"/>
        <v>-1</v>
      </c>
      <c r="Q384" s="24">
        <f t="shared" si="27"/>
        <v>-1</v>
      </c>
      <c r="R384" s="3"/>
      <c r="S384" s="1">
        <v>0</v>
      </c>
      <c r="T384" s="24">
        <v>-1</v>
      </c>
      <c r="U384"/>
      <c r="V384" s="1">
        <v>0</v>
      </c>
      <c r="W384" s="24">
        <v>-1</v>
      </c>
      <c r="X384"/>
      <c r="Y384" s="1">
        <v>0</v>
      </c>
      <c r="Z384" s="24">
        <v>-1</v>
      </c>
      <c r="AA384"/>
      <c r="AB384" s="1">
        <v>0</v>
      </c>
      <c r="AC384" s="24">
        <v>-1</v>
      </c>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c r="CE384"/>
      <c r="CF384"/>
      <c r="CG384"/>
      <c r="CH384"/>
      <c r="CI384"/>
      <c r="CJ384"/>
      <c r="CK384"/>
      <c r="CL384"/>
      <c r="CM384"/>
      <c r="CN384"/>
      <c r="CO384"/>
      <c r="CP384"/>
      <c r="CQ384"/>
      <c r="CR384"/>
      <c r="CS384"/>
    </row>
    <row r="385" spans="2:97">
      <c r="B385"/>
      <c r="C385" s="15"/>
      <c r="D385" s="23"/>
      <c r="E385" s="23"/>
      <c r="F385" s="23"/>
      <c r="G385" s="23">
        <f t="shared" si="23"/>
        <v>0</v>
      </c>
      <c r="H385" s="23" t="e" cm="1">
        <f t="array" ref="H385">INDEX('GLOBAL LOG'!#REF!,ROW()-169+15)</f>
        <v>#REF!</v>
      </c>
      <c r="I385" s="23" t="e">
        <f>_xlfn.XLOOKUP(H385,#REF!,#REF!,"",0,1)</f>
        <v>#REF!</v>
      </c>
      <c r="J385" s="23" t="str">
        <f>IFERROR(I385*#REF!,"")</f>
        <v/>
      </c>
      <c r="K385" s="23" t="e" cm="1">
        <f t="array" ref="K385">INDEX('GLOBAL LOG'!#REF!,ROW()-169+15)</f>
        <v>#REF!</v>
      </c>
      <c r="L385" s="23" t="e">
        <f>_xlfn.XLOOKUP(K385,#REF!,#REF!,"",0,1)</f>
        <v>#REF!</v>
      </c>
      <c r="M385" s="23" t="str">
        <f>IFERROR(L385*#REF!,"")</f>
        <v/>
      </c>
      <c r="N385" s="23">
        <f t="shared" si="24"/>
        <v>-1</v>
      </c>
      <c r="O385" s="23">
        <f t="shared" si="25"/>
        <v>-1</v>
      </c>
      <c r="P385" s="23">
        <f t="shared" si="26"/>
        <v>-1</v>
      </c>
      <c r="Q385" s="24">
        <f t="shared" si="27"/>
        <v>-1</v>
      </c>
      <c r="R385" s="3"/>
      <c r="S385" s="1">
        <v>0</v>
      </c>
      <c r="T385" s="24">
        <v>-1</v>
      </c>
      <c r="U385"/>
      <c r="V385" s="1">
        <v>0</v>
      </c>
      <c r="W385" s="24">
        <v>-1</v>
      </c>
      <c r="X385"/>
      <c r="Y385" s="1">
        <v>0</v>
      </c>
      <c r="Z385" s="24">
        <v>-1</v>
      </c>
      <c r="AA385"/>
      <c r="AB385" s="1">
        <v>0</v>
      </c>
      <c r="AC385" s="24">
        <v>-1</v>
      </c>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c r="CE385"/>
      <c r="CF385"/>
      <c r="CG385"/>
      <c r="CH385"/>
      <c r="CI385"/>
      <c r="CJ385"/>
      <c r="CK385"/>
      <c r="CL385"/>
      <c r="CM385"/>
      <c r="CN385"/>
      <c r="CO385"/>
      <c r="CP385"/>
      <c r="CQ385"/>
      <c r="CR385"/>
      <c r="CS385"/>
    </row>
    <row r="386" spans="2:97">
      <c r="B386"/>
      <c r="C386" s="15"/>
      <c r="D386" s="23"/>
      <c r="E386" s="23"/>
      <c r="F386" s="23"/>
      <c r="G386" s="23">
        <f t="shared" si="23"/>
        <v>0</v>
      </c>
      <c r="H386" s="23" t="e" cm="1">
        <f t="array" ref="H386">INDEX('GLOBAL LOG'!#REF!,ROW()-169+15)</f>
        <v>#REF!</v>
      </c>
      <c r="I386" s="23" t="e">
        <f>_xlfn.XLOOKUP(H386,#REF!,#REF!,"",0,1)</f>
        <v>#REF!</v>
      </c>
      <c r="J386" s="23" t="str">
        <f>IFERROR(I386*#REF!,"")</f>
        <v/>
      </c>
      <c r="K386" s="23" t="e" cm="1">
        <f t="array" ref="K386">INDEX('GLOBAL LOG'!#REF!,ROW()-169+15)</f>
        <v>#REF!</v>
      </c>
      <c r="L386" s="23" t="e">
        <f>_xlfn.XLOOKUP(K386,#REF!,#REF!,"",0,1)</f>
        <v>#REF!</v>
      </c>
      <c r="M386" s="23" t="str">
        <f>IFERROR(L386*#REF!,"")</f>
        <v/>
      </c>
      <c r="N386" s="23">
        <f t="shared" si="24"/>
        <v>-1</v>
      </c>
      <c r="O386" s="23">
        <f t="shared" si="25"/>
        <v>-1</v>
      </c>
      <c r="P386" s="23">
        <f t="shared" si="26"/>
        <v>-1</v>
      </c>
      <c r="Q386" s="24">
        <f t="shared" si="27"/>
        <v>-1</v>
      </c>
      <c r="R386" s="3"/>
      <c r="S386" s="1">
        <v>0</v>
      </c>
      <c r="T386" s="24">
        <v>-1</v>
      </c>
      <c r="U386"/>
      <c r="V386" s="1">
        <v>0</v>
      </c>
      <c r="W386" s="24">
        <v>-1</v>
      </c>
      <c r="X386"/>
      <c r="Y386" s="1">
        <v>0</v>
      </c>
      <c r="Z386" s="24">
        <v>-1</v>
      </c>
      <c r="AA386"/>
      <c r="AB386" s="1">
        <v>0</v>
      </c>
      <c r="AC386" s="24">
        <v>-1</v>
      </c>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c r="CG386"/>
      <c r="CH386"/>
      <c r="CI386"/>
      <c r="CJ386"/>
      <c r="CK386"/>
      <c r="CL386"/>
      <c r="CM386"/>
      <c r="CN386"/>
      <c r="CO386"/>
      <c r="CP386"/>
      <c r="CQ386"/>
      <c r="CR386"/>
      <c r="CS386"/>
    </row>
    <row r="387" spans="2:97">
      <c r="B387"/>
      <c r="C387" s="15"/>
      <c r="D387" s="23"/>
      <c r="E387" s="23"/>
      <c r="F387" s="23"/>
      <c r="G387" s="23">
        <f t="shared" si="23"/>
        <v>0</v>
      </c>
      <c r="H387" s="23" t="e" cm="1">
        <f t="array" ref="H387">INDEX('GLOBAL LOG'!#REF!,ROW()-169+15)</f>
        <v>#REF!</v>
      </c>
      <c r="I387" s="23" t="e">
        <f>_xlfn.XLOOKUP(H387,#REF!,#REF!,"",0,1)</f>
        <v>#REF!</v>
      </c>
      <c r="J387" s="23" t="str">
        <f>IFERROR(I387*#REF!,"")</f>
        <v/>
      </c>
      <c r="K387" s="23" t="e" cm="1">
        <f t="array" ref="K387">INDEX('GLOBAL LOG'!#REF!,ROW()-169+15)</f>
        <v>#REF!</v>
      </c>
      <c r="L387" s="23" t="e">
        <f>_xlfn.XLOOKUP(K387,#REF!,#REF!,"",0,1)</f>
        <v>#REF!</v>
      </c>
      <c r="M387" s="23" t="str">
        <f>IFERROR(L387*#REF!,"")</f>
        <v/>
      </c>
      <c r="N387" s="23">
        <f t="shared" si="24"/>
        <v>-1</v>
      </c>
      <c r="O387" s="23">
        <f t="shared" si="25"/>
        <v>-1</v>
      </c>
      <c r="P387" s="23">
        <f t="shared" si="26"/>
        <v>-1</v>
      </c>
      <c r="Q387" s="24">
        <f t="shared" si="27"/>
        <v>-1</v>
      </c>
      <c r="R387" s="3"/>
      <c r="S387" s="1">
        <v>0</v>
      </c>
      <c r="T387" s="24">
        <v>-1</v>
      </c>
      <c r="U387"/>
      <c r="V387" s="1">
        <v>0</v>
      </c>
      <c r="W387" s="24">
        <v>-1</v>
      </c>
      <c r="X387"/>
      <c r="Y387" s="1">
        <v>0</v>
      </c>
      <c r="Z387" s="24">
        <v>-1</v>
      </c>
      <c r="AA387"/>
      <c r="AB387" s="1">
        <v>0</v>
      </c>
      <c r="AC387" s="24">
        <v>-1</v>
      </c>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c r="CD387"/>
      <c r="CE387"/>
      <c r="CF387"/>
      <c r="CG387"/>
      <c r="CH387"/>
      <c r="CI387"/>
      <c r="CJ387"/>
      <c r="CK387"/>
      <c r="CL387"/>
      <c r="CM387"/>
      <c r="CN387"/>
      <c r="CO387"/>
      <c r="CP387"/>
      <c r="CQ387"/>
      <c r="CR387"/>
      <c r="CS387"/>
    </row>
    <row r="388" spans="2:97">
      <c r="B388"/>
      <c r="C388" s="15"/>
      <c r="D388" s="23"/>
      <c r="E388" s="23"/>
      <c r="F388" s="23"/>
      <c r="G388" s="23">
        <f t="shared" si="23"/>
        <v>0</v>
      </c>
      <c r="H388" s="23" t="e" cm="1">
        <f t="array" ref="H388">INDEX('GLOBAL LOG'!#REF!,ROW()-169+15)</f>
        <v>#REF!</v>
      </c>
      <c r="I388" s="23" t="e">
        <f>_xlfn.XLOOKUP(H388,#REF!,#REF!,"",0,1)</f>
        <v>#REF!</v>
      </c>
      <c r="J388" s="23" t="str">
        <f>IFERROR(I388*#REF!,"")</f>
        <v/>
      </c>
      <c r="K388" s="23" t="e" cm="1">
        <f t="array" ref="K388">INDEX('GLOBAL LOG'!#REF!,ROW()-169+15)</f>
        <v>#REF!</v>
      </c>
      <c r="L388" s="23" t="e">
        <f>_xlfn.XLOOKUP(K388,#REF!,#REF!,"",0,1)</f>
        <v>#REF!</v>
      </c>
      <c r="M388" s="23" t="str">
        <f>IFERROR(L388*#REF!,"")</f>
        <v/>
      </c>
      <c r="N388" s="23">
        <f t="shared" si="24"/>
        <v>-1</v>
      </c>
      <c r="O388" s="23">
        <f t="shared" si="25"/>
        <v>-1</v>
      </c>
      <c r="P388" s="23">
        <f t="shared" si="26"/>
        <v>-1</v>
      </c>
      <c r="Q388" s="24">
        <f t="shared" si="27"/>
        <v>-1</v>
      </c>
      <c r="R388" s="3"/>
      <c r="S388" s="1">
        <v>0</v>
      </c>
      <c r="T388" s="24">
        <v>-1</v>
      </c>
      <c r="U388"/>
      <c r="V388" s="1">
        <v>0</v>
      </c>
      <c r="W388" s="24">
        <v>-1</v>
      </c>
      <c r="X388"/>
      <c r="Y388" s="1">
        <v>0</v>
      </c>
      <c r="Z388" s="24">
        <v>-1</v>
      </c>
      <c r="AA388"/>
      <c r="AB388" s="1">
        <v>0</v>
      </c>
      <c r="AC388" s="24">
        <v>-1</v>
      </c>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c r="CC388"/>
      <c r="CD388"/>
      <c r="CE388"/>
      <c r="CF388"/>
      <c r="CG388"/>
      <c r="CH388"/>
      <c r="CI388"/>
      <c r="CJ388"/>
      <c r="CK388"/>
      <c r="CL388"/>
      <c r="CM388"/>
      <c r="CN388"/>
      <c r="CO388"/>
      <c r="CP388"/>
      <c r="CQ388"/>
      <c r="CR388"/>
      <c r="CS388"/>
    </row>
    <row r="389" spans="2:97">
      <c r="B389"/>
      <c r="C389" s="15"/>
      <c r="D389" s="23"/>
      <c r="E389" s="23"/>
      <c r="F389" s="23"/>
      <c r="G389" s="23">
        <f t="shared" si="23"/>
        <v>0</v>
      </c>
      <c r="H389" s="23" t="e" cm="1">
        <f t="array" ref="H389">INDEX('GLOBAL LOG'!#REF!,ROW()-169+15)</f>
        <v>#REF!</v>
      </c>
      <c r="I389" s="23" t="e">
        <f>_xlfn.XLOOKUP(H389,#REF!,#REF!,"",0,1)</f>
        <v>#REF!</v>
      </c>
      <c r="J389" s="23" t="str">
        <f>IFERROR(I389*#REF!,"")</f>
        <v/>
      </c>
      <c r="K389" s="23" t="e" cm="1">
        <f t="array" ref="K389">INDEX('GLOBAL LOG'!#REF!,ROW()-169+15)</f>
        <v>#REF!</v>
      </c>
      <c r="L389" s="23" t="e">
        <f>_xlfn.XLOOKUP(K389,#REF!,#REF!,"",0,1)</f>
        <v>#REF!</v>
      </c>
      <c r="M389" s="23" t="str">
        <f>IFERROR(L389*#REF!,"")</f>
        <v/>
      </c>
      <c r="N389" s="23">
        <f t="shared" si="24"/>
        <v>-1</v>
      </c>
      <c r="O389" s="23">
        <f t="shared" si="25"/>
        <v>-1</v>
      </c>
      <c r="P389" s="23">
        <f t="shared" si="26"/>
        <v>-1</v>
      </c>
      <c r="Q389" s="24">
        <f t="shared" si="27"/>
        <v>-1</v>
      </c>
      <c r="R389" s="3"/>
      <c r="S389" s="1">
        <v>0</v>
      </c>
      <c r="T389" s="24">
        <v>-1</v>
      </c>
      <c r="U389"/>
      <c r="V389" s="1">
        <v>0</v>
      </c>
      <c r="W389" s="24">
        <v>-1</v>
      </c>
      <c r="X389"/>
      <c r="Y389" s="1">
        <v>0</v>
      </c>
      <c r="Z389" s="24">
        <v>-1</v>
      </c>
      <c r="AA389"/>
      <c r="AB389" s="1">
        <v>0</v>
      </c>
      <c r="AC389" s="24">
        <v>-1</v>
      </c>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c r="CC389"/>
      <c r="CD389"/>
      <c r="CE389"/>
      <c r="CF389"/>
      <c r="CG389"/>
      <c r="CH389"/>
      <c r="CI389"/>
      <c r="CJ389"/>
      <c r="CK389"/>
      <c r="CL389"/>
      <c r="CM389"/>
      <c r="CN389"/>
      <c r="CO389"/>
      <c r="CP389"/>
      <c r="CQ389"/>
      <c r="CR389"/>
      <c r="CS389"/>
    </row>
    <row r="390" spans="2:97">
      <c r="B390"/>
      <c r="C390" s="15"/>
      <c r="D390" s="23"/>
      <c r="E390" s="23"/>
      <c r="F390" s="23"/>
      <c r="G390" s="23">
        <f t="shared" si="23"/>
        <v>0</v>
      </c>
      <c r="H390" s="23" t="e" cm="1">
        <f t="array" ref="H390">INDEX('GLOBAL LOG'!#REF!,ROW()-169+15)</f>
        <v>#REF!</v>
      </c>
      <c r="I390" s="23" t="e">
        <f>_xlfn.XLOOKUP(H390,#REF!,#REF!,"",0,1)</f>
        <v>#REF!</v>
      </c>
      <c r="J390" s="23" t="str">
        <f>IFERROR(I390*#REF!,"")</f>
        <v/>
      </c>
      <c r="K390" s="23" t="e" cm="1">
        <f t="array" ref="K390">INDEX('GLOBAL LOG'!#REF!,ROW()-169+15)</f>
        <v>#REF!</v>
      </c>
      <c r="L390" s="23" t="e">
        <f>_xlfn.XLOOKUP(K390,#REF!,#REF!,"",0,1)</f>
        <v>#REF!</v>
      </c>
      <c r="M390" s="23" t="str">
        <f>IFERROR(L390*#REF!,"")</f>
        <v/>
      </c>
      <c r="N390" s="23">
        <f t="shared" si="24"/>
        <v>-1</v>
      </c>
      <c r="O390" s="23">
        <f t="shared" si="25"/>
        <v>-1</v>
      </c>
      <c r="P390" s="23">
        <f t="shared" si="26"/>
        <v>-1</v>
      </c>
      <c r="Q390" s="24">
        <f t="shared" si="27"/>
        <v>-1</v>
      </c>
      <c r="R390" s="3"/>
      <c r="S390" s="1">
        <v>0</v>
      </c>
      <c r="T390" s="24">
        <v>-1</v>
      </c>
      <c r="U390"/>
      <c r="V390" s="1">
        <v>0</v>
      </c>
      <c r="W390" s="24">
        <v>-1</v>
      </c>
      <c r="X390"/>
      <c r="Y390" s="1">
        <v>0</v>
      </c>
      <c r="Z390" s="24">
        <v>-1</v>
      </c>
      <c r="AA390"/>
      <c r="AB390" s="1">
        <v>0</v>
      </c>
      <c r="AC390" s="24">
        <v>-1</v>
      </c>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c r="CC390"/>
      <c r="CD390"/>
      <c r="CE390"/>
      <c r="CF390"/>
      <c r="CG390"/>
      <c r="CH390"/>
      <c r="CI390"/>
      <c r="CJ390"/>
      <c r="CK390"/>
      <c r="CL390"/>
      <c r="CM390"/>
      <c r="CN390"/>
      <c r="CO390"/>
      <c r="CP390"/>
      <c r="CQ390"/>
      <c r="CR390"/>
      <c r="CS390"/>
    </row>
    <row r="391" spans="2:97">
      <c r="B391"/>
      <c r="C391" s="15"/>
      <c r="D391" s="23"/>
      <c r="E391" s="23"/>
      <c r="F391" s="23"/>
      <c r="G391" s="23">
        <f t="shared" si="23"/>
        <v>0</v>
      </c>
      <c r="H391" s="23" t="e" cm="1">
        <f t="array" ref="H391">INDEX('GLOBAL LOG'!#REF!,ROW()-169+15)</f>
        <v>#REF!</v>
      </c>
      <c r="I391" s="23" t="e">
        <f>_xlfn.XLOOKUP(H391,#REF!,#REF!,"",0,1)</f>
        <v>#REF!</v>
      </c>
      <c r="J391" s="23" t="str">
        <f>IFERROR(I391*#REF!,"")</f>
        <v/>
      </c>
      <c r="K391" s="23" t="e" cm="1">
        <f t="array" ref="K391">INDEX('GLOBAL LOG'!#REF!,ROW()-169+15)</f>
        <v>#REF!</v>
      </c>
      <c r="L391" s="23" t="e">
        <f>_xlfn.XLOOKUP(K391,#REF!,#REF!,"",0,1)</f>
        <v>#REF!</v>
      </c>
      <c r="M391" s="23" t="str">
        <f>IFERROR(L391*#REF!,"")</f>
        <v/>
      </c>
      <c r="N391" s="23">
        <f t="shared" si="24"/>
        <v>-1</v>
      </c>
      <c r="O391" s="23">
        <f t="shared" si="25"/>
        <v>-1</v>
      </c>
      <c r="P391" s="23">
        <f t="shared" si="26"/>
        <v>-1</v>
      </c>
      <c r="Q391" s="24">
        <f t="shared" si="27"/>
        <v>-1</v>
      </c>
      <c r="R391" s="3"/>
      <c r="S391" s="1">
        <v>0</v>
      </c>
      <c r="T391" s="24">
        <v>-1</v>
      </c>
      <c r="U391"/>
      <c r="V391" s="1">
        <v>0</v>
      </c>
      <c r="W391" s="24">
        <v>-1</v>
      </c>
      <c r="X391"/>
      <c r="Y391" s="1">
        <v>0</v>
      </c>
      <c r="Z391" s="24">
        <v>-1</v>
      </c>
      <c r="AA391"/>
      <c r="AB391" s="1">
        <v>0</v>
      </c>
      <c r="AC391" s="24">
        <v>-1</v>
      </c>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c r="CD391"/>
      <c r="CE391"/>
      <c r="CF391"/>
      <c r="CG391"/>
      <c r="CH391"/>
      <c r="CI391"/>
      <c r="CJ391"/>
      <c r="CK391"/>
      <c r="CL391"/>
      <c r="CM391"/>
      <c r="CN391"/>
      <c r="CO391"/>
      <c r="CP391"/>
      <c r="CQ391"/>
      <c r="CR391"/>
      <c r="CS391"/>
    </row>
    <row r="392" spans="2:97">
      <c r="B392"/>
      <c r="C392" s="15"/>
      <c r="D392" s="23"/>
      <c r="E392" s="23"/>
      <c r="F392" s="23"/>
      <c r="G392" s="23">
        <f t="shared" si="23"/>
        <v>0</v>
      </c>
      <c r="H392" s="23" t="e" cm="1">
        <f t="array" ref="H392">INDEX('GLOBAL LOG'!#REF!,ROW()-169+15)</f>
        <v>#REF!</v>
      </c>
      <c r="I392" s="23" t="e">
        <f>_xlfn.XLOOKUP(H392,#REF!,#REF!,"",0,1)</f>
        <v>#REF!</v>
      </c>
      <c r="J392" s="23" t="str">
        <f>IFERROR(I392*#REF!,"")</f>
        <v/>
      </c>
      <c r="K392" s="23" t="e" cm="1">
        <f t="array" ref="K392">INDEX('GLOBAL LOG'!#REF!,ROW()-169+15)</f>
        <v>#REF!</v>
      </c>
      <c r="L392" s="23" t="e">
        <f>_xlfn.XLOOKUP(K392,#REF!,#REF!,"",0,1)</f>
        <v>#REF!</v>
      </c>
      <c r="M392" s="23" t="str">
        <f>IFERROR(L392*#REF!,"")</f>
        <v/>
      </c>
      <c r="N392" s="23">
        <f t="shared" si="24"/>
        <v>-1</v>
      </c>
      <c r="O392" s="23">
        <f t="shared" si="25"/>
        <v>-1</v>
      </c>
      <c r="P392" s="23">
        <f t="shared" si="26"/>
        <v>-1</v>
      </c>
      <c r="Q392" s="24">
        <f t="shared" si="27"/>
        <v>-1</v>
      </c>
      <c r="R392" s="3"/>
      <c r="S392" s="1">
        <v>0</v>
      </c>
      <c r="T392" s="24">
        <v>-1</v>
      </c>
      <c r="U392"/>
      <c r="V392" s="1">
        <v>0</v>
      </c>
      <c r="W392" s="24">
        <v>-1</v>
      </c>
      <c r="X392"/>
      <c r="Y392" s="1">
        <v>0</v>
      </c>
      <c r="Z392" s="24">
        <v>-1</v>
      </c>
      <c r="AA392"/>
      <c r="AB392" s="1">
        <v>0</v>
      </c>
      <c r="AC392" s="24">
        <v>-1</v>
      </c>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CF392"/>
      <c r="CG392"/>
      <c r="CH392"/>
      <c r="CI392"/>
      <c r="CJ392"/>
      <c r="CK392"/>
      <c r="CL392"/>
      <c r="CM392"/>
      <c r="CN392"/>
      <c r="CO392"/>
      <c r="CP392"/>
      <c r="CQ392"/>
      <c r="CR392"/>
      <c r="CS392"/>
    </row>
    <row r="393" spans="2:97">
      <c r="B393"/>
      <c r="C393" s="15"/>
      <c r="D393" s="23"/>
      <c r="E393" s="23"/>
      <c r="F393" s="23"/>
      <c r="G393" s="23">
        <f t="shared" si="23"/>
        <v>0</v>
      </c>
      <c r="H393" s="23" t="e" cm="1">
        <f t="array" ref="H393">INDEX('GLOBAL LOG'!#REF!,ROW()-169+15)</f>
        <v>#REF!</v>
      </c>
      <c r="I393" s="23" t="e">
        <f>_xlfn.XLOOKUP(H393,#REF!,#REF!,"",0,1)</f>
        <v>#REF!</v>
      </c>
      <c r="J393" s="23" t="str">
        <f>IFERROR(I393*#REF!,"")</f>
        <v/>
      </c>
      <c r="K393" s="23" t="e" cm="1">
        <f t="array" ref="K393">INDEX('GLOBAL LOG'!#REF!,ROW()-169+15)</f>
        <v>#REF!</v>
      </c>
      <c r="L393" s="23" t="e">
        <f>_xlfn.XLOOKUP(K393,#REF!,#REF!,"",0,1)</f>
        <v>#REF!</v>
      </c>
      <c r="M393" s="23" t="str">
        <f>IFERROR(L393*#REF!,"")</f>
        <v/>
      </c>
      <c r="N393" s="23">
        <f t="shared" si="24"/>
        <v>-1</v>
      </c>
      <c r="O393" s="23">
        <f t="shared" si="25"/>
        <v>-1</v>
      </c>
      <c r="P393" s="23">
        <f t="shared" si="26"/>
        <v>-1</v>
      </c>
      <c r="Q393" s="24">
        <f t="shared" si="27"/>
        <v>-1</v>
      </c>
      <c r="R393" s="3"/>
      <c r="S393" s="1">
        <v>0</v>
      </c>
      <c r="T393" s="24">
        <v>-1</v>
      </c>
      <c r="U393"/>
      <c r="V393" s="1">
        <v>0</v>
      </c>
      <c r="W393" s="24">
        <v>-1</v>
      </c>
      <c r="X393"/>
      <c r="Y393" s="1">
        <v>0</v>
      </c>
      <c r="Z393" s="24">
        <v>-1</v>
      </c>
      <c r="AA393"/>
      <c r="AB393" s="1">
        <v>0</v>
      </c>
      <c r="AC393" s="24">
        <v>-1</v>
      </c>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c r="CD393"/>
      <c r="CE393"/>
      <c r="CF393"/>
      <c r="CG393"/>
      <c r="CH393"/>
      <c r="CI393"/>
      <c r="CJ393"/>
      <c r="CK393"/>
      <c r="CL393"/>
      <c r="CM393"/>
      <c r="CN393"/>
      <c r="CO393"/>
      <c r="CP393"/>
      <c r="CQ393"/>
      <c r="CR393"/>
      <c r="CS393"/>
    </row>
    <row r="394" spans="2:97">
      <c r="B394"/>
      <c r="C394" s="15"/>
      <c r="D394" s="23"/>
      <c r="E394" s="23"/>
      <c r="F394" s="23"/>
      <c r="G394" s="23">
        <f t="shared" si="23"/>
        <v>0</v>
      </c>
      <c r="H394" s="23" t="e" cm="1">
        <f t="array" ref="H394">INDEX('GLOBAL LOG'!#REF!,ROW()-169+15)</f>
        <v>#REF!</v>
      </c>
      <c r="I394" s="23" t="e">
        <f>_xlfn.XLOOKUP(H394,#REF!,#REF!,"",0,1)</f>
        <v>#REF!</v>
      </c>
      <c r="J394" s="23" t="str">
        <f>IFERROR(I394*#REF!,"")</f>
        <v/>
      </c>
      <c r="K394" s="23" t="e" cm="1">
        <f t="array" ref="K394">INDEX('GLOBAL LOG'!#REF!,ROW()-169+15)</f>
        <v>#REF!</v>
      </c>
      <c r="L394" s="23" t="e">
        <f>_xlfn.XLOOKUP(K394,#REF!,#REF!,"",0,1)</f>
        <v>#REF!</v>
      </c>
      <c r="M394" s="23" t="str">
        <f>IFERROR(L394*#REF!,"")</f>
        <v/>
      </c>
      <c r="N394" s="23">
        <f t="shared" si="24"/>
        <v>-1</v>
      </c>
      <c r="O394" s="23">
        <f t="shared" si="25"/>
        <v>-1</v>
      </c>
      <c r="P394" s="23">
        <f t="shared" si="26"/>
        <v>-1</v>
      </c>
      <c r="Q394" s="24">
        <f t="shared" si="27"/>
        <v>-1</v>
      </c>
      <c r="R394" s="3"/>
      <c r="S394" s="1">
        <v>0</v>
      </c>
      <c r="T394" s="24">
        <v>-1</v>
      </c>
      <c r="U394"/>
      <c r="V394" s="1">
        <v>0</v>
      </c>
      <c r="W394" s="24">
        <v>-1</v>
      </c>
      <c r="X394"/>
      <c r="Y394" s="1">
        <v>0</v>
      </c>
      <c r="Z394" s="24">
        <v>-1</v>
      </c>
      <c r="AA394"/>
      <c r="AB394" s="1">
        <v>0</v>
      </c>
      <c r="AC394" s="24">
        <v>-1</v>
      </c>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c r="CD394"/>
      <c r="CE394"/>
      <c r="CF394"/>
      <c r="CG394"/>
      <c r="CH394"/>
      <c r="CI394"/>
      <c r="CJ394"/>
      <c r="CK394"/>
      <c r="CL394"/>
      <c r="CM394"/>
      <c r="CN394"/>
      <c r="CO394"/>
      <c r="CP394"/>
      <c r="CQ394"/>
      <c r="CR394"/>
      <c r="CS394"/>
    </row>
    <row r="395" spans="2:97">
      <c r="B395"/>
      <c r="C395" s="15"/>
      <c r="D395" s="23"/>
      <c r="E395" s="23"/>
      <c r="F395" s="23"/>
      <c r="G395" s="23">
        <f t="shared" si="23"/>
        <v>0</v>
      </c>
      <c r="H395" s="23" t="e" cm="1">
        <f t="array" ref="H395">INDEX('GLOBAL LOG'!#REF!,ROW()-169+15)</f>
        <v>#REF!</v>
      </c>
      <c r="I395" s="23" t="e">
        <f>_xlfn.XLOOKUP(H395,#REF!,#REF!,"",0,1)</f>
        <v>#REF!</v>
      </c>
      <c r="J395" s="23" t="str">
        <f>IFERROR(I395*#REF!,"")</f>
        <v/>
      </c>
      <c r="K395" s="23" t="e" cm="1">
        <f t="array" ref="K395">INDEX('GLOBAL LOG'!#REF!,ROW()-169+15)</f>
        <v>#REF!</v>
      </c>
      <c r="L395" s="23" t="e">
        <f>_xlfn.XLOOKUP(K395,#REF!,#REF!,"",0,1)</f>
        <v>#REF!</v>
      </c>
      <c r="M395" s="23" t="str">
        <f>IFERROR(L395*#REF!,"")</f>
        <v/>
      </c>
      <c r="N395" s="23">
        <f t="shared" si="24"/>
        <v>-1</v>
      </c>
      <c r="O395" s="23">
        <f t="shared" si="25"/>
        <v>-1</v>
      </c>
      <c r="P395" s="23">
        <f t="shared" si="26"/>
        <v>-1</v>
      </c>
      <c r="Q395" s="24">
        <f t="shared" si="27"/>
        <v>-1</v>
      </c>
      <c r="R395" s="3"/>
      <c r="S395" s="1">
        <v>0</v>
      </c>
      <c r="T395" s="24">
        <v>-1</v>
      </c>
      <c r="U395"/>
      <c r="V395" s="1">
        <v>0</v>
      </c>
      <c r="W395" s="24">
        <v>-1</v>
      </c>
      <c r="X395"/>
      <c r="Y395" s="1">
        <v>0</v>
      </c>
      <c r="Z395" s="24">
        <v>-1</v>
      </c>
      <c r="AA395"/>
      <c r="AB395" s="1">
        <v>0</v>
      </c>
      <c r="AC395" s="24">
        <v>-1</v>
      </c>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c r="CE395"/>
      <c r="CF395"/>
      <c r="CG395"/>
      <c r="CH395"/>
      <c r="CI395"/>
      <c r="CJ395"/>
      <c r="CK395"/>
      <c r="CL395"/>
      <c r="CM395"/>
      <c r="CN395"/>
      <c r="CO395"/>
      <c r="CP395"/>
      <c r="CQ395"/>
      <c r="CR395"/>
      <c r="CS395"/>
    </row>
    <row r="396" spans="2:97">
      <c r="B396"/>
      <c r="C396" s="15"/>
      <c r="D396" s="23"/>
      <c r="E396" s="23"/>
      <c r="F396" s="23"/>
      <c r="G396" s="23">
        <f t="shared" si="23"/>
        <v>0</v>
      </c>
      <c r="H396" s="23" t="e" cm="1">
        <f t="array" ref="H396">INDEX('GLOBAL LOG'!#REF!,ROW()-169+15)</f>
        <v>#REF!</v>
      </c>
      <c r="I396" s="23" t="e">
        <f>_xlfn.XLOOKUP(H396,#REF!,#REF!,"",0,1)</f>
        <v>#REF!</v>
      </c>
      <c r="J396" s="23" t="str">
        <f>IFERROR(I396*#REF!,"")</f>
        <v/>
      </c>
      <c r="K396" s="23" t="e" cm="1">
        <f t="array" ref="K396">INDEX('GLOBAL LOG'!#REF!,ROW()-169+15)</f>
        <v>#REF!</v>
      </c>
      <c r="L396" s="23" t="e">
        <f>_xlfn.XLOOKUP(K396,#REF!,#REF!,"",0,1)</f>
        <v>#REF!</v>
      </c>
      <c r="M396" s="23" t="str">
        <f>IFERROR(L396*#REF!,"")</f>
        <v/>
      </c>
      <c r="N396" s="23">
        <f t="shared" si="24"/>
        <v>-1</v>
      </c>
      <c r="O396" s="23">
        <f t="shared" si="25"/>
        <v>-1</v>
      </c>
      <c r="P396" s="23">
        <f t="shared" si="26"/>
        <v>-1</v>
      </c>
      <c r="Q396" s="24">
        <f t="shared" si="27"/>
        <v>-1</v>
      </c>
      <c r="R396" s="3"/>
      <c r="S396" s="1">
        <v>0</v>
      </c>
      <c r="T396" s="24">
        <v>-1</v>
      </c>
      <c r="U396"/>
      <c r="V396" s="1">
        <v>0</v>
      </c>
      <c r="W396" s="24">
        <v>-1</v>
      </c>
      <c r="X396"/>
      <c r="Y396" s="1">
        <v>0</v>
      </c>
      <c r="Z396" s="24">
        <v>-1</v>
      </c>
      <c r="AA396"/>
      <c r="AB396" s="1">
        <v>0</v>
      </c>
      <c r="AC396" s="24">
        <v>-1</v>
      </c>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c r="CE396"/>
      <c r="CF396"/>
      <c r="CG396"/>
      <c r="CH396"/>
      <c r="CI396"/>
      <c r="CJ396"/>
      <c r="CK396"/>
      <c r="CL396"/>
      <c r="CM396"/>
      <c r="CN396"/>
      <c r="CO396"/>
      <c r="CP396"/>
      <c r="CQ396"/>
      <c r="CR396"/>
      <c r="CS396"/>
    </row>
    <row r="397" spans="2:97">
      <c r="B397"/>
      <c r="C397" s="15"/>
      <c r="D397" s="23"/>
      <c r="E397" s="23"/>
      <c r="F397" s="23"/>
      <c r="G397" s="23">
        <f t="shared" si="23"/>
        <v>0</v>
      </c>
      <c r="H397" s="23" t="e" cm="1">
        <f t="array" ref="H397">INDEX('GLOBAL LOG'!#REF!,ROW()-169+15)</f>
        <v>#REF!</v>
      </c>
      <c r="I397" s="23" t="e">
        <f>_xlfn.XLOOKUP(H397,#REF!,#REF!,"",0,1)</f>
        <v>#REF!</v>
      </c>
      <c r="J397" s="23" t="str">
        <f>IFERROR(I397*#REF!,"")</f>
        <v/>
      </c>
      <c r="K397" s="23" t="e" cm="1">
        <f t="array" ref="K397">INDEX('GLOBAL LOG'!#REF!,ROW()-169+15)</f>
        <v>#REF!</v>
      </c>
      <c r="L397" s="23" t="e">
        <f>_xlfn.XLOOKUP(K397,#REF!,#REF!,"",0,1)</f>
        <v>#REF!</v>
      </c>
      <c r="M397" s="23" t="str">
        <f>IFERROR(L397*#REF!,"")</f>
        <v/>
      </c>
      <c r="N397" s="23">
        <f t="shared" si="24"/>
        <v>-1</v>
      </c>
      <c r="O397" s="23">
        <f t="shared" si="25"/>
        <v>-1</v>
      </c>
      <c r="P397" s="23">
        <f t="shared" si="26"/>
        <v>-1</v>
      </c>
      <c r="Q397" s="24">
        <f t="shared" si="27"/>
        <v>-1</v>
      </c>
      <c r="R397" s="3"/>
      <c r="S397" s="1">
        <v>0</v>
      </c>
      <c r="T397" s="24">
        <v>-1</v>
      </c>
      <c r="U397"/>
      <c r="V397" s="1">
        <v>0</v>
      </c>
      <c r="W397" s="24">
        <v>-1</v>
      </c>
      <c r="X397"/>
      <c r="Y397" s="1">
        <v>0</v>
      </c>
      <c r="Z397" s="24">
        <v>-1</v>
      </c>
      <c r="AA397"/>
      <c r="AB397" s="1">
        <v>0</v>
      </c>
      <c r="AC397" s="24">
        <v>-1</v>
      </c>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c r="CD397"/>
      <c r="CE397"/>
      <c r="CF397"/>
      <c r="CG397"/>
      <c r="CH397"/>
      <c r="CI397"/>
      <c r="CJ397"/>
      <c r="CK397"/>
      <c r="CL397"/>
      <c r="CM397"/>
      <c r="CN397"/>
      <c r="CO397"/>
      <c r="CP397"/>
      <c r="CQ397"/>
      <c r="CR397"/>
      <c r="CS397"/>
    </row>
    <row r="398" spans="2:97">
      <c r="B398"/>
      <c r="C398" s="15"/>
      <c r="D398" s="23"/>
      <c r="E398" s="23"/>
      <c r="F398" s="23"/>
      <c r="G398" s="23">
        <f t="shared" si="23"/>
        <v>0</v>
      </c>
      <c r="H398" s="23" t="e" cm="1">
        <f t="array" ref="H398">INDEX('GLOBAL LOG'!#REF!,ROW()-169+15)</f>
        <v>#REF!</v>
      </c>
      <c r="I398" s="23" t="e">
        <f>_xlfn.XLOOKUP(H398,#REF!,#REF!,"",0,1)</f>
        <v>#REF!</v>
      </c>
      <c r="J398" s="23" t="str">
        <f>IFERROR(I398*#REF!,"")</f>
        <v/>
      </c>
      <c r="K398" s="23" t="e" cm="1">
        <f t="array" ref="K398">INDEX('GLOBAL LOG'!#REF!,ROW()-169+15)</f>
        <v>#REF!</v>
      </c>
      <c r="L398" s="23" t="e">
        <f>_xlfn.XLOOKUP(K398,#REF!,#REF!,"",0,1)</f>
        <v>#REF!</v>
      </c>
      <c r="M398" s="23" t="str">
        <f>IFERROR(L398*#REF!,"")</f>
        <v/>
      </c>
      <c r="N398" s="23">
        <f t="shared" si="24"/>
        <v>-1</v>
      </c>
      <c r="O398" s="23">
        <f t="shared" si="25"/>
        <v>-1</v>
      </c>
      <c r="P398" s="23">
        <f t="shared" si="26"/>
        <v>-1</v>
      </c>
      <c r="Q398" s="24">
        <f t="shared" si="27"/>
        <v>-1</v>
      </c>
      <c r="R398" s="3"/>
      <c r="S398" s="1">
        <v>0</v>
      </c>
      <c r="T398" s="24">
        <v>-1</v>
      </c>
      <c r="U398"/>
      <c r="V398" s="1">
        <v>0</v>
      </c>
      <c r="W398" s="24">
        <v>-1</v>
      </c>
      <c r="X398"/>
      <c r="Y398" s="1">
        <v>0</v>
      </c>
      <c r="Z398" s="24">
        <v>-1</v>
      </c>
      <c r="AA398"/>
      <c r="AB398" s="1">
        <v>0</v>
      </c>
      <c r="AC398" s="24">
        <v>-1</v>
      </c>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c r="CC398"/>
      <c r="CD398"/>
      <c r="CE398"/>
      <c r="CF398"/>
      <c r="CG398"/>
      <c r="CH398"/>
      <c r="CI398"/>
      <c r="CJ398"/>
      <c r="CK398"/>
      <c r="CL398"/>
      <c r="CM398"/>
      <c r="CN398"/>
      <c r="CO398"/>
      <c r="CP398"/>
      <c r="CQ398"/>
      <c r="CR398"/>
      <c r="CS398"/>
    </row>
    <row r="399" spans="2:97">
      <c r="B399"/>
      <c r="C399" s="15"/>
      <c r="D399" s="23"/>
      <c r="E399" s="23"/>
      <c r="F399" s="23"/>
      <c r="G399" s="23">
        <f t="shared" si="23"/>
        <v>0</v>
      </c>
      <c r="H399" s="23" t="e" cm="1">
        <f t="array" ref="H399">INDEX('GLOBAL LOG'!#REF!,ROW()-169+15)</f>
        <v>#REF!</v>
      </c>
      <c r="I399" s="23" t="e">
        <f>_xlfn.XLOOKUP(H399,#REF!,#REF!,"",0,1)</f>
        <v>#REF!</v>
      </c>
      <c r="J399" s="23" t="str">
        <f>IFERROR(I399*#REF!,"")</f>
        <v/>
      </c>
      <c r="K399" s="23" t="e" cm="1">
        <f t="array" ref="K399">INDEX('GLOBAL LOG'!#REF!,ROW()-169+15)</f>
        <v>#REF!</v>
      </c>
      <c r="L399" s="23" t="e">
        <f>_xlfn.XLOOKUP(K399,#REF!,#REF!,"",0,1)</f>
        <v>#REF!</v>
      </c>
      <c r="M399" s="23" t="str">
        <f>IFERROR(L399*#REF!,"")</f>
        <v/>
      </c>
      <c r="N399" s="23">
        <f t="shared" si="24"/>
        <v>-1</v>
      </c>
      <c r="O399" s="23">
        <f t="shared" si="25"/>
        <v>-1</v>
      </c>
      <c r="P399" s="23">
        <f t="shared" si="26"/>
        <v>-1</v>
      </c>
      <c r="Q399" s="24">
        <f t="shared" si="27"/>
        <v>-1</v>
      </c>
      <c r="R399" s="3"/>
      <c r="S399" s="1">
        <v>0</v>
      </c>
      <c r="T399" s="24">
        <v>-1</v>
      </c>
      <c r="U399"/>
      <c r="V399" s="1">
        <v>0</v>
      </c>
      <c r="W399" s="24">
        <v>-1</v>
      </c>
      <c r="X399"/>
      <c r="Y399" s="1">
        <v>0</v>
      </c>
      <c r="Z399" s="24">
        <v>-1</v>
      </c>
      <c r="AA399"/>
      <c r="AB399" s="1">
        <v>0</v>
      </c>
      <c r="AC399" s="24">
        <v>-1</v>
      </c>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c r="CC399"/>
      <c r="CD399"/>
      <c r="CE399"/>
      <c r="CF399"/>
      <c r="CG399"/>
      <c r="CH399"/>
      <c r="CI399"/>
      <c r="CJ399"/>
      <c r="CK399"/>
      <c r="CL399"/>
      <c r="CM399"/>
      <c r="CN399"/>
      <c r="CO399"/>
      <c r="CP399"/>
      <c r="CQ399"/>
      <c r="CR399"/>
      <c r="CS399"/>
    </row>
    <row r="400" spans="2:97">
      <c r="B400"/>
      <c r="C400" s="15"/>
      <c r="D400" s="23"/>
      <c r="E400" s="23"/>
      <c r="F400" s="23"/>
      <c r="G400" s="23">
        <f t="shared" si="23"/>
        <v>0</v>
      </c>
      <c r="H400" s="23" t="e" cm="1">
        <f t="array" ref="H400">INDEX('GLOBAL LOG'!#REF!,ROW()-169+15)</f>
        <v>#REF!</v>
      </c>
      <c r="I400" s="23" t="e">
        <f>_xlfn.XLOOKUP(H400,#REF!,#REF!,"",0,1)</f>
        <v>#REF!</v>
      </c>
      <c r="J400" s="23" t="str">
        <f>IFERROR(I400*#REF!,"")</f>
        <v/>
      </c>
      <c r="K400" s="23" t="e" cm="1">
        <f t="array" ref="K400">INDEX('GLOBAL LOG'!#REF!,ROW()-169+15)</f>
        <v>#REF!</v>
      </c>
      <c r="L400" s="23" t="e">
        <f>_xlfn.XLOOKUP(K400,#REF!,#REF!,"",0,1)</f>
        <v>#REF!</v>
      </c>
      <c r="M400" s="23" t="str">
        <f>IFERROR(L400*#REF!,"")</f>
        <v/>
      </c>
      <c r="N400" s="23">
        <f t="shared" si="24"/>
        <v>-1</v>
      </c>
      <c r="O400" s="23">
        <f t="shared" si="25"/>
        <v>-1</v>
      </c>
      <c r="P400" s="23">
        <f t="shared" si="26"/>
        <v>-1</v>
      </c>
      <c r="Q400" s="24">
        <f t="shared" si="27"/>
        <v>-1</v>
      </c>
      <c r="R400" s="3"/>
      <c r="S400" s="1">
        <v>0</v>
      </c>
      <c r="T400" s="24">
        <v>-1</v>
      </c>
      <c r="U400"/>
      <c r="V400" s="1">
        <v>0</v>
      </c>
      <c r="W400" s="24">
        <v>-1</v>
      </c>
      <c r="X400"/>
      <c r="Y400" s="1">
        <v>0</v>
      </c>
      <c r="Z400" s="24">
        <v>-1</v>
      </c>
      <c r="AA400"/>
      <c r="AB400" s="1">
        <v>0</v>
      </c>
      <c r="AC400" s="24">
        <v>-1</v>
      </c>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c r="CC400"/>
      <c r="CD400"/>
      <c r="CE400"/>
      <c r="CF400"/>
      <c r="CG400"/>
      <c r="CH400"/>
      <c r="CI400"/>
      <c r="CJ400"/>
      <c r="CK400"/>
      <c r="CL400"/>
      <c r="CM400"/>
      <c r="CN400"/>
      <c r="CO400"/>
      <c r="CP400"/>
      <c r="CQ400"/>
      <c r="CR400"/>
      <c r="CS400"/>
    </row>
    <row r="401" spans="2:97">
      <c r="B401"/>
      <c r="C401" s="15"/>
      <c r="D401" s="23"/>
      <c r="E401" s="23"/>
      <c r="F401" s="23"/>
      <c r="G401" s="23">
        <f t="shared" si="23"/>
        <v>0</v>
      </c>
      <c r="H401" s="23" t="e" cm="1">
        <f t="array" ref="H401">INDEX('GLOBAL LOG'!#REF!,ROW()-169+15)</f>
        <v>#REF!</v>
      </c>
      <c r="I401" s="23" t="e">
        <f>_xlfn.XLOOKUP(H401,#REF!,#REF!,"",0,1)</f>
        <v>#REF!</v>
      </c>
      <c r="J401" s="23" t="str">
        <f>IFERROR(I401*#REF!,"")</f>
        <v/>
      </c>
      <c r="K401" s="23" t="e" cm="1">
        <f t="array" ref="K401">INDEX('GLOBAL LOG'!#REF!,ROW()-169+15)</f>
        <v>#REF!</v>
      </c>
      <c r="L401" s="23" t="e">
        <f>_xlfn.XLOOKUP(K401,#REF!,#REF!,"",0,1)</f>
        <v>#REF!</v>
      </c>
      <c r="M401" s="23" t="str">
        <f>IFERROR(L401*#REF!,"")</f>
        <v/>
      </c>
      <c r="N401" s="23">
        <f t="shared" si="24"/>
        <v>-1</v>
      </c>
      <c r="O401" s="23">
        <f t="shared" si="25"/>
        <v>-1</v>
      </c>
      <c r="P401" s="23">
        <f t="shared" si="26"/>
        <v>-1</v>
      </c>
      <c r="Q401" s="24">
        <f t="shared" si="27"/>
        <v>-1</v>
      </c>
      <c r="R401" s="3"/>
      <c r="S401" s="1">
        <v>0</v>
      </c>
      <c r="T401" s="24">
        <v>-1</v>
      </c>
      <c r="U401"/>
      <c r="V401" s="1">
        <v>0</v>
      </c>
      <c r="W401" s="24">
        <v>-1</v>
      </c>
      <c r="X401"/>
      <c r="Y401" s="1">
        <v>0</v>
      </c>
      <c r="Z401" s="24">
        <v>-1</v>
      </c>
      <c r="AA401"/>
      <c r="AB401" s="1">
        <v>0</v>
      </c>
      <c r="AC401" s="24">
        <v>-1</v>
      </c>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c r="CC401"/>
      <c r="CD401"/>
      <c r="CE401"/>
      <c r="CF401"/>
      <c r="CG401"/>
      <c r="CH401"/>
      <c r="CI401"/>
      <c r="CJ401"/>
      <c r="CK401"/>
      <c r="CL401"/>
      <c r="CM401"/>
      <c r="CN401"/>
      <c r="CO401"/>
      <c r="CP401"/>
      <c r="CQ401"/>
      <c r="CR401"/>
      <c r="CS401"/>
    </row>
    <row r="402" spans="2:97">
      <c r="B402"/>
      <c r="C402" s="15"/>
      <c r="D402" s="23"/>
      <c r="E402" s="23"/>
      <c r="F402" s="23"/>
      <c r="G402" s="23">
        <f t="shared" si="23"/>
        <v>0</v>
      </c>
      <c r="H402" s="23" t="e" cm="1">
        <f t="array" ref="H402">INDEX('GLOBAL LOG'!#REF!,ROW()-169+15)</f>
        <v>#REF!</v>
      </c>
      <c r="I402" s="23" t="e">
        <f>_xlfn.XLOOKUP(H402,#REF!,#REF!,"",0,1)</f>
        <v>#REF!</v>
      </c>
      <c r="J402" s="23" t="str">
        <f>IFERROR(I402*#REF!,"")</f>
        <v/>
      </c>
      <c r="K402" s="23" t="e" cm="1">
        <f t="array" ref="K402">INDEX('GLOBAL LOG'!#REF!,ROW()-169+15)</f>
        <v>#REF!</v>
      </c>
      <c r="L402" s="23" t="e">
        <f>_xlfn.XLOOKUP(K402,#REF!,#REF!,"",0,1)</f>
        <v>#REF!</v>
      </c>
      <c r="M402" s="23" t="str">
        <f>IFERROR(L402*#REF!,"")</f>
        <v/>
      </c>
      <c r="N402" s="23">
        <f t="shared" si="24"/>
        <v>-1</v>
      </c>
      <c r="O402" s="23">
        <f t="shared" si="25"/>
        <v>-1</v>
      </c>
      <c r="P402" s="23">
        <f t="shared" si="26"/>
        <v>-1</v>
      </c>
      <c r="Q402" s="24">
        <f t="shared" si="27"/>
        <v>-1</v>
      </c>
      <c r="R402" s="3"/>
      <c r="S402" s="1">
        <v>0</v>
      </c>
      <c r="T402" s="24">
        <v>-1</v>
      </c>
      <c r="U402"/>
      <c r="V402" s="1">
        <v>0</v>
      </c>
      <c r="W402" s="24">
        <v>-1</v>
      </c>
      <c r="X402"/>
      <c r="Y402" s="1">
        <v>0</v>
      </c>
      <c r="Z402" s="24">
        <v>-1</v>
      </c>
      <c r="AA402"/>
      <c r="AB402" s="1">
        <v>0</v>
      </c>
      <c r="AC402" s="24">
        <v>-1</v>
      </c>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c r="CD402"/>
      <c r="CE402"/>
      <c r="CF402"/>
      <c r="CG402"/>
      <c r="CH402"/>
      <c r="CI402"/>
      <c r="CJ402"/>
      <c r="CK402"/>
      <c r="CL402"/>
      <c r="CM402"/>
      <c r="CN402"/>
      <c r="CO402"/>
      <c r="CP402"/>
      <c r="CQ402"/>
      <c r="CR402"/>
      <c r="CS402"/>
    </row>
    <row r="403" spans="2:97">
      <c r="B403"/>
      <c r="C403" s="15"/>
      <c r="D403" s="23"/>
      <c r="E403" s="23"/>
      <c r="F403" s="23"/>
      <c r="G403" s="23">
        <f t="shared" si="23"/>
        <v>0</v>
      </c>
      <c r="H403" s="23" t="e" cm="1">
        <f t="array" ref="H403">INDEX('GLOBAL LOG'!#REF!,ROW()-169+15)</f>
        <v>#REF!</v>
      </c>
      <c r="I403" s="23" t="e">
        <f>_xlfn.XLOOKUP(H403,#REF!,#REF!,"",0,1)</f>
        <v>#REF!</v>
      </c>
      <c r="J403" s="23" t="str">
        <f>IFERROR(I403*#REF!,"")</f>
        <v/>
      </c>
      <c r="K403" s="23" t="e" cm="1">
        <f t="array" ref="K403">INDEX('GLOBAL LOG'!#REF!,ROW()-169+15)</f>
        <v>#REF!</v>
      </c>
      <c r="L403" s="23" t="e">
        <f>_xlfn.XLOOKUP(K403,#REF!,#REF!,"",0,1)</f>
        <v>#REF!</v>
      </c>
      <c r="M403" s="23" t="str">
        <f>IFERROR(L403*#REF!,"")</f>
        <v/>
      </c>
      <c r="N403" s="23">
        <f t="shared" si="24"/>
        <v>-1</v>
      </c>
      <c r="O403" s="23">
        <f t="shared" si="25"/>
        <v>-1</v>
      </c>
      <c r="P403" s="23">
        <f t="shared" si="26"/>
        <v>-1</v>
      </c>
      <c r="Q403" s="24">
        <f t="shared" si="27"/>
        <v>-1</v>
      </c>
      <c r="R403" s="3"/>
      <c r="S403" s="1">
        <v>0</v>
      </c>
      <c r="T403" s="24">
        <v>-1</v>
      </c>
      <c r="U403"/>
      <c r="V403" s="1">
        <v>0</v>
      </c>
      <c r="W403" s="24">
        <v>-1</v>
      </c>
      <c r="X403"/>
      <c r="Y403" s="1">
        <v>0</v>
      </c>
      <c r="Z403" s="24">
        <v>-1</v>
      </c>
      <c r="AA403"/>
      <c r="AB403" s="1">
        <v>0</v>
      </c>
      <c r="AC403" s="24">
        <v>-1</v>
      </c>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c r="CC403"/>
      <c r="CD403"/>
      <c r="CE403"/>
      <c r="CF403"/>
      <c r="CG403"/>
      <c r="CH403"/>
      <c r="CI403"/>
      <c r="CJ403"/>
      <c r="CK403"/>
      <c r="CL403"/>
      <c r="CM403"/>
      <c r="CN403"/>
      <c r="CO403"/>
      <c r="CP403"/>
      <c r="CQ403"/>
      <c r="CR403"/>
      <c r="CS403"/>
    </row>
    <row r="404" spans="2:97">
      <c r="B404"/>
      <c r="C404" s="15"/>
      <c r="D404" s="23"/>
      <c r="E404" s="23"/>
      <c r="F404" s="23"/>
      <c r="G404" s="23">
        <f t="shared" si="23"/>
        <v>0</v>
      </c>
      <c r="H404" s="23" t="e" cm="1">
        <f t="array" ref="H404">INDEX('GLOBAL LOG'!#REF!,ROW()-169+15)</f>
        <v>#REF!</v>
      </c>
      <c r="I404" s="23" t="e">
        <f>_xlfn.XLOOKUP(H404,#REF!,#REF!,"",0,1)</f>
        <v>#REF!</v>
      </c>
      <c r="J404" s="23" t="str">
        <f>IFERROR(I404*#REF!,"")</f>
        <v/>
      </c>
      <c r="K404" s="23" t="e" cm="1">
        <f t="array" ref="K404">INDEX('GLOBAL LOG'!#REF!,ROW()-169+15)</f>
        <v>#REF!</v>
      </c>
      <c r="L404" s="23" t="e">
        <f>_xlfn.XLOOKUP(K404,#REF!,#REF!,"",0,1)</f>
        <v>#REF!</v>
      </c>
      <c r="M404" s="23" t="str">
        <f>IFERROR(L404*#REF!,"")</f>
        <v/>
      </c>
      <c r="N404" s="23">
        <f t="shared" si="24"/>
        <v>-1</v>
      </c>
      <c r="O404" s="23">
        <f t="shared" si="25"/>
        <v>-1</v>
      </c>
      <c r="P404" s="23">
        <f t="shared" si="26"/>
        <v>-1</v>
      </c>
      <c r="Q404" s="24">
        <f t="shared" si="27"/>
        <v>-1</v>
      </c>
      <c r="R404" s="3"/>
      <c r="S404" s="1">
        <v>0</v>
      </c>
      <c r="T404" s="24">
        <v>-1</v>
      </c>
      <c r="U404"/>
      <c r="V404" s="1">
        <v>0</v>
      </c>
      <c r="W404" s="24">
        <v>-1</v>
      </c>
      <c r="X404"/>
      <c r="Y404" s="1">
        <v>0</v>
      </c>
      <c r="Z404" s="24">
        <v>-1</v>
      </c>
      <c r="AA404"/>
      <c r="AB404" s="1">
        <v>0</v>
      </c>
      <c r="AC404" s="24">
        <v>-1</v>
      </c>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c r="CC404"/>
      <c r="CD404"/>
      <c r="CE404"/>
      <c r="CF404"/>
      <c r="CG404"/>
      <c r="CH404"/>
      <c r="CI404"/>
      <c r="CJ404"/>
      <c r="CK404"/>
      <c r="CL404"/>
      <c r="CM404"/>
      <c r="CN404"/>
      <c r="CO404"/>
      <c r="CP404"/>
      <c r="CQ404"/>
      <c r="CR404"/>
      <c r="CS404"/>
    </row>
    <row r="405" spans="2:97">
      <c r="B405"/>
      <c r="C405" s="15"/>
      <c r="D405" s="23"/>
      <c r="E405" s="23"/>
      <c r="F405" s="23"/>
      <c r="G405" s="23">
        <f t="shared" si="23"/>
        <v>0</v>
      </c>
      <c r="H405" s="23" t="e" cm="1">
        <f t="array" ref="H405">INDEX('GLOBAL LOG'!#REF!,ROW()-169+15)</f>
        <v>#REF!</v>
      </c>
      <c r="I405" s="23" t="e">
        <f>_xlfn.XLOOKUP(H405,#REF!,#REF!,"",0,1)</f>
        <v>#REF!</v>
      </c>
      <c r="J405" s="23" t="str">
        <f>IFERROR(I405*#REF!,"")</f>
        <v/>
      </c>
      <c r="K405" s="23" t="e" cm="1">
        <f t="array" ref="K405">INDEX('GLOBAL LOG'!#REF!,ROW()-169+15)</f>
        <v>#REF!</v>
      </c>
      <c r="L405" s="23" t="e">
        <f>_xlfn.XLOOKUP(K405,#REF!,#REF!,"",0,1)</f>
        <v>#REF!</v>
      </c>
      <c r="M405" s="23" t="str">
        <f>IFERROR(L405*#REF!,"")</f>
        <v/>
      </c>
      <c r="N405" s="23">
        <f t="shared" si="24"/>
        <v>-1</v>
      </c>
      <c r="O405" s="23">
        <f t="shared" si="25"/>
        <v>-1</v>
      </c>
      <c r="P405" s="23">
        <f t="shared" si="26"/>
        <v>-1</v>
      </c>
      <c r="Q405" s="24">
        <f t="shared" si="27"/>
        <v>-1</v>
      </c>
      <c r="R405" s="3"/>
      <c r="S405" s="1">
        <v>0</v>
      </c>
      <c r="T405" s="24">
        <v>-1</v>
      </c>
      <c r="U405"/>
      <c r="V405" s="1">
        <v>0</v>
      </c>
      <c r="W405" s="24">
        <v>-1</v>
      </c>
      <c r="X405"/>
      <c r="Y405" s="1">
        <v>0</v>
      </c>
      <c r="Z405" s="24">
        <v>-1</v>
      </c>
      <c r="AA405"/>
      <c r="AB405" s="1">
        <v>0</v>
      </c>
      <c r="AC405" s="24">
        <v>-1</v>
      </c>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c r="CC405"/>
      <c r="CD405"/>
      <c r="CE405"/>
      <c r="CF405"/>
      <c r="CG405"/>
      <c r="CH405"/>
      <c r="CI405"/>
      <c r="CJ405"/>
      <c r="CK405"/>
      <c r="CL405"/>
      <c r="CM405"/>
      <c r="CN405"/>
      <c r="CO405"/>
      <c r="CP405"/>
      <c r="CQ405"/>
      <c r="CR405"/>
      <c r="CS405"/>
    </row>
    <row r="406" spans="2:97">
      <c r="B406"/>
      <c r="C406" s="15"/>
      <c r="D406" s="23"/>
      <c r="E406" s="23"/>
      <c r="F406" s="23"/>
      <c r="G406" s="23">
        <f t="shared" si="23"/>
        <v>0</v>
      </c>
      <c r="H406" s="23" t="e" cm="1">
        <f t="array" ref="H406">INDEX('GLOBAL LOG'!#REF!,ROW()-169+15)</f>
        <v>#REF!</v>
      </c>
      <c r="I406" s="23" t="e">
        <f>_xlfn.XLOOKUP(H406,#REF!,#REF!,"",0,1)</f>
        <v>#REF!</v>
      </c>
      <c r="J406" s="23" t="str">
        <f>IFERROR(I406*#REF!,"")</f>
        <v/>
      </c>
      <c r="K406" s="23" t="e" cm="1">
        <f t="array" ref="K406">INDEX('GLOBAL LOG'!#REF!,ROW()-169+15)</f>
        <v>#REF!</v>
      </c>
      <c r="L406" s="23" t="e">
        <f>_xlfn.XLOOKUP(K406,#REF!,#REF!,"",0,1)</f>
        <v>#REF!</v>
      </c>
      <c r="M406" s="23" t="str">
        <f>IFERROR(L406*#REF!,"")</f>
        <v/>
      </c>
      <c r="N406" s="23">
        <f t="shared" si="24"/>
        <v>-1</v>
      </c>
      <c r="O406" s="23">
        <f t="shared" si="25"/>
        <v>-1</v>
      </c>
      <c r="P406" s="23">
        <f t="shared" si="26"/>
        <v>-1</v>
      </c>
      <c r="Q406" s="24">
        <f t="shared" si="27"/>
        <v>-1</v>
      </c>
      <c r="R406" s="3"/>
      <c r="S406" s="1">
        <v>0</v>
      </c>
      <c r="T406" s="24">
        <v>-1</v>
      </c>
      <c r="U406"/>
      <c r="V406" s="1">
        <v>0</v>
      </c>
      <c r="W406" s="24">
        <v>-1</v>
      </c>
      <c r="X406"/>
      <c r="Y406" s="1">
        <v>0</v>
      </c>
      <c r="Z406" s="24">
        <v>-1</v>
      </c>
      <c r="AA406"/>
      <c r="AB406" s="1">
        <v>0</v>
      </c>
      <c r="AC406" s="24">
        <v>-1</v>
      </c>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c r="CC406"/>
      <c r="CD406"/>
      <c r="CE406"/>
      <c r="CF406"/>
      <c r="CG406"/>
      <c r="CH406"/>
      <c r="CI406"/>
      <c r="CJ406"/>
      <c r="CK406"/>
      <c r="CL406"/>
      <c r="CM406"/>
      <c r="CN406"/>
      <c r="CO406"/>
      <c r="CP406"/>
      <c r="CQ406"/>
      <c r="CR406"/>
      <c r="CS406"/>
    </row>
    <row r="407" spans="2:97">
      <c r="B407"/>
      <c r="C407" s="15"/>
      <c r="D407" s="23"/>
      <c r="E407" s="23"/>
      <c r="F407" s="23"/>
      <c r="G407" s="23">
        <f t="shared" si="23"/>
        <v>0</v>
      </c>
      <c r="H407" s="23" t="e" cm="1">
        <f t="array" ref="H407">INDEX('GLOBAL LOG'!#REF!,ROW()-169+15)</f>
        <v>#REF!</v>
      </c>
      <c r="I407" s="23" t="e">
        <f>_xlfn.XLOOKUP(H407,#REF!,#REF!,"",0,1)</f>
        <v>#REF!</v>
      </c>
      <c r="J407" s="23" t="str">
        <f>IFERROR(I407*#REF!,"")</f>
        <v/>
      </c>
      <c r="K407" s="23" t="e" cm="1">
        <f t="array" ref="K407">INDEX('GLOBAL LOG'!#REF!,ROW()-169+15)</f>
        <v>#REF!</v>
      </c>
      <c r="L407" s="23" t="e">
        <f>_xlfn.XLOOKUP(K407,#REF!,#REF!,"",0,1)</f>
        <v>#REF!</v>
      </c>
      <c r="M407" s="23" t="str">
        <f>IFERROR(L407*#REF!,"")</f>
        <v/>
      </c>
      <c r="N407" s="23">
        <f t="shared" si="24"/>
        <v>-1</v>
      </c>
      <c r="O407" s="23">
        <f t="shared" si="25"/>
        <v>-1</v>
      </c>
      <c r="P407" s="23">
        <f t="shared" si="26"/>
        <v>-1</v>
      </c>
      <c r="Q407" s="24">
        <f t="shared" si="27"/>
        <v>-1</v>
      </c>
      <c r="R407" s="3"/>
      <c r="S407" s="1">
        <v>0</v>
      </c>
      <c r="T407" s="24">
        <v>-1</v>
      </c>
      <c r="U407"/>
      <c r="V407" s="1">
        <v>0</v>
      </c>
      <c r="W407" s="24">
        <v>-1</v>
      </c>
      <c r="X407"/>
      <c r="Y407" s="1">
        <v>0</v>
      </c>
      <c r="Z407" s="24">
        <v>-1</v>
      </c>
      <c r="AA407"/>
      <c r="AB407" s="1">
        <v>0</v>
      </c>
      <c r="AC407" s="24">
        <v>-1</v>
      </c>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c r="CC407"/>
      <c r="CD407"/>
      <c r="CE407"/>
      <c r="CF407"/>
      <c r="CG407"/>
      <c r="CH407"/>
      <c r="CI407"/>
      <c r="CJ407"/>
      <c r="CK407"/>
      <c r="CL407"/>
      <c r="CM407"/>
      <c r="CN407"/>
      <c r="CO407"/>
      <c r="CP407"/>
      <c r="CQ407"/>
      <c r="CR407"/>
      <c r="CS407"/>
    </row>
    <row r="408" spans="2:97">
      <c r="B408"/>
      <c r="C408" s="15"/>
      <c r="D408" s="23"/>
      <c r="E408" s="23"/>
      <c r="F408" s="23"/>
      <c r="G408" s="23">
        <f t="shared" si="23"/>
        <v>0</v>
      </c>
      <c r="H408" s="23" t="e" cm="1">
        <f t="array" ref="H408">INDEX('GLOBAL LOG'!#REF!,ROW()-169+15)</f>
        <v>#REF!</v>
      </c>
      <c r="I408" s="23" t="e">
        <f>_xlfn.XLOOKUP(H408,#REF!,#REF!,"",0,1)</f>
        <v>#REF!</v>
      </c>
      <c r="J408" s="23" t="str">
        <f>IFERROR(I408*#REF!,"")</f>
        <v/>
      </c>
      <c r="K408" s="23" t="e" cm="1">
        <f t="array" ref="K408">INDEX('GLOBAL LOG'!#REF!,ROW()-169+15)</f>
        <v>#REF!</v>
      </c>
      <c r="L408" s="23" t="e">
        <f>_xlfn.XLOOKUP(K408,#REF!,#REF!,"",0,1)</f>
        <v>#REF!</v>
      </c>
      <c r="M408" s="23" t="str">
        <f>IFERROR(L408*#REF!,"")</f>
        <v/>
      </c>
      <c r="N408" s="23">
        <f t="shared" si="24"/>
        <v>-1</v>
      </c>
      <c r="O408" s="23">
        <f t="shared" si="25"/>
        <v>-1</v>
      </c>
      <c r="P408" s="23">
        <f t="shared" si="26"/>
        <v>-1</v>
      </c>
      <c r="Q408" s="24">
        <f t="shared" si="27"/>
        <v>-1</v>
      </c>
      <c r="R408" s="3"/>
      <c r="S408" s="1">
        <v>0</v>
      </c>
      <c r="T408" s="24">
        <v>-1</v>
      </c>
      <c r="U408"/>
      <c r="V408" s="1">
        <v>0</v>
      </c>
      <c r="W408" s="24">
        <v>-1</v>
      </c>
      <c r="X408"/>
      <c r="Y408" s="1">
        <v>0</v>
      </c>
      <c r="Z408" s="24">
        <v>-1</v>
      </c>
      <c r="AA408"/>
      <c r="AB408" s="1">
        <v>0</v>
      </c>
      <c r="AC408" s="24">
        <v>-1</v>
      </c>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c r="CC408"/>
      <c r="CD408"/>
      <c r="CE408"/>
      <c r="CF408"/>
      <c r="CG408"/>
      <c r="CH408"/>
      <c r="CI408"/>
      <c r="CJ408"/>
      <c r="CK408"/>
      <c r="CL408"/>
      <c r="CM408"/>
      <c r="CN408"/>
      <c r="CO408"/>
      <c r="CP408"/>
      <c r="CQ408"/>
      <c r="CR408"/>
      <c r="CS408"/>
    </row>
    <row r="409" spans="2:97">
      <c r="B409"/>
      <c r="C409" s="15"/>
      <c r="D409" s="23"/>
      <c r="E409" s="23"/>
      <c r="F409" s="23"/>
      <c r="G409" s="23">
        <f t="shared" si="23"/>
        <v>0</v>
      </c>
      <c r="H409" s="23" t="e" cm="1">
        <f t="array" ref="H409">INDEX('GLOBAL LOG'!#REF!,ROW()-169+15)</f>
        <v>#REF!</v>
      </c>
      <c r="I409" s="23" t="e">
        <f>_xlfn.XLOOKUP(H409,#REF!,#REF!,"",0,1)</f>
        <v>#REF!</v>
      </c>
      <c r="J409" s="23" t="str">
        <f>IFERROR(I409*#REF!,"")</f>
        <v/>
      </c>
      <c r="K409" s="23" t="e" cm="1">
        <f t="array" ref="K409">INDEX('GLOBAL LOG'!#REF!,ROW()-169+15)</f>
        <v>#REF!</v>
      </c>
      <c r="L409" s="23" t="e">
        <f>_xlfn.XLOOKUP(K409,#REF!,#REF!,"",0,1)</f>
        <v>#REF!</v>
      </c>
      <c r="M409" s="23" t="str">
        <f>IFERROR(L409*#REF!,"")</f>
        <v/>
      </c>
      <c r="N409" s="23">
        <f t="shared" si="24"/>
        <v>-1</v>
      </c>
      <c r="O409" s="23">
        <f t="shared" si="25"/>
        <v>-1</v>
      </c>
      <c r="P409" s="23">
        <f t="shared" si="26"/>
        <v>-1</v>
      </c>
      <c r="Q409" s="24">
        <f t="shared" si="27"/>
        <v>-1</v>
      </c>
      <c r="R409" s="3"/>
      <c r="S409" s="1">
        <v>0</v>
      </c>
      <c r="T409" s="24">
        <v>-1</v>
      </c>
      <c r="U409"/>
      <c r="V409" s="1">
        <v>0</v>
      </c>
      <c r="W409" s="24">
        <v>-1</v>
      </c>
      <c r="X409"/>
      <c r="Y409" s="1">
        <v>0</v>
      </c>
      <c r="Z409" s="24">
        <v>-1</v>
      </c>
      <c r="AA409"/>
      <c r="AB409" s="1">
        <v>0</v>
      </c>
      <c r="AC409" s="24">
        <v>-1</v>
      </c>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c r="CE409"/>
      <c r="CF409"/>
      <c r="CG409"/>
      <c r="CH409"/>
      <c r="CI409"/>
      <c r="CJ409"/>
      <c r="CK409"/>
      <c r="CL409"/>
      <c r="CM409"/>
      <c r="CN409"/>
      <c r="CO409"/>
      <c r="CP409"/>
      <c r="CQ409"/>
      <c r="CR409"/>
      <c r="CS409"/>
    </row>
    <row r="410" spans="2:97">
      <c r="B410"/>
      <c r="C410" s="15"/>
      <c r="D410" s="23"/>
      <c r="E410" s="23"/>
      <c r="F410" s="23"/>
      <c r="G410" s="23">
        <f t="shared" si="23"/>
        <v>0</v>
      </c>
      <c r="H410" s="23" t="e" cm="1">
        <f t="array" ref="H410">INDEX('GLOBAL LOG'!#REF!,ROW()-169+15)</f>
        <v>#REF!</v>
      </c>
      <c r="I410" s="23" t="e">
        <f>_xlfn.XLOOKUP(H410,#REF!,#REF!,"",0,1)</f>
        <v>#REF!</v>
      </c>
      <c r="J410" s="23" t="str">
        <f>IFERROR(I410*#REF!,"")</f>
        <v/>
      </c>
      <c r="K410" s="23" t="e" cm="1">
        <f t="array" ref="K410">INDEX('GLOBAL LOG'!#REF!,ROW()-169+15)</f>
        <v>#REF!</v>
      </c>
      <c r="L410" s="23" t="e">
        <f>_xlfn.XLOOKUP(K410,#REF!,#REF!,"",0,1)</f>
        <v>#REF!</v>
      </c>
      <c r="M410" s="23" t="str">
        <f>IFERROR(L410*#REF!,"")</f>
        <v/>
      </c>
      <c r="N410" s="23">
        <f t="shared" si="24"/>
        <v>-1</v>
      </c>
      <c r="O410" s="23">
        <f t="shared" si="25"/>
        <v>-1</v>
      </c>
      <c r="P410" s="23">
        <f t="shared" si="26"/>
        <v>-1</v>
      </c>
      <c r="Q410" s="24">
        <f t="shared" si="27"/>
        <v>-1</v>
      </c>
      <c r="R410" s="3"/>
      <c r="S410" s="1">
        <v>0</v>
      </c>
      <c r="T410" s="24">
        <v>-1</v>
      </c>
      <c r="U410"/>
      <c r="V410" s="1">
        <v>0</v>
      </c>
      <c r="W410" s="24">
        <v>-1</v>
      </c>
      <c r="X410"/>
      <c r="Y410" s="1">
        <v>0</v>
      </c>
      <c r="Z410" s="24">
        <v>-1</v>
      </c>
      <c r="AA410"/>
      <c r="AB410" s="1">
        <v>0</v>
      </c>
      <c r="AC410" s="24">
        <v>-1</v>
      </c>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c r="CC410"/>
      <c r="CD410"/>
      <c r="CE410"/>
      <c r="CF410"/>
      <c r="CG410"/>
      <c r="CH410"/>
      <c r="CI410"/>
      <c r="CJ410"/>
      <c r="CK410"/>
      <c r="CL410"/>
      <c r="CM410"/>
      <c r="CN410"/>
      <c r="CO410"/>
      <c r="CP410"/>
      <c r="CQ410"/>
      <c r="CR410"/>
      <c r="CS410"/>
    </row>
    <row r="411" spans="2:97">
      <c r="B411"/>
      <c r="C411" s="15"/>
      <c r="D411" s="23"/>
      <c r="E411" s="23"/>
      <c r="F411" s="23"/>
      <c r="G411" s="23">
        <f t="shared" si="23"/>
        <v>0</v>
      </c>
      <c r="H411" s="23" t="e" cm="1">
        <f t="array" ref="H411">INDEX('GLOBAL LOG'!#REF!,ROW()-169+15)</f>
        <v>#REF!</v>
      </c>
      <c r="I411" s="23" t="e">
        <f>_xlfn.XLOOKUP(H411,#REF!,#REF!,"",0,1)</f>
        <v>#REF!</v>
      </c>
      <c r="J411" s="23" t="str">
        <f>IFERROR(I411*#REF!,"")</f>
        <v/>
      </c>
      <c r="K411" s="23" t="e" cm="1">
        <f t="array" ref="K411">INDEX('GLOBAL LOG'!#REF!,ROW()-169+15)</f>
        <v>#REF!</v>
      </c>
      <c r="L411" s="23" t="e">
        <f>_xlfn.XLOOKUP(K411,#REF!,#REF!,"",0,1)</f>
        <v>#REF!</v>
      </c>
      <c r="M411" s="23" t="str">
        <f>IFERROR(L411*#REF!,"")</f>
        <v/>
      </c>
      <c r="N411" s="23">
        <f t="shared" si="24"/>
        <v>-1</v>
      </c>
      <c r="O411" s="23">
        <f t="shared" si="25"/>
        <v>-1</v>
      </c>
      <c r="P411" s="23">
        <f t="shared" si="26"/>
        <v>-1</v>
      </c>
      <c r="Q411" s="24">
        <f t="shared" si="27"/>
        <v>-1</v>
      </c>
      <c r="R411" s="3"/>
      <c r="S411" s="1">
        <v>0</v>
      </c>
      <c r="T411" s="24">
        <v>-1</v>
      </c>
      <c r="U411"/>
      <c r="V411" s="1">
        <v>0</v>
      </c>
      <c r="W411" s="24">
        <v>-1</v>
      </c>
      <c r="X411"/>
      <c r="Y411" s="1">
        <v>0</v>
      </c>
      <c r="Z411" s="24">
        <v>-1</v>
      </c>
      <c r="AA411"/>
      <c r="AB411" s="1">
        <v>0</v>
      </c>
      <c r="AC411" s="24">
        <v>-1</v>
      </c>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c r="CG411"/>
      <c r="CH411"/>
      <c r="CI411"/>
      <c r="CJ411"/>
      <c r="CK411"/>
      <c r="CL411"/>
      <c r="CM411"/>
      <c r="CN411"/>
      <c r="CO411"/>
      <c r="CP411"/>
      <c r="CQ411"/>
      <c r="CR411"/>
      <c r="CS411"/>
    </row>
    <row r="412" spans="2:97">
      <c r="B412"/>
      <c r="C412" s="15"/>
      <c r="D412" s="23"/>
      <c r="E412" s="23"/>
      <c r="F412" s="23"/>
      <c r="G412" s="23">
        <f t="shared" si="23"/>
        <v>0</v>
      </c>
      <c r="H412" s="23" t="e" cm="1">
        <f t="array" ref="H412">INDEX('GLOBAL LOG'!#REF!,ROW()-169+15)</f>
        <v>#REF!</v>
      </c>
      <c r="I412" s="23" t="e">
        <f>_xlfn.XLOOKUP(H412,#REF!,#REF!,"",0,1)</f>
        <v>#REF!</v>
      </c>
      <c r="J412" s="23" t="str">
        <f>IFERROR(I412*#REF!,"")</f>
        <v/>
      </c>
      <c r="K412" s="23" t="e" cm="1">
        <f t="array" ref="K412">INDEX('GLOBAL LOG'!#REF!,ROW()-169+15)</f>
        <v>#REF!</v>
      </c>
      <c r="L412" s="23" t="e">
        <f>_xlfn.XLOOKUP(K412,#REF!,#REF!,"",0,1)</f>
        <v>#REF!</v>
      </c>
      <c r="M412" s="23" t="str">
        <f>IFERROR(L412*#REF!,"")</f>
        <v/>
      </c>
      <c r="N412" s="23">
        <f t="shared" si="24"/>
        <v>-1</v>
      </c>
      <c r="O412" s="23">
        <f t="shared" si="25"/>
        <v>-1</v>
      </c>
      <c r="P412" s="23">
        <f t="shared" si="26"/>
        <v>-1</v>
      </c>
      <c r="Q412" s="24">
        <f t="shared" si="27"/>
        <v>-1</v>
      </c>
      <c r="R412" s="3"/>
      <c r="S412" s="1">
        <v>0</v>
      </c>
      <c r="T412" s="24">
        <v>-1</v>
      </c>
      <c r="U412"/>
      <c r="V412" s="1">
        <v>0</v>
      </c>
      <c r="W412" s="24">
        <v>-1</v>
      </c>
      <c r="X412"/>
      <c r="Y412" s="1">
        <v>0</v>
      </c>
      <c r="Z412" s="24">
        <v>-1</v>
      </c>
      <c r="AA412"/>
      <c r="AB412" s="1">
        <v>0</v>
      </c>
      <c r="AC412" s="24">
        <v>-1</v>
      </c>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c r="CG412"/>
      <c r="CH412"/>
      <c r="CI412"/>
      <c r="CJ412"/>
      <c r="CK412"/>
      <c r="CL412"/>
      <c r="CM412"/>
      <c r="CN412"/>
      <c r="CO412"/>
      <c r="CP412"/>
      <c r="CQ412"/>
      <c r="CR412"/>
      <c r="CS412"/>
    </row>
    <row r="413" spans="2:97">
      <c r="B413"/>
      <c r="C413" s="15"/>
      <c r="D413" s="23"/>
      <c r="E413" s="23"/>
      <c r="F413" s="23"/>
      <c r="G413" s="23">
        <f t="shared" si="23"/>
        <v>0</v>
      </c>
      <c r="H413" s="23" t="e" cm="1">
        <f t="array" ref="H413">INDEX('GLOBAL LOG'!#REF!,ROW()-169+15)</f>
        <v>#REF!</v>
      </c>
      <c r="I413" s="23" t="e">
        <f>_xlfn.XLOOKUP(H413,#REF!,#REF!,"",0,1)</f>
        <v>#REF!</v>
      </c>
      <c r="J413" s="23" t="str">
        <f>IFERROR(I413*#REF!,"")</f>
        <v/>
      </c>
      <c r="K413" s="23" t="e" cm="1">
        <f t="array" ref="K413">INDEX('GLOBAL LOG'!#REF!,ROW()-169+15)</f>
        <v>#REF!</v>
      </c>
      <c r="L413" s="23" t="e">
        <f>_xlfn.XLOOKUP(K413,#REF!,#REF!,"",0,1)</f>
        <v>#REF!</v>
      </c>
      <c r="M413" s="23" t="str">
        <f>IFERROR(L413*#REF!,"")</f>
        <v/>
      </c>
      <c r="N413" s="23">
        <f t="shared" si="24"/>
        <v>-1</v>
      </c>
      <c r="O413" s="23">
        <f t="shared" si="25"/>
        <v>-1</v>
      </c>
      <c r="P413" s="23">
        <f t="shared" si="26"/>
        <v>-1</v>
      </c>
      <c r="Q413" s="24">
        <f t="shared" si="27"/>
        <v>-1</v>
      </c>
      <c r="R413" s="3"/>
      <c r="S413" s="1">
        <v>0</v>
      </c>
      <c r="T413" s="24">
        <v>-1</v>
      </c>
      <c r="U413"/>
      <c r="V413" s="1">
        <v>0</v>
      </c>
      <c r="W413" s="24">
        <v>-1</v>
      </c>
      <c r="X413"/>
      <c r="Y413" s="1">
        <v>0</v>
      </c>
      <c r="Z413" s="24">
        <v>-1</v>
      </c>
      <c r="AA413"/>
      <c r="AB413" s="1">
        <v>0</v>
      </c>
      <c r="AC413" s="24">
        <v>-1</v>
      </c>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c r="CD413"/>
      <c r="CE413"/>
      <c r="CF413"/>
      <c r="CG413"/>
      <c r="CH413"/>
      <c r="CI413"/>
      <c r="CJ413"/>
      <c r="CK413"/>
      <c r="CL413"/>
      <c r="CM413"/>
      <c r="CN413"/>
      <c r="CO413"/>
      <c r="CP413"/>
      <c r="CQ413"/>
      <c r="CR413"/>
      <c r="CS413"/>
    </row>
    <row r="414" spans="2:97">
      <c r="B414"/>
      <c r="C414" s="15"/>
      <c r="D414" s="23"/>
      <c r="E414" s="23"/>
      <c r="F414" s="23"/>
      <c r="G414" s="23">
        <f t="shared" si="23"/>
        <v>0</v>
      </c>
      <c r="H414" s="23" t="e" cm="1">
        <f t="array" ref="H414">INDEX('GLOBAL LOG'!#REF!,ROW()-169+15)</f>
        <v>#REF!</v>
      </c>
      <c r="I414" s="23" t="e">
        <f>_xlfn.XLOOKUP(H414,#REF!,#REF!,"",0,1)</f>
        <v>#REF!</v>
      </c>
      <c r="J414" s="23" t="str">
        <f>IFERROR(I414*#REF!,"")</f>
        <v/>
      </c>
      <c r="K414" s="23" t="e" cm="1">
        <f t="array" ref="K414">INDEX('GLOBAL LOG'!#REF!,ROW()-169+15)</f>
        <v>#REF!</v>
      </c>
      <c r="L414" s="23" t="e">
        <f>_xlfn.XLOOKUP(K414,#REF!,#REF!,"",0,1)</f>
        <v>#REF!</v>
      </c>
      <c r="M414" s="23" t="str">
        <f>IFERROR(L414*#REF!,"")</f>
        <v/>
      </c>
      <c r="N414" s="23">
        <f t="shared" si="24"/>
        <v>-1</v>
      </c>
      <c r="O414" s="23">
        <f t="shared" si="25"/>
        <v>-1</v>
      </c>
      <c r="P414" s="23">
        <f t="shared" si="26"/>
        <v>-1</v>
      </c>
      <c r="Q414" s="24">
        <f t="shared" si="27"/>
        <v>-1</v>
      </c>
      <c r="R414" s="3"/>
      <c r="S414" s="1">
        <v>0</v>
      </c>
      <c r="T414" s="24">
        <v>-1</v>
      </c>
      <c r="U414"/>
      <c r="V414" s="1">
        <v>0</v>
      </c>
      <c r="W414" s="24">
        <v>-1</v>
      </c>
      <c r="X414"/>
      <c r="Y414" s="1">
        <v>0</v>
      </c>
      <c r="Z414" s="24">
        <v>-1</v>
      </c>
      <c r="AA414"/>
      <c r="AB414" s="1">
        <v>0</v>
      </c>
      <c r="AC414" s="24">
        <v>-1</v>
      </c>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c r="CD414"/>
      <c r="CE414"/>
      <c r="CF414"/>
      <c r="CG414"/>
      <c r="CH414"/>
      <c r="CI414"/>
      <c r="CJ414"/>
      <c r="CK414"/>
      <c r="CL414"/>
      <c r="CM414"/>
      <c r="CN414"/>
      <c r="CO414"/>
      <c r="CP414"/>
      <c r="CQ414"/>
      <c r="CR414"/>
      <c r="CS414"/>
    </row>
    <row r="415" spans="2:97">
      <c r="B415"/>
      <c r="C415" s="15"/>
      <c r="D415" s="23"/>
      <c r="E415" s="23"/>
      <c r="F415" s="23"/>
      <c r="G415" s="23">
        <f t="shared" si="23"/>
        <v>0</v>
      </c>
      <c r="H415" s="23" t="e" cm="1">
        <f t="array" ref="H415">INDEX('GLOBAL LOG'!#REF!,ROW()-169+15)</f>
        <v>#REF!</v>
      </c>
      <c r="I415" s="23" t="e">
        <f>_xlfn.XLOOKUP(H415,#REF!,#REF!,"",0,1)</f>
        <v>#REF!</v>
      </c>
      <c r="J415" s="23" t="str">
        <f>IFERROR(I415*#REF!,"")</f>
        <v/>
      </c>
      <c r="K415" s="23" t="e" cm="1">
        <f t="array" ref="K415">INDEX('GLOBAL LOG'!#REF!,ROW()-169+15)</f>
        <v>#REF!</v>
      </c>
      <c r="L415" s="23" t="e">
        <f>_xlfn.XLOOKUP(K415,#REF!,#REF!,"",0,1)</f>
        <v>#REF!</v>
      </c>
      <c r="M415" s="23" t="str">
        <f>IFERROR(L415*#REF!,"")</f>
        <v/>
      </c>
      <c r="N415" s="23">
        <f t="shared" si="24"/>
        <v>-1</v>
      </c>
      <c r="O415" s="23">
        <f t="shared" si="25"/>
        <v>-1</v>
      </c>
      <c r="P415" s="23">
        <f t="shared" si="26"/>
        <v>-1</v>
      </c>
      <c r="Q415" s="24">
        <f t="shared" si="27"/>
        <v>-1</v>
      </c>
      <c r="R415" s="3"/>
      <c r="S415" s="1">
        <v>0</v>
      </c>
      <c r="T415" s="24">
        <v>-1</v>
      </c>
      <c r="U415"/>
      <c r="V415" s="1">
        <v>0</v>
      </c>
      <c r="W415" s="24">
        <v>-1</v>
      </c>
      <c r="X415"/>
      <c r="Y415" s="1">
        <v>0</v>
      </c>
      <c r="Z415" s="24">
        <v>-1</v>
      </c>
      <c r="AA415"/>
      <c r="AB415" s="1">
        <v>0</v>
      </c>
      <c r="AC415" s="24">
        <v>-1</v>
      </c>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c r="CC415"/>
      <c r="CD415"/>
      <c r="CE415"/>
      <c r="CF415"/>
      <c r="CG415"/>
      <c r="CH415"/>
      <c r="CI415"/>
      <c r="CJ415"/>
      <c r="CK415"/>
      <c r="CL415"/>
      <c r="CM415"/>
      <c r="CN415"/>
      <c r="CO415"/>
      <c r="CP415"/>
      <c r="CQ415"/>
      <c r="CR415"/>
      <c r="CS415"/>
    </row>
    <row r="416" spans="2:97">
      <c r="B416"/>
      <c r="C416" s="15"/>
      <c r="D416" s="23"/>
      <c r="E416" s="23"/>
      <c r="F416" s="23"/>
      <c r="G416" s="23">
        <f t="shared" si="23"/>
        <v>0</v>
      </c>
      <c r="H416" s="23" t="e" cm="1">
        <f t="array" ref="H416">INDEX('GLOBAL LOG'!#REF!,ROW()-169+15)</f>
        <v>#REF!</v>
      </c>
      <c r="I416" s="23" t="e">
        <f>_xlfn.XLOOKUP(H416,#REF!,#REF!,"",0,1)</f>
        <v>#REF!</v>
      </c>
      <c r="J416" s="23" t="str">
        <f>IFERROR(I416*#REF!,"")</f>
        <v/>
      </c>
      <c r="K416" s="23" t="e" cm="1">
        <f t="array" ref="K416">INDEX('GLOBAL LOG'!#REF!,ROW()-169+15)</f>
        <v>#REF!</v>
      </c>
      <c r="L416" s="23" t="e">
        <f>_xlfn.XLOOKUP(K416,#REF!,#REF!,"",0,1)</f>
        <v>#REF!</v>
      </c>
      <c r="M416" s="23" t="str">
        <f>IFERROR(L416*#REF!,"")</f>
        <v/>
      </c>
      <c r="N416" s="23">
        <f t="shared" si="24"/>
        <v>-1</v>
      </c>
      <c r="O416" s="23">
        <f t="shared" si="25"/>
        <v>-1</v>
      </c>
      <c r="P416" s="23">
        <f t="shared" si="26"/>
        <v>-1</v>
      </c>
      <c r="Q416" s="24">
        <f t="shared" si="27"/>
        <v>-1</v>
      </c>
      <c r="R416" s="3"/>
      <c r="S416" s="1">
        <v>0</v>
      </c>
      <c r="T416" s="24">
        <v>-1</v>
      </c>
      <c r="U416"/>
      <c r="V416" s="1">
        <v>0</v>
      </c>
      <c r="W416" s="24">
        <v>-1</v>
      </c>
      <c r="X416"/>
      <c r="Y416" s="1">
        <v>0</v>
      </c>
      <c r="Z416" s="24">
        <v>-1</v>
      </c>
      <c r="AA416"/>
      <c r="AB416" s="1">
        <v>0</v>
      </c>
      <c r="AC416" s="24">
        <v>-1</v>
      </c>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c r="CD416"/>
      <c r="CE416"/>
      <c r="CF416"/>
      <c r="CG416"/>
      <c r="CH416"/>
      <c r="CI416"/>
      <c r="CJ416"/>
      <c r="CK416"/>
      <c r="CL416"/>
      <c r="CM416"/>
      <c r="CN416"/>
      <c r="CO416"/>
      <c r="CP416"/>
      <c r="CQ416"/>
      <c r="CR416"/>
      <c r="CS416"/>
    </row>
    <row r="417" spans="2:97">
      <c r="B417"/>
      <c r="C417" s="15"/>
      <c r="D417" s="23"/>
      <c r="E417" s="23"/>
      <c r="F417" s="23"/>
      <c r="G417" s="23">
        <f t="shared" si="23"/>
        <v>0</v>
      </c>
      <c r="H417" s="23" t="e" cm="1">
        <f t="array" ref="H417">INDEX('GLOBAL LOG'!#REF!,ROW()-169+15)</f>
        <v>#REF!</v>
      </c>
      <c r="I417" s="23" t="e">
        <f>_xlfn.XLOOKUP(H417,#REF!,#REF!,"",0,1)</f>
        <v>#REF!</v>
      </c>
      <c r="J417" s="23" t="str">
        <f>IFERROR(I417*#REF!,"")</f>
        <v/>
      </c>
      <c r="K417" s="23" t="e" cm="1">
        <f t="array" ref="K417">INDEX('GLOBAL LOG'!#REF!,ROW()-169+15)</f>
        <v>#REF!</v>
      </c>
      <c r="L417" s="23" t="e">
        <f>_xlfn.XLOOKUP(K417,#REF!,#REF!,"",0,1)</f>
        <v>#REF!</v>
      </c>
      <c r="M417" s="23" t="str">
        <f>IFERROR(L417*#REF!,"")</f>
        <v/>
      </c>
      <c r="N417" s="23">
        <f t="shared" si="24"/>
        <v>-1</v>
      </c>
      <c r="O417" s="23">
        <f t="shared" si="25"/>
        <v>-1</v>
      </c>
      <c r="P417" s="23">
        <f t="shared" si="26"/>
        <v>-1</v>
      </c>
      <c r="Q417" s="24">
        <f t="shared" si="27"/>
        <v>-1</v>
      </c>
      <c r="R417" s="3"/>
      <c r="S417" s="1">
        <v>0</v>
      </c>
      <c r="T417" s="24">
        <v>-1</v>
      </c>
      <c r="U417"/>
      <c r="V417" s="1">
        <v>0</v>
      </c>
      <c r="W417" s="24">
        <v>-1</v>
      </c>
      <c r="X417"/>
      <c r="Y417" s="1">
        <v>0</v>
      </c>
      <c r="Z417" s="24">
        <v>-1</v>
      </c>
      <c r="AA417"/>
      <c r="AB417" s="1">
        <v>0</v>
      </c>
      <c r="AC417" s="24">
        <v>-1</v>
      </c>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c r="CC417"/>
      <c r="CD417"/>
      <c r="CE417"/>
      <c r="CF417"/>
      <c r="CG417"/>
      <c r="CH417"/>
      <c r="CI417"/>
      <c r="CJ417"/>
      <c r="CK417"/>
      <c r="CL417"/>
      <c r="CM417"/>
      <c r="CN417"/>
      <c r="CO417"/>
      <c r="CP417"/>
      <c r="CQ417"/>
      <c r="CR417"/>
      <c r="CS417"/>
    </row>
    <row r="418" spans="2:97">
      <c r="B418"/>
      <c r="C418" s="15"/>
      <c r="D418" s="23"/>
      <c r="E418" s="23"/>
      <c r="F418" s="23"/>
      <c r="G418" s="23">
        <f t="shared" si="23"/>
        <v>0</v>
      </c>
      <c r="H418" s="23" t="e" cm="1">
        <f t="array" ref="H418">INDEX('GLOBAL LOG'!#REF!,ROW()-169+15)</f>
        <v>#REF!</v>
      </c>
      <c r="I418" s="23" t="e">
        <f>_xlfn.XLOOKUP(H418,#REF!,#REF!,"",0,1)</f>
        <v>#REF!</v>
      </c>
      <c r="J418" s="23" t="str">
        <f>IFERROR(I418*#REF!,"")</f>
        <v/>
      </c>
      <c r="K418" s="23" t="e" cm="1">
        <f t="array" ref="K418">INDEX('GLOBAL LOG'!#REF!,ROW()-169+15)</f>
        <v>#REF!</v>
      </c>
      <c r="L418" s="23" t="e">
        <f>_xlfn.XLOOKUP(K418,#REF!,#REF!,"",0,1)</f>
        <v>#REF!</v>
      </c>
      <c r="M418" s="23" t="str">
        <f>IFERROR(L418*#REF!,"")</f>
        <v/>
      </c>
      <c r="N418" s="23">
        <f t="shared" si="24"/>
        <v>-1</v>
      </c>
      <c r="O418" s="23">
        <f t="shared" si="25"/>
        <v>-1</v>
      </c>
      <c r="P418" s="23">
        <f t="shared" si="26"/>
        <v>-1</v>
      </c>
      <c r="Q418" s="24">
        <f t="shared" si="27"/>
        <v>-1</v>
      </c>
      <c r="R418" s="3"/>
      <c r="S418" s="1">
        <v>0</v>
      </c>
      <c r="T418" s="24">
        <v>-1</v>
      </c>
      <c r="U418"/>
      <c r="V418" s="1">
        <v>0</v>
      </c>
      <c r="W418" s="24">
        <v>-1</v>
      </c>
      <c r="X418"/>
      <c r="Y418" s="1">
        <v>0</v>
      </c>
      <c r="Z418" s="24">
        <v>-1</v>
      </c>
      <c r="AA418"/>
      <c r="AB418" s="1">
        <v>0</v>
      </c>
      <c r="AC418" s="24">
        <v>-1</v>
      </c>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c r="CC418"/>
      <c r="CD418"/>
      <c r="CE418"/>
      <c r="CF418"/>
      <c r="CG418"/>
      <c r="CH418"/>
      <c r="CI418"/>
      <c r="CJ418"/>
      <c r="CK418"/>
      <c r="CL418"/>
      <c r="CM418"/>
      <c r="CN418"/>
      <c r="CO418"/>
      <c r="CP418"/>
      <c r="CQ418"/>
      <c r="CR418"/>
      <c r="CS418"/>
    </row>
    <row r="419" spans="2:97">
      <c r="B419"/>
      <c r="C419" s="15"/>
      <c r="D419" s="23"/>
      <c r="E419" s="23"/>
      <c r="F419" s="23"/>
      <c r="G419" s="23">
        <f t="shared" si="23"/>
        <v>0</v>
      </c>
      <c r="H419" s="23" t="e" cm="1">
        <f t="array" ref="H419">INDEX('GLOBAL LOG'!#REF!,ROW()-169+15)</f>
        <v>#REF!</v>
      </c>
      <c r="I419" s="23" t="e">
        <f>_xlfn.XLOOKUP(H419,#REF!,#REF!,"",0,1)</f>
        <v>#REF!</v>
      </c>
      <c r="J419" s="23" t="str">
        <f>IFERROR(I419*#REF!,"")</f>
        <v/>
      </c>
      <c r="K419" s="23" t="e" cm="1">
        <f t="array" ref="K419">INDEX('GLOBAL LOG'!#REF!,ROW()-169+15)</f>
        <v>#REF!</v>
      </c>
      <c r="L419" s="23" t="e">
        <f>_xlfn.XLOOKUP(K419,#REF!,#REF!,"",0,1)</f>
        <v>#REF!</v>
      </c>
      <c r="M419" s="23" t="str">
        <f>IFERROR(L419*#REF!,"")</f>
        <v/>
      </c>
      <c r="N419" s="23">
        <f t="shared" si="24"/>
        <v>-1</v>
      </c>
      <c r="O419" s="23">
        <f t="shared" si="25"/>
        <v>-1</v>
      </c>
      <c r="P419" s="23">
        <f t="shared" si="26"/>
        <v>-1</v>
      </c>
      <c r="Q419" s="24">
        <f t="shared" si="27"/>
        <v>-1</v>
      </c>
      <c r="R419" s="3"/>
      <c r="S419" s="1">
        <v>0</v>
      </c>
      <c r="T419" s="24">
        <v>-1</v>
      </c>
      <c r="U419"/>
      <c r="V419" s="1">
        <v>0</v>
      </c>
      <c r="W419" s="24">
        <v>-1</v>
      </c>
      <c r="X419"/>
      <c r="Y419" s="1">
        <v>0</v>
      </c>
      <c r="Z419" s="24">
        <v>-1</v>
      </c>
      <c r="AA419"/>
      <c r="AB419" s="1">
        <v>0</v>
      </c>
      <c r="AC419" s="24">
        <v>-1</v>
      </c>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c r="CC419"/>
      <c r="CD419"/>
      <c r="CE419"/>
      <c r="CF419"/>
      <c r="CG419"/>
      <c r="CH419"/>
      <c r="CI419"/>
      <c r="CJ419"/>
      <c r="CK419"/>
      <c r="CL419"/>
      <c r="CM419"/>
      <c r="CN419"/>
      <c r="CO419"/>
      <c r="CP419"/>
      <c r="CQ419"/>
      <c r="CR419"/>
      <c r="CS419"/>
    </row>
    <row r="420" spans="2:97">
      <c r="B420"/>
      <c r="C420" s="15"/>
      <c r="D420" s="23"/>
      <c r="E420" s="23"/>
      <c r="F420" s="23"/>
      <c r="G420" s="23">
        <f t="shared" si="23"/>
        <v>0</v>
      </c>
      <c r="H420" s="23" t="e" cm="1">
        <f t="array" ref="H420">INDEX('GLOBAL LOG'!#REF!,ROW()-169+15)</f>
        <v>#REF!</v>
      </c>
      <c r="I420" s="23" t="e">
        <f>_xlfn.XLOOKUP(H420,#REF!,#REF!,"",0,1)</f>
        <v>#REF!</v>
      </c>
      <c r="J420" s="23" t="str">
        <f>IFERROR(I420*#REF!,"")</f>
        <v/>
      </c>
      <c r="K420" s="23" t="e" cm="1">
        <f t="array" ref="K420">INDEX('GLOBAL LOG'!#REF!,ROW()-169+15)</f>
        <v>#REF!</v>
      </c>
      <c r="L420" s="23" t="e">
        <f>_xlfn.XLOOKUP(K420,#REF!,#REF!,"",0,1)</f>
        <v>#REF!</v>
      </c>
      <c r="M420" s="23" t="str">
        <f>IFERROR(L420*#REF!,"")</f>
        <v/>
      </c>
      <c r="N420" s="23">
        <f t="shared" si="24"/>
        <v>-1</v>
      </c>
      <c r="O420" s="23">
        <f t="shared" si="25"/>
        <v>-1</v>
      </c>
      <c r="P420" s="23">
        <f t="shared" si="26"/>
        <v>-1</v>
      </c>
      <c r="Q420" s="24">
        <f t="shared" si="27"/>
        <v>-1</v>
      </c>
      <c r="R420" s="3"/>
      <c r="S420" s="1">
        <v>0</v>
      </c>
      <c r="T420" s="24">
        <v>-1</v>
      </c>
      <c r="U420"/>
      <c r="V420" s="1">
        <v>0</v>
      </c>
      <c r="W420" s="24">
        <v>-1</v>
      </c>
      <c r="X420"/>
      <c r="Y420" s="1">
        <v>0</v>
      </c>
      <c r="Z420" s="24">
        <v>-1</v>
      </c>
      <c r="AA420"/>
      <c r="AB420" s="1">
        <v>0</v>
      </c>
      <c r="AC420" s="24">
        <v>-1</v>
      </c>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c r="CC420"/>
      <c r="CD420"/>
      <c r="CE420"/>
      <c r="CF420"/>
      <c r="CG420"/>
      <c r="CH420"/>
      <c r="CI420"/>
      <c r="CJ420"/>
      <c r="CK420"/>
      <c r="CL420"/>
      <c r="CM420"/>
      <c r="CN420"/>
      <c r="CO420"/>
      <c r="CP420"/>
      <c r="CQ420"/>
      <c r="CR420"/>
      <c r="CS420"/>
    </row>
    <row r="421" spans="2:97">
      <c r="B421"/>
      <c r="C421" s="15"/>
      <c r="D421" s="23"/>
      <c r="E421" s="23"/>
      <c r="F421" s="23"/>
      <c r="G421" s="23">
        <f t="shared" si="23"/>
        <v>0</v>
      </c>
      <c r="H421" s="23" t="e" cm="1">
        <f t="array" ref="H421">INDEX('GLOBAL LOG'!#REF!,ROW()-169+15)</f>
        <v>#REF!</v>
      </c>
      <c r="I421" s="23" t="e">
        <f>_xlfn.XLOOKUP(H421,#REF!,#REF!,"",0,1)</f>
        <v>#REF!</v>
      </c>
      <c r="J421" s="23" t="str">
        <f>IFERROR(I421*#REF!,"")</f>
        <v/>
      </c>
      <c r="K421" s="23" t="e" cm="1">
        <f t="array" ref="K421">INDEX('GLOBAL LOG'!#REF!,ROW()-169+15)</f>
        <v>#REF!</v>
      </c>
      <c r="L421" s="23" t="e">
        <f>_xlfn.XLOOKUP(K421,#REF!,#REF!,"",0,1)</f>
        <v>#REF!</v>
      </c>
      <c r="M421" s="23" t="str">
        <f>IFERROR(L421*#REF!,"")</f>
        <v/>
      </c>
      <c r="N421" s="23">
        <f t="shared" si="24"/>
        <v>-1</v>
      </c>
      <c r="O421" s="23">
        <f t="shared" si="25"/>
        <v>-1</v>
      </c>
      <c r="P421" s="23">
        <f t="shared" si="26"/>
        <v>-1</v>
      </c>
      <c r="Q421" s="24">
        <f t="shared" si="27"/>
        <v>-1</v>
      </c>
      <c r="R421" s="3"/>
      <c r="S421" s="1">
        <v>0</v>
      </c>
      <c r="T421" s="24">
        <v>-1</v>
      </c>
      <c r="U421"/>
      <c r="V421" s="1">
        <v>0</v>
      </c>
      <c r="W421" s="24">
        <v>-1</v>
      </c>
      <c r="X421"/>
      <c r="Y421" s="1">
        <v>0</v>
      </c>
      <c r="Z421" s="24">
        <v>-1</v>
      </c>
      <c r="AA421"/>
      <c r="AB421" s="1">
        <v>0</v>
      </c>
      <c r="AC421" s="24">
        <v>-1</v>
      </c>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c r="CC421"/>
      <c r="CD421"/>
      <c r="CE421"/>
      <c r="CF421"/>
      <c r="CG421"/>
      <c r="CH421"/>
      <c r="CI421"/>
      <c r="CJ421"/>
      <c r="CK421"/>
      <c r="CL421"/>
      <c r="CM421"/>
      <c r="CN421"/>
      <c r="CO421"/>
      <c r="CP421"/>
      <c r="CQ421"/>
      <c r="CR421"/>
      <c r="CS421"/>
    </row>
    <row r="422" spans="2:97">
      <c r="B422"/>
      <c r="C422" s="15"/>
      <c r="D422" s="23"/>
      <c r="E422" s="23"/>
      <c r="F422" s="23"/>
      <c r="G422" s="23">
        <f t="shared" si="23"/>
        <v>0</v>
      </c>
      <c r="H422" s="23" t="e" cm="1">
        <f t="array" ref="H422">INDEX('GLOBAL LOG'!#REF!,ROW()-169+15)</f>
        <v>#REF!</v>
      </c>
      <c r="I422" s="23" t="e">
        <f>_xlfn.XLOOKUP(H422,#REF!,#REF!,"",0,1)</f>
        <v>#REF!</v>
      </c>
      <c r="J422" s="23" t="str">
        <f>IFERROR(I422*#REF!,"")</f>
        <v/>
      </c>
      <c r="K422" s="23" t="e" cm="1">
        <f t="array" ref="K422">INDEX('GLOBAL LOG'!#REF!,ROW()-169+15)</f>
        <v>#REF!</v>
      </c>
      <c r="L422" s="23" t="e">
        <f>_xlfn.XLOOKUP(K422,#REF!,#REF!,"",0,1)</f>
        <v>#REF!</v>
      </c>
      <c r="M422" s="23" t="str">
        <f>IFERROR(L422*#REF!,"")</f>
        <v/>
      </c>
      <c r="N422" s="23">
        <f t="shared" si="24"/>
        <v>-1</v>
      </c>
      <c r="O422" s="23">
        <f t="shared" si="25"/>
        <v>-1</v>
      </c>
      <c r="P422" s="23">
        <f t="shared" si="26"/>
        <v>-1</v>
      </c>
      <c r="Q422" s="24">
        <f t="shared" si="27"/>
        <v>-1</v>
      </c>
      <c r="R422" s="3"/>
      <c r="S422" s="1">
        <v>0</v>
      </c>
      <c r="T422" s="24">
        <v>-1</v>
      </c>
      <c r="U422"/>
      <c r="V422" s="1">
        <v>0</v>
      </c>
      <c r="W422" s="24">
        <v>-1</v>
      </c>
      <c r="X422"/>
      <c r="Y422" s="1">
        <v>0</v>
      </c>
      <c r="Z422" s="24">
        <v>-1</v>
      </c>
      <c r="AA422"/>
      <c r="AB422" s="1">
        <v>0</v>
      </c>
      <c r="AC422" s="24">
        <v>-1</v>
      </c>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c r="CC422"/>
      <c r="CD422"/>
      <c r="CE422"/>
      <c r="CF422"/>
      <c r="CG422"/>
      <c r="CH422"/>
      <c r="CI422"/>
      <c r="CJ422"/>
      <c r="CK422"/>
      <c r="CL422"/>
      <c r="CM422"/>
      <c r="CN422"/>
      <c r="CO422"/>
      <c r="CP422"/>
      <c r="CQ422"/>
      <c r="CR422"/>
      <c r="CS422"/>
    </row>
    <row r="423" spans="2:97">
      <c r="B423"/>
      <c r="C423" s="15"/>
      <c r="D423" s="23"/>
      <c r="E423" s="23"/>
      <c r="F423" s="23"/>
      <c r="G423" s="23">
        <f t="shared" si="23"/>
        <v>0</v>
      </c>
      <c r="H423" s="23" t="e" cm="1">
        <f t="array" ref="H423">INDEX('GLOBAL LOG'!#REF!,ROW()-169+15)</f>
        <v>#REF!</v>
      </c>
      <c r="I423" s="23" t="e">
        <f>_xlfn.XLOOKUP(H423,#REF!,#REF!,"",0,1)</f>
        <v>#REF!</v>
      </c>
      <c r="J423" s="23" t="str">
        <f>IFERROR(I423*#REF!,"")</f>
        <v/>
      </c>
      <c r="K423" s="23" t="e" cm="1">
        <f t="array" ref="K423">INDEX('GLOBAL LOG'!#REF!,ROW()-169+15)</f>
        <v>#REF!</v>
      </c>
      <c r="L423" s="23" t="e">
        <f>_xlfn.XLOOKUP(K423,#REF!,#REF!,"",0,1)</f>
        <v>#REF!</v>
      </c>
      <c r="M423" s="23" t="str">
        <f>IFERROR(L423*#REF!,"")</f>
        <v/>
      </c>
      <c r="N423" s="23">
        <f t="shared" si="24"/>
        <v>-1</v>
      </c>
      <c r="O423" s="23">
        <f t="shared" si="25"/>
        <v>-1</v>
      </c>
      <c r="P423" s="23">
        <f t="shared" si="26"/>
        <v>-1</v>
      </c>
      <c r="Q423" s="24">
        <f t="shared" si="27"/>
        <v>-1</v>
      </c>
      <c r="R423" s="3"/>
      <c r="S423" s="1">
        <v>0</v>
      </c>
      <c r="T423" s="24">
        <v>-1</v>
      </c>
      <c r="U423"/>
      <c r="V423" s="1">
        <v>0</v>
      </c>
      <c r="W423" s="24">
        <v>-1</v>
      </c>
      <c r="X423"/>
      <c r="Y423" s="1">
        <v>0</v>
      </c>
      <c r="Z423" s="24">
        <v>-1</v>
      </c>
      <c r="AA423"/>
      <c r="AB423" s="1">
        <v>0</v>
      </c>
      <c r="AC423" s="24">
        <v>-1</v>
      </c>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c r="CC423"/>
      <c r="CD423"/>
      <c r="CE423"/>
      <c r="CF423"/>
      <c r="CG423"/>
      <c r="CH423"/>
      <c r="CI423"/>
      <c r="CJ423"/>
      <c r="CK423"/>
      <c r="CL423"/>
      <c r="CM423"/>
      <c r="CN423"/>
      <c r="CO423"/>
      <c r="CP423"/>
      <c r="CQ423"/>
      <c r="CR423"/>
      <c r="CS423"/>
    </row>
    <row r="424" spans="2:97">
      <c r="B424"/>
      <c r="C424" s="15"/>
      <c r="D424" s="23"/>
      <c r="E424" s="23"/>
      <c r="F424" s="23"/>
      <c r="G424" s="23">
        <f t="shared" si="23"/>
        <v>0</v>
      </c>
      <c r="H424" s="23" t="e" cm="1">
        <f t="array" ref="H424">INDEX('GLOBAL LOG'!#REF!,ROW()-169+15)</f>
        <v>#REF!</v>
      </c>
      <c r="I424" s="23" t="e">
        <f>_xlfn.XLOOKUP(H424,#REF!,#REF!,"",0,1)</f>
        <v>#REF!</v>
      </c>
      <c r="J424" s="23" t="str">
        <f>IFERROR(I424*#REF!,"")</f>
        <v/>
      </c>
      <c r="K424" s="23" t="e" cm="1">
        <f t="array" ref="K424">INDEX('GLOBAL LOG'!#REF!,ROW()-169+15)</f>
        <v>#REF!</v>
      </c>
      <c r="L424" s="23" t="e">
        <f>_xlfn.XLOOKUP(K424,#REF!,#REF!,"",0,1)</f>
        <v>#REF!</v>
      </c>
      <c r="M424" s="23" t="str">
        <f>IFERROR(L424*#REF!,"")</f>
        <v/>
      </c>
      <c r="N424" s="23">
        <f t="shared" si="24"/>
        <v>-1</v>
      </c>
      <c r="O424" s="23">
        <f t="shared" si="25"/>
        <v>-1</v>
      </c>
      <c r="P424" s="23">
        <f t="shared" si="26"/>
        <v>-1</v>
      </c>
      <c r="Q424" s="24">
        <f t="shared" si="27"/>
        <v>-1</v>
      </c>
      <c r="R424" s="3"/>
      <c r="S424" s="1">
        <v>0</v>
      </c>
      <c r="T424" s="24">
        <v>-1</v>
      </c>
      <c r="U424"/>
      <c r="V424" s="1">
        <v>0</v>
      </c>
      <c r="W424" s="24">
        <v>-1</v>
      </c>
      <c r="X424"/>
      <c r="Y424" s="1">
        <v>0</v>
      </c>
      <c r="Z424" s="24">
        <v>-1</v>
      </c>
      <c r="AA424"/>
      <c r="AB424" s="1">
        <v>0</v>
      </c>
      <c r="AC424" s="24">
        <v>-1</v>
      </c>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c r="CC424"/>
      <c r="CD424"/>
      <c r="CE424"/>
      <c r="CF424"/>
      <c r="CG424"/>
      <c r="CH424"/>
      <c r="CI424"/>
      <c r="CJ424"/>
      <c r="CK424"/>
      <c r="CL424"/>
      <c r="CM424"/>
      <c r="CN424"/>
      <c r="CO424"/>
      <c r="CP424"/>
      <c r="CQ424"/>
      <c r="CR424"/>
      <c r="CS424"/>
    </row>
    <row r="425" spans="2:97">
      <c r="B425"/>
      <c r="C425" s="15"/>
      <c r="D425" s="23"/>
      <c r="E425" s="23"/>
      <c r="F425" s="23"/>
      <c r="G425" s="23">
        <f t="shared" si="23"/>
        <v>0</v>
      </c>
      <c r="H425" s="23" t="e" cm="1">
        <f t="array" ref="H425">INDEX('GLOBAL LOG'!#REF!,ROW()-169+15)</f>
        <v>#REF!</v>
      </c>
      <c r="I425" s="23" t="e">
        <f>_xlfn.XLOOKUP(H425,#REF!,#REF!,"",0,1)</f>
        <v>#REF!</v>
      </c>
      <c r="J425" s="23" t="str">
        <f>IFERROR(I425*#REF!,"")</f>
        <v/>
      </c>
      <c r="K425" s="23" t="e" cm="1">
        <f t="array" ref="K425">INDEX('GLOBAL LOG'!#REF!,ROW()-169+15)</f>
        <v>#REF!</v>
      </c>
      <c r="L425" s="23" t="e">
        <f>_xlfn.XLOOKUP(K425,#REF!,#REF!,"",0,1)</f>
        <v>#REF!</v>
      </c>
      <c r="M425" s="23" t="str">
        <f>IFERROR(L425*#REF!,"")</f>
        <v/>
      </c>
      <c r="N425" s="23">
        <f t="shared" si="24"/>
        <v>-1</v>
      </c>
      <c r="O425" s="23">
        <f t="shared" si="25"/>
        <v>-1</v>
      </c>
      <c r="P425" s="23">
        <f t="shared" si="26"/>
        <v>-1</v>
      </c>
      <c r="Q425" s="24">
        <f t="shared" si="27"/>
        <v>-1</v>
      </c>
      <c r="R425" s="3"/>
      <c r="S425" s="1">
        <v>0</v>
      </c>
      <c r="T425" s="24">
        <v>-1</v>
      </c>
      <c r="U425"/>
      <c r="V425" s="1">
        <v>0</v>
      </c>
      <c r="W425" s="24">
        <v>-1</v>
      </c>
      <c r="X425"/>
      <c r="Y425" s="1">
        <v>0</v>
      </c>
      <c r="Z425" s="24">
        <v>-1</v>
      </c>
      <c r="AA425"/>
      <c r="AB425" s="1">
        <v>0</v>
      </c>
      <c r="AC425" s="24">
        <v>-1</v>
      </c>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c r="CC425"/>
      <c r="CD425"/>
      <c r="CE425"/>
      <c r="CF425"/>
      <c r="CG425"/>
      <c r="CH425"/>
      <c r="CI425"/>
      <c r="CJ425"/>
      <c r="CK425"/>
      <c r="CL425"/>
      <c r="CM425"/>
      <c r="CN425"/>
      <c r="CO425"/>
      <c r="CP425"/>
      <c r="CQ425"/>
      <c r="CR425"/>
      <c r="CS425"/>
    </row>
    <row r="426" spans="2:97">
      <c r="B426"/>
      <c r="C426" s="15"/>
      <c r="D426" s="23"/>
      <c r="E426" s="23"/>
      <c r="F426" s="23"/>
      <c r="G426" s="23">
        <f t="shared" ref="G426:G489" si="28">E426+F426</f>
        <v>0</v>
      </c>
      <c r="H426" s="23" t="e" cm="1">
        <f t="array" ref="H426">INDEX('GLOBAL LOG'!#REF!,ROW()-169+15)</f>
        <v>#REF!</v>
      </c>
      <c r="I426" s="23" t="e">
        <f>_xlfn.XLOOKUP(H426,#REF!,#REF!,"",0,1)</f>
        <v>#REF!</v>
      </c>
      <c r="J426" s="23" t="str">
        <f>IFERROR(I426*#REF!,"")</f>
        <v/>
      </c>
      <c r="K426" s="23" t="e" cm="1">
        <f t="array" ref="K426">INDEX('GLOBAL LOG'!#REF!,ROW()-169+15)</f>
        <v>#REF!</v>
      </c>
      <c r="L426" s="23" t="e">
        <f>_xlfn.XLOOKUP(K426,#REF!,#REF!,"",0,1)</f>
        <v>#REF!</v>
      </c>
      <c r="M426" s="23" t="str">
        <f>IFERROR(L426*#REF!,"")</f>
        <v/>
      </c>
      <c r="N426" s="23">
        <f t="shared" ref="N426:N489" si="29">IFERROR(D426*J426*M426,-1)</f>
        <v>-1</v>
      </c>
      <c r="O426" s="23">
        <f t="shared" ref="O426:O489" si="30">IFERROR(E426*J426*M426,-1)</f>
        <v>-1</v>
      </c>
      <c r="P426" s="23">
        <f t="shared" ref="P426:P489" si="31">IFERROR(F426*J426*M426,-1)</f>
        <v>-1</v>
      </c>
      <c r="Q426" s="24">
        <f t="shared" ref="Q426:Q489" si="32">IFERROR(G426*J426*M426,-1)</f>
        <v>-1</v>
      </c>
      <c r="R426" s="3"/>
      <c r="S426" s="1">
        <v>0</v>
      </c>
      <c r="T426" s="24">
        <v>-1</v>
      </c>
      <c r="U426"/>
      <c r="V426" s="1">
        <v>0</v>
      </c>
      <c r="W426" s="24">
        <v>-1</v>
      </c>
      <c r="X426"/>
      <c r="Y426" s="1">
        <v>0</v>
      </c>
      <c r="Z426" s="24">
        <v>-1</v>
      </c>
      <c r="AA426"/>
      <c r="AB426" s="1">
        <v>0</v>
      </c>
      <c r="AC426" s="24">
        <v>-1</v>
      </c>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c r="CC426"/>
      <c r="CD426"/>
      <c r="CE426"/>
      <c r="CF426"/>
      <c r="CG426"/>
      <c r="CH426"/>
      <c r="CI426"/>
      <c r="CJ426"/>
      <c r="CK426"/>
      <c r="CL426"/>
      <c r="CM426"/>
      <c r="CN426"/>
      <c r="CO426"/>
      <c r="CP426"/>
      <c r="CQ426"/>
      <c r="CR426"/>
      <c r="CS426"/>
    </row>
    <row r="427" spans="2:97">
      <c r="B427"/>
      <c r="C427" s="15"/>
      <c r="D427" s="23"/>
      <c r="E427" s="23"/>
      <c r="F427" s="23"/>
      <c r="G427" s="23">
        <f t="shared" si="28"/>
        <v>0</v>
      </c>
      <c r="H427" s="23" t="e" cm="1">
        <f t="array" ref="H427">INDEX('GLOBAL LOG'!#REF!,ROW()-169+15)</f>
        <v>#REF!</v>
      </c>
      <c r="I427" s="23" t="e">
        <f>_xlfn.XLOOKUP(H427,#REF!,#REF!,"",0,1)</f>
        <v>#REF!</v>
      </c>
      <c r="J427" s="23" t="str">
        <f>IFERROR(I427*#REF!,"")</f>
        <v/>
      </c>
      <c r="K427" s="23" t="e" cm="1">
        <f t="array" ref="K427">INDEX('GLOBAL LOG'!#REF!,ROW()-169+15)</f>
        <v>#REF!</v>
      </c>
      <c r="L427" s="23" t="e">
        <f>_xlfn.XLOOKUP(K427,#REF!,#REF!,"",0,1)</f>
        <v>#REF!</v>
      </c>
      <c r="M427" s="23" t="str">
        <f>IFERROR(L427*#REF!,"")</f>
        <v/>
      </c>
      <c r="N427" s="23">
        <f t="shared" si="29"/>
        <v>-1</v>
      </c>
      <c r="O427" s="23">
        <f t="shared" si="30"/>
        <v>-1</v>
      </c>
      <c r="P427" s="23">
        <f t="shared" si="31"/>
        <v>-1</v>
      </c>
      <c r="Q427" s="24">
        <f t="shared" si="32"/>
        <v>-1</v>
      </c>
      <c r="R427" s="3"/>
      <c r="S427" s="1">
        <v>0</v>
      </c>
      <c r="T427" s="24">
        <v>-1</v>
      </c>
      <c r="U427"/>
      <c r="V427" s="1">
        <v>0</v>
      </c>
      <c r="W427" s="24">
        <v>-1</v>
      </c>
      <c r="X427"/>
      <c r="Y427" s="1">
        <v>0</v>
      </c>
      <c r="Z427" s="24">
        <v>-1</v>
      </c>
      <c r="AA427"/>
      <c r="AB427" s="1">
        <v>0</v>
      </c>
      <c r="AC427" s="24">
        <v>-1</v>
      </c>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c r="CD427"/>
      <c r="CE427"/>
      <c r="CF427"/>
      <c r="CG427"/>
      <c r="CH427"/>
      <c r="CI427"/>
      <c r="CJ427"/>
      <c r="CK427"/>
      <c r="CL427"/>
      <c r="CM427"/>
      <c r="CN427"/>
      <c r="CO427"/>
      <c r="CP427"/>
      <c r="CQ427"/>
      <c r="CR427"/>
      <c r="CS427"/>
    </row>
    <row r="428" spans="2:97">
      <c r="B428"/>
      <c r="C428" s="15"/>
      <c r="D428" s="23"/>
      <c r="E428" s="23"/>
      <c r="F428" s="23"/>
      <c r="G428" s="23">
        <f t="shared" si="28"/>
        <v>0</v>
      </c>
      <c r="H428" s="23" t="e" cm="1">
        <f t="array" ref="H428">INDEX('GLOBAL LOG'!#REF!,ROW()-169+15)</f>
        <v>#REF!</v>
      </c>
      <c r="I428" s="23" t="e">
        <f>_xlfn.XLOOKUP(H428,#REF!,#REF!,"",0,1)</f>
        <v>#REF!</v>
      </c>
      <c r="J428" s="23" t="str">
        <f>IFERROR(I428*#REF!,"")</f>
        <v/>
      </c>
      <c r="K428" s="23" t="e" cm="1">
        <f t="array" ref="K428">INDEX('GLOBAL LOG'!#REF!,ROW()-169+15)</f>
        <v>#REF!</v>
      </c>
      <c r="L428" s="23" t="e">
        <f>_xlfn.XLOOKUP(K428,#REF!,#REF!,"",0,1)</f>
        <v>#REF!</v>
      </c>
      <c r="M428" s="23" t="str">
        <f>IFERROR(L428*#REF!,"")</f>
        <v/>
      </c>
      <c r="N428" s="23">
        <f t="shared" si="29"/>
        <v>-1</v>
      </c>
      <c r="O428" s="23">
        <f t="shared" si="30"/>
        <v>-1</v>
      </c>
      <c r="P428" s="23">
        <f t="shared" si="31"/>
        <v>-1</v>
      </c>
      <c r="Q428" s="24">
        <f t="shared" si="32"/>
        <v>-1</v>
      </c>
      <c r="R428" s="3"/>
      <c r="S428" s="1">
        <v>0</v>
      </c>
      <c r="T428" s="24">
        <v>-1</v>
      </c>
      <c r="U428"/>
      <c r="V428" s="1">
        <v>0</v>
      </c>
      <c r="W428" s="24">
        <v>-1</v>
      </c>
      <c r="X428"/>
      <c r="Y428" s="1">
        <v>0</v>
      </c>
      <c r="Z428" s="24">
        <v>-1</v>
      </c>
      <c r="AA428"/>
      <c r="AB428" s="1">
        <v>0</v>
      </c>
      <c r="AC428" s="24">
        <v>-1</v>
      </c>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c r="CC428"/>
      <c r="CD428"/>
      <c r="CE428"/>
      <c r="CF428"/>
      <c r="CG428"/>
      <c r="CH428"/>
      <c r="CI428"/>
      <c r="CJ428"/>
      <c r="CK428"/>
      <c r="CL428"/>
      <c r="CM428"/>
      <c r="CN428"/>
      <c r="CO428"/>
      <c r="CP428"/>
      <c r="CQ428"/>
      <c r="CR428"/>
      <c r="CS428"/>
    </row>
    <row r="429" spans="2:97">
      <c r="B429"/>
      <c r="C429" s="15"/>
      <c r="D429" s="23"/>
      <c r="E429" s="23"/>
      <c r="F429" s="23"/>
      <c r="G429" s="23">
        <f t="shared" si="28"/>
        <v>0</v>
      </c>
      <c r="H429" s="23" t="e" cm="1">
        <f t="array" ref="H429">INDEX('GLOBAL LOG'!#REF!,ROW()-169+15)</f>
        <v>#REF!</v>
      </c>
      <c r="I429" s="23" t="e">
        <f>_xlfn.XLOOKUP(H429,#REF!,#REF!,"",0,1)</f>
        <v>#REF!</v>
      </c>
      <c r="J429" s="23" t="str">
        <f>IFERROR(I429*#REF!,"")</f>
        <v/>
      </c>
      <c r="K429" s="23" t="e" cm="1">
        <f t="array" ref="K429">INDEX('GLOBAL LOG'!#REF!,ROW()-169+15)</f>
        <v>#REF!</v>
      </c>
      <c r="L429" s="23" t="e">
        <f>_xlfn.XLOOKUP(K429,#REF!,#REF!,"",0,1)</f>
        <v>#REF!</v>
      </c>
      <c r="M429" s="23" t="str">
        <f>IFERROR(L429*#REF!,"")</f>
        <v/>
      </c>
      <c r="N429" s="23">
        <f t="shared" si="29"/>
        <v>-1</v>
      </c>
      <c r="O429" s="23">
        <f t="shared" si="30"/>
        <v>-1</v>
      </c>
      <c r="P429" s="23">
        <f t="shared" si="31"/>
        <v>-1</v>
      </c>
      <c r="Q429" s="24">
        <f t="shared" si="32"/>
        <v>-1</v>
      </c>
      <c r="R429" s="3"/>
      <c r="S429" s="1">
        <v>0</v>
      </c>
      <c r="T429" s="24">
        <v>-1</v>
      </c>
      <c r="U429"/>
      <c r="V429" s="1">
        <v>0</v>
      </c>
      <c r="W429" s="24">
        <v>-1</v>
      </c>
      <c r="X429"/>
      <c r="Y429" s="1">
        <v>0</v>
      </c>
      <c r="Z429" s="24">
        <v>-1</v>
      </c>
      <c r="AA429"/>
      <c r="AB429" s="1">
        <v>0</v>
      </c>
      <c r="AC429" s="24">
        <v>-1</v>
      </c>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c r="CC429"/>
      <c r="CD429"/>
      <c r="CE429"/>
      <c r="CF429"/>
      <c r="CG429"/>
      <c r="CH429"/>
      <c r="CI429"/>
      <c r="CJ429"/>
      <c r="CK429"/>
      <c r="CL429"/>
      <c r="CM429"/>
      <c r="CN429"/>
      <c r="CO429"/>
      <c r="CP429"/>
      <c r="CQ429"/>
      <c r="CR429"/>
      <c r="CS429"/>
    </row>
    <row r="430" spans="2:97">
      <c r="B430"/>
      <c r="C430" s="15"/>
      <c r="D430" s="23"/>
      <c r="E430" s="23"/>
      <c r="F430" s="23"/>
      <c r="G430" s="23">
        <f t="shared" si="28"/>
        <v>0</v>
      </c>
      <c r="H430" s="23" t="e" cm="1">
        <f t="array" ref="H430">INDEX('GLOBAL LOG'!#REF!,ROW()-169+15)</f>
        <v>#REF!</v>
      </c>
      <c r="I430" s="23" t="e">
        <f>_xlfn.XLOOKUP(H430,#REF!,#REF!,"",0,1)</f>
        <v>#REF!</v>
      </c>
      <c r="J430" s="23" t="str">
        <f>IFERROR(I430*#REF!,"")</f>
        <v/>
      </c>
      <c r="K430" s="23" t="e" cm="1">
        <f t="array" ref="K430">INDEX('GLOBAL LOG'!#REF!,ROW()-169+15)</f>
        <v>#REF!</v>
      </c>
      <c r="L430" s="23" t="e">
        <f>_xlfn.XLOOKUP(K430,#REF!,#REF!,"",0,1)</f>
        <v>#REF!</v>
      </c>
      <c r="M430" s="23" t="str">
        <f>IFERROR(L430*#REF!,"")</f>
        <v/>
      </c>
      <c r="N430" s="23">
        <f t="shared" si="29"/>
        <v>-1</v>
      </c>
      <c r="O430" s="23">
        <f t="shared" si="30"/>
        <v>-1</v>
      </c>
      <c r="P430" s="23">
        <f t="shared" si="31"/>
        <v>-1</v>
      </c>
      <c r="Q430" s="24">
        <f t="shared" si="32"/>
        <v>-1</v>
      </c>
      <c r="R430" s="3"/>
      <c r="S430" s="1">
        <v>0</v>
      </c>
      <c r="T430" s="24">
        <v>-1</v>
      </c>
      <c r="U430"/>
      <c r="V430" s="1">
        <v>0</v>
      </c>
      <c r="W430" s="24">
        <v>-1</v>
      </c>
      <c r="X430"/>
      <c r="Y430" s="1">
        <v>0</v>
      </c>
      <c r="Z430" s="24">
        <v>-1</v>
      </c>
      <c r="AA430"/>
      <c r="AB430" s="1">
        <v>0</v>
      </c>
      <c r="AC430" s="24">
        <v>-1</v>
      </c>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c r="CD430"/>
      <c r="CE430"/>
      <c r="CF430"/>
      <c r="CG430"/>
      <c r="CH430"/>
      <c r="CI430"/>
      <c r="CJ430"/>
      <c r="CK430"/>
      <c r="CL430"/>
      <c r="CM430"/>
      <c r="CN430"/>
      <c r="CO430"/>
      <c r="CP430"/>
      <c r="CQ430"/>
      <c r="CR430"/>
      <c r="CS430"/>
    </row>
    <row r="431" spans="2:97">
      <c r="B431"/>
      <c r="C431" s="15"/>
      <c r="D431" s="23"/>
      <c r="E431" s="23"/>
      <c r="F431" s="23"/>
      <c r="G431" s="23">
        <f t="shared" si="28"/>
        <v>0</v>
      </c>
      <c r="H431" s="23" t="e" cm="1">
        <f t="array" ref="H431">INDEX('GLOBAL LOG'!#REF!,ROW()-169+15)</f>
        <v>#REF!</v>
      </c>
      <c r="I431" s="23" t="e">
        <f>_xlfn.XLOOKUP(H431,#REF!,#REF!,"",0,1)</f>
        <v>#REF!</v>
      </c>
      <c r="J431" s="23" t="str">
        <f>IFERROR(I431*#REF!,"")</f>
        <v/>
      </c>
      <c r="K431" s="23" t="e" cm="1">
        <f t="array" ref="K431">INDEX('GLOBAL LOG'!#REF!,ROW()-169+15)</f>
        <v>#REF!</v>
      </c>
      <c r="L431" s="23" t="e">
        <f>_xlfn.XLOOKUP(K431,#REF!,#REF!,"",0,1)</f>
        <v>#REF!</v>
      </c>
      <c r="M431" s="23" t="str">
        <f>IFERROR(L431*#REF!,"")</f>
        <v/>
      </c>
      <c r="N431" s="23">
        <f t="shared" si="29"/>
        <v>-1</v>
      </c>
      <c r="O431" s="23">
        <f t="shared" si="30"/>
        <v>-1</v>
      </c>
      <c r="P431" s="23">
        <f t="shared" si="31"/>
        <v>-1</v>
      </c>
      <c r="Q431" s="24">
        <f t="shared" si="32"/>
        <v>-1</v>
      </c>
      <c r="R431" s="3"/>
      <c r="S431" s="1">
        <v>0</v>
      </c>
      <c r="T431" s="24">
        <v>-1</v>
      </c>
      <c r="U431"/>
      <c r="V431" s="1">
        <v>0</v>
      </c>
      <c r="W431" s="24">
        <v>-1</v>
      </c>
      <c r="X431"/>
      <c r="Y431" s="1">
        <v>0</v>
      </c>
      <c r="Z431" s="24">
        <v>-1</v>
      </c>
      <c r="AA431"/>
      <c r="AB431" s="1">
        <v>0</v>
      </c>
      <c r="AC431" s="24">
        <v>-1</v>
      </c>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c r="CC431"/>
      <c r="CD431"/>
      <c r="CE431"/>
      <c r="CF431"/>
      <c r="CG431"/>
      <c r="CH431"/>
      <c r="CI431"/>
      <c r="CJ431"/>
      <c r="CK431"/>
      <c r="CL431"/>
      <c r="CM431"/>
      <c r="CN431"/>
      <c r="CO431"/>
      <c r="CP431"/>
      <c r="CQ431"/>
      <c r="CR431"/>
      <c r="CS431"/>
    </row>
    <row r="432" spans="2:97">
      <c r="B432"/>
      <c r="C432" s="15"/>
      <c r="D432" s="23"/>
      <c r="E432" s="23"/>
      <c r="F432" s="23"/>
      <c r="G432" s="23">
        <f t="shared" si="28"/>
        <v>0</v>
      </c>
      <c r="H432" s="23" t="e" cm="1">
        <f t="array" ref="H432">INDEX('GLOBAL LOG'!#REF!,ROW()-169+15)</f>
        <v>#REF!</v>
      </c>
      <c r="I432" s="23" t="e">
        <f>_xlfn.XLOOKUP(H432,#REF!,#REF!,"",0,1)</f>
        <v>#REF!</v>
      </c>
      <c r="J432" s="23" t="str">
        <f>IFERROR(I432*#REF!,"")</f>
        <v/>
      </c>
      <c r="K432" s="23" t="e" cm="1">
        <f t="array" ref="K432">INDEX('GLOBAL LOG'!#REF!,ROW()-169+15)</f>
        <v>#REF!</v>
      </c>
      <c r="L432" s="23" t="e">
        <f>_xlfn.XLOOKUP(K432,#REF!,#REF!,"",0,1)</f>
        <v>#REF!</v>
      </c>
      <c r="M432" s="23" t="str">
        <f>IFERROR(L432*#REF!,"")</f>
        <v/>
      </c>
      <c r="N432" s="23">
        <f t="shared" si="29"/>
        <v>-1</v>
      </c>
      <c r="O432" s="23">
        <f t="shared" si="30"/>
        <v>-1</v>
      </c>
      <c r="P432" s="23">
        <f t="shared" si="31"/>
        <v>-1</v>
      </c>
      <c r="Q432" s="24">
        <f t="shared" si="32"/>
        <v>-1</v>
      </c>
      <c r="R432" s="3"/>
      <c r="S432" s="1">
        <v>0</v>
      </c>
      <c r="T432" s="24">
        <v>-1</v>
      </c>
      <c r="U432"/>
      <c r="V432" s="1">
        <v>0</v>
      </c>
      <c r="W432" s="24">
        <v>-1</v>
      </c>
      <c r="X432"/>
      <c r="Y432" s="1">
        <v>0</v>
      </c>
      <c r="Z432" s="24">
        <v>-1</v>
      </c>
      <c r="AA432"/>
      <c r="AB432" s="1">
        <v>0</v>
      </c>
      <c r="AC432" s="24">
        <v>-1</v>
      </c>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c r="CC432"/>
      <c r="CD432"/>
      <c r="CE432"/>
      <c r="CF432"/>
      <c r="CG432"/>
      <c r="CH432"/>
      <c r="CI432"/>
      <c r="CJ432"/>
      <c r="CK432"/>
      <c r="CL432"/>
      <c r="CM432"/>
      <c r="CN432"/>
      <c r="CO432"/>
      <c r="CP432"/>
      <c r="CQ432"/>
      <c r="CR432"/>
      <c r="CS432"/>
    </row>
    <row r="433" spans="2:97">
      <c r="B433"/>
      <c r="C433" s="15"/>
      <c r="D433" s="23"/>
      <c r="E433" s="23"/>
      <c r="F433" s="23"/>
      <c r="G433" s="23">
        <f t="shared" si="28"/>
        <v>0</v>
      </c>
      <c r="H433" s="23" t="e" cm="1">
        <f t="array" ref="H433">INDEX('GLOBAL LOG'!#REF!,ROW()-169+15)</f>
        <v>#REF!</v>
      </c>
      <c r="I433" s="23" t="e">
        <f>_xlfn.XLOOKUP(H433,#REF!,#REF!,"",0,1)</f>
        <v>#REF!</v>
      </c>
      <c r="J433" s="23" t="str">
        <f>IFERROR(I433*#REF!,"")</f>
        <v/>
      </c>
      <c r="K433" s="23" t="e" cm="1">
        <f t="array" ref="K433">INDEX('GLOBAL LOG'!#REF!,ROW()-169+15)</f>
        <v>#REF!</v>
      </c>
      <c r="L433" s="23" t="e">
        <f>_xlfn.XLOOKUP(K433,#REF!,#REF!,"",0,1)</f>
        <v>#REF!</v>
      </c>
      <c r="M433" s="23" t="str">
        <f>IFERROR(L433*#REF!,"")</f>
        <v/>
      </c>
      <c r="N433" s="23">
        <f t="shared" si="29"/>
        <v>-1</v>
      </c>
      <c r="O433" s="23">
        <f t="shared" si="30"/>
        <v>-1</v>
      </c>
      <c r="P433" s="23">
        <f t="shared" si="31"/>
        <v>-1</v>
      </c>
      <c r="Q433" s="24">
        <f t="shared" si="32"/>
        <v>-1</v>
      </c>
      <c r="R433" s="3"/>
      <c r="S433" s="1">
        <v>0</v>
      </c>
      <c r="T433" s="24">
        <v>-1</v>
      </c>
      <c r="U433"/>
      <c r="V433" s="1">
        <v>0</v>
      </c>
      <c r="W433" s="24">
        <v>-1</v>
      </c>
      <c r="X433"/>
      <c r="Y433" s="1">
        <v>0</v>
      </c>
      <c r="Z433" s="24">
        <v>-1</v>
      </c>
      <c r="AA433"/>
      <c r="AB433" s="1">
        <v>0</v>
      </c>
      <c r="AC433" s="24">
        <v>-1</v>
      </c>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c r="CC433"/>
      <c r="CD433"/>
      <c r="CE433"/>
      <c r="CF433"/>
      <c r="CG433"/>
      <c r="CH433"/>
      <c r="CI433"/>
      <c r="CJ433"/>
      <c r="CK433"/>
      <c r="CL433"/>
      <c r="CM433"/>
      <c r="CN433"/>
      <c r="CO433"/>
      <c r="CP433"/>
      <c r="CQ433"/>
      <c r="CR433"/>
      <c r="CS433"/>
    </row>
    <row r="434" spans="2:97">
      <c r="B434"/>
      <c r="C434" s="15"/>
      <c r="D434" s="23"/>
      <c r="E434" s="23"/>
      <c r="F434" s="23"/>
      <c r="G434" s="23">
        <f t="shared" si="28"/>
        <v>0</v>
      </c>
      <c r="H434" s="23" t="e" cm="1">
        <f t="array" ref="H434">INDEX('GLOBAL LOG'!#REF!,ROW()-169+15)</f>
        <v>#REF!</v>
      </c>
      <c r="I434" s="23" t="e">
        <f>_xlfn.XLOOKUP(H434,#REF!,#REF!,"",0,1)</f>
        <v>#REF!</v>
      </c>
      <c r="J434" s="23" t="str">
        <f>IFERROR(I434*#REF!,"")</f>
        <v/>
      </c>
      <c r="K434" s="23" t="e" cm="1">
        <f t="array" ref="K434">INDEX('GLOBAL LOG'!#REF!,ROW()-169+15)</f>
        <v>#REF!</v>
      </c>
      <c r="L434" s="23" t="e">
        <f>_xlfn.XLOOKUP(K434,#REF!,#REF!,"",0,1)</f>
        <v>#REF!</v>
      </c>
      <c r="M434" s="23" t="str">
        <f>IFERROR(L434*#REF!,"")</f>
        <v/>
      </c>
      <c r="N434" s="23">
        <f t="shared" si="29"/>
        <v>-1</v>
      </c>
      <c r="O434" s="23">
        <f t="shared" si="30"/>
        <v>-1</v>
      </c>
      <c r="P434" s="23">
        <f t="shared" si="31"/>
        <v>-1</v>
      </c>
      <c r="Q434" s="24">
        <f t="shared" si="32"/>
        <v>-1</v>
      </c>
      <c r="R434" s="3"/>
      <c r="S434" s="1">
        <v>0</v>
      </c>
      <c r="T434" s="24">
        <v>-1</v>
      </c>
      <c r="U434"/>
      <c r="V434" s="1">
        <v>0</v>
      </c>
      <c r="W434" s="24">
        <v>-1</v>
      </c>
      <c r="X434"/>
      <c r="Y434" s="1">
        <v>0</v>
      </c>
      <c r="Z434" s="24">
        <v>-1</v>
      </c>
      <c r="AA434"/>
      <c r="AB434" s="1">
        <v>0</v>
      </c>
      <c r="AC434" s="24">
        <v>-1</v>
      </c>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c r="CC434"/>
      <c r="CD434"/>
      <c r="CE434"/>
      <c r="CF434"/>
      <c r="CG434"/>
      <c r="CH434"/>
      <c r="CI434"/>
      <c r="CJ434"/>
      <c r="CK434"/>
      <c r="CL434"/>
      <c r="CM434"/>
      <c r="CN434"/>
      <c r="CO434"/>
      <c r="CP434"/>
      <c r="CQ434"/>
      <c r="CR434"/>
      <c r="CS434"/>
    </row>
    <row r="435" spans="2:97">
      <c r="B435"/>
      <c r="C435" s="15"/>
      <c r="D435" s="23"/>
      <c r="E435" s="23"/>
      <c r="F435" s="23"/>
      <c r="G435" s="23">
        <f t="shared" si="28"/>
        <v>0</v>
      </c>
      <c r="H435" s="23" t="e" cm="1">
        <f t="array" ref="H435">INDEX('GLOBAL LOG'!#REF!,ROW()-169+15)</f>
        <v>#REF!</v>
      </c>
      <c r="I435" s="23" t="e">
        <f>_xlfn.XLOOKUP(H435,#REF!,#REF!,"",0,1)</f>
        <v>#REF!</v>
      </c>
      <c r="J435" s="23" t="str">
        <f>IFERROR(I435*#REF!,"")</f>
        <v/>
      </c>
      <c r="K435" s="23" t="e" cm="1">
        <f t="array" ref="K435">INDEX('GLOBAL LOG'!#REF!,ROW()-169+15)</f>
        <v>#REF!</v>
      </c>
      <c r="L435" s="23" t="e">
        <f>_xlfn.XLOOKUP(K435,#REF!,#REF!,"",0,1)</f>
        <v>#REF!</v>
      </c>
      <c r="M435" s="23" t="str">
        <f>IFERROR(L435*#REF!,"")</f>
        <v/>
      </c>
      <c r="N435" s="23">
        <f t="shared" si="29"/>
        <v>-1</v>
      </c>
      <c r="O435" s="23">
        <f t="shared" si="30"/>
        <v>-1</v>
      </c>
      <c r="P435" s="23">
        <f t="shared" si="31"/>
        <v>-1</v>
      </c>
      <c r="Q435" s="24">
        <f t="shared" si="32"/>
        <v>-1</v>
      </c>
      <c r="R435" s="3"/>
      <c r="S435" s="1">
        <v>0</v>
      </c>
      <c r="T435" s="24">
        <v>-1</v>
      </c>
      <c r="U435"/>
      <c r="V435" s="1">
        <v>0</v>
      </c>
      <c r="W435" s="24">
        <v>-1</v>
      </c>
      <c r="X435"/>
      <c r="Y435" s="1">
        <v>0</v>
      </c>
      <c r="Z435" s="24">
        <v>-1</v>
      </c>
      <c r="AA435"/>
      <c r="AB435" s="1">
        <v>0</v>
      </c>
      <c r="AC435" s="24">
        <v>-1</v>
      </c>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c r="CC435"/>
      <c r="CD435"/>
      <c r="CE435"/>
      <c r="CF435"/>
      <c r="CG435"/>
      <c r="CH435"/>
      <c r="CI435"/>
      <c r="CJ435"/>
      <c r="CK435"/>
      <c r="CL435"/>
      <c r="CM435"/>
      <c r="CN435"/>
      <c r="CO435"/>
      <c r="CP435"/>
      <c r="CQ435"/>
      <c r="CR435"/>
      <c r="CS435"/>
    </row>
    <row r="436" spans="2:97">
      <c r="B436"/>
      <c r="C436" s="15"/>
      <c r="D436" s="23"/>
      <c r="E436" s="23"/>
      <c r="F436" s="23"/>
      <c r="G436" s="23">
        <f t="shared" si="28"/>
        <v>0</v>
      </c>
      <c r="H436" s="23" t="e" cm="1">
        <f t="array" ref="H436">INDEX('GLOBAL LOG'!#REF!,ROW()-169+15)</f>
        <v>#REF!</v>
      </c>
      <c r="I436" s="23" t="e">
        <f>_xlfn.XLOOKUP(H436,#REF!,#REF!,"",0,1)</f>
        <v>#REF!</v>
      </c>
      <c r="J436" s="23" t="str">
        <f>IFERROR(I436*#REF!,"")</f>
        <v/>
      </c>
      <c r="K436" s="23" t="e" cm="1">
        <f t="array" ref="K436">INDEX('GLOBAL LOG'!#REF!,ROW()-169+15)</f>
        <v>#REF!</v>
      </c>
      <c r="L436" s="23" t="e">
        <f>_xlfn.XLOOKUP(K436,#REF!,#REF!,"",0,1)</f>
        <v>#REF!</v>
      </c>
      <c r="M436" s="23" t="str">
        <f>IFERROR(L436*#REF!,"")</f>
        <v/>
      </c>
      <c r="N436" s="23">
        <f t="shared" si="29"/>
        <v>-1</v>
      </c>
      <c r="O436" s="23">
        <f t="shared" si="30"/>
        <v>-1</v>
      </c>
      <c r="P436" s="23">
        <f t="shared" si="31"/>
        <v>-1</v>
      </c>
      <c r="Q436" s="24">
        <f t="shared" si="32"/>
        <v>-1</v>
      </c>
      <c r="R436" s="3"/>
      <c r="S436" s="1">
        <v>0</v>
      </c>
      <c r="T436" s="24">
        <v>-1</v>
      </c>
      <c r="U436"/>
      <c r="V436" s="1">
        <v>0</v>
      </c>
      <c r="W436" s="24">
        <v>-1</v>
      </c>
      <c r="X436"/>
      <c r="Y436" s="1">
        <v>0</v>
      </c>
      <c r="Z436" s="24">
        <v>-1</v>
      </c>
      <c r="AA436"/>
      <c r="AB436" s="1">
        <v>0</v>
      </c>
      <c r="AC436" s="24">
        <v>-1</v>
      </c>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c r="CC436"/>
      <c r="CD436"/>
      <c r="CE436"/>
      <c r="CF436"/>
      <c r="CG436"/>
      <c r="CH436"/>
      <c r="CI436"/>
      <c r="CJ436"/>
      <c r="CK436"/>
      <c r="CL436"/>
      <c r="CM436"/>
      <c r="CN436"/>
      <c r="CO436"/>
      <c r="CP436"/>
      <c r="CQ436"/>
      <c r="CR436"/>
      <c r="CS436"/>
    </row>
    <row r="437" spans="2:97">
      <c r="B437"/>
      <c r="C437" s="15"/>
      <c r="D437" s="23"/>
      <c r="E437" s="23"/>
      <c r="F437" s="23"/>
      <c r="G437" s="23">
        <f t="shared" si="28"/>
        <v>0</v>
      </c>
      <c r="H437" s="23" t="e" cm="1">
        <f t="array" ref="H437">INDEX('GLOBAL LOG'!#REF!,ROW()-169+15)</f>
        <v>#REF!</v>
      </c>
      <c r="I437" s="23" t="e">
        <f>_xlfn.XLOOKUP(H437,#REF!,#REF!,"",0,1)</f>
        <v>#REF!</v>
      </c>
      <c r="J437" s="23" t="str">
        <f>IFERROR(I437*#REF!,"")</f>
        <v/>
      </c>
      <c r="K437" s="23" t="e" cm="1">
        <f t="array" ref="K437">INDEX('GLOBAL LOG'!#REF!,ROW()-169+15)</f>
        <v>#REF!</v>
      </c>
      <c r="L437" s="23" t="e">
        <f>_xlfn.XLOOKUP(K437,#REF!,#REF!,"",0,1)</f>
        <v>#REF!</v>
      </c>
      <c r="M437" s="23" t="str">
        <f>IFERROR(L437*#REF!,"")</f>
        <v/>
      </c>
      <c r="N437" s="23">
        <f t="shared" si="29"/>
        <v>-1</v>
      </c>
      <c r="O437" s="23">
        <f t="shared" si="30"/>
        <v>-1</v>
      </c>
      <c r="P437" s="23">
        <f t="shared" si="31"/>
        <v>-1</v>
      </c>
      <c r="Q437" s="24">
        <f t="shared" si="32"/>
        <v>-1</v>
      </c>
      <c r="R437" s="3"/>
      <c r="S437" s="1">
        <v>0</v>
      </c>
      <c r="T437" s="24">
        <v>-1</v>
      </c>
      <c r="U437"/>
      <c r="V437" s="1">
        <v>0</v>
      </c>
      <c r="W437" s="24">
        <v>-1</v>
      </c>
      <c r="X437"/>
      <c r="Y437" s="1">
        <v>0</v>
      </c>
      <c r="Z437" s="24">
        <v>-1</v>
      </c>
      <c r="AA437"/>
      <c r="AB437" s="1">
        <v>0</v>
      </c>
      <c r="AC437" s="24">
        <v>-1</v>
      </c>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c r="CD437"/>
      <c r="CE437"/>
      <c r="CF437"/>
      <c r="CG437"/>
      <c r="CH437"/>
      <c r="CI437"/>
      <c r="CJ437"/>
      <c r="CK437"/>
      <c r="CL437"/>
      <c r="CM437"/>
      <c r="CN437"/>
      <c r="CO437"/>
      <c r="CP437"/>
      <c r="CQ437"/>
      <c r="CR437"/>
      <c r="CS437"/>
    </row>
    <row r="438" spans="2:97">
      <c r="B438"/>
      <c r="C438" s="15"/>
      <c r="D438" s="23"/>
      <c r="E438" s="23"/>
      <c r="F438" s="23"/>
      <c r="G438" s="23">
        <f t="shared" si="28"/>
        <v>0</v>
      </c>
      <c r="H438" s="23" t="e" cm="1">
        <f t="array" ref="H438">INDEX('GLOBAL LOG'!#REF!,ROW()-169+15)</f>
        <v>#REF!</v>
      </c>
      <c r="I438" s="23" t="e">
        <f>_xlfn.XLOOKUP(H438,#REF!,#REF!,"",0,1)</f>
        <v>#REF!</v>
      </c>
      <c r="J438" s="23" t="str">
        <f>IFERROR(I438*#REF!,"")</f>
        <v/>
      </c>
      <c r="K438" s="23" t="e" cm="1">
        <f t="array" ref="K438">INDEX('GLOBAL LOG'!#REF!,ROW()-169+15)</f>
        <v>#REF!</v>
      </c>
      <c r="L438" s="23" t="e">
        <f>_xlfn.XLOOKUP(K438,#REF!,#REF!,"",0,1)</f>
        <v>#REF!</v>
      </c>
      <c r="M438" s="23" t="str">
        <f>IFERROR(L438*#REF!,"")</f>
        <v/>
      </c>
      <c r="N438" s="23">
        <f t="shared" si="29"/>
        <v>-1</v>
      </c>
      <c r="O438" s="23">
        <f t="shared" si="30"/>
        <v>-1</v>
      </c>
      <c r="P438" s="23">
        <f t="shared" si="31"/>
        <v>-1</v>
      </c>
      <c r="Q438" s="24">
        <f t="shared" si="32"/>
        <v>-1</v>
      </c>
      <c r="R438" s="3"/>
      <c r="S438" s="1">
        <v>0</v>
      </c>
      <c r="T438" s="24">
        <v>-1</v>
      </c>
      <c r="U438"/>
      <c r="V438" s="1">
        <v>0</v>
      </c>
      <c r="W438" s="24">
        <v>-1</v>
      </c>
      <c r="X438"/>
      <c r="Y438" s="1">
        <v>0</v>
      </c>
      <c r="Z438" s="24">
        <v>-1</v>
      </c>
      <c r="AA438"/>
      <c r="AB438" s="1">
        <v>0</v>
      </c>
      <c r="AC438" s="24">
        <v>-1</v>
      </c>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c r="CC438"/>
      <c r="CD438"/>
      <c r="CE438"/>
      <c r="CF438"/>
      <c r="CG438"/>
      <c r="CH438"/>
      <c r="CI438"/>
      <c r="CJ438"/>
      <c r="CK438"/>
      <c r="CL438"/>
      <c r="CM438"/>
      <c r="CN438"/>
      <c r="CO438"/>
      <c r="CP438"/>
      <c r="CQ438"/>
      <c r="CR438"/>
      <c r="CS438"/>
    </row>
    <row r="439" spans="2:97">
      <c r="B439"/>
      <c r="C439" s="15"/>
      <c r="D439" s="23"/>
      <c r="E439" s="23"/>
      <c r="F439" s="23"/>
      <c r="G439" s="23">
        <f t="shared" si="28"/>
        <v>0</v>
      </c>
      <c r="H439" s="23" t="e" cm="1">
        <f t="array" ref="H439">INDEX('GLOBAL LOG'!#REF!,ROW()-169+15)</f>
        <v>#REF!</v>
      </c>
      <c r="I439" s="23" t="e">
        <f>_xlfn.XLOOKUP(H439,#REF!,#REF!,"",0,1)</f>
        <v>#REF!</v>
      </c>
      <c r="J439" s="23" t="str">
        <f>IFERROR(I439*#REF!,"")</f>
        <v/>
      </c>
      <c r="K439" s="23" t="e" cm="1">
        <f t="array" ref="K439">INDEX('GLOBAL LOG'!#REF!,ROW()-169+15)</f>
        <v>#REF!</v>
      </c>
      <c r="L439" s="23" t="e">
        <f>_xlfn.XLOOKUP(K439,#REF!,#REF!,"",0,1)</f>
        <v>#REF!</v>
      </c>
      <c r="M439" s="23" t="str">
        <f>IFERROR(L439*#REF!,"")</f>
        <v/>
      </c>
      <c r="N439" s="23">
        <f t="shared" si="29"/>
        <v>-1</v>
      </c>
      <c r="O439" s="23">
        <f t="shared" si="30"/>
        <v>-1</v>
      </c>
      <c r="P439" s="23">
        <f t="shared" si="31"/>
        <v>-1</v>
      </c>
      <c r="Q439" s="24">
        <f t="shared" si="32"/>
        <v>-1</v>
      </c>
      <c r="R439" s="3"/>
      <c r="S439" s="1">
        <v>0</v>
      </c>
      <c r="T439" s="24">
        <v>-1</v>
      </c>
      <c r="U439"/>
      <c r="V439" s="1">
        <v>0</v>
      </c>
      <c r="W439" s="24">
        <v>-1</v>
      </c>
      <c r="X439"/>
      <c r="Y439" s="1">
        <v>0</v>
      </c>
      <c r="Z439" s="24">
        <v>-1</v>
      </c>
      <c r="AA439"/>
      <c r="AB439" s="1">
        <v>0</v>
      </c>
      <c r="AC439" s="24">
        <v>-1</v>
      </c>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c r="CC439"/>
      <c r="CD439"/>
      <c r="CE439"/>
      <c r="CF439"/>
      <c r="CG439"/>
      <c r="CH439"/>
      <c r="CI439"/>
      <c r="CJ439"/>
      <c r="CK439"/>
      <c r="CL439"/>
      <c r="CM439"/>
      <c r="CN439"/>
      <c r="CO439"/>
      <c r="CP439"/>
      <c r="CQ439"/>
      <c r="CR439"/>
      <c r="CS439"/>
    </row>
    <row r="440" spans="2:97">
      <c r="B440"/>
      <c r="C440" s="15"/>
      <c r="D440" s="23"/>
      <c r="E440" s="23"/>
      <c r="F440" s="23"/>
      <c r="G440" s="23">
        <f t="shared" si="28"/>
        <v>0</v>
      </c>
      <c r="H440" s="23" t="e" cm="1">
        <f t="array" ref="H440">INDEX('GLOBAL LOG'!#REF!,ROW()-169+15)</f>
        <v>#REF!</v>
      </c>
      <c r="I440" s="23" t="e">
        <f>_xlfn.XLOOKUP(H440,#REF!,#REF!,"",0,1)</f>
        <v>#REF!</v>
      </c>
      <c r="J440" s="23" t="str">
        <f>IFERROR(I440*#REF!,"")</f>
        <v/>
      </c>
      <c r="K440" s="23" t="e" cm="1">
        <f t="array" ref="K440">INDEX('GLOBAL LOG'!#REF!,ROW()-169+15)</f>
        <v>#REF!</v>
      </c>
      <c r="L440" s="23" t="e">
        <f>_xlfn.XLOOKUP(K440,#REF!,#REF!,"",0,1)</f>
        <v>#REF!</v>
      </c>
      <c r="M440" s="23" t="str">
        <f>IFERROR(L440*#REF!,"")</f>
        <v/>
      </c>
      <c r="N440" s="23">
        <f t="shared" si="29"/>
        <v>-1</v>
      </c>
      <c r="O440" s="23">
        <f t="shared" si="30"/>
        <v>-1</v>
      </c>
      <c r="P440" s="23">
        <f t="shared" si="31"/>
        <v>-1</v>
      </c>
      <c r="Q440" s="24">
        <f t="shared" si="32"/>
        <v>-1</v>
      </c>
      <c r="R440" s="3"/>
      <c r="S440" s="1">
        <v>0</v>
      </c>
      <c r="T440" s="24">
        <v>-1</v>
      </c>
      <c r="U440"/>
      <c r="V440" s="1">
        <v>0</v>
      </c>
      <c r="W440" s="24">
        <v>-1</v>
      </c>
      <c r="X440"/>
      <c r="Y440" s="1">
        <v>0</v>
      </c>
      <c r="Z440" s="24">
        <v>-1</v>
      </c>
      <c r="AA440"/>
      <c r="AB440" s="1">
        <v>0</v>
      </c>
      <c r="AC440" s="24">
        <v>-1</v>
      </c>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c r="CC440"/>
      <c r="CD440"/>
      <c r="CE440"/>
      <c r="CF440"/>
      <c r="CG440"/>
      <c r="CH440"/>
      <c r="CI440"/>
      <c r="CJ440"/>
      <c r="CK440"/>
      <c r="CL440"/>
      <c r="CM440"/>
      <c r="CN440"/>
      <c r="CO440"/>
      <c r="CP440"/>
      <c r="CQ440"/>
      <c r="CR440"/>
      <c r="CS440"/>
    </row>
    <row r="441" spans="2:97">
      <c r="B441"/>
      <c r="C441" s="15"/>
      <c r="D441" s="23"/>
      <c r="E441" s="23"/>
      <c r="F441" s="23"/>
      <c r="G441" s="23">
        <f t="shared" si="28"/>
        <v>0</v>
      </c>
      <c r="H441" s="23" t="e" cm="1">
        <f t="array" ref="H441">INDEX('GLOBAL LOG'!#REF!,ROW()-169+15)</f>
        <v>#REF!</v>
      </c>
      <c r="I441" s="23" t="e">
        <f>_xlfn.XLOOKUP(H441,#REF!,#REF!,"",0,1)</f>
        <v>#REF!</v>
      </c>
      <c r="J441" s="23" t="str">
        <f>IFERROR(I441*#REF!,"")</f>
        <v/>
      </c>
      <c r="K441" s="23" t="e" cm="1">
        <f t="array" ref="K441">INDEX('GLOBAL LOG'!#REF!,ROW()-169+15)</f>
        <v>#REF!</v>
      </c>
      <c r="L441" s="23" t="e">
        <f>_xlfn.XLOOKUP(K441,#REF!,#REF!,"",0,1)</f>
        <v>#REF!</v>
      </c>
      <c r="M441" s="23" t="str">
        <f>IFERROR(L441*#REF!,"")</f>
        <v/>
      </c>
      <c r="N441" s="23">
        <f t="shared" si="29"/>
        <v>-1</v>
      </c>
      <c r="O441" s="23">
        <f t="shared" si="30"/>
        <v>-1</v>
      </c>
      <c r="P441" s="23">
        <f t="shared" si="31"/>
        <v>-1</v>
      </c>
      <c r="Q441" s="24">
        <f t="shared" si="32"/>
        <v>-1</v>
      </c>
      <c r="R441" s="3"/>
      <c r="S441" s="1">
        <v>0</v>
      </c>
      <c r="T441" s="24">
        <v>-1</v>
      </c>
      <c r="U441"/>
      <c r="V441" s="1">
        <v>0</v>
      </c>
      <c r="W441" s="24">
        <v>-1</v>
      </c>
      <c r="X441"/>
      <c r="Y441" s="1">
        <v>0</v>
      </c>
      <c r="Z441" s="24">
        <v>-1</v>
      </c>
      <c r="AA441"/>
      <c r="AB441" s="1">
        <v>0</v>
      </c>
      <c r="AC441" s="24">
        <v>-1</v>
      </c>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c r="CD441"/>
      <c r="CE441"/>
      <c r="CF441"/>
      <c r="CG441"/>
      <c r="CH441"/>
      <c r="CI441"/>
      <c r="CJ441"/>
      <c r="CK441"/>
      <c r="CL441"/>
      <c r="CM441"/>
      <c r="CN441"/>
      <c r="CO441"/>
      <c r="CP441"/>
      <c r="CQ441"/>
      <c r="CR441"/>
      <c r="CS441"/>
    </row>
    <row r="442" spans="2:97">
      <c r="B442"/>
      <c r="C442" s="15"/>
      <c r="D442" s="23"/>
      <c r="E442" s="23"/>
      <c r="F442" s="23"/>
      <c r="G442" s="23">
        <f t="shared" si="28"/>
        <v>0</v>
      </c>
      <c r="H442" s="23" t="e" cm="1">
        <f t="array" ref="H442">INDEX('GLOBAL LOG'!#REF!,ROW()-169+15)</f>
        <v>#REF!</v>
      </c>
      <c r="I442" s="23" t="e">
        <f>_xlfn.XLOOKUP(H442,#REF!,#REF!,"",0,1)</f>
        <v>#REF!</v>
      </c>
      <c r="J442" s="23" t="str">
        <f>IFERROR(I442*#REF!,"")</f>
        <v/>
      </c>
      <c r="K442" s="23" t="e" cm="1">
        <f t="array" ref="K442">INDEX('GLOBAL LOG'!#REF!,ROW()-169+15)</f>
        <v>#REF!</v>
      </c>
      <c r="L442" s="23" t="e">
        <f>_xlfn.XLOOKUP(K442,#REF!,#REF!,"",0,1)</f>
        <v>#REF!</v>
      </c>
      <c r="M442" s="23" t="str">
        <f>IFERROR(L442*#REF!,"")</f>
        <v/>
      </c>
      <c r="N442" s="23">
        <f t="shared" si="29"/>
        <v>-1</v>
      </c>
      <c r="O442" s="23">
        <f t="shared" si="30"/>
        <v>-1</v>
      </c>
      <c r="P442" s="23">
        <f t="shared" si="31"/>
        <v>-1</v>
      </c>
      <c r="Q442" s="24">
        <f t="shared" si="32"/>
        <v>-1</v>
      </c>
      <c r="R442" s="3"/>
      <c r="S442" s="1">
        <v>0</v>
      </c>
      <c r="T442" s="24">
        <v>-1</v>
      </c>
      <c r="U442"/>
      <c r="V442" s="1">
        <v>0</v>
      </c>
      <c r="W442" s="24">
        <v>-1</v>
      </c>
      <c r="X442"/>
      <c r="Y442" s="1">
        <v>0</v>
      </c>
      <c r="Z442" s="24">
        <v>-1</v>
      </c>
      <c r="AA442"/>
      <c r="AB442" s="1">
        <v>0</v>
      </c>
      <c r="AC442" s="24">
        <v>-1</v>
      </c>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c r="CE442"/>
      <c r="CF442"/>
      <c r="CG442"/>
      <c r="CH442"/>
      <c r="CI442"/>
      <c r="CJ442"/>
      <c r="CK442"/>
      <c r="CL442"/>
      <c r="CM442"/>
      <c r="CN442"/>
      <c r="CO442"/>
      <c r="CP442"/>
      <c r="CQ442"/>
      <c r="CR442"/>
      <c r="CS442"/>
    </row>
    <row r="443" spans="2:97">
      <c r="B443"/>
      <c r="C443" s="15"/>
      <c r="D443" s="23"/>
      <c r="E443" s="23"/>
      <c r="F443" s="23"/>
      <c r="G443" s="23">
        <f t="shared" si="28"/>
        <v>0</v>
      </c>
      <c r="H443" s="23" t="e" cm="1">
        <f t="array" ref="H443">INDEX('GLOBAL LOG'!#REF!,ROW()-169+15)</f>
        <v>#REF!</v>
      </c>
      <c r="I443" s="23" t="e">
        <f>_xlfn.XLOOKUP(H443,#REF!,#REF!,"",0,1)</f>
        <v>#REF!</v>
      </c>
      <c r="J443" s="23" t="str">
        <f>IFERROR(I443*#REF!,"")</f>
        <v/>
      </c>
      <c r="K443" s="23" t="e" cm="1">
        <f t="array" ref="K443">INDEX('GLOBAL LOG'!#REF!,ROW()-169+15)</f>
        <v>#REF!</v>
      </c>
      <c r="L443" s="23" t="e">
        <f>_xlfn.XLOOKUP(K443,#REF!,#REF!,"",0,1)</f>
        <v>#REF!</v>
      </c>
      <c r="M443" s="23" t="str">
        <f>IFERROR(L443*#REF!,"")</f>
        <v/>
      </c>
      <c r="N443" s="23">
        <f t="shared" si="29"/>
        <v>-1</v>
      </c>
      <c r="O443" s="23">
        <f t="shared" si="30"/>
        <v>-1</v>
      </c>
      <c r="P443" s="23">
        <f t="shared" si="31"/>
        <v>-1</v>
      </c>
      <c r="Q443" s="24">
        <f t="shared" si="32"/>
        <v>-1</v>
      </c>
      <c r="R443" s="3"/>
      <c r="S443" s="1">
        <v>0</v>
      </c>
      <c r="T443" s="24">
        <v>-1</v>
      </c>
      <c r="U443"/>
      <c r="V443" s="1">
        <v>0</v>
      </c>
      <c r="W443" s="24">
        <v>-1</v>
      </c>
      <c r="X443"/>
      <c r="Y443" s="1">
        <v>0</v>
      </c>
      <c r="Z443" s="24">
        <v>-1</v>
      </c>
      <c r="AA443"/>
      <c r="AB443" s="1">
        <v>0</v>
      </c>
      <c r="AC443" s="24">
        <v>-1</v>
      </c>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c r="CD443"/>
      <c r="CE443"/>
      <c r="CF443"/>
      <c r="CG443"/>
      <c r="CH443"/>
      <c r="CI443"/>
      <c r="CJ443"/>
      <c r="CK443"/>
      <c r="CL443"/>
      <c r="CM443"/>
      <c r="CN443"/>
      <c r="CO443"/>
      <c r="CP443"/>
      <c r="CQ443"/>
      <c r="CR443"/>
      <c r="CS443"/>
    </row>
    <row r="444" spans="2:97">
      <c r="B444"/>
      <c r="C444" s="15"/>
      <c r="D444" s="23"/>
      <c r="E444" s="23"/>
      <c r="F444" s="23"/>
      <c r="G444" s="23">
        <f t="shared" si="28"/>
        <v>0</v>
      </c>
      <c r="H444" s="23" t="e" cm="1">
        <f t="array" ref="H444">INDEX('GLOBAL LOG'!#REF!,ROW()-169+15)</f>
        <v>#REF!</v>
      </c>
      <c r="I444" s="23" t="e">
        <f>_xlfn.XLOOKUP(H444,#REF!,#REF!,"",0,1)</f>
        <v>#REF!</v>
      </c>
      <c r="J444" s="23" t="str">
        <f>IFERROR(I444*#REF!,"")</f>
        <v/>
      </c>
      <c r="K444" s="23" t="e" cm="1">
        <f t="array" ref="K444">INDEX('GLOBAL LOG'!#REF!,ROW()-169+15)</f>
        <v>#REF!</v>
      </c>
      <c r="L444" s="23" t="e">
        <f>_xlfn.XLOOKUP(K444,#REF!,#REF!,"",0,1)</f>
        <v>#REF!</v>
      </c>
      <c r="M444" s="23" t="str">
        <f>IFERROR(L444*#REF!,"")</f>
        <v/>
      </c>
      <c r="N444" s="23">
        <f t="shared" si="29"/>
        <v>-1</v>
      </c>
      <c r="O444" s="23">
        <f t="shared" si="30"/>
        <v>-1</v>
      </c>
      <c r="P444" s="23">
        <f t="shared" si="31"/>
        <v>-1</v>
      </c>
      <c r="Q444" s="24">
        <f t="shared" si="32"/>
        <v>-1</v>
      </c>
      <c r="R444" s="3"/>
      <c r="S444" s="1">
        <v>0</v>
      </c>
      <c r="T444" s="24">
        <v>-1</v>
      </c>
      <c r="U444"/>
      <c r="V444" s="1">
        <v>0</v>
      </c>
      <c r="W444" s="24">
        <v>-1</v>
      </c>
      <c r="X444"/>
      <c r="Y444" s="1">
        <v>0</v>
      </c>
      <c r="Z444" s="24">
        <v>-1</v>
      </c>
      <c r="AA444"/>
      <c r="AB444" s="1">
        <v>0</v>
      </c>
      <c r="AC444" s="24">
        <v>-1</v>
      </c>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c r="CC444"/>
      <c r="CD444"/>
      <c r="CE444"/>
      <c r="CF444"/>
      <c r="CG444"/>
      <c r="CH444"/>
      <c r="CI444"/>
      <c r="CJ444"/>
      <c r="CK444"/>
      <c r="CL444"/>
      <c r="CM444"/>
      <c r="CN444"/>
      <c r="CO444"/>
      <c r="CP444"/>
      <c r="CQ444"/>
      <c r="CR444"/>
      <c r="CS444"/>
    </row>
    <row r="445" spans="2:97">
      <c r="B445"/>
      <c r="C445" s="15"/>
      <c r="D445" s="23"/>
      <c r="E445" s="23"/>
      <c r="F445" s="23"/>
      <c r="G445" s="23">
        <f t="shared" si="28"/>
        <v>0</v>
      </c>
      <c r="H445" s="23" t="e" cm="1">
        <f t="array" ref="H445">INDEX('GLOBAL LOG'!#REF!,ROW()-169+15)</f>
        <v>#REF!</v>
      </c>
      <c r="I445" s="23" t="e">
        <f>_xlfn.XLOOKUP(H445,#REF!,#REF!,"",0,1)</f>
        <v>#REF!</v>
      </c>
      <c r="J445" s="23" t="str">
        <f>IFERROR(I445*#REF!,"")</f>
        <v/>
      </c>
      <c r="K445" s="23" t="e" cm="1">
        <f t="array" ref="K445">INDEX('GLOBAL LOG'!#REF!,ROW()-169+15)</f>
        <v>#REF!</v>
      </c>
      <c r="L445" s="23" t="e">
        <f>_xlfn.XLOOKUP(K445,#REF!,#REF!,"",0,1)</f>
        <v>#REF!</v>
      </c>
      <c r="M445" s="23" t="str">
        <f>IFERROR(L445*#REF!,"")</f>
        <v/>
      </c>
      <c r="N445" s="23">
        <f t="shared" si="29"/>
        <v>-1</v>
      </c>
      <c r="O445" s="23">
        <f t="shared" si="30"/>
        <v>-1</v>
      </c>
      <c r="P445" s="23">
        <f t="shared" si="31"/>
        <v>-1</v>
      </c>
      <c r="Q445" s="24">
        <f t="shared" si="32"/>
        <v>-1</v>
      </c>
      <c r="R445" s="3"/>
      <c r="S445" s="1">
        <v>0</v>
      </c>
      <c r="T445" s="24">
        <v>-1</v>
      </c>
      <c r="U445"/>
      <c r="V445" s="1">
        <v>0</v>
      </c>
      <c r="W445" s="24">
        <v>-1</v>
      </c>
      <c r="X445"/>
      <c r="Y445" s="1">
        <v>0</v>
      </c>
      <c r="Z445" s="24">
        <v>-1</v>
      </c>
      <c r="AA445"/>
      <c r="AB445" s="1">
        <v>0</v>
      </c>
      <c r="AC445" s="24">
        <v>-1</v>
      </c>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c r="CC445"/>
      <c r="CD445"/>
      <c r="CE445"/>
      <c r="CF445"/>
      <c r="CG445"/>
      <c r="CH445"/>
      <c r="CI445"/>
      <c r="CJ445"/>
      <c r="CK445"/>
      <c r="CL445"/>
      <c r="CM445"/>
      <c r="CN445"/>
      <c r="CO445"/>
      <c r="CP445"/>
      <c r="CQ445"/>
      <c r="CR445"/>
      <c r="CS445"/>
    </row>
    <row r="446" spans="2:97">
      <c r="B446"/>
      <c r="C446" s="15"/>
      <c r="D446" s="23"/>
      <c r="E446" s="23"/>
      <c r="F446" s="23"/>
      <c r="G446" s="23">
        <f t="shared" si="28"/>
        <v>0</v>
      </c>
      <c r="H446" s="23" t="e" cm="1">
        <f t="array" ref="H446">INDEX('GLOBAL LOG'!#REF!,ROW()-169+15)</f>
        <v>#REF!</v>
      </c>
      <c r="I446" s="23" t="e">
        <f>_xlfn.XLOOKUP(H446,#REF!,#REF!,"",0,1)</f>
        <v>#REF!</v>
      </c>
      <c r="J446" s="23" t="str">
        <f>IFERROR(I446*#REF!,"")</f>
        <v/>
      </c>
      <c r="K446" s="23" t="e" cm="1">
        <f t="array" ref="K446">INDEX('GLOBAL LOG'!#REF!,ROW()-169+15)</f>
        <v>#REF!</v>
      </c>
      <c r="L446" s="23" t="e">
        <f>_xlfn.XLOOKUP(K446,#REF!,#REF!,"",0,1)</f>
        <v>#REF!</v>
      </c>
      <c r="M446" s="23" t="str">
        <f>IFERROR(L446*#REF!,"")</f>
        <v/>
      </c>
      <c r="N446" s="23">
        <f t="shared" si="29"/>
        <v>-1</v>
      </c>
      <c r="O446" s="23">
        <f t="shared" si="30"/>
        <v>-1</v>
      </c>
      <c r="P446" s="23">
        <f t="shared" si="31"/>
        <v>-1</v>
      </c>
      <c r="Q446" s="24">
        <f t="shared" si="32"/>
        <v>-1</v>
      </c>
      <c r="R446" s="3"/>
      <c r="S446" s="1">
        <v>0</v>
      </c>
      <c r="T446" s="24">
        <v>-1</v>
      </c>
      <c r="U446"/>
      <c r="V446" s="1">
        <v>0</v>
      </c>
      <c r="W446" s="24">
        <v>-1</v>
      </c>
      <c r="X446"/>
      <c r="Y446" s="1">
        <v>0</v>
      </c>
      <c r="Z446" s="24">
        <v>-1</v>
      </c>
      <c r="AA446"/>
      <c r="AB446" s="1">
        <v>0</v>
      </c>
      <c r="AC446" s="24">
        <v>-1</v>
      </c>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c r="CC446"/>
      <c r="CD446"/>
      <c r="CE446"/>
      <c r="CF446"/>
      <c r="CG446"/>
      <c r="CH446"/>
      <c r="CI446"/>
      <c r="CJ446"/>
      <c r="CK446"/>
      <c r="CL446"/>
      <c r="CM446"/>
      <c r="CN446"/>
      <c r="CO446"/>
      <c r="CP446"/>
      <c r="CQ446"/>
      <c r="CR446"/>
      <c r="CS446"/>
    </row>
    <row r="447" spans="2:97">
      <c r="B447"/>
      <c r="C447" s="15"/>
      <c r="D447" s="23"/>
      <c r="E447" s="23"/>
      <c r="F447" s="23"/>
      <c r="G447" s="23">
        <f t="shared" si="28"/>
        <v>0</v>
      </c>
      <c r="H447" s="23" t="e" cm="1">
        <f t="array" ref="H447">INDEX('GLOBAL LOG'!#REF!,ROW()-169+15)</f>
        <v>#REF!</v>
      </c>
      <c r="I447" s="23" t="e">
        <f>_xlfn.XLOOKUP(H447,#REF!,#REF!,"",0,1)</f>
        <v>#REF!</v>
      </c>
      <c r="J447" s="23" t="str">
        <f>IFERROR(I447*#REF!,"")</f>
        <v/>
      </c>
      <c r="K447" s="23" t="e" cm="1">
        <f t="array" ref="K447">INDEX('GLOBAL LOG'!#REF!,ROW()-169+15)</f>
        <v>#REF!</v>
      </c>
      <c r="L447" s="23" t="e">
        <f>_xlfn.XLOOKUP(K447,#REF!,#REF!,"",0,1)</f>
        <v>#REF!</v>
      </c>
      <c r="M447" s="23" t="str">
        <f>IFERROR(L447*#REF!,"")</f>
        <v/>
      </c>
      <c r="N447" s="23">
        <f t="shared" si="29"/>
        <v>-1</v>
      </c>
      <c r="O447" s="23">
        <f t="shared" si="30"/>
        <v>-1</v>
      </c>
      <c r="P447" s="23">
        <f t="shared" si="31"/>
        <v>-1</v>
      </c>
      <c r="Q447" s="24">
        <f t="shared" si="32"/>
        <v>-1</v>
      </c>
      <c r="R447" s="3"/>
      <c r="S447" s="1">
        <v>0</v>
      </c>
      <c r="T447" s="24">
        <v>-1</v>
      </c>
      <c r="U447"/>
      <c r="V447" s="1">
        <v>0</v>
      </c>
      <c r="W447" s="24">
        <v>-1</v>
      </c>
      <c r="X447"/>
      <c r="Y447" s="1">
        <v>0</v>
      </c>
      <c r="Z447" s="24">
        <v>-1</v>
      </c>
      <c r="AA447"/>
      <c r="AB447" s="1">
        <v>0</v>
      </c>
      <c r="AC447" s="24">
        <v>-1</v>
      </c>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c r="CC447"/>
      <c r="CD447"/>
      <c r="CE447"/>
      <c r="CF447"/>
      <c r="CG447"/>
      <c r="CH447"/>
      <c r="CI447"/>
      <c r="CJ447"/>
      <c r="CK447"/>
      <c r="CL447"/>
      <c r="CM447"/>
      <c r="CN447"/>
      <c r="CO447"/>
      <c r="CP447"/>
      <c r="CQ447"/>
      <c r="CR447"/>
      <c r="CS447"/>
    </row>
    <row r="448" spans="2:97">
      <c r="B448"/>
      <c r="C448" s="15"/>
      <c r="D448" s="23"/>
      <c r="E448" s="23"/>
      <c r="F448" s="23"/>
      <c r="G448" s="23">
        <f t="shared" si="28"/>
        <v>0</v>
      </c>
      <c r="H448" s="23" t="e" cm="1">
        <f t="array" ref="H448">INDEX('GLOBAL LOG'!#REF!,ROW()-169+15)</f>
        <v>#REF!</v>
      </c>
      <c r="I448" s="23" t="e">
        <f>_xlfn.XLOOKUP(H448,#REF!,#REF!,"",0,1)</f>
        <v>#REF!</v>
      </c>
      <c r="J448" s="23" t="str">
        <f>IFERROR(I448*#REF!,"")</f>
        <v/>
      </c>
      <c r="K448" s="23" t="e" cm="1">
        <f t="array" ref="K448">INDEX('GLOBAL LOG'!#REF!,ROW()-169+15)</f>
        <v>#REF!</v>
      </c>
      <c r="L448" s="23" t="e">
        <f>_xlfn.XLOOKUP(K448,#REF!,#REF!,"",0,1)</f>
        <v>#REF!</v>
      </c>
      <c r="M448" s="23" t="str">
        <f>IFERROR(L448*#REF!,"")</f>
        <v/>
      </c>
      <c r="N448" s="23">
        <f t="shared" si="29"/>
        <v>-1</v>
      </c>
      <c r="O448" s="23">
        <f t="shared" si="30"/>
        <v>-1</v>
      </c>
      <c r="P448" s="23">
        <f t="shared" si="31"/>
        <v>-1</v>
      </c>
      <c r="Q448" s="24">
        <f t="shared" si="32"/>
        <v>-1</v>
      </c>
      <c r="R448" s="3"/>
      <c r="S448" s="1">
        <v>0</v>
      </c>
      <c r="T448" s="24">
        <v>-1</v>
      </c>
      <c r="U448"/>
      <c r="V448" s="1">
        <v>0</v>
      </c>
      <c r="W448" s="24">
        <v>-1</v>
      </c>
      <c r="X448"/>
      <c r="Y448" s="1">
        <v>0</v>
      </c>
      <c r="Z448" s="24">
        <v>-1</v>
      </c>
      <c r="AA448"/>
      <c r="AB448" s="1">
        <v>0</v>
      </c>
      <c r="AC448" s="24">
        <v>-1</v>
      </c>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c r="CC448"/>
      <c r="CD448"/>
      <c r="CE448"/>
      <c r="CF448"/>
      <c r="CG448"/>
      <c r="CH448"/>
      <c r="CI448"/>
      <c r="CJ448"/>
      <c r="CK448"/>
      <c r="CL448"/>
      <c r="CM448"/>
      <c r="CN448"/>
      <c r="CO448"/>
      <c r="CP448"/>
      <c r="CQ448"/>
      <c r="CR448"/>
      <c r="CS448"/>
    </row>
    <row r="449" spans="2:97">
      <c r="B449"/>
      <c r="C449" s="15"/>
      <c r="D449" s="23"/>
      <c r="E449" s="23"/>
      <c r="F449" s="23"/>
      <c r="G449" s="23">
        <f t="shared" si="28"/>
        <v>0</v>
      </c>
      <c r="H449" s="23" t="e" cm="1">
        <f t="array" ref="H449">INDEX('GLOBAL LOG'!#REF!,ROW()-169+15)</f>
        <v>#REF!</v>
      </c>
      <c r="I449" s="23" t="e">
        <f>_xlfn.XLOOKUP(H449,#REF!,#REF!,"",0,1)</f>
        <v>#REF!</v>
      </c>
      <c r="J449" s="23" t="str">
        <f>IFERROR(I449*#REF!,"")</f>
        <v/>
      </c>
      <c r="K449" s="23" t="e" cm="1">
        <f t="array" ref="K449">INDEX('GLOBAL LOG'!#REF!,ROW()-169+15)</f>
        <v>#REF!</v>
      </c>
      <c r="L449" s="23" t="e">
        <f>_xlfn.XLOOKUP(K449,#REF!,#REF!,"",0,1)</f>
        <v>#REF!</v>
      </c>
      <c r="M449" s="23" t="str">
        <f>IFERROR(L449*#REF!,"")</f>
        <v/>
      </c>
      <c r="N449" s="23">
        <f t="shared" si="29"/>
        <v>-1</v>
      </c>
      <c r="O449" s="23">
        <f t="shared" si="30"/>
        <v>-1</v>
      </c>
      <c r="P449" s="23">
        <f t="shared" si="31"/>
        <v>-1</v>
      </c>
      <c r="Q449" s="24">
        <f t="shared" si="32"/>
        <v>-1</v>
      </c>
      <c r="R449" s="3"/>
      <c r="S449" s="1">
        <v>0</v>
      </c>
      <c r="T449" s="24">
        <v>-1</v>
      </c>
      <c r="U449"/>
      <c r="V449" s="1">
        <v>0</v>
      </c>
      <c r="W449" s="24">
        <v>-1</v>
      </c>
      <c r="X449"/>
      <c r="Y449" s="1">
        <v>0</v>
      </c>
      <c r="Z449" s="24">
        <v>-1</v>
      </c>
      <c r="AA449"/>
      <c r="AB449" s="1">
        <v>0</v>
      </c>
      <c r="AC449" s="24">
        <v>-1</v>
      </c>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c r="CC449"/>
      <c r="CD449"/>
      <c r="CE449"/>
      <c r="CF449"/>
      <c r="CG449"/>
      <c r="CH449"/>
      <c r="CI449"/>
      <c r="CJ449"/>
      <c r="CK449"/>
      <c r="CL449"/>
      <c r="CM449"/>
      <c r="CN449"/>
      <c r="CO449"/>
      <c r="CP449"/>
      <c r="CQ449"/>
      <c r="CR449"/>
      <c r="CS449"/>
    </row>
    <row r="450" spans="2:97">
      <c r="B450"/>
      <c r="C450" s="15"/>
      <c r="D450" s="23"/>
      <c r="E450" s="23"/>
      <c r="F450" s="23"/>
      <c r="G450" s="23">
        <f t="shared" si="28"/>
        <v>0</v>
      </c>
      <c r="H450" s="23" t="e" cm="1">
        <f t="array" ref="H450">INDEX('GLOBAL LOG'!#REF!,ROW()-169+15)</f>
        <v>#REF!</v>
      </c>
      <c r="I450" s="23" t="e">
        <f>_xlfn.XLOOKUP(H450,#REF!,#REF!,"",0,1)</f>
        <v>#REF!</v>
      </c>
      <c r="J450" s="23" t="str">
        <f>IFERROR(I450*#REF!,"")</f>
        <v/>
      </c>
      <c r="K450" s="23" t="e" cm="1">
        <f t="array" ref="K450">INDEX('GLOBAL LOG'!#REF!,ROW()-169+15)</f>
        <v>#REF!</v>
      </c>
      <c r="L450" s="23" t="e">
        <f>_xlfn.XLOOKUP(K450,#REF!,#REF!,"",0,1)</f>
        <v>#REF!</v>
      </c>
      <c r="M450" s="23" t="str">
        <f>IFERROR(L450*#REF!,"")</f>
        <v/>
      </c>
      <c r="N450" s="23">
        <f t="shared" si="29"/>
        <v>-1</v>
      </c>
      <c r="O450" s="23">
        <f t="shared" si="30"/>
        <v>-1</v>
      </c>
      <c r="P450" s="23">
        <f t="shared" si="31"/>
        <v>-1</v>
      </c>
      <c r="Q450" s="24">
        <f t="shared" si="32"/>
        <v>-1</v>
      </c>
      <c r="R450" s="3"/>
      <c r="S450" s="1">
        <v>0</v>
      </c>
      <c r="T450" s="24">
        <v>-1</v>
      </c>
      <c r="U450"/>
      <c r="V450" s="1">
        <v>0</v>
      </c>
      <c r="W450" s="24">
        <v>-1</v>
      </c>
      <c r="X450"/>
      <c r="Y450" s="1">
        <v>0</v>
      </c>
      <c r="Z450" s="24">
        <v>-1</v>
      </c>
      <c r="AA450"/>
      <c r="AB450" s="1">
        <v>0</v>
      </c>
      <c r="AC450" s="24">
        <v>-1</v>
      </c>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c r="CC450"/>
      <c r="CD450"/>
      <c r="CE450"/>
      <c r="CF450"/>
      <c r="CG450"/>
      <c r="CH450"/>
      <c r="CI450"/>
      <c r="CJ450"/>
      <c r="CK450"/>
      <c r="CL450"/>
      <c r="CM450"/>
      <c r="CN450"/>
      <c r="CO450"/>
      <c r="CP450"/>
      <c r="CQ450"/>
      <c r="CR450"/>
      <c r="CS450"/>
    </row>
    <row r="451" spans="2:97">
      <c r="B451"/>
      <c r="C451" s="15"/>
      <c r="D451" s="23"/>
      <c r="E451" s="23"/>
      <c r="F451" s="23"/>
      <c r="G451" s="23">
        <f t="shared" si="28"/>
        <v>0</v>
      </c>
      <c r="H451" s="23" t="e" cm="1">
        <f t="array" ref="H451">INDEX('GLOBAL LOG'!#REF!,ROW()-169+15)</f>
        <v>#REF!</v>
      </c>
      <c r="I451" s="23" t="e">
        <f>_xlfn.XLOOKUP(H451,#REF!,#REF!,"",0,1)</f>
        <v>#REF!</v>
      </c>
      <c r="J451" s="23" t="str">
        <f>IFERROR(I451*#REF!,"")</f>
        <v/>
      </c>
      <c r="K451" s="23" t="e" cm="1">
        <f t="array" ref="K451">INDEX('GLOBAL LOG'!#REF!,ROW()-169+15)</f>
        <v>#REF!</v>
      </c>
      <c r="L451" s="23" t="e">
        <f>_xlfn.XLOOKUP(K451,#REF!,#REF!,"",0,1)</f>
        <v>#REF!</v>
      </c>
      <c r="M451" s="23" t="str">
        <f>IFERROR(L451*#REF!,"")</f>
        <v/>
      </c>
      <c r="N451" s="23">
        <f t="shared" si="29"/>
        <v>-1</v>
      </c>
      <c r="O451" s="23">
        <f t="shared" si="30"/>
        <v>-1</v>
      </c>
      <c r="P451" s="23">
        <f t="shared" si="31"/>
        <v>-1</v>
      </c>
      <c r="Q451" s="24">
        <f t="shared" si="32"/>
        <v>-1</v>
      </c>
      <c r="R451" s="3"/>
      <c r="S451" s="1">
        <v>0</v>
      </c>
      <c r="T451" s="24">
        <v>-1</v>
      </c>
      <c r="U451"/>
      <c r="V451" s="1">
        <v>0</v>
      </c>
      <c r="W451" s="24">
        <v>-1</v>
      </c>
      <c r="X451"/>
      <c r="Y451" s="1">
        <v>0</v>
      </c>
      <c r="Z451" s="24">
        <v>-1</v>
      </c>
      <c r="AA451"/>
      <c r="AB451" s="1">
        <v>0</v>
      </c>
      <c r="AC451" s="24">
        <v>-1</v>
      </c>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c r="CC451"/>
      <c r="CD451"/>
      <c r="CE451"/>
      <c r="CF451"/>
      <c r="CG451"/>
      <c r="CH451"/>
      <c r="CI451"/>
      <c r="CJ451"/>
      <c r="CK451"/>
      <c r="CL451"/>
      <c r="CM451"/>
      <c r="CN451"/>
      <c r="CO451"/>
      <c r="CP451"/>
      <c r="CQ451"/>
      <c r="CR451"/>
      <c r="CS451"/>
    </row>
    <row r="452" spans="2:97">
      <c r="B452"/>
      <c r="C452" s="15"/>
      <c r="D452" s="23"/>
      <c r="E452" s="23"/>
      <c r="F452" s="23"/>
      <c r="G452" s="23">
        <f t="shared" si="28"/>
        <v>0</v>
      </c>
      <c r="H452" s="23" t="e" cm="1">
        <f t="array" ref="H452">INDEX('GLOBAL LOG'!#REF!,ROW()-169+15)</f>
        <v>#REF!</v>
      </c>
      <c r="I452" s="23" t="e">
        <f>_xlfn.XLOOKUP(H452,#REF!,#REF!,"",0,1)</f>
        <v>#REF!</v>
      </c>
      <c r="J452" s="23" t="str">
        <f>IFERROR(I452*#REF!,"")</f>
        <v/>
      </c>
      <c r="K452" s="23" t="e" cm="1">
        <f t="array" ref="K452">INDEX('GLOBAL LOG'!#REF!,ROW()-169+15)</f>
        <v>#REF!</v>
      </c>
      <c r="L452" s="23" t="e">
        <f>_xlfn.XLOOKUP(K452,#REF!,#REF!,"",0,1)</f>
        <v>#REF!</v>
      </c>
      <c r="M452" s="23" t="str">
        <f>IFERROR(L452*#REF!,"")</f>
        <v/>
      </c>
      <c r="N452" s="23">
        <f t="shared" si="29"/>
        <v>-1</v>
      </c>
      <c r="O452" s="23">
        <f t="shared" si="30"/>
        <v>-1</v>
      </c>
      <c r="P452" s="23">
        <f t="shared" si="31"/>
        <v>-1</v>
      </c>
      <c r="Q452" s="24">
        <f t="shared" si="32"/>
        <v>-1</v>
      </c>
      <c r="R452" s="3"/>
      <c r="S452" s="1">
        <v>0</v>
      </c>
      <c r="T452" s="24">
        <v>-1</v>
      </c>
      <c r="U452"/>
      <c r="V452" s="1">
        <v>0</v>
      </c>
      <c r="W452" s="24">
        <v>-1</v>
      </c>
      <c r="X452"/>
      <c r="Y452" s="1">
        <v>0</v>
      </c>
      <c r="Z452" s="24">
        <v>-1</v>
      </c>
      <c r="AA452"/>
      <c r="AB452" s="1">
        <v>0</v>
      </c>
      <c r="AC452" s="24">
        <v>-1</v>
      </c>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c r="CC452"/>
      <c r="CD452"/>
      <c r="CE452"/>
      <c r="CF452"/>
      <c r="CG452"/>
      <c r="CH452"/>
      <c r="CI452"/>
      <c r="CJ452"/>
      <c r="CK452"/>
      <c r="CL452"/>
      <c r="CM452"/>
      <c r="CN452"/>
      <c r="CO452"/>
      <c r="CP452"/>
      <c r="CQ452"/>
      <c r="CR452"/>
      <c r="CS452"/>
    </row>
    <row r="453" spans="2:97">
      <c r="B453"/>
      <c r="C453" s="15"/>
      <c r="D453" s="23"/>
      <c r="E453" s="23"/>
      <c r="F453" s="23"/>
      <c r="G453" s="23">
        <f t="shared" si="28"/>
        <v>0</v>
      </c>
      <c r="H453" s="23" t="e" cm="1">
        <f t="array" ref="H453">INDEX('GLOBAL LOG'!#REF!,ROW()-169+15)</f>
        <v>#REF!</v>
      </c>
      <c r="I453" s="23" t="e">
        <f>_xlfn.XLOOKUP(H453,#REF!,#REF!,"",0,1)</f>
        <v>#REF!</v>
      </c>
      <c r="J453" s="23" t="str">
        <f>IFERROR(I453*#REF!,"")</f>
        <v/>
      </c>
      <c r="K453" s="23" t="e" cm="1">
        <f t="array" ref="K453">INDEX('GLOBAL LOG'!#REF!,ROW()-169+15)</f>
        <v>#REF!</v>
      </c>
      <c r="L453" s="23" t="e">
        <f>_xlfn.XLOOKUP(K453,#REF!,#REF!,"",0,1)</f>
        <v>#REF!</v>
      </c>
      <c r="M453" s="23" t="str">
        <f>IFERROR(L453*#REF!,"")</f>
        <v/>
      </c>
      <c r="N453" s="23">
        <f t="shared" si="29"/>
        <v>-1</v>
      </c>
      <c r="O453" s="23">
        <f t="shared" si="30"/>
        <v>-1</v>
      </c>
      <c r="P453" s="23">
        <f t="shared" si="31"/>
        <v>-1</v>
      </c>
      <c r="Q453" s="24">
        <f t="shared" si="32"/>
        <v>-1</v>
      </c>
      <c r="R453" s="3"/>
      <c r="S453" s="1">
        <v>0</v>
      </c>
      <c r="T453" s="24">
        <v>-1</v>
      </c>
      <c r="U453"/>
      <c r="V453" s="1">
        <v>0</v>
      </c>
      <c r="W453" s="24">
        <v>-1</v>
      </c>
      <c r="X453"/>
      <c r="Y453" s="1">
        <v>0</v>
      </c>
      <c r="Z453" s="24">
        <v>-1</v>
      </c>
      <c r="AA453"/>
      <c r="AB453" s="1">
        <v>0</v>
      </c>
      <c r="AC453" s="24">
        <v>-1</v>
      </c>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c r="CC453"/>
      <c r="CD453"/>
      <c r="CE453"/>
      <c r="CF453"/>
      <c r="CG453"/>
      <c r="CH453"/>
      <c r="CI453"/>
      <c r="CJ453"/>
      <c r="CK453"/>
      <c r="CL453"/>
      <c r="CM453"/>
      <c r="CN453"/>
      <c r="CO453"/>
      <c r="CP453"/>
      <c r="CQ453"/>
      <c r="CR453"/>
      <c r="CS453"/>
    </row>
    <row r="454" spans="2:97">
      <c r="B454"/>
      <c r="C454" s="15"/>
      <c r="D454" s="23"/>
      <c r="E454" s="23"/>
      <c r="F454" s="23"/>
      <c r="G454" s="23">
        <f t="shared" si="28"/>
        <v>0</v>
      </c>
      <c r="H454" s="23" t="e" cm="1">
        <f t="array" ref="H454">INDEX('GLOBAL LOG'!#REF!,ROW()-169+15)</f>
        <v>#REF!</v>
      </c>
      <c r="I454" s="23" t="e">
        <f>_xlfn.XLOOKUP(H454,#REF!,#REF!,"",0,1)</f>
        <v>#REF!</v>
      </c>
      <c r="J454" s="23" t="str">
        <f>IFERROR(I454*#REF!,"")</f>
        <v/>
      </c>
      <c r="K454" s="23" t="e" cm="1">
        <f t="array" ref="K454">INDEX('GLOBAL LOG'!#REF!,ROW()-169+15)</f>
        <v>#REF!</v>
      </c>
      <c r="L454" s="23" t="e">
        <f>_xlfn.XLOOKUP(K454,#REF!,#REF!,"",0,1)</f>
        <v>#REF!</v>
      </c>
      <c r="M454" s="23" t="str">
        <f>IFERROR(L454*#REF!,"")</f>
        <v/>
      </c>
      <c r="N454" s="23">
        <f t="shared" si="29"/>
        <v>-1</v>
      </c>
      <c r="O454" s="23">
        <f t="shared" si="30"/>
        <v>-1</v>
      </c>
      <c r="P454" s="23">
        <f t="shared" si="31"/>
        <v>-1</v>
      </c>
      <c r="Q454" s="24">
        <f t="shared" si="32"/>
        <v>-1</v>
      </c>
      <c r="R454" s="3"/>
      <c r="S454" s="1">
        <v>0</v>
      </c>
      <c r="T454" s="24">
        <v>-1</v>
      </c>
      <c r="U454"/>
      <c r="V454" s="1">
        <v>0</v>
      </c>
      <c r="W454" s="24">
        <v>-1</v>
      </c>
      <c r="X454"/>
      <c r="Y454" s="1">
        <v>0</v>
      </c>
      <c r="Z454" s="24">
        <v>-1</v>
      </c>
      <c r="AA454"/>
      <c r="AB454" s="1">
        <v>0</v>
      </c>
      <c r="AC454" s="24">
        <v>-1</v>
      </c>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c r="CC454"/>
      <c r="CD454"/>
      <c r="CE454"/>
      <c r="CF454"/>
      <c r="CG454"/>
      <c r="CH454"/>
      <c r="CI454"/>
      <c r="CJ454"/>
      <c r="CK454"/>
      <c r="CL454"/>
      <c r="CM454"/>
      <c r="CN454"/>
      <c r="CO454"/>
      <c r="CP454"/>
      <c r="CQ454"/>
      <c r="CR454"/>
      <c r="CS454"/>
    </row>
    <row r="455" spans="2:97">
      <c r="B455"/>
      <c r="C455" s="15"/>
      <c r="D455" s="23"/>
      <c r="E455" s="23"/>
      <c r="F455" s="23"/>
      <c r="G455" s="23">
        <f t="shared" si="28"/>
        <v>0</v>
      </c>
      <c r="H455" s="23" t="e" cm="1">
        <f t="array" ref="H455">INDEX('GLOBAL LOG'!#REF!,ROW()-169+15)</f>
        <v>#REF!</v>
      </c>
      <c r="I455" s="23" t="e">
        <f>_xlfn.XLOOKUP(H455,#REF!,#REF!,"",0,1)</f>
        <v>#REF!</v>
      </c>
      <c r="J455" s="23" t="str">
        <f>IFERROR(I455*#REF!,"")</f>
        <v/>
      </c>
      <c r="K455" s="23" t="e" cm="1">
        <f t="array" ref="K455">INDEX('GLOBAL LOG'!#REF!,ROW()-169+15)</f>
        <v>#REF!</v>
      </c>
      <c r="L455" s="23" t="e">
        <f>_xlfn.XLOOKUP(K455,#REF!,#REF!,"",0,1)</f>
        <v>#REF!</v>
      </c>
      <c r="M455" s="23" t="str">
        <f>IFERROR(L455*#REF!,"")</f>
        <v/>
      </c>
      <c r="N455" s="23">
        <f t="shared" si="29"/>
        <v>-1</v>
      </c>
      <c r="O455" s="23">
        <f t="shared" si="30"/>
        <v>-1</v>
      </c>
      <c r="P455" s="23">
        <f t="shared" si="31"/>
        <v>-1</v>
      </c>
      <c r="Q455" s="24">
        <f t="shared" si="32"/>
        <v>-1</v>
      </c>
      <c r="R455" s="3"/>
      <c r="S455" s="1">
        <v>0</v>
      </c>
      <c r="T455" s="24">
        <v>-1</v>
      </c>
      <c r="U455"/>
      <c r="V455" s="1">
        <v>0</v>
      </c>
      <c r="W455" s="24">
        <v>-1</v>
      </c>
      <c r="X455"/>
      <c r="Y455" s="1">
        <v>0</v>
      </c>
      <c r="Z455" s="24">
        <v>-1</v>
      </c>
      <c r="AA455"/>
      <c r="AB455" s="1">
        <v>0</v>
      </c>
      <c r="AC455" s="24">
        <v>-1</v>
      </c>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c r="CC455"/>
      <c r="CD455"/>
      <c r="CE455"/>
      <c r="CF455"/>
      <c r="CG455"/>
      <c r="CH455"/>
      <c r="CI455"/>
      <c r="CJ455"/>
      <c r="CK455"/>
      <c r="CL455"/>
      <c r="CM455"/>
      <c r="CN455"/>
      <c r="CO455"/>
      <c r="CP455"/>
      <c r="CQ455"/>
      <c r="CR455"/>
      <c r="CS455"/>
    </row>
    <row r="456" spans="2:97">
      <c r="B456"/>
      <c r="C456" s="15"/>
      <c r="D456" s="23"/>
      <c r="E456" s="23"/>
      <c r="F456" s="23"/>
      <c r="G456" s="23">
        <f t="shared" si="28"/>
        <v>0</v>
      </c>
      <c r="H456" s="23" t="e" cm="1">
        <f t="array" ref="H456">INDEX('GLOBAL LOG'!#REF!,ROW()-169+15)</f>
        <v>#REF!</v>
      </c>
      <c r="I456" s="23" t="e">
        <f>_xlfn.XLOOKUP(H456,#REF!,#REF!,"",0,1)</f>
        <v>#REF!</v>
      </c>
      <c r="J456" s="23" t="str">
        <f>IFERROR(I456*#REF!,"")</f>
        <v/>
      </c>
      <c r="K456" s="23" t="e" cm="1">
        <f t="array" ref="K456">INDEX('GLOBAL LOG'!#REF!,ROW()-169+15)</f>
        <v>#REF!</v>
      </c>
      <c r="L456" s="23" t="e">
        <f>_xlfn.XLOOKUP(K456,#REF!,#REF!,"",0,1)</f>
        <v>#REF!</v>
      </c>
      <c r="M456" s="23" t="str">
        <f>IFERROR(L456*#REF!,"")</f>
        <v/>
      </c>
      <c r="N456" s="23">
        <f t="shared" si="29"/>
        <v>-1</v>
      </c>
      <c r="O456" s="23">
        <f t="shared" si="30"/>
        <v>-1</v>
      </c>
      <c r="P456" s="23">
        <f t="shared" si="31"/>
        <v>-1</v>
      </c>
      <c r="Q456" s="24">
        <f t="shared" si="32"/>
        <v>-1</v>
      </c>
      <c r="R456" s="3"/>
      <c r="S456" s="1">
        <v>0</v>
      </c>
      <c r="T456" s="24">
        <v>-1</v>
      </c>
      <c r="U456"/>
      <c r="V456" s="1">
        <v>0</v>
      </c>
      <c r="W456" s="24">
        <v>-1</v>
      </c>
      <c r="X456"/>
      <c r="Y456" s="1">
        <v>0</v>
      </c>
      <c r="Z456" s="24">
        <v>-1</v>
      </c>
      <c r="AA456"/>
      <c r="AB456" s="1">
        <v>0</v>
      </c>
      <c r="AC456" s="24">
        <v>-1</v>
      </c>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c r="CC456"/>
      <c r="CD456"/>
      <c r="CE456"/>
      <c r="CF456"/>
      <c r="CG456"/>
      <c r="CH456"/>
      <c r="CI456"/>
      <c r="CJ456"/>
      <c r="CK456"/>
      <c r="CL456"/>
      <c r="CM456"/>
      <c r="CN456"/>
      <c r="CO456"/>
      <c r="CP456"/>
      <c r="CQ456"/>
      <c r="CR456"/>
      <c r="CS456"/>
    </row>
    <row r="457" spans="2:97">
      <c r="B457"/>
      <c r="C457" s="15"/>
      <c r="D457" s="23"/>
      <c r="E457" s="23"/>
      <c r="F457" s="23"/>
      <c r="G457" s="23">
        <f t="shared" si="28"/>
        <v>0</v>
      </c>
      <c r="H457" s="23" t="e" cm="1">
        <f t="array" ref="H457">INDEX('GLOBAL LOG'!#REF!,ROW()-169+15)</f>
        <v>#REF!</v>
      </c>
      <c r="I457" s="23" t="e">
        <f>_xlfn.XLOOKUP(H457,#REF!,#REF!,"",0,1)</f>
        <v>#REF!</v>
      </c>
      <c r="J457" s="23" t="str">
        <f>IFERROR(I457*#REF!,"")</f>
        <v/>
      </c>
      <c r="K457" s="23" t="e" cm="1">
        <f t="array" ref="K457">INDEX('GLOBAL LOG'!#REF!,ROW()-169+15)</f>
        <v>#REF!</v>
      </c>
      <c r="L457" s="23" t="e">
        <f>_xlfn.XLOOKUP(K457,#REF!,#REF!,"",0,1)</f>
        <v>#REF!</v>
      </c>
      <c r="M457" s="23" t="str">
        <f>IFERROR(L457*#REF!,"")</f>
        <v/>
      </c>
      <c r="N457" s="23">
        <f t="shared" si="29"/>
        <v>-1</v>
      </c>
      <c r="O457" s="23">
        <f t="shared" si="30"/>
        <v>-1</v>
      </c>
      <c r="P457" s="23">
        <f t="shared" si="31"/>
        <v>-1</v>
      </c>
      <c r="Q457" s="24">
        <f t="shared" si="32"/>
        <v>-1</v>
      </c>
      <c r="R457" s="3"/>
      <c r="S457" s="1">
        <v>0</v>
      </c>
      <c r="T457" s="24">
        <v>-1</v>
      </c>
      <c r="U457"/>
      <c r="V457" s="1">
        <v>0</v>
      </c>
      <c r="W457" s="24">
        <v>-1</v>
      </c>
      <c r="X457"/>
      <c r="Y457" s="1">
        <v>0</v>
      </c>
      <c r="Z457" s="24">
        <v>-1</v>
      </c>
      <c r="AA457"/>
      <c r="AB457" s="1">
        <v>0</v>
      </c>
      <c r="AC457" s="24">
        <v>-1</v>
      </c>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c r="CC457"/>
      <c r="CD457"/>
      <c r="CE457"/>
      <c r="CF457"/>
      <c r="CG457"/>
      <c r="CH457"/>
      <c r="CI457"/>
      <c r="CJ457"/>
      <c r="CK457"/>
      <c r="CL457"/>
      <c r="CM457"/>
      <c r="CN457"/>
      <c r="CO457"/>
      <c r="CP457"/>
      <c r="CQ457"/>
      <c r="CR457"/>
      <c r="CS457"/>
    </row>
    <row r="458" spans="2:97">
      <c r="B458"/>
      <c r="C458" s="15"/>
      <c r="D458" s="23"/>
      <c r="E458" s="23"/>
      <c r="F458" s="23"/>
      <c r="G458" s="23">
        <f t="shared" si="28"/>
        <v>0</v>
      </c>
      <c r="H458" s="23" t="e" cm="1">
        <f t="array" ref="H458">INDEX('GLOBAL LOG'!#REF!,ROW()-169+15)</f>
        <v>#REF!</v>
      </c>
      <c r="I458" s="23" t="e">
        <f>_xlfn.XLOOKUP(H458,#REF!,#REF!,"",0,1)</f>
        <v>#REF!</v>
      </c>
      <c r="J458" s="23" t="str">
        <f>IFERROR(I458*#REF!,"")</f>
        <v/>
      </c>
      <c r="K458" s="23" t="e" cm="1">
        <f t="array" ref="K458">INDEX('GLOBAL LOG'!#REF!,ROW()-169+15)</f>
        <v>#REF!</v>
      </c>
      <c r="L458" s="23" t="e">
        <f>_xlfn.XLOOKUP(K458,#REF!,#REF!,"",0,1)</f>
        <v>#REF!</v>
      </c>
      <c r="M458" s="23" t="str">
        <f>IFERROR(L458*#REF!,"")</f>
        <v/>
      </c>
      <c r="N458" s="23">
        <f t="shared" si="29"/>
        <v>-1</v>
      </c>
      <c r="O458" s="23">
        <f t="shared" si="30"/>
        <v>-1</v>
      </c>
      <c r="P458" s="23">
        <f t="shared" si="31"/>
        <v>-1</v>
      </c>
      <c r="Q458" s="24">
        <f t="shared" si="32"/>
        <v>-1</v>
      </c>
      <c r="R458" s="3"/>
      <c r="S458" s="1">
        <v>0</v>
      </c>
      <c r="T458" s="24">
        <v>-1</v>
      </c>
      <c r="U458"/>
      <c r="V458" s="1">
        <v>0</v>
      </c>
      <c r="W458" s="24">
        <v>-1</v>
      </c>
      <c r="X458"/>
      <c r="Y458" s="1">
        <v>0</v>
      </c>
      <c r="Z458" s="24">
        <v>-1</v>
      </c>
      <c r="AA458"/>
      <c r="AB458" s="1">
        <v>0</v>
      </c>
      <c r="AC458" s="24">
        <v>-1</v>
      </c>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c r="CC458"/>
      <c r="CD458"/>
      <c r="CE458"/>
      <c r="CF458"/>
      <c r="CG458"/>
      <c r="CH458"/>
      <c r="CI458"/>
      <c r="CJ458"/>
      <c r="CK458"/>
      <c r="CL458"/>
      <c r="CM458"/>
      <c r="CN458"/>
      <c r="CO458"/>
      <c r="CP458"/>
      <c r="CQ458"/>
      <c r="CR458"/>
      <c r="CS458"/>
    </row>
    <row r="459" spans="2:97">
      <c r="B459"/>
      <c r="C459" s="15"/>
      <c r="D459" s="23"/>
      <c r="E459" s="23"/>
      <c r="F459" s="23"/>
      <c r="G459" s="23">
        <f t="shared" si="28"/>
        <v>0</v>
      </c>
      <c r="H459" s="23" t="e" cm="1">
        <f t="array" ref="H459">INDEX('GLOBAL LOG'!#REF!,ROW()-169+15)</f>
        <v>#REF!</v>
      </c>
      <c r="I459" s="23" t="e">
        <f>_xlfn.XLOOKUP(H459,#REF!,#REF!,"",0,1)</f>
        <v>#REF!</v>
      </c>
      <c r="J459" s="23" t="str">
        <f>IFERROR(I459*#REF!,"")</f>
        <v/>
      </c>
      <c r="K459" s="23" t="e" cm="1">
        <f t="array" ref="K459">INDEX('GLOBAL LOG'!#REF!,ROW()-169+15)</f>
        <v>#REF!</v>
      </c>
      <c r="L459" s="23" t="e">
        <f>_xlfn.XLOOKUP(K459,#REF!,#REF!,"",0,1)</f>
        <v>#REF!</v>
      </c>
      <c r="M459" s="23" t="str">
        <f>IFERROR(L459*#REF!,"")</f>
        <v/>
      </c>
      <c r="N459" s="23">
        <f t="shared" si="29"/>
        <v>-1</v>
      </c>
      <c r="O459" s="23">
        <f t="shared" si="30"/>
        <v>-1</v>
      </c>
      <c r="P459" s="23">
        <f t="shared" si="31"/>
        <v>-1</v>
      </c>
      <c r="Q459" s="24">
        <f t="shared" si="32"/>
        <v>-1</v>
      </c>
      <c r="R459" s="3"/>
      <c r="S459" s="1">
        <v>0</v>
      </c>
      <c r="T459" s="24">
        <v>-1</v>
      </c>
      <c r="U459"/>
      <c r="V459" s="1">
        <v>0</v>
      </c>
      <c r="W459" s="24">
        <v>-1</v>
      </c>
      <c r="X459"/>
      <c r="Y459" s="1">
        <v>0</v>
      </c>
      <c r="Z459" s="24">
        <v>-1</v>
      </c>
      <c r="AA459"/>
      <c r="AB459" s="1">
        <v>0</v>
      </c>
      <c r="AC459" s="24">
        <v>-1</v>
      </c>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c r="CC459"/>
      <c r="CD459"/>
      <c r="CE459"/>
      <c r="CF459"/>
      <c r="CG459"/>
      <c r="CH459"/>
      <c r="CI459"/>
      <c r="CJ459"/>
      <c r="CK459"/>
      <c r="CL459"/>
      <c r="CM459"/>
      <c r="CN459"/>
      <c r="CO459"/>
      <c r="CP459"/>
      <c r="CQ459"/>
      <c r="CR459"/>
      <c r="CS459"/>
    </row>
    <row r="460" spans="2:97">
      <c r="B460"/>
      <c r="C460" s="15"/>
      <c r="D460" s="23"/>
      <c r="E460" s="23"/>
      <c r="F460" s="23"/>
      <c r="G460" s="23">
        <f t="shared" si="28"/>
        <v>0</v>
      </c>
      <c r="H460" s="23" t="e" cm="1">
        <f t="array" ref="H460">INDEX('GLOBAL LOG'!#REF!,ROW()-169+15)</f>
        <v>#REF!</v>
      </c>
      <c r="I460" s="23" t="e">
        <f>_xlfn.XLOOKUP(H460,#REF!,#REF!,"",0,1)</f>
        <v>#REF!</v>
      </c>
      <c r="J460" s="23" t="str">
        <f>IFERROR(I460*#REF!,"")</f>
        <v/>
      </c>
      <c r="K460" s="23" t="e" cm="1">
        <f t="array" ref="K460">INDEX('GLOBAL LOG'!#REF!,ROW()-169+15)</f>
        <v>#REF!</v>
      </c>
      <c r="L460" s="23" t="e">
        <f>_xlfn.XLOOKUP(K460,#REF!,#REF!,"",0,1)</f>
        <v>#REF!</v>
      </c>
      <c r="M460" s="23" t="str">
        <f>IFERROR(L460*#REF!,"")</f>
        <v/>
      </c>
      <c r="N460" s="23">
        <f t="shared" si="29"/>
        <v>-1</v>
      </c>
      <c r="O460" s="23">
        <f t="shared" si="30"/>
        <v>-1</v>
      </c>
      <c r="P460" s="23">
        <f t="shared" si="31"/>
        <v>-1</v>
      </c>
      <c r="Q460" s="24">
        <f t="shared" si="32"/>
        <v>-1</v>
      </c>
      <c r="R460" s="3"/>
      <c r="S460" s="1">
        <v>0</v>
      </c>
      <c r="T460" s="24">
        <v>-1</v>
      </c>
      <c r="U460"/>
      <c r="V460" s="1">
        <v>0</v>
      </c>
      <c r="W460" s="24">
        <v>-1</v>
      </c>
      <c r="X460"/>
      <c r="Y460" s="1">
        <v>0</v>
      </c>
      <c r="Z460" s="24">
        <v>-1</v>
      </c>
      <c r="AA460"/>
      <c r="AB460" s="1">
        <v>0</v>
      </c>
      <c r="AC460" s="24">
        <v>-1</v>
      </c>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c r="CC460"/>
      <c r="CD460"/>
      <c r="CE460"/>
      <c r="CF460"/>
      <c r="CG460"/>
      <c r="CH460"/>
      <c r="CI460"/>
      <c r="CJ460"/>
      <c r="CK460"/>
      <c r="CL460"/>
      <c r="CM460"/>
      <c r="CN460"/>
      <c r="CO460"/>
      <c r="CP460"/>
      <c r="CQ460"/>
      <c r="CR460"/>
      <c r="CS460"/>
    </row>
    <row r="461" spans="2:97">
      <c r="B461"/>
      <c r="C461" s="15"/>
      <c r="D461" s="23"/>
      <c r="E461" s="23"/>
      <c r="F461" s="23"/>
      <c r="G461" s="23">
        <f t="shared" si="28"/>
        <v>0</v>
      </c>
      <c r="H461" s="23" t="e" cm="1">
        <f t="array" ref="H461">INDEX('GLOBAL LOG'!#REF!,ROW()-169+15)</f>
        <v>#REF!</v>
      </c>
      <c r="I461" s="23" t="e">
        <f>_xlfn.XLOOKUP(H461,#REF!,#REF!,"",0,1)</f>
        <v>#REF!</v>
      </c>
      <c r="J461" s="23" t="str">
        <f>IFERROR(I461*#REF!,"")</f>
        <v/>
      </c>
      <c r="K461" s="23" t="e" cm="1">
        <f t="array" ref="K461">INDEX('GLOBAL LOG'!#REF!,ROW()-169+15)</f>
        <v>#REF!</v>
      </c>
      <c r="L461" s="23" t="e">
        <f>_xlfn.XLOOKUP(K461,#REF!,#REF!,"",0,1)</f>
        <v>#REF!</v>
      </c>
      <c r="M461" s="23" t="str">
        <f>IFERROR(L461*#REF!,"")</f>
        <v/>
      </c>
      <c r="N461" s="23">
        <f t="shared" si="29"/>
        <v>-1</v>
      </c>
      <c r="O461" s="23">
        <f t="shared" si="30"/>
        <v>-1</v>
      </c>
      <c r="P461" s="23">
        <f t="shared" si="31"/>
        <v>-1</v>
      </c>
      <c r="Q461" s="24">
        <f t="shared" si="32"/>
        <v>-1</v>
      </c>
      <c r="R461" s="3"/>
      <c r="S461" s="1">
        <v>0</v>
      </c>
      <c r="T461" s="24">
        <v>-1</v>
      </c>
      <c r="U461"/>
      <c r="V461" s="1">
        <v>0</v>
      </c>
      <c r="W461" s="24">
        <v>-1</v>
      </c>
      <c r="X461"/>
      <c r="Y461" s="1">
        <v>0</v>
      </c>
      <c r="Z461" s="24">
        <v>-1</v>
      </c>
      <c r="AA461"/>
      <c r="AB461" s="1">
        <v>0</v>
      </c>
      <c r="AC461" s="24">
        <v>-1</v>
      </c>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c r="CC461"/>
      <c r="CD461"/>
      <c r="CE461"/>
      <c r="CF461"/>
      <c r="CG461"/>
      <c r="CH461"/>
      <c r="CI461"/>
      <c r="CJ461"/>
      <c r="CK461"/>
      <c r="CL461"/>
      <c r="CM461"/>
      <c r="CN461"/>
      <c r="CO461"/>
      <c r="CP461"/>
      <c r="CQ461"/>
      <c r="CR461"/>
      <c r="CS461"/>
    </row>
    <row r="462" spans="2:97">
      <c r="B462"/>
      <c r="C462" s="15"/>
      <c r="D462" s="23"/>
      <c r="E462" s="23"/>
      <c r="F462" s="23"/>
      <c r="G462" s="23">
        <f t="shared" si="28"/>
        <v>0</v>
      </c>
      <c r="H462" s="23" t="e" cm="1">
        <f t="array" ref="H462">INDEX('GLOBAL LOG'!#REF!,ROW()-169+15)</f>
        <v>#REF!</v>
      </c>
      <c r="I462" s="23" t="e">
        <f>_xlfn.XLOOKUP(H462,#REF!,#REF!,"",0,1)</f>
        <v>#REF!</v>
      </c>
      <c r="J462" s="23" t="str">
        <f>IFERROR(I462*#REF!,"")</f>
        <v/>
      </c>
      <c r="K462" s="23" t="e" cm="1">
        <f t="array" ref="K462">INDEX('GLOBAL LOG'!#REF!,ROW()-169+15)</f>
        <v>#REF!</v>
      </c>
      <c r="L462" s="23" t="e">
        <f>_xlfn.XLOOKUP(K462,#REF!,#REF!,"",0,1)</f>
        <v>#REF!</v>
      </c>
      <c r="M462" s="23" t="str">
        <f>IFERROR(L462*#REF!,"")</f>
        <v/>
      </c>
      <c r="N462" s="23">
        <f t="shared" si="29"/>
        <v>-1</v>
      </c>
      <c r="O462" s="23">
        <f t="shared" si="30"/>
        <v>-1</v>
      </c>
      <c r="P462" s="23">
        <f t="shared" si="31"/>
        <v>-1</v>
      </c>
      <c r="Q462" s="24">
        <f t="shared" si="32"/>
        <v>-1</v>
      </c>
      <c r="R462" s="3"/>
      <c r="S462" s="1">
        <v>0</v>
      </c>
      <c r="T462" s="24">
        <v>-1</v>
      </c>
      <c r="U462"/>
      <c r="V462" s="1">
        <v>0</v>
      </c>
      <c r="W462" s="24">
        <v>-1</v>
      </c>
      <c r="X462"/>
      <c r="Y462" s="1">
        <v>0</v>
      </c>
      <c r="Z462" s="24">
        <v>-1</v>
      </c>
      <c r="AA462"/>
      <c r="AB462" s="1">
        <v>0</v>
      </c>
      <c r="AC462" s="24">
        <v>-1</v>
      </c>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c r="CC462"/>
      <c r="CD462"/>
      <c r="CE462"/>
      <c r="CF462"/>
      <c r="CG462"/>
      <c r="CH462"/>
      <c r="CI462"/>
      <c r="CJ462"/>
      <c r="CK462"/>
      <c r="CL462"/>
      <c r="CM462"/>
      <c r="CN462"/>
      <c r="CO462"/>
      <c r="CP462"/>
      <c r="CQ462"/>
      <c r="CR462"/>
      <c r="CS462"/>
    </row>
    <row r="463" spans="2:97">
      <c r="B463"/>
      <c r="C463" s="15"/>
      <c r="D463" s="23"/>
      <c r="E463" s="23"/>
      <c r="F463" s="23"/>
      <c r="G463" s="23">
        <f t="shared" si="28"/>
        <v>0</v>
      </c>
      <c r="H463" s="23" t="e" cm="1">
        <f t="array" ref="H463">INDEX('GLOBAL LOG'!#REF!,ROW()-169+15)</f>
        <v>#REF!</v>
      </c>
      <c r="I463" s="23" t="e">
        <f>_xlfn.XLOOKUP(H463,#REF!,#REF!,"",0,1)</f>
        <v>#REF!</v>
      </c>
      <c r="J463" s="23" t="str">
        <f>IFERROR(I463*#REF!,"")</f>
        <v/>
      </c>
      <c r="K463" s="23" t="e" cm="1">
        <f t="array" ref="K463">INDEX('GLOBAL LOG'!#REF!,ROW()-169+15)</f>
        <v>#REF!</v>
      </c>
      <c r="L463" s="23" t="e">
        <f>_xlfn.XLOOKUP(K463,#REF!,#REF!,"",0,1)</f>
        <v>#REF!</v>
      </c>
      <c r="M463" s="23" t="str">
        <f>IFERROR(L463*#REF!,"")</f>
        <v/>
      </c>
      <c r="N463" s="23">
        <f t="shared" si="29"/>
        <v>-1</v>
      </c>
      <c r="O463" s="23">
        <f t="shared" si="30"/>
        <v>-1</v>
      </c>
      <c r="P463" s="23">
        <f t="shared" si="31"/>
        <v>-1</v>
      </c>
      <c r="Q463" s="24">
        <f t="shared" si="32"/>
        <v>-1</v>
      </c>
      <c r="R463" s="3"/>
      <c r="S463" s="1">
        <v>0</v>
      </c>
      <c r="T463" s="24">
        <v>-1</v>
      </c>
      <c r="U463"/>
      <c r="V463" s="1">
        <v>0</v>
      </c>
      <c r="W463" s="24">
        <v>-1</v>
      </c>
      <c r="X463"/>
      <c r="Y463" s="1">
        <v>0</v>
      </c>
      <c r="Z463" s="24">
        <v>-1</v>
      </c>
      <c r="AA463"/>
      <c r="AB463" s="1">
        <v>0</v>
      </c>
      <c r="AC463" s="24">
        <v>-1</v>
      </c>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c r="CC463"/>
      <c r="CD463"/>
      <c r="CE463"/>
      <c r="CF463"/>
      <c r="CG463"/>
      <c r="CH463"/>
      <c r="CI463"/>
      <c r="CJ463"/>
      <c r="CK463"/>
      <c r="CL463"/>
      <c r="CM463"/>
      <c r="CN463"/>
      <c r="CO463"/>
      <c r="CP463"/>
      <c r="CQ463"/>
      <c r="CR463"/>
      <c r="CS463"/>
    </row>
    <row r="464" spans="2:97">
      <c r="B464"/>
      <c r="C464" s="15"/>
      <c r="D464" s="23"/>
      <c r="E464" s="23"/>
      <c r="F464" s="23"/>
      <c r="G464" s="23">
        <f t="shared" si="28"/>
        <v>0</v>
      </c>
      <c r="H464" s="23" t="e" cm="1">
        <f t="array" ref="H464">INDEX('GLOBAL LOG'!#REF!,ROW()-169+15)</f>
        <v>#REF!</v>
      </c>
      <c r="I464" s="23" t="e">
        <f>_xlfn.XLOOKUP(H464,#REF!,#REF!,"",0,1)</f>
        <v>#REF!</v>
      </c>
      <c r="J464" s="23" t="str">
        <f>IFERROR(I464*#REF!,"")</f>
        <v/>
      </c>
      <c r="K464" s="23" t="e" cm="1">
        <f t="array" ref="K464">INDEX('GLOBAL LOG'!#REF!,ROW()-169+15)</f>
        <v>#REF!</v>
      </c>
      <c r="L464" s="23" t="e">
        <f>_xlfn.XLOOKUP(K464,#REF!,#REF!,"",0,1)</f>
        <v>#REF!</v>
      </c>
      <c r="M464" s="23" t="str">
        <f>IFERROR(L464*#REF!,"")</f>
        <v/>
      </c>
      <c r="N464" s="23">
        <f t="shared" si="29"/>
        <v>-1</v>
      </c>
      <c r="O464" s="23">
        <f t="shared" si="30"/>
        <v>-1</v>
      </c>
      <c r="P464" s="23">
        <f t="shared" si="31"/>
        <v>-1</v>
      </c>
      <c r="Q464" s="24">
        <f t="shared" si="32"/>
        <v>-1</v>
      </c>
      <c r="R464" s="3"/>
      <c r="S464" s="1">
        <v>0</v>
      </c>
      <c r="T464" s="24">
        <v>-1</v>
      </c>
      <c r="U464"/>
      <c r="V464" s="1">
        <v>0</v>
      </c>
      <c r="W464" s="24">
        <v>-1</v>
      </c>
      <c r="X464"/>
      <c r="Y464" s="1">
        <v>0</v>
      </c>
      <c r="Z464" s="24">
        <v>-1</v>
      </c>
      <c r="AA464"/>
      <c r="AB464" s="1">
        <v>0</v>
      </c>
      <c r="AC464" s="24">
        <v>-1</v>
      </c>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c r="CC464"/>
      <c r="CD464"/>
      <c r="CE464"/>
      <c r="CF464"/>
      <c r="CG464"/>
      <c r="CH464"/>
      <c r="CI464"/>
      <c r="CJ464"/>
      <c r="CK464"/>
      <c r="CL464"/>
      <c r="CM464"/>
      <c r="CN464"/>
      <c r="CO464"/>
      <c r="CP464"/>
      <c r="CQ464"/>
      <c r="CR464"/>
      <c r="CS464"/>
    </row>
    <row r="465" spans="2:97">
      <c r="B465"/>
      <c r="C465" s="15"/>
      <c r="D465" s="23"/>
      <c r="E465" s="23"/>
      <c r="F465" s="23"/>
      <c r="G465" s="23">
        <f t="shared" si="28"/>
        <v>0</v>
      </c>
      <c r="H465" s="23" t="e" cm="1">
        <f t="array" ref="H465">INDEX('GLOBAL LOG'!#REF!,ROW()-169+15)</f>
        <v>#REF!</v>
      </c>
      <c r="I465" s="23" t="e">
        <f>_xlfn.XLOOKUP(H465,#REF!,#REF!,"",0,1)</f>
        <v>#REF!</v>
      </c>
      <c r="J465" s="23" t="str">
        <f>IFERROR(I465*#REF!,"")</f>
        <v/>
      </c>
      <c r="K465" s="23" t="e" cm="1">
        <f t="array" ref="K465">INDEX('GLOBAL LOG'!#REF!,ROW()-169+15)</f>
        <v>#REF!</v>
      </c>
      <c r="L465" s="23" t="e">
        <f>_xlfn.XLOOKUP(K465,#REF!,#REF!,"",0,1)</f>
        <v>#REF!</v>
      </c>
      <c r="M465" s="23" t="str">
        <f>IFERROR(L465*#REF!,"")</f>
        <v/>
      </c>
      <c r="N465" s="23">
        <f t="shared" si="29"/>
        <v>-1</v>
      </c>
      <c r="O465" s="23">
        <f t="shared" si="30"/>
        <v>-1</v>
      </c>
      <c r="P465" s="23">
        <f t="shared" si="31"/>
        <v>-1</v>
      </c>
      <c r="Q465" s="24">
        <f t="shared" si="32"/>
        <v>-1</v>
      </c>
      <c r="R465" s="3"/>
      <c r="S465" s="1">
        <v>0</v>
      </c>
      <c r="T465" s="24">
        <v>-1</v>
      </c>
      <c r="U465"/>
      <c r="V465" s="1">
        <v>0</v>
      </c>
      <c r="W465" s="24">
        <v>-1</v>
      </c>
      <c r="X465"/>
      <c r="Y465" s="1">
        <v>0</v>
      </c>
      <c r="Z465" s="24">
        <v>-1</v>
      </c>
      <c r="AA465"/>
      <c r="AB465" s="1">
        <v>0</v>
      </c>
      <c r="AC465" s="24">
        <v>-1</v>
      </c>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c r="CC465"/>
      <c r="CD465"/>
      <c r="CE465"/>
      <c r="CF465"/>
      <c r="CG465"/>
      <c r="CH465"/>
      <c r="CI465"/>
      <c r="CJ465"/>
      <c r="CK465"/>
      <c r="CL465"/>
      <c r="CM465"/>
      <c r="CN465"/>
      <c r="CO465"/>
      <c r="CP465"/>
      <c r="CQ465"/>
      <c r="CR465"/>
      <c r="CS465"/>
    </row>
    <row r="466" spans="2:97">
      <c r="B466"/>
      <c r="C466" s="15"/>
      <c r="D466" s="23"/>
      <c r="E466" s="23"/>
      <c r="F466" s="23"/>
      <c r="G466" s="23">
        <f t="shared" si="28"/>
        <v>0</v>
      </c>
      <c r="H466" s="23" t="e" cm="1">
        <f t="array" ref="H466">INDEX('GLOBAL LOG'!#REF!,ROW()-169+15)</f>
        <v>#REF!</v>
      </c>
      <c r="I466" s="23" t="e">
        <f>_xlfn.XLOOKUP(H466,#REF!,#REF!,"",0,1)</f>
        <v>#REF!</v>
      </c>
      <c r="J466" s="23" t="str">
        <f>IFERROR(I466*#REF!,"")</f>
        <v/>
      </c>
      <c r="K466" s="23" t="e" cm="1">
        <f t="array" ref="K466">INDEX('GLOBAL LOG'!#REF!,ROW()-169+15)</f>
        <v>#REF!</v>
      </c>
      <c r="L466" s="23" t="e">
        <f>_xlfn.XLOOKUP(K466,#REF!,#REF!,"",0,1)</f>
        <v>#REF!</v>
      </c>
      <c r="M466" s="23" t="str">
        <f>IFERROR(L466*#REF!,"")</f>
        <v/>
      </c>
      <c r="N466" s="23">
        <f t="shared" si="29"/>
        <v>-1</v>
      </c>
      <c r="O466" s="23">
        <f t="shared" si="30"/>
        <v>-1</v>
      </c>
      <c r="P466" s="23">
        <f t="shared" si="31"/>
        <v>-1</v>
      </c>
      <c r="Q466" s="24">
        <f t="shared" si="32"/>
        <v>-1</v>
      </c>
      <c r="R466" s="3"/>
      <c r="S466" s="1">
        <v>0</v>
      </c>
      <c r="T466" s="24">
        <v>-1</v>
      </c>
      <c r="U466"/>
      <c r="V466" s="1">
        <v>0</v>
      </c>
      <c r="W466" s="24">
        <v>-1</v>
      </c>
      <c r="X466"/>
      <c r="Y466" s="1">
        <v>0</v>
      </c>
      <c r="Z466" s="24">
        <v>-1</v>
      </c>
      <c r="AA466"/>
      <c r="AB466" s="1">
        <v>0</v>
      </c>
      <c r="AC466" s="24">
        <v>-1</v>
      </c>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c r="CC466"/>
      <c r="CD466"/>
      <c r="CE466"/>
      <c r="CF466"/>
      <c r="CG466"/>
      <c r="CH466"/>
      <c r="CI466"/>
      <c r="CJ466"/>
      <c r="CK466"/>
      <c r="CL466"/>
      <c r="CM466"/>
      <c r="CN466"/>
      <c r="CO466"/>
      <c r="CP466"/>
      <c r="CQ466"/>
      <c r="CR466"/>
      <c r="CS466"/>
    </row>
    <row r="467" spans="2:97">
      <c r="B467"/>
      <c r="C467" s="15"/>
      <c r="D467" s="23"/>
      <c r="E467" s="23"/>
      <c r="F467" s="23"/>
      <c r="G467" s="23">
        <f t="shared" si="28"/>
        <v>0</v>
      </c>
      <c r="H467" s="23" t="e" cm="1">
        <f t="array" ref="H467">INDEX('GLOBAL LOG'!#REF!,ROW()-169+15)</f>
        <v>#REF!</v>
      </c>
      <c r="I467" s="23" t="e">
        <f>_xlfn.XLOOKUP(H467,#REF!,#REF!,"",0,1)</f>
        <v>#REF!</v>
      </c>
      <c r="J467" s="23" t="str">
        <f>IFERROR(I467*#REF!,"")</f>
        <v/>
      </c>
      <c r="K467" s="23" t="e" cm="1">
        <f t="array" ref="K467">INDEX('GLOBAL LOG'!#REF!,ROW()-169+15)</f>
        <v>#REF!</v>
      </c>
      <c r="L467" s="23" t="e">
        <f>_xlfn.XLOOKUP(K467,#REF!,#REF!,"",0,1)</f>
        <v>#REF!</v>
      </c>
      <c r="M467" s="23" t="str">
        <f>IFERROR(L467*#REF!,"")</f>
        <v/>
      </c>
      <c r="N467" s="23">
        <f t="shared" si="29"/>
        <v>-1</v>
      </c>
      <c r="O467" s="23">
        <f t="shared" si="30"/>
        <v>-1</v>
      </c>
      <c r="P467" s="23">
        <f t="shared" si="31"/>
        <v>-1</v>
      </c>
      <c r="Q467" s="24">
        <f t="shared" si="32"/>
        <v>-1</v>
      </c>
      <c r="R467" s="3"/>
      <c r="S467" s="1">
        <v>0</v>
      </c>
      <c r="T467" s="24">
        <v>-1</v>
      </c>
      <c r="U467"/>
      <c r="V467" s="1">
        <v>0</v>
      </c>
      <c r="W467" s="24">
        <v>-1</v>
      </c>
      <c r="X467"/>
      <c r="Y467" s="1">
        <v>0</v>
      </c>
      <c r="Z467" s="24">
        <v>-1</v>
      </c>
      <c r="AA467"/>
      <c r="AB467" s="1">
        <v>0</v>
      </c>
      <c r="AC467" s="24">
        <v>-1</v>
      </c>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c r="CC467"/>
      <c r="CD467"/>
      <c r="CE467"/>
      <c r="CF467"/>
      <c r="CG467"/>
      <c r="CH467"/>
      <c r="CI467"/>
      <c r="CJ467"/>
      <c r="CK467"/>
      <c r="CL467"/>
      <c r="CM467"/>
      <c r="CN467"/>
      <c r="CO467"/>
      <c r="CP467"/>
      <c r="CQ467"/>
      <c r="CR467"/>
      <c r="CS467"/>
    </row>
    <row r="468" spans="2:97">
      <c r="B468"/>
      <c r="C468" s="15"/>
      <c r="D468" s="23"/>
      <c r="E468" s="23"/>
      <c r="F468" s="23"/>
      <c r="G468" s="23">
        <f t="shared" si="28"/>
        <v>0</v>
      </c>
      <c r="H468" s="23" t="e" cm="1">
        <f t="array" ref="H468">INDEX('GLOBAL LOG'!#REF!,ROW()-169+15)</f>
        <v>#REF!</v>
      </c>
      <c r="I468" s="23" t="e">
        <f>_xlfn.XLOOKUP(H468,#REF!,#REF!,"",0,1)</f>
        <v>#REF!</v>
      </c>
      <c r="J468" s="23" t="str">
        <f>IFERROR(I468*#REF!,"")</f>
        <v/>
      </c>
      <c r="K468" s="23" t="e" cm="1">
        <f t="array" ref="K468">INDEX('GLOBAL LOG'!#REF!,ROW()-169+15)</f>
        <v>#REF!</v>
      </c>
      <c r="L468" s="23" t="e">
        <f>_xlfn.XLOOKUP(K468,#REF!,#REF!,"",0,1)</f>
        <v>#REF!</v>
      </c>
      <c r="M468" s="23" t="str">
        <f>IFERROR(L468*#REF!,"")</f>
        <v/>
      </c>
      <c r="N468" s="23">
        <f t="shared" si="29"/>
        <v>-1</v>
      </c>
      <c r="O468" s="23">
        <f t="shared" si="30"/>
        <v>-1</v>
      </c>
      <c r="P468" s="23">
        <f t="shared" si="31"/>
        <v>-1</v>
      </c>
      <c r="Q468" s="24">
        <f t="shared" si="32"/>
        <v>-1</v>
      </c>
      <c r="R468" s="3"/>
      <c r="S468" s="1">
        <v>0</v>
      </c>
      <c r="T468" s="24">
        <v>-1</v>
      </c>
      <c r="U468"/>
      <c r="V468" s="1">
        <v>0</v>
      </c>
      <c r="W468" s="24">
        <v>-1</v>
      </c>
      <c r="X468"/>
      <c r="Y468" s="1">
        <v>0</v>
      </c>
      <c r="Z468" s="24">
        <v>-1</v>
      </c>
      <c r="AA468"/>
      <c r="AB468" s="1">
        <v>0</v>
      </c>
      <c r="AC468" s="24">
        <v>-1</v>
      </c>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c r="CC468"/>
      <c r="CD468"/>
      <c r="CE468"/>
      <c r="CF468"/>
      <c r="CG468"/>
      <c r="CH468"/>
      <c r="CI468"/>
      <c r="CJ468"/>
      <c r="CK468"/>
      <c r="CL468"/>
      <c r="CM468"/>
      <c r="CN468"/>
      <c r="CO468"/>
      <c r="CP468"/>
      <c r="CQ468"/>
      <c r="CR468"/>
      <c r="CS468"/>
    </row>
    <row r="469" spans="2:97">
      <c r="B469"/>
      <c r="C469" s="15"/>
      <c r="D469" s="23"/>
      <c r="E469" s="23"/>
      <c r="F469" s="23"/>
      <c r="G469" s="23">
        <f t="shared" si="28"/>
        <v>0</v>
      </c>
      <c r="H469" s="23" t="e" cm="1">
        <f t="array" ref="H469">INDEX('GLOBAL LOG'!#REF!,ROW()-169+15)</f>
        <v>#REF!</v>
      </c>
      <c r="I469" s="23" t="e">
        <f>_xlfn.XLOOKUP(H469,#REF!,#REF!,"",0,1)</f>
        <v>#REF!</v>
      </c>
      <c r="J469" s="23" t="str">
        <f>IFERROR(I469*#REF!,"")</f>
        <v/>
      </c>
      <c r="K469" s="23" t="e" cm="1">
        <f t="array" ref="K469">INDEX('GLOBAL LOG'!#REF!,ROW()-169+15)</f>
        <v>#REF!</v>
      </c>
      <c r="L469" s="23" t="e">
        <f>_xlfn.XLOOKUP(K469,#REF!,#REF!,"",0,1)</f>
        <v>#REF!</v>
      </c>
      <c r="M469" s="23" t="str">
        <f>IFERROR(L469*#REF!,"")</f>
        <v/>
      </c>
      <c r="N469" s="23">
        <f t="shared" si="29"/>
        <v>-1</v>
      </c>
      <c r="O469" s="23">
        <f t="shared" si="30"/>
        <v>-1</v>
      </c>
      <c r="P469" s="23">
        <f t="shared" si="31"/>
        <v>-1</v>
      </c>
      <c r="Q469" s="24">
        <f t="shared" si="32"/>
        <v>-1</v>
      </c>
      <c r="R469" s="3"/>
      <c r="S469" s="1">
        <v>0</v>
      </c>
      <c r="T469" s="24">
        <v>-1</v>
      </c>
      <c r="U469"/>
      <c r="V469" s="1">
        <v>0</v>
      </c>
      <c r="W469" s="24">
        <v>-1</v>
      </c>
      <c r="X469"/>
      <c r="Y469" s="1">
        <v>0</v>
      </c>
      <c r="Z469" s="24">
        <v>-1</v>
      </c>
      <c r="AA469"/>
      <c r="AB469" s="1">
        <v>0</v>
      </c>
      <c r="AC469" s="24">
        <v>-1</v>
      </c>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c r="CC469"/>
      <c r="CD469"/>
      <c r="CE469"/>
      <c r="CF469"/>
      <c r="CG469"/>
      <c r="CH469"/>
      <c r="CI469"/>
      <c r="CJ469"/>
      <c r="CK469"/>
      <c r="CL469"/>
      <c r="CM469"/>
      <c r="CN469"/>
      <c r="CO469"/>
      <c r="CP469"/>
      <c r="CQ469"/>
      <c r="CR469"/>
      <c r="CS469"/>
    </row>
    <row r="470" spans="2:97">
      <c r="B470"/>
      <c r="C470" s="15"/>
      <c r="D470" s="23"/>
      <c r="E470" s="23"/>
      <c r="F470" s="23"/>
      <c r="G470" s="23">
        <f t="shared" si="28"/>
        <v>0</v>
      </c>
      <c r="H470" s="23" t="e" cm="1">
        <f t="array" ref="H470">INDEX('GLOBAL LOG'!#REF!,ROW()-169+15)</f>
        <v>#REF!</v>
      </c>
      <c r="I470" s="23" t="e">
        <f>_xlfn.XLOOKUP(H470,#REF!,#REF!,"",0,1)</f>
        <v>#REF!</v>
      </c>
      <c r="J470" s="23" t="str">
        <f>IFERROR(I470*#REF!,"")</f>
        <v/>
      </c>
      <c r="K470" s="23" t="e" cm="1">
        <f t="array" ref="K470">INDEX('GLOBAL LOG'!#REF!,ROW()-169+15)</f>
        <v>#REF!</v>
      </c>
      <c r="L470" s="23" t="e">
        <f>_xlfn.XLOOKUP(K470,#REF!,#REF!,"",0,1)</f>
        <v>#REF!</v>
      </c>
      <c r="M470" s="23" t="str">
        <f>IFERROR(L470*#REF!,"")</f>
        <v/>
      </c>
      <c r="N470" s="23">
        <f t="shared" si="29"/>
        <v>-1</v>
      </c>
      <c r="O470" s="23">
        <f t="shared" si="30"/>
        <v>-1</v>
      </c>
      <c r="P470" s="23">
        <f t="shared" si="31"/>
        <v>-1</v>
      </c>
      <c r="Q470" s="24">
        <f t="shared" si="32"/>
        <v>-1</v>
      </c>
      <c r="R470" s="3"/>
      <c r="S470" s="1">
        <v>0</v>
      </c>
      <c r="T470" s="24">
        <v>-1</v>
      </c>
      <c r="U470"/>
      <c r="V470" s="1">
        <v>0</v>
      </c>
      <c r="W470" s="24">
        <v>-1</v>
      </c>
      <c r="X470"/>
      <c r="Y470" s="1">
        <v>0</v>
      </c>
      <c r="Z470" s="24">
        <v>-1</v>
      </c>
      <c r="AA470"/>
      <c r="AB470" s="1">
        <v>0</v>
      </c>
      <c r="AC470" s="24">
        <v>-1</v>
      </c>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c r="CC470"/>
      <c r="CD470"/>
      <c r="CE470"/>
      <c r="CF470"/>
      <c r="CG470"/>
      <c r="CH470"/>
      <c r="CI470"/>
      <c r="CJ470"/>
      <c r="CK470"/>
      <c r="CL470"/>
      <c r="CM470"/>
      <c r="CN470"/>
      <c r="CO470"/>
      <c r="CP470"/>
      <c r="CQ470"/>
      <c r="CR470"/>
      <c r="CS470"/>
    </row>
    <row r="471" spans="2:97">
      <c r="B471"/>
      <c r="C471" s="15"/>
      <c r="D471" s="23"/>
      <c r="E471" s="23"/>
      <c r="F471" s="23"/>
      <c r="G471" s="23">
        <f t="shared" si="28"/>
        <v>0</v>
      </c>
      <c r="H471" s="23" t="e" cm="1">
        <f t="array" ref="H471">INDEX('GLOBAL LOG'!#REF!,ROW()-169+15)</f>
        <v>#REF!</v>
      </c>
      <c r="I471" s="23" t="e">
        <f>_xlfn.XLOOKUP(H471,#REF!,#REF!,"",0,1)</f>
        <v>#REF!</v>
      </c>
      <c r="J471" s="23" t="str">
        <f>IFERROR(I471*#REF!,"")</f>
        <v/>
      </c>
      <c r="K471" s="23" t="e" cm="1">
        <f t="array" ref="K471">INDEX('GLOBAL LOG'!#REF!,ROW()-169+15)</f>
        <v>#REF!</v>
      </c>
      <c r="L471" s="23" t="e">
        <f>_xlfn.XLOOKUP(K471,#REF!,#REF!,"",0,1)</f>
        <v>#REF!</v>
      </c>
      <c r="M471" s="23" t="str">
        <f>IFERROR(L471*#REF!,"")</f>
        <v/>
      </c>
      <c r="N471" s="23">
        <f t="shared" si="29"/>
        <v>-1</v>
      </c>
      <c r="O471" s="23">
        <f t="shared" si="30"/>
        <v>-1</v>
      </c>
      <c r="P471" s="23">
        <f t="shared" si="31"/>
        <v>-1</v>
      </c>
      <c r="Q471" s="24">
        <f t="shared" si="32"/>
        <v>-1</v>
      </c>
      <c r="R471" s="3"/>
      <c r="S471" s="1">
        <v>0</v>
      </c>
      <c r="T471" s="24">
        <v>-1</v>
      </c>
      <c r="U471"/>
      <c r="V471" s="1">
        <v>0</v>
      </c>
      <c r="W471" s="24">
        <v>-1</v>
      </c>
      <c r="X471"/>
      <c r="Y471" s="1">
        <v>0</v>
      </c>
      <c r="Z471" s="24">
        <v>-1</v>
      </c>
      <c r="AA471"/>
      <c r="AB471" s="1">
        <v>0</v>
      </c>
      <c r="AC471" s="24">
        <v>-1</v>
      </c>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c r="CC471"/>
      <c r="CD471"/>
      <c r="CE471"/>
      <c r="CF471"/>
      <c r="CG471"/>
      <c r="CH471"/>
      <c r="CI471"/>
      <c r="CJ471"/>
      <c r="CK471"/>
      <c r="CL471"/>
      <c r="CM471"/>
      <c r="CN471"/>
      <c r="CO471"/>
      <c r="CP471"/>
      <c r="CQ471"/>
      <c r="CR471"/>
      <c r="CS471"/>
    </row>
    <row r="472" spans="2:97">
      <c r="B472"/>
      <c r="C472" s="15"/>
      <c r="D472" s="23"/>
      <c r="E472" s="23"/>
      <c r="F472" s="23"/>
      <c r="G472" s="23">
        <f t="shared" si="28"/>
        <v>0</v>
      </c>
      <c r="H472" s="23" t="e" cm="1">
        <f t="array" ref="H472">INDEX('GLOBAL LOG'!#REF!,ROW()-169+15)</f>
        <v>#REF!</v>
      </c>
      <c r="I472" s="23" t="e">
        <f>_xlfn.XLOOKUP(H472,#REF!,#REF!,"",0,1)</f>
        <v>#REF!</v>
      </c>
      <c r="J472" s="23" t="str">
        <f>IFERROR(I472*#REF!,"")</f>
        <v/>
      </c>
      <c r="K472" s="23" t="e" cm="1">
        <f t="array" ref="K472">INDEX('GLOBAL LOG'!#REF!,ROW()-169+15)</f>
        <v>#REF!</v>
      </c>
      <c r="L472" s="23" t="e">
        <f>_xlfn.XLOOKUP(K472,#REF!,#REF!,"",0,1)</f>
        <v>#REF!</v>
      </c>
      <c r="M472" s="23" t="str">
        <f>IFERROR(L472*#REF!,"")</f>
        <v/>
      </c>
      <c r="N472" s="23">
        <f t="shared" si="29"/>
        <v>-1</v>
      </c>
      <c r="O472" s="23">
        <f t="shared" si="30"/>
        <v>-1</v>
      </c>
      <c r="P472" s="23">
        <f t="shared" si="31"/>
        <v>-1</v>
      </c>
      <c r="Q472" s="24">
        <f t="shared" si="32"/>
        <v>-1</v>
      </c>
      <c r="R472" s="3"/>
      <c r="S472" s="1">
        <v>0</v>
      </c>
      <c r="T472" s="24">
        <v>-1</v>
      </c>
      <c r="U472"/>
      <c r="V472" s="1">
        <v>0</v>
      </c>
      <c r="W472" s="24">
        <v>-1</v>
      </c>
      <c r="X472"/>
      <c r="Y472" s="1">
        <v>0</v>
      </c>
      <c r="Z472" s="24">
        <v>-1</v>
      </c>
      <c r="AA472"/>
      <c r="AB472" s="1">
        <v>0</v>
      </c>
      <c r="AC472" s="24">
        <v>-1</v>
      </c>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c r="CC472"/>
      <c r="CD472"/>
      <c r="CE472"/>
      <c r="CF472"/>
      <c r="CG472"/>
      <c r="CH472"/>
      <c r="CI472"/>
      <c r="CJ472"/>
      <c r="CK472"/>
      <c r="CL472"/>
      <c r="CM472"/>
      <c r="CN472"/>
      <c r="CO472"/>
      <c r="CP472"/>
      <c r="CQ472"/>
      <c r="CR472"/>
      <c r="CS472"/>
    </row>
    <row r="473" spans="2:97">
      <c r="B473"/>
      <c r="C473" s="15"/>
      <c r="D473" s="23"/>
      <c r="E473" s="23"/>
      <c r="F473" s="23"/>
      <c r="G473" s="23">
        <f t="shared" si="28"/>
        <v>0</v>
      </c>
      <c r="H473" s="23" t="e" cm="1">
        <f t="array" ref="H473">INDEX('GLOBAL LOG'!#REF!,ROW()-169+15)</f>
        <v>#REF!</v>
      </c>
      <c r="I473" s="23" t="e">
        <f>_xlfn.XLOOKUP(H473,#REF!,#REF!,"",0,1)</f>
        <v>#REF!</v>
      </c>
      <c r="J473" s="23" t="str">
        <f>IFERROR(I473*#REF!,"")</f>
        <v/>
      </c>
      <c r="K473" s="23" t="e" cm="1">
        <f t="array" ref="K473">INDEX('GLOBAL LOG'!#REF!,ROW()-169+15)</f>
        <v>#REF!</v>
      </c>
      <c r="L473" s="23" t="e">
        <f>_xlfn.XLOOKUP(K473,#REF!,#REF!,"",0,1)</f>
        <v>#REF!</v>
      </c>
      <c r="M473" s="23" t="str">
        <f>IFERROR(L473*#REF!,"")</f>
        <v/>
      </c>
      <c r="N473" s="23">
        <f t="shared" si="29"/>
        <v>-1</v>
      </c>
      <c r="O473" s="23">
        <f t="shared" si="30"/>
        <v>-1</v>
      </c>
      <c r="P473" s="23">
        <f t="shared" si="31"/>
        <v>-1</v>
      </c>
      <c r="Q473" s="24">
        <f t="shared" si="32"/>
        <v>-1</v>
      </c>
      <c r="R473" s="3"/>
      <c r="S473" s="1">
        <v>0</v>
      </c>
      <c r="T473" s="24">
        <v>-1</v>
      </c>
      <c r="U473"/>
      <c r="V473" s="1">
        <v>0</v>
      </c>
      <c r="W473" s="24">
        <v>-1</v>
      </c>
      <c r="X473"/>
      <c r="Y473" s="1">
        <v>0</v>
      </c>
      <c r="Z473" s="24">
        <v>-1</v>
      </c>
      <c r="AA473"/>
      <c r="AB473" s="1">
        <v>0</v>
      </c>
      <c r="AC473" s="24">
        <v>-1</v>
      </c>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c r="CC473"/>
      <c r="CD473"/>
      <c r="CE473"/>
      <c r="CF473"/>
      <c r="CG473"/>
      <c r="CH473"/>
      <c r="CI473"/>
      <c r="CJ473"/>
      <c r="CK473"/>
      <c r="CL473"/>
      <c r="CM473"/>
      <c r="CN473"/>
      <c r="CO473"/>
      <c r="CP473"/>
      <c r="CQ473"/>
      <c r="CR473"/>
      <c r="CS473"/>
    </row>
    <row r="474" spans="2:97">
      <c r="B474"/>
      <c r="C474" s="15"/>
      <c r="D474" s="23"/>
      <c r="E474" s="23"/>
      <c r="F474" s="23"/>
      <c r="G474" s="23">
        <f t="shared" si="28"/>
        <v>0</v>
      </c>
      <c r="H474" s="23" t="e" cm="1">
        <f t="array" ref="H474">INDEX('GLOBAL LOG'!#REF!,ROW()-169+15)</f>
        <v>#REF!</v>
      </c>
      <c r="I474" s="23" t="e">
        <f>_xlfn.XLOOKUP(H474,#REF!,#REF!,"",0,1)</f>
        <v>#REF!</v>
      </c>
      <c r="J474" s="23" t="str">
        <f>IFERROR(I474*#REF!,"")</f>
        <v/>
      </c>
      <c r="K474" s="23" t="e" cm="1">
        <f t="array" ref="K474">INDEX('GLOBAL LOG'!#REF!,ROW()-169+15)</f>
        <v>#REF!</v>
      </c>
      <c r="L474" s="23" t="e">
        <f>_xlfn.XLOOKUP(K474,#REF!,#REF!,"",0,1)</f>
        <v>#REF!</v>
      </c>
      <c r="M474" s="23" t="str">
        <f>IFERROR(L474*#REF!,"")</f>
        <v/>
      </c>
      <c r="N474" s="23">
        <f t="shared" si="29"/>
        <v>-1</v>
      </c>
      <c r="O474" s="23">
        <f t="shared" si="30"/>
        <v>-1</v>
      </c>
      <c r="P474" s="23">
        <f t="shared" si="31"/>
        <v>-1</v>
      </c>
      <c r="Q474" s="24">
        <f t="shared" si="32"/>
        <v>-1</v>
      </c>
      <c r="R474" s="3"/>
      <c r="S474" s="1">
        <v>0</v>
      </c>
      <c r="T474" s="24">
        <v>-1</v>
      </c>
      <c r="U474"/>
      <c r="V474" s="1">
        <v>0</v>
      </c>
      <c r="W474" s="24">
        <v>-1</v>
      </c>
      <c r="X474"/>
      <c r="Y474" s="1">
        <v>0</v>
      </c>
      <c r="Z474" s="24">
        <v>-1</v>
      </c>
      <c r="AA474"/>
      <c r="AB474" s="1">
        <v>0</v>
      </c>
      <c r="AC474" s="24">
        <v>-1</v>
      </c>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c r="CC474"/>
      <c r="CD474"/>
      <c r="CE474"/>
      <c r="CF474"/>
      <c r="CG474"/>
      <c r="CH474"/>
      <c r="CI474"/>
      <c r="CJ474"/>
      <c r="CK474"/>
      <c r="CL474"/>
      <c r="CM474"/>
      <c r="CN474"/>
      <c r="CO474"/>
      <c r="CP474"/>
      <c r="CQ474"/>
      <c r="CR474"/>
      <c r="CS474"/>
    </row>
    <row r="475" spans="2:97">
      <c r="B475"/>
      <c r="C475" s="15"/>
      <c r="D475" s="23"/>
      <c r="E475" s="23"/>
      <c r="F475" s="23"/>
      <c r="G475" s="23">
        <f t="shared" si="28"/>
        <v>0</v>
      </c>
      <c r="H475" s="23" t="e" cm="1">
        <f t="array" ref="H475">INDEX('GLOBAL LOG'!#REF!,ROW()-169+15)</f>
        <v>#REF!</v>
      </c>
      <c r="I475" s="23" t="e">
        <f>_xlfn.XLOOKUP(H475,#REF!,#REF!,"",0,1)</f>
        <v>#REF!</v>
      </c>
      <c r="J475" s="23" t="str">
        <f>IFERROR(I475*#REF!,"")</f>
        <v/>
      </c>
      <c r="K475" s="23" t="e" cm="1">
        <f t="array" ref="K475">INDEX('GLOBAL LOG'!#REF!,ROW()-169+15)</f>
        <v>#REF!</v>
      </c>
      <c r="L475" s="23" t="e">
        <f>_xlfn.XLOOKUP(K475,#REF!,#REF!,"",0,1)</f>
        <v>#REF!</v>
      </c>
      <c r="M475" s="23" t="str">
        <f>IFERROR(L475*#REF!,"")</f>
        <v/>
      </c>
      <c r="N475" s="23">
        <f t="shared" si="29"/>
        <v>-1</v>
      </c>
      <c r="O475" s="23">
        <f t="shared" si="30"/>
        <v>-1</v>
      </c>
      <c r="P475" s="23">
        <f t="shared" si="31"/>
        <v>-1</v>
      </c>
      <c r="Q475" s="24">
        <f t="shared" si="32"/>
        <v>-1</v>
      </c>
      <c r="R475" s="3"/>
      <c r="S475" s="1">
        <v>0</v>
      </c>
      <c r="T475" s="24">
        <v>-1</v>
      </c>
      <c r="U475"/>
      <c r="V475" s="1">
        <v>0</v>
      </c>
      <c r="W475" s="24">
        <v>-1</v>
      </c>
      <c r="X475"/>
      <c r="Y475" s="1">
        <v>0</v>
      </c>
      <c r="Z475" s="24">
        <v>-1</v>
      </c>
      <c r="AA475"/>
      <c r="AB475" s="1">
        <v>0</v>
      </c>
      <c r="AC475" s="24">
        <v>-1</v>
      </c>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c r="CC475"/>
      <c r="CD475"/>
      <c r="CE475"/>
      <c r="CF475"/>
      <c r="CG475"/>
      <c r="CH475"/>
      <c r="CI475"/>
      <c r="CJ475"/>
      <c r="CK475"/>
      <c r="CL475"/>
      <c r="CM475"/>
      <c r="CN475"/>
      <c r="CO475"/>
      <c r="CP475"/>
      <c r="CQ475"/>
      <c r="CR475"/>
      <c r="CS475"/>
    </row>
    <row r="476" spans="2:97">
      <c r="B476"/>
      <c r="C476" s="15"/>
      <c r="D476" s="23"/>
      <c r="E476" s="23"/>
      <c r="F476" s="23"/>
      <c r="G476" s="23">
        <f t="shared" si="28"/>
        <v>0</v>
      </c>
      <c r="H476" s="23" t="e" cm="1">
        <f t="array" ref="H476">INDEX('GLOBAL LOG'!#REF!,ROW()-169+15)</f>
        <v>#REF!</v>
      </c>
      <c r="I476" s="23" t="e">
        <f>_xlfn.XLOOKUP(H476,#REF!,#REF!,"",0,1)</f>
        <v>#REF!</v>
      </c>
      <c r="J476" s="23" t="str">
        <f>IFERROR(I476*#REF!,"")</f>
        <v/>
      </c>
      <c r="K476" s="23" t="e" cm="1">
        <f t="array" ref="K476">INDEX('GLOBAL LOG'!#REF!,ROW()-169+15)</f>
        <v>#REF!</v>
      </c>
      <c r="L476" s="23" t="e">
        <f>_xlfn.XLOOKUP(K476,#REF!,#REF!,"",0,1)</f>
        <v>#REF!</v>
      </c>
      <c r="M476" s="23" t="str">
        <f>IFERROR(L476*#REF!,"")</f>
        <v/>
      </c>
      <c r="N476" s="23">
        <f t="shared" si="29"/>
        <v>-1</v>
      </c>
      <c r="O476" s="23">
        <f t="shared" si="30"/>
        <v>-1</v>
      </c>
      <c r="P476" s="23">
        <f t="shared" si="31"/>
        <v>-1</v>
      </c>
      <c r="Q476" s="24">
        <f t="shared" si="32"/>
        <v>-1</v>
      </c>
      <c r="R476" s="3"/>
      <c r="S476" s="1">
        <v>0</v>
      </c>
      <c r="T476" s="24">
        <v>-1</v>
      </c>
      <c r="U476"/>
      <c r="V476" s="1">
        <v>0</v>
      </c>
      <c r="W476" s="24">
        <v>-1</v>
      </c>
      <c r="X476"/>
      <c r="Y476" s="1">
        <v>0</v>
      </c>
      <c r="Z476" s="24">
        <v>-1</v>
      </c>
      <c r="AA476"/>
      <c r="AB476" s="1">
        <v>0</v>
      </c>
      <c r="AC476" s="24">
        <v>-1</v>
      </c>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c r="CR476"/>
      <c r="CS476"/>
    </row>
    <row r="477" spans="2:97">
      <c r="B477"/>
      <c r="C477" s="15"/>
      <c r="D477" s="23"/>
      <c r="E477" s="23"/>
      <c r="F477" s="23"/>
      <c r="G477" s="23">
        <f t="shared" si="28"/>
        <v>0</v>
      </c>
      <c r="H477" s="23" t="e" cm="1">
        <f t="array" ref="H477">INDEX('GLOBAL LOG'!#REF!,ROW()-169+15)</f>
        <v>#REF!</v>
      </c>
      <c r="I477" s="23" t="e">
        <f>_xlfn.XLOOKUP(H477,#REF!,#REF!,"",0,1)</f>
        <v>#REF!</v>
      </c>
      <c r="J477" s="23" t="str">
        <f>IFERROR(I477*#REF!,"")</f>
        <v/>
      </c>
      <c r="K477" s="23" t="e" cm="1">
        <f t="array" ref="K477">INDEX('GLOBAL LOG'!#REF!,ROW()-169+15)</f>
        <v>#REF!</v>
      </c>
      <c r="L477" s="23" t="e">
        <f>_xlfn.XLOOKUP(K477,#REF!,#REF!,"",0,1)</f>
        <v>#REF!</v>
      </c>
      <c r="M477" s="23" t="str">
        <f>IFERROR(L477*#REF!,"")</f>
        <v/>
      </c>
      <c r="N477" s="23">
        <f t="shared" si="29"/>
        <v>-1</v>
      </c>
      <c r="O477" s="23">
        <f t="shared" si="30"/>
        <v>-1</v>
      </c>
      <c r="P477" s="23">
        <f t="shared" si="31"/>
        <v>-1</v>
      </c>
      <c r="Q477" s="24">
        <f t="shared" si="32"/>
        <v>-1</v>
      </c>
      <c r="R477" s="3"/>
      <c r="S477" s="1">
        <v>0</v>
      </c>
      <c r="T477" s="24">
        <v>-1</v>
      </c>
      <c r="U477"/>
      <c r="V477" s="1">
        <v>0</v>
      </c>
      <c r="W477" s="24">
        <v>-1</v>
      </c>
      <c r="X477"/>
      <c r="Y477" s="1">
        <v>0</v>
      </c>
      <c r="Z477" s="24">
        <v>-1</v>
      </c>
      <c r="AA477"/>
      <c r="AB477" s="1">
        <v>0</v>
      </c>
      <c r="AC477" s="24">
        <v>-1</v>
      </c>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c r="CC477"/>
      <c r="CD477"/>
      <c r="CE477"/>
      <c r="CF477"/>
      <c r="CG477"/>
      <c r="CH477"/>
      <c r="CI477"/>
      <c r="CJ477"/>
      <c r="CK477"/>
      <c r="CL477"/>
      <c r="CM477"/>
      <c r="CN477"/>
      <c r="CO477"/>
      <c r="CP477"/>
      <c r="CQ477"/>
      <c r="CR477"/>
      <c r="CS477"/>
    </row>
    <row r="478" spans="2:97">
      <c r="B478"/>
      <c r="C478" s="15"/>
      <c r="D478" s="23"/>
      <c r="E478" s="23"/>
      <c r="F478" s="23"/>
      <c r="G478" s="23">
        <f t="shared" si="28"/>
        <v>0</v>
      </c>
      <c r="H478" s="23" t="e" cm="1">
        <f t="array" ref="H478">INDEX('GLOBAL LOG'!#REF!,ROW()-169+15)</f>
        <v>#REF!</v>
      </c>
      <c r="I478" s="23" t="e">
        <f>_xlfn.XLOOKUP(H478,#REF!,#REF!,"",0,1)</f>
        <v>#REF!</v>
      </c>
      <c r="J478" s="23" t="str">
        <f>IFERROR(I478*#REF!,"")</f>
        <v/>
      </c>
      <c r="K478" s="23" t="e" cm="1">
        <f t="array" ref="K478">INDEX('GLOBAL LOG'!#REF!,ROW()-169+15)</f>
        <v>#REF!</v>
      </c>
      <c r="L478" s="23" t="e">
        <f>_xlfn.XLOOKUP(K478,#REF!,#REF!,"",0,1)</f>
        <v>#REF!</v>
      </c>
      <c r="M478" s="23" t="str">
        <f>IFERROR(L478*#REF!,"")</f>
        <v/>
      </c>
      <c r="N478" s="23">
        <f t="shared" si="29"/>
        <v>-1</v>
      </c>
      <c r="O478" s="23">
        <f t="shared" si="30"/>
        <v>-1</v>
      </c>
      <c r="P478" s="23">
        <f t="shared" si="31"/>
        <v>-1</v>
      </c>
      <c r="Q478" s="24">
        <f t="shared" si="32"/>
        <v>-1</v>
      </c>
      <c r="R478" s="3"/>
      <c r="S478" s="1">
        <v>0</v>
      </c>
      <c r="T478" s="24">
        <v>-1</v>
      </c>
      <c r="U478"/>
      <c r="V478" s="1">
        <v>0</v>
      </c>
      <c r="W478" s="24">
        <v>-1</v>
      </c>
      <c r="X478"/>
      <c r="Y478" s="1">
        <v>0</v>
      </c>
      <c r="Z478" s="24">
        <v>-1</v>
      </c>
      <c r="AA478"/>
      <c r="AB478" s="1">
        <v>0</v>
      </c>
      <c r="AC478" s="24">
        <v>-1</v>
      </c>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c r="CC478"/>
      <c r="CD478"/>
      <c r="CE478"/>
      <c r="CF478"/>
      <c r="CG478"/>
      <c r="CH478"/>
      <c r="CI478"/>
      <c r="CJ478"/>
      <c r="CK478"/>
      <c r="CL478"/>
      <c r="CM478"/>
      <c r="CN478"/>
      <c r="CO478"/>
      <c r="CP478"/>
      <c r="CQ478"/>
      <c r="CR478"/>
      <c r="CS478"/>
    </row>
    <row r="479" spans="2:97">
      <c r="B479"/>
      <c r="C479" s="15"/>
      <c r="D479" s="23"/>
      <c r="E479" s="23"/>
      <c r="F479" s="23"/>
      <c r="G479" s="23">
        <f t="shared" si="28"/>
        <v>0</v>
      </c>
      <c r="H479" s="23" t="e" cm="1">
        <f t="array" ref="H479">INDEX('GLOBAL LOG'!#REF!,ROW()-169+15)</f>
        <v>#REF!</v>
      </c>
      <c r="I479" s="23" t="e">
        <f>_xlfn.XLOOKUP(H479,#REF!,#REF!,"",0,1)</f>
        <v>#REF!</v>
      </c>
      <c r="J479" s="23" t="str">
        <f>IFERROR(I479*#REF!,"")</f>
        <v/>
      </c>
      <c r="K479" s="23" t="e" cm="1">
        <f t="array" ref="K479">INDEX('GLOBAL LOG'!#REF!,ROW()-169+15)</f>
        <v>#REF!</v>
      </c>
      <c r="L479" s="23" t="e">
        <f>_xlfn.XLOOKUP(K479,#REF!,#REF!,"",0,1)</f>
        <v>#REF!</v>
      </c>
      <c r="M479" s="23" t="str">
        <f>IFERROR(L479*#REF!,"")</f>
        <v/>
      </c>
      <c r="N479" s="23">
        <f t="shared" si="29"/>
        <v>-1</v>
      </c>
      <c r="O479" s="23">
        <f t="shared" si="30"/>
        <v>-1</v>
      </c>
      <c r="P479" s="23">
        <f t="shared" si="31"/>
        <v>-1</v>
      </c>
      <c r="Q479" s="24">
        <f t="shared" si="32"/>
        <v>-1</v>
      </c>
      <c r="R479" s="3"/>
      <c r="S479" s="1">
        <v>0</v>
      </c>
      <c r="T479" s="24">
        <v>-1</v>
      </c>
      <c r="U479"/>
      <c r="V479" s="1">
        <v>0</v>
      </c>
      <c r="W479" s="24">
        <v>-1</v>
      </c>
      <c r="X479"/>
      <c r="Y479" s="1">
        <v>0</v>
      </c>
      <c r="Z479" s="24">
        <v>-1</v>
      </c>
      <c r="AA479"/>
      <c r="AB479" s="1">
        <v>0</v>
      </c>
      <c r="AC479" s="24">
        <v>-1</v>
      </c>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c r="CC479"/>
      <c r="CD479"/>
      <c r="CE479"/>
      <c r="CF479"/>
      <c r="CG479"/>
      <c r="CH479"/>
      <c r="CI479"/>
      <c r="CJ479"/>
      <c r="CK479"/>
      <c r="CL479"/>
      <c r="CM479"/>
      <c r="CN479"/>
      <c r="CO479"/>
      <c r="CP479"/>
      <c r="CQ479"/>
      <c r="CR479"/>
      <c r="CS479"/>
    </row>
    <row r="480" spans="2:97">
      <c r="B480"/>
      <c r="C480" s="15"/>
      <c r="D480" s="23"/>
      <c r="E480" s="23"/>
      <c r="F480" s="23"/>
      <c r="G480" s="23">
        <f t="shared" si="28"/>
        <v>0</v>
      </c>
      <c r="H480" s="23" t="e" cm="1">
        <f t="array" ref="H480">INDEX('GLOBAL LOG'!#REF!,ROW()-169+15)</f>
        <v>#REF!</v>
      </c>
      <c r="I480" s="23" t="e">
        <f>_xlfn.XLOOKUP(H480,#REF!,#REF!,"",0,1)</f>
        <v>#REF!</v>
      </c>
      <c r="J480" s="23" t="str">
        <f>IFERROR(I480*#REF!,"")</f>
        <v/>
      </c>
      <c r="K480" s="23" t="e" cm="1">
        <f t="array" ref="K480">INDEX('GLOBAL LOG'!#REF!,ROW()-169+15)</f>
        <v>#REF!</v>
      </c>
      <c r="L480" s="23" t="e">
        <f>_xlfn.XLOOKUP(K480,#REF!,#REF!,"",0,1)</f>
        <v>#REF!</v>
      </c>
      <c r="M480" s="23" t="str">
        <f>IFERROR(L480*#REF!,"")</f>
        <v/>
      </c>
      <c r="N480" s="23">
        <f t="shared" si="29"/>
        <v>-1</v>
      </c>
      <c r="O480" s="23">
        <f t="shared" si="30"/>
        <v>-1</v>
      </c>
      <c r="P480" s="23">
        <f t="shared" si="31"/>
        <v>-1</v>
      </c>
      <c r="Q480" s="24">
        <f t="shared" si="32"/>
        <v>-1</v>
      </c>
      <c r="R480" s="3"/>
      <c r="S480" s="1">
        <v>0</v>
      </c>
      <c r="T480" s="24">
        <v>-1</v>
      </c>
      <c r="U480"/>
      <c r="V480" s="1">
        <v>0</v>
      </c>
      <c r="W480" s="24">
        <v>-1</v>
      </c>
      <c r="X480"/>
      <c r="Y480" s="1">
        <v>0</v>
      </c>
      <c r="Z480" s="24">
        <v>-1</v>
      </c>
      <c r="AA480"/>
      <c r="AB480" s="1">
        <v>0</v>
      </c>
      <c r="AC480" s="24">
        <v>-1</v>
      </c>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c r="CD480"/>
      <c r="CE480"/>
      <c r="CF480"/>
      <c r="CG480"/>
      <c r="CH480"/>
      <c r="CI480"/>
      <c r="CJ480"/>
      <c r="CK480"/>
      <c r="CL480"/>
      <c r="CM480"/>
      <c r="CN480"/>
      <c r="CO480"/>
      <c r="CP480"/>
      <c r="CQ480"/>
      <c r="CR480"/>
      <c r="CS480"/>
    </row>
    <row r="481" spans="2:97">
      <c r="B481"/>
      <c r="C481" s="15"/>
      <c r="D481" s="23"/>
      <c r="E481" s="23"/>
      <c r="F481" s="23"/>
      <c r="G481" s="23">
        <f t="shared" si="28"/>
        <v>0</v>
      </c>
      <c r="H481" s="23" t="e" cm="1">
        <f t="array" ref="H481">INDEX('GLOBAL LOG'!#REF!,ROW()-169+15)</f>
        <v>#REF!</v>
      </c>
      <c r="I481" s="23" t="e">
        <f>_xlfn.XLOOKUP(H481,#REF!,#REF!,"",0,1)</f>
        <v>#REF!</v>
      </c>
      <c r="J481" s="23" t="str">
        <f>IFERROR(I481*#REF!,"")</f>
        <v/>
      </c>
      <c r="K481" s="23" t="e" cm="1">
        <f t="array" ref="K481">INDEX('GLOBAL LOG'!#REF!,ROW()-169+15)</f>
        <v>#REF!</v>
      </c>
      <c r="L481" s="23" t="e">
        <f>_xlfn.XLOOKUP(K481,#REF!,#REF!,"",0,1)</f>
        <v>#REF!</v>
      </c>
      <c r="M481" s="23" t="str">
        <f>IFERROR(L481*#REF!,"")</f>
        <v/>
      </c>
      <c r="N481" s="23">
        <f t="shared" si="29"/>
        <v>-1</v>
      </c>
      <c r="O481" s="23">
        <f t="shared" si="30"/>
        <v>-1</v>
      </c>
      <c r="P481" s="23">
        <f t="shared" si="31"/>
        <v>-1</v>
      </c>
      <c r="Q481" s="24">
        <f t="shared" si="32"/>
        <v>-1</v>
      </c>
      <c r="R481" s="3"/>
      <c r="S481" s="1">
        <v>0</v>
      </c>
      <c r="T481" s="24">
        <v>-1</v>
      </c>
      <c r="U481"/>
      <c r="V481" s="1">
        <v>0</v>
      </c>
      <c r="W481" s="24">
        <v>-1</v>
      </c>
      <c r="X481"/>
      <c r="Y481" s="1">
        <v>0</v>
      </c>
      <c r="Z481" s="24">
        <v>-1</v>
      </c>
      <c r="AA481"/>
      <c r="AB481" s="1">
        <v>0</v>
      </c>
      <c r="AC481" s="24">
        <v>-1</v>
      </c>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c r="CC481"/>
      <c r="CD481"/>
      <c r="CE481"/>
      <c r="CF481"/>
      <c r="CG481"/>
      <c r="CH481"/>
      <c r="CI481"/>
      <c r="CJ481"/>
      <c r="CK481"/>
      <c r="CL481"/>
      <c r="CM481"/>
      <c r="CN481"/>
      <c r="CO481"/>
      <c r="CP481"/>
      <c r="CQ481"/>
      <c r="CR481"/>
      <c r="CS481"/>
    </row>
    <row r="482" spans="2:97">
      <c r="B482"/>
      <c r="C482" s="15"/>
      <c r="D482" s="23"/>
      <c r="E482" s="23"/>
      <c r="F482" s="23"/>
      <c r="G482" s="23">
        <f t="shared" si="28"/>
        <v>0</v>
      </c>
      <c r="H482" s="23" t="e" cm="1">
        <f t="array" ref="H482">INDEX('GLOBAL LOG'!#REF!,ROW()-169+15)</f>
        <v>#REF!</v>
      </c>
      <c r="I482" s="23" t="e">
        <f>_xlfn.XLOOKUP(H482,#REF!,#REF!,"",0,1)</f>
        <v>#REF!</v>
      </c>
      <c r="J482" s="23" t="str">
        <f>IFERROR(I482*#REF!,"")</f>
        <v/>
      </c>
      <c r="K482" s="23" t="e" cm="1">
        <f t="array" ref="K482">INDEX('GLOBAL LOG'!#REF!,ROW()-169+15)</f>
        <v>#REF!</v>
      </c>
      <c r="L482" s="23" t="e">
        <f>_xlfn.XLOOKUP(K482,#REF!,#REF!,"",0,1)</f>
        <v>#REF!</v>
      </c>
      <c r="M482" s="23" t="str">
        <f>IFERROR(L482*#REF!,"")</f>
        <v/>
      </c>
      <c r="N482" s="23">
        <f t="shared" si="29"/>
        <v>-1</v>
      </c>
      <c r="O482" s="23">
        <f t="shared" si="30"/>
        <v>-1</v>
      </c>
      <c r="P482" s="23">
        <f t="shared" si="31"/>
        <v>-1</v>
      </c>
      <c r="Q482" s="24">
        <f t="shared" si="32"/>
        <v>-1</v>
      </c>
      <c r="R482" s="3"/>
      <c r="S482" s="1">
        <v>0</v>
      </c>
      <c r="T482" s="24">
        <v>-1</v>
      </c>
      <c r="U482"/>
      <c r="V482" s="1">
        <v>0</v>
      </c>
      <c r="W482" s="24">
        <v>-1</v>
      </c>
      <c r="X482"/>
      <c r="Y482" s="1">
        <v>0</v>
      </c>
      <c r="Z482" s="24">
        <v>-1</v>
      </c>
      <c r="AA482"/>
      <c r="AB482" s="1">
        <v>0</v>
      </c>
      <c r="AC482" s="24">
        <v>-1</v>
      </c>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c r="CC482"/>
      <c r="CD482"/>
      <c r="CE482"/>
      <c r="CF482"/>
      <c r="CG482"/>
      <c r="CH482"/>
      <c r="CI482"/>
      <c r="CJ482"/>
      <c r="CK482"/>
      <c r="CL482"/>
      <c r="CM482"/>
      <c r="CN482"/>
      <c r="CO482"/>
      <c r="CP482"/>
      <c r="CQ482"/>
      <c r="CR482"/>
      <c r="CS482"/>
    </row>
    <row r="483" spans="2:97">
      <c r="B483"/>
      <c r="C483" s="15"/>
      <c r="D483" s="23"/>
      <c r="E483" s="23"/>
      <c r="F483" s="23"/>
      <c r="G483" s="23">
        <f t="shared" si="28"/>
        <v>0</v>
      </c>
      <c r="H483" s="23" t="e" cm="1">
        <f t="array" ref="H483">INDEX('GLOBAL LOG'!#REF!,ROW()-169+15)</f>
        <v>#REF!</v>
      </c>
      <c r="I483" s="23" t="e">
        <f>_xlfn.XLOOKUP(H483,#REF!,#REF!,"",0,1)</f>
        <v>#REF!</v>
      </c>
      <c r="J483" s="23" t="str">
        <f>IFERROR(I483*#REF!,"")</f>
        <v/>
      </c>
      <c r="K483" s="23" t="e" cm="1">
        <f t="array" ref="K483">INDEX('GLOBAL LOG'!#REF!,ROW()-169+15)</f>
        <v>#REF!</v>
      </c>
      <c r="L483" s="23" t="e">
        <f>_xlfn.XLOOKUP(K483,#REF!,#REF!,"",0,1)</f>
        <v>#REF!</v>
      </c>
      <c r="M483" s="23" t="str">
        <f>IFERROR(L483*#REF!,"")</f>
        <v/>
      </c>
      <c r="N483" s="23">
        <f t="shared" si="29"/>
        <v>-1</v>
      </c>
      <c r="O483" s="23">
        <f t="shared" si="30"/>
        <v>-1</v>
      </c>
      <c r="P483" s="23">
        <f t="shared" si="31"/>
        <v>-1</v>
      </c>
      <c r="Q483" s="24">
        <f t="shared" si="32"/>
        <v>-1</v>
      </c>
      <c r="R483" s="3"/>
      <c r="S483" s="1">
        <v>0</v>
      </c>
      <c r="T483" s="24">
        <v>-1</v>
      </c>
      <c r="U483"/>
      <c r="V483" s="1">
        <v>0</v>
      </c>
      <c r="W483" s="24">
        <v>-1</v>
      </c>
      <c r="X483"/>
      <c r="Y483" s="1">
        <v>0</v>
      </c>
      <c r="Z483" s="24">
        <v>-1</v>
      </c>
      <c r="AA483"/>
      <c r="AB483" s="1">
        <v>0</v>
      </c>
      <c r="AC483" s="24">
        <v>-1</v>
      </c>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c r="CC483"/>
      <c r="CD483"/>
      <c r="CE483"/>
      <c r="CF483"/>
      <c r="CG483"/>
      <c r="CH483"/>
      <c r="CI483"/>
      <c r="CJ483"/>
      <c r="CK483"/>
      <c r="CL483"/>
      <c r="CM483"/>
      <c r="CN483"/>
      <c r="CO483"/>
      <c r="CP483"/>
      <c r="CQ483"/>
      <c r="CR483"/>
      <c r="CS483"/>
    </row>
    <row r="484" spans="2:97">
      <c r="B484"/>
      <c r="C484" s="15"/>
      <c r="D484" s="23"/>
      <c r="E484" s="23"/>
      <c r="F484" s="23"/>
      <c r="G484" s="23">
        <f t="shared" si="28"/>
        <v>0</v>
      </c>
      <c r="H484" s="23" t="e" cm="1">
        <f t="array" ref="H484">INDEX('GLOBAL LOG'!#REF!,ROW()-169+15)</f>
        <v>#REF!</v>
      </c>
      <c r="I484" s="23" t="e">
        <f>_xlfn.XLOOKUP(H484,#REF!,#REF!,"",0,1)</f>
        <v>#REF!</v>
      </c>
      <c r="J484" s="23" t="str">
        <f>IFERROR(I484*#REF!,"")</f>
        <v/>
      </c>
      <c r="K484" s="23" t="e" cm="1">
        <f t="array" ref="K484">INDEX('GLOBAL LOG'!#REF!,ROW()-169+15)</f>
        <v>#REF!</v>
      </c>
      <c r="L484" s="23" t="e">
        <f>_xlfn.XLOOKUP(K484,#REF!,#REF!,"",0,1)</f>
        <v>#REF!</v>
      </c>
      <c r="M484" s="23" t="str">
        <f>IFERROR(L484*#REF!,"")</f>
        <v/>
      </c>
      <c r="N484" s="23">
        <f t="shared" si="29"/>
        <v>-1</v>
      </c>
      <c r="O484" s="23">
        <f t="shared" si="30"/>
        <v>-1</v>
      </c>
      <c r="P484" s="23">
        <f t="shared" si="31"/>
        <v>-1</v>
      </c>
      <c r="Q484" s="24">
        <f t="shared" si="32"/>
        <v>-1</v>
      </c>
      <c r="R484" s="3"/>
      <c r="S484" s="1">
        <v>0</v>
      </c>
      <c r="T484" s="24">
        <v>-1</v>
      </c>
      <c r="U484"/>
      <c r="V484" s="1">
        <v>0</v>
      </c>
      <c r="W484" s="24">
        <v>-1</v>
      </c>
      <c r="X484"/>
      <c r="Y484" s="1">
        <v>0</v>
      </c>
      <c r="Z484" s="24">
        <v>-1</v>
      </c>
      <c r="AA484"/>
      <c r="AB484" s="1">
        <v>0</v>
      </c>
      <c r="AC484" s="24">
        <v>-1</v>
      </c>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c r="CC484"/>
      <c r="CD484"/>
      <c r="CE484"/>
      <c r="CF484"/>
      <c r="CG484"/>
      <c r="CH484"/>
      <c r="CI484"/>
      <c r="CJ484"/>
      <c r="CK484"/>
      <c r="CL484"/>
      <c r="CM484"/>
      <c r="CN484"/>
      <c r="CO484"/>
      <c r="CP484"/>
      <c r="CQ484"/>
      <c r="CR484"/>
      <c r="CS484"/>
    </row>
    <row r="485" spans="2:97">
      <c r="B485"/>
      <c r="C485" s="15"/>
      <c r="D485" s="23"/>
      <c r="E485" s="23"/>
      <c r="F485" s="23"/>
      <c r="G485" s="23">
        <f t="shared" si="28"/>
        <v>0</v>
      </c>
      <c r="H485" s="23" t="e" cm="1">
        <f t="array" ref="H485">INDEX('GLOBAL LOG'!#REF!,ROW()-169+15)</f>
        <v>#REF!</v>
      </c>
      <c r="I485" s="23" t="e">
        <f>_xlfn.XLOOKUP(H485,#REF!,#REF!,"",0,1)</f>
        <v>#REF!</v>
      </c>
      <c r="J485" s="23" t="str">
        <f>IFERROR(I485*#REF!,"")</f>
        <v/>
      </c>
      <c r="K485" s="23" t="e" cm="1">
        <f t="array" ref="K485">INDEX('GLOBAL LOG'!#REF!,ROW()-169+15)</f>
        <v>#REF!</v>
      </c>
      <c r="L485" s="23" t="e">
        <f>_xlfn.XLOOKUP(K485,#REF!,#REF!,"",0,1)</f>
        <v>#REF!</v>
      </c>
      <c r="M485" s="23" t="str">
        <f>IFERROR(L485*#REF!,"")</f>
        <v/>
      </c>
      <c r="N485" s="23">
        <f t="shared" si="29"/>
        <v>-1</v>
      </c>
      <c r="O485" s="23">
        <f t="shared" si="30"/>
        <v>-1</v>
      </c>
      <c r="P485" s="23">
        <f t="shared" si="31"/>
        <v>-1</v>
      </c>
      <c r="Q485" s="24">
        <f t="shared" si="32"/>
        <v>-1</v>
      </c>
      <c r="R485" s="3"/>
      <c r="S485" s="1">
        <v>0</v>
      </c>
      <c r="T485" s="24">
        <v>-1</v>
      </c>
      <c r="U485"/>
      <c r="V485" s="1">
        <v>0</v>
      </c>
      <c r="W485" s="24">
        <v>-1</v>
      </c>
      <c r="X485"/>
      <c r="Y485" s="1">
        <v>0</v>
      </c>
      <c r="Z485" s="24">
        <v>-1</v>
      </c>
      <c r="AA485"/>
      <c r="AB485" s="1">
        <v>0</v>
      </c>
      <c r="AC485" s="24">
        <v>-1</v>
      </c>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c r="CD485"/>
      <c r="CE485"/>
      <c r="CF485"/>
      <c r="CG485"/>
      <c r="CH485"/>
      <c r="CI485"/>
      <c r="CJ485"/>
      <c r="CK485"/>
      <c r="CL485"/>
      <c r="CM485"/>
      <c r="CN485"/>
      <c r="CO485"/>
      <c r="CP485"/>
      <c r="CQ485"/>
      <c r="CR485"/>
      <c r="CS485"/>
    </row>
    <row r="486" spans="2:97">
      <c r="B486"/>
      <c r="C486" s="15"/>
      <c r="D486" s="23"/>
      <c r="E486" s="23"/>
      <c r="F486" s="23"/>
      <c r="G486" s="23">
        <f t="shared" si="28"/>
        <v>0</v>
      </c>
      <c r="H486" s="23" t="e" cm="1">
        <f t="array" ref="H486">INDEX('GLOBAL LOG'!#REF!,ROW()-169+15)</f>
        <v>#REF!</v>
      </c>
      <c r="I486" s="23" t="e">
        <f>_xlfn.XLOOKUP(H486,#REF!,#REF!,"",0,1)</f>
        <v>#REF!</v>
      </c>
      <c r="J486" s="23" t="str">
        <f>IFERROR(I486*#REF!,"")</f>
        <v/>
      </c>
      <c r="K486" s="23" t="e" cm="1">
        <f t="array" ref="K486">INDEX('GLOBAL LOG'!#REF!,ROW()-169+15)</f>
        <v>#REF!</v>
      </c>
      <c r="L486" s="23" t="e">
        <f>_xlfn.XLOOKUP(K486,#REF!,#REF!,"",0,1)</f>
        <v>#REF!</v>
      </c>
      <c r="M486" s="23" t="str">
        <f>IFERROR(L486*#REF!,"")</f>
        <v/>
      </c>
      <c r="N486" s="23">
        <f t="shared" si="29"/>
        <v>-1</v>
      </c>
      <c r="O486" s="23">
        <f t="shared" si="30"/>
        <v>-1</v>
      </c>
      <c r="P486" s="23">
        <f t="shared" si="31"/>
        <v>-1</v>
      </c>
      <c r="Q486" s="24">
        <f t="shared" si="32"/>
        <v>-1</v>
      </c>
      <c r="R486" s="3"/>
      <c r="S486" s="1">
        <v>0</v>
      </c>
      <c r="T486" s="24">
        <v>-1</v>
      </c>
      <c r="U486"/>
      <c r="V486" s="1">
        <v>0</v>
      </c>
      <c r="W486" s="24">
        <v>-1</v>
      </c>
      <c r="X486"/>
      <c r="Y486" s="1">
        <v>0</v>
      </c>
      <c r="Z486" s="24">
        <v>-1</v>
      </c>
      <c r="AA486"/>
      <c r="AB486" s="1">
        <v>0</v>
      </c>
      <c r="AC486" s="24">
        <v>-1</v>
      </c>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c r="CG486"/>
      <c r="CH486"/>
      <c r="CI486"/>
      <c r="CJ486"/>
      <c r="CK486"/>
      <c r="CL486"/>
      <c r="CM486"/>
      <c r="CN486"/>
      <c r="CO486"/>
      <c r="CP486"/>
      <c r="CQ486"/>
      <c r="CR486"/>
      <c r="CS486"/>
    </row>
    <row r="487" spans="2:97">
      <c r="B487"/>
      <c r="C487" s="15"/>
      <c r="D487" s="23"/>
      <c r="E487" s="23"/>
      <c r="F487" s="23"/>
      <c r="G487" s="23">
        <f t="shared" si="28"/>
        <v>0</v>
      </c>
      <c r="H487" s="23" t="e" cm="1">
        <f t="array" ref="H487">INDEX('GLOBAL LOG'!#REF!,ROW()-169+15)</f>
        <v>#REF!</v>
      </c>
      <c r="I487" s="23" t="e">
        <f>_xlfn.XLOOKUP(H487,#REF!,#REF!,"",0,1)</f>
        <v>#REF!</v>
      </c>
      <c r="J487" s="23" t="str">
        <f>IFERROR(I487*#REF!,"")</f>
        <v/>
      </c>
      <c r="K487" s="23" t="e" cm="1">
        <f t="array" ref="K487">INDEX('GLOBAL LOG'!#REF!,ROW()-169+15)</f>
        <v>#REF!</v>
      </c>
      <c r="L487" s="23" t="e">
        <f>_xlfn.XLOOKUP(K487,#REF!,#REF!,"",0,1)</f>
        <v>#REF!</v>
      </c>
      <c r="M487" s="23" t="str">
        <f>IFERROR(L487*#REF!,"")</f>
        <v/>
      </c>
      <c r="N487" s="23">
        <f t="shared" si="29"/>
        <v>-1</v>
      </c>
      <c r="O487" s="23">
        <f t="shared" si="30"/>
        <v>-1</v>
      </c>
      <c r="P487" s="23">
        <f t="shared" si="31"/>
        <v>-1</v>
      </c>
      <c r="Q487" s="24">
        <f t="shared" si="32"/>
        <v>-1</v>
      </c>
      <c r="R487" s="3"/>
      <c r="S487" s="1">
        <v>0</v>
      </c>
      <c r="T487" s="24">
        <v>-1</v>
      </c>
      <c r="U487"/>
      <c r="V487" s="1">
        <v>0</v>
      </c>
      <c r="W487" s="24">
        <v>-1</v>
      </c>
      <c r="X487"/>
      <c r="Y487" s="1">
        <v>0</v>
      </c>
      <c r="Z487" s="24">
        <v>-1</v>
      </c>
      <c r="AA487"/>
      <c r="AB487" s="1">
        <v>0</v>
      </c>
      <c r="AC487" s="24">
        <v>-1</v>
      </c>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c r="CE487"/>
      <c r="CF487"/>
      <c r="CG487"/>
      <c r="CH487"/>
      <c r="CI487"/>
      <c r="CJ487"/>
      <c r="CK487"/>
      <c r="CL487"/>
      <c r="CM487"/>
      <c r="CN487"/>
      <c r="CO487"/>
      <c r="CP487"/>
      <c r="CQ487"/>
      <c r="CR487"/>
      <c r="CS487"/>
    </row>
    <row r="488" spans="2:97">
      <c r="B488"/>
      <c r="C488" s="15"/>
      <c r="D488" s="23"/>
      <c r="E488" s="23"/>
      <c r="F488" s="23"/>
      <c r="G488" s="23">
        <f t="shared" si="28"/>
        <v>0</v>
      </c>
      <c r="H488" s="23" t="e" cm="1">
        <f t="array" ref="H488">INDEX('GLOBAL LOG'!#REF!,ROW()-169+15)</f>
        <v>#REF!</v>
      </c>
      <c r="I488" s="23" t="e">
        <f>_xlfn.XLOOKUP(H488,#REF!,#REF!,"",0,1)</f>
        <v>#REF!</v>
      </c>
      <c r="J488" s="23" t="str">
        <f>IFERROR(I488*#REF!,"")</f>
        <v/>
      </c>
      <c r="K488" s="23" t="e" cm="1">
        <f t="array" ref="K488">INDEX('GLOBAL LOG'!#REF!,ROW()-169+15)</f>
        <v>#REF!</v>
      </c>
      <c r="L488" s="23" t="e">
        <f>_xlfn.XLOOKUP(K488,#REF!,#REF!,"",0,1)</f>
        <v>#REF!</v>
      </c>
      <c r="M488" s="23" t="str">
        <f>IFERROR(L488*#REF!,"")</f>
        <v/>
      </c>
      <c r="N488" s="23">
        <f t="shared" si="29"/>
        <v>-1</v>
      </c>
      <c r="O488" s="23">
        <f t="shared" si="30"/>
        <v>-1</v>
      </c>
      <c r="P488" s="23">
        <f t="shared" si="31"/>
        <v>-1</v>
      </c>
      <c r="Q488" s="24">
        <f t="shared" si="32"/>
        <v>-1</v>
      </c>
      <c r="R488" s="3"/>
      <c r="S488" s="1">
        <v>0</v>
      </c>
      <c r="T488" s="24">
        <v>-1</v>
      </c>
      <c r="U488"/>
      <c r="V488" s="1">
        <v>0</v>
      </c>
      <c r="W488" s="24">
        <v>-1</v>
      </c>
      <c r="X488"/>
      <c r="Y488" s="1">
        <v>0</v>
      </c>
      <c r="Z488" s="24">
        <v>-1</v>
      </c>
      <c r="AA488"/>
      <c r="AB488" s="1">
        <v>0</v>
      </c>
      <c r="AC488" s="24">
        <v>-1</v>
      </c>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CF488"/>
      <c r="CG488"/>
      <c r="CH488"/>
      <c r="CI488"/>
      <c r="CJ488"/>
      <c r="CK488"/>
      <c r="CL488"/>
      <c r="CM488"/>
      <c r="CN488"/>
      <c r="CO488"/>
      <c r="CP488"/>
      <c r="CQ488"/>
      <c r="CR488"/>
      <c r="CS488"/>
    </row>
    <row r="489" spans="2:97">
      <c r="B489"/>
      <c r="C489" s="15"/>
      <c r="D489" s="23"/>
      <c r="E489" s="23"/>
      <c r="F489" s="23"/>
      <c r="G489" s="23">
        <f t="shared" si="28"/>
        <v>0</v>
      </c>
      <c r="H489" s="23" t="e" cm="1">
        <f t="array" ref="H489">INDEX('GLOBAL LOG'!#REF!,ROW()-169+15)</f>
        <v>#REF!</v>
      </c>
      <c r="I489" s="23" t="e">
        <f>_xlfn.XLOOKUP(H489,#REF!,#REF!,"",0,1)</f>
        <v>#REF!</v>
      </c>
      <c r="J489" s="23" t="str">
        <f>IFERROR(I489*#REF!,"")</f>
        <v/>
      </c>
      <c r="K489" s="23" t="e" cm="1">
        <f t="array" ref="K489">INDEX('GLOBAL LOG'!#REF!,ROW()-169+15)</f>
        <v>#REF!</v>
      </c>
      <c r="L489" s="23" t="e">
        <f>_xlfn.XLOOKUP(K489,#REF!,#REF!,"",0,1)</f>
        <v>#REF!</v>
      </c>
      <c r="M489" s="23" t="str">
        <f>IFERROR(L489*#REF!,"")</f>
        <v/>
      </c>
      <c r="N489" s="23">
        <f t="shared" si="29"/>
        <v>-1</v>
      </c>
      <c r="O489" s="23">
        <f t="shared" si="30"/>
        <v>-1</v>
      </c>
      <c r="P489" s="23">
        <f t="shared" si="31"/>
        <v>-1</v>
      </c>
      <c r="Q489" s="24">
        <f t="shared" si="32"/>
        <v>-1</v>
      </c>
      <c r="R489" s="3"/>
      <c r="S489" s="1">
        <v>0</v>
      </c>
      <c r="T489" s="24">
        <v>-1</v>
      </c>
      <c r="U489"/>
      <c r="V489" s="1">
        <v>0</v>
      </c>
      <c r="W489" s="24">
        <v>-1</v>
      </c>
      <c r="X489"/>
      <c r="Y489" s="1">
        <v>0</v>
      </c>
      <c r="Z489" s="24">
        <v>-1</v>
      </c>
      <c r="AA489"/>
      <c r="AB489" s="1">
        <v>0</v>
      </c>
      <c r="AC489" s="24">
        <v>-1</v>
      </c>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c r="CE489"/>
      <c r="CF489"/>
      <c r="CG489"/>
      <c r="CH489"/>
      <c r="CI489"/>
      <c r="CJ489"/>
      <c r="CK489"/>
      <c r="CL489"/>
      <c r="CM489"/>
      <c r="CN489"/>
      <c r="CO489"/>
      <c r="CP489"/>
      <c r="CQ489"/>
      <c r="CR489"/>
      <c r="CS489"/>
    </row>
    <row r="490" spans="2:97">
      <c r="B490"/>
      <c r="C490" s="15"/>
      <c r="D490" s="23"/>
      <c r="E490" s="23"/>
      <c r="F490" s="23"/>
      <c r="G490" s="23">
        <f t="shared" ref="G490:G553" si="33">E490+F490</f>
        <v>0</v>
      </c>
      <c r="H490" s="23" t="e" cm="1">
        <f t="array" ref="H490">INDEX('GLOBAL LOG'!#REF!,ROW()-169+15)</f>
        <v>#REF!</v>
      </c>
      <c r="I490" s="23" t="e">
        <f>_xlfn.XLOOKUP(H490,#REF!,#REF!,"",0,1)</f>
        <v>#REF!</v>
      </c>
      <c r="J490" s="23" t="str">
        <f>IFERROR(I490*#REF!,"")</f>
        <v/>
      </c>
      <c r="K490" s="23" t="e" cm="1">
        <f t="array" ref="K490">INDEX('GLOBAL LOG'!#REF!,ROW()-169+15)</f>
        <v>#REF!</v>
      </c>
      <c r="L490" s="23" t="e">
        <f>_xlfn.XLOOKUP(K490,#REF!,#REF!,"",0,1)</f>
        <v>#REF!</v>
      </c>
      <c r="M490" s="23" t="str">
        <f>IFERROR(L490*#REF!,"")</f>
        <v/>
      </c>
      <c r="N490" s="23">
        <f t="shared" ref="N490:N553" si="34">IFERROR(D490*J490*M490,-1)</f>
        <v>-1</v>
      </c>
      <c r="O490" s="23">
        <f t="shared" ref="O490:O553" si="35">IFERROR(E490*J490*M490,-1)</f>
        <v>-1</v>
      </c>
      <c r="P490" s="23">
        <f t="shared" ref="P490:P553" si="36">IFERROR(F490*J490*M490,-1)</f>
        <v>-1</v>
      </c>
      <c r="Q490" s="24">
        <f t="shared" ref="Q490:Q553" si="37">IFERROR(G490*J490*M490,-1)</f>
        <v>-1</v>
      </c>
      <c r="R490" s="3"/>
      <c r="S490" s="1">
        <v>0</v>
      </c>
      <c r="T490" s="24">
        <v>-1</v>
      </c>
      <c r="U490"/>
      <c r="V490" s="1">
        <v>0</v>
      </c>
      <c r="W490" s="24">
        <v>-1</v>
      </c>
      <c r="X490"/>
      <c r="Y490" s="1">
        <v>0</v>
      </c>
      <c r="Z490" s="24">
        <v>-1</v>
      </c>
      <c r="AA490"/>
      <c r="AB490" s="1">
        <v>0</v>
      </c>
      <c r="AC490" s="24">
        <v>-1</v>
      </c>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c r="CE490"/>
      <c r="CF490"/>
      <c r="CG490"/>
      <c r="CH490"/>
      <c r="CI490"/>
      <c r="CJ490"/>
      <c r="CK490"/>
      <c r="CL490"/>
      <c r="CM490"/>
      <c r="CN490"/>
      <c r="CO490"/>
      <c r="CP490"/>
      <c r="CQ490"/>
      <c r="CR490"/>
      <c r="CS490"/>
    </row>
    <row r="491" spans="2:97">
      <c r="B491"/>
      <c r="C491" s="15"/>
      <c r="D491" s="23"/>
      <c r="E491" s="23"/>
      <c r="F491" s="23"/>
      <c r="G491" s="23">
        <f t="shared" si="33"/>
        <v>0</v>
      </c>
      <c r="H491" s="23" t="e" cm="1">
        <f t="array" ref="H491">INDEX('GLOBAL LOG'!#REF!,ROW()-169+15)</f>
        <v>#REF!</v>
      </c>
      <c r="I491" s="23" t="e">
        <f>_xlfn.XLOOKUP(H491,#REF!,#REF!,"",0,1)</f>
        <v>#REF!</v>
      </c>
      <c r="J491" s="23" t="str">
        <f>IFERROR(I491*#REF!,"")</f>
        <v/>
      </c>
      <c r="K491" s="23" t="e" cm="1">
        <f t="array" ref="K491">INDEX('GLOBAL LOG'!#REF!,ROW()-169+15)</f>
        <v>#REF!</v>
      </c>
      <c r="L491" s="23" t="e">
        <f>_xlfn.XLOOKUP(K491,#REF!,#REF!,"",0,1)</f>
        <v>#REF!</v>
      </c>
      <c r="M491" s="23" t="str">
        <f>IFERROR(L491*#REF!,"")</f>
        <v/>
      </c>
      <c r="N491" s="23">
        <f t="shared" si="34"/>
        <v>-1</v>
      </c>
      <c r="O491" s="23">
        <f t="shared" si="35"/>
        <v>-1</v>
      </c>
      <c r="P491" s="23">
        <f t="shared" si="36"/>
        <v>-1</v>
      </c>
      <c r="Q491" s="24">
        <f t="shared" si="37"/>
        <v>-1</v>
      </c>
      <c r="R491" s="3"/>
      <c r="S491" s="1">
        <v>0</v>
      </c>
      <c r="T491" s="24">
        <v>-1</v>
      </c>
      <c r="U491"/>
      <c r="V491" s="1">
        <v>0</v>
      </c>
      <c r="W491" s="24">
        <v>-1</v>
      </c>
      <c r="X491"/>
      <c r="Y491" s="1">
        <v>0</v>
      </c>
      <c r="Z491" s="24">
        <v>-1</v>
      </c>
      <c r="AA491"/>
      <c r="AB491" s="1">
        <v>0</v>
      </c>
      <c r="AC491" s="24">
        <v>-1</v>
      </c>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c r="CE491"/>
      <c r="CF491"/>
      <c r="CG491"/>
      <c r="CH491"/>
      <c r="CI491"/>
      <c r="CJ491"/>
      <c r="CK491"/>
      <c r="CL491"/>
      <c r="CM491"/>
      <c r="CN491"/>
      <c r="CO491"/>
      <c r="CP491"/>
      <c r="CQ491"/>
      <c r="CR491"/>
      <c r="CS491"/>
    </row>
    <row r="492" spans="2:97">
      <c r="B492"/>
      <c r="C492" s="15"/>
      <c r="D492" s="23"/>
      <c r="E492" s="23"/>
      <c r="F492" s="23"/>
      <c r="G492" s="23">
        <f t="shared" si="33"/>
        <v>0</v>
      </c>
      <c r="H492" s="23" t="e" cm="1">
        <f t="array" ref="H492">INDEX('GLOBAL LOG'!#REF!,ROW()-169+15)</f>
        <v>#REF!</v>
      </c>
      <c r="I492" s="23" t="e">
        <f>_xlfn.XLOOKUP(H492,#REF!,#REF!,"",0,1)</f>
        <v>#REF!</v>
      </c>
      <c r="J492" s="23" t="str">
        <f>IFERROR(I492*#REF!,"")</f>
        <v/>
      </c>
      <c r="K492" s="23" t="e" cm="1">
        <f t="array" ref="K492">INDEX('GLOBAL LOG'!#REF!,ROW()-169+15)</f>
        <v>#REF!</v>
      </c>
      <c r="L492" s="23" t="e">
        <f>_xlfn.XLOOKUP(K492,#REF!,#REF!,"",0,1)</f>
        <v>#REF!</v>
      </c>
      <c r="M492" s="23" t="str">
        <f>IFERROR(L492*#REF!,"")</f>
        <v/>
      </c>
      <c r="N492" s="23">
        <f t="shared" si="34"/>
        <v>-1</v>
      </c>
      <c r="O492" s="23">
        <f t="shared" si="35"/>
        <v>-1</v>
      </c>
      <c r="P492" s="23">
        <f t="shared" si="36"/>
        <v>-1</v>
      </c>
      <c r="Q492" s="24">
        <f t="shared" si="37"/>
        <v>-1</v>
      </c>
      <c r="R492" s="3"/>
      <c r="S492" s="1">
        <v>0</v>
      </c>
      <c r="T492" s="24">
        <v>-1</v>
      </c>
      <c r="U492"/>
      <c r="V492" s="1">
        <v>0</v>
      </c>
      <c r="W492" s="24">
        <v>-1</v>
      </c>
      <c r="X492"/>
      <c r="Y492" s="1">
        <v>0</v>
      </c>
      <c r="Z492" s="24">
        <v>-1</v>
      </c>
      <c r="AA492"/>
      <c r="AB492" s="1">
        <v>0</v>
      </c>
      <c r="AC492" s="24">
        <v>-1</v>
      </c>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c r="CE492"/>
      <c r="CF492"/>
      <c r="CG492"/>
      <c r="CH492"/>
      <c r="CI492"/>
      <c r="CJ492"/>
      <c r="CK492"/>
      <c r="CL492"/>
      <c r="CM492"/>
      <c r="CN492"/>
      <c r="CO492"/>
      <c r="CP492"/>
      <c r="CQ492"/>
      <c r="CR492"/>
      <c r="CS492"/>
    </row>
    <row r="493" spans="2:97">
      <c r="B493"/>
      <c r="C493" s="15"/>
      <c r="D493" s="23"/>
      <c r="E493" s="23"/>
      <c r="F493" s="23"/>
      <c r="G493" s="23">
        <f t="shared" si="33"/>
        <v>0</v>
      </c>
      <c r="H493" s="23" t="e" cm="1">
        <f t="array" ref="H493">INDEX('GLOBAL LOG'!#REF!,ROW()-169+15)</f>
        <v>#REF!</v>
      </c>
      <c r="I493" s="23" t="e">
        <f>_xlfn.XLOOKUP(H493,#REF!,#REF!,"",0,1)</f>
        <v>#REF!</v>
      </c>
      <c r="J493" s="23" t="str">
        <f>IFERROR(I493*#REF!,"")</f>
        <v/>
      </c>
      <c r="K493" s="23" t="e" cm="1">
        <f t="array" ref="K493">INDEX('GLOBAL LOG'!#REF!,ROW()-169+15)</f>
        <v>#REF!</v>
      </c>
      <c r="L493" s="23" t="e">
        <f>_xlfn.XLOOKUP(K493,#REF!,#REF!,"",0,1)</f>
        <v>#REF!</v>
      </c>
      <c r="M493" s="23" t="str">
        <f>IFERROR(L493*#REF!,"")</f>
        <v/>
      </c>
      <c r="N493" s="23">
        <f t="shared" si="34"/>
        <v>-1</v>
      </c>
      <c r="O493" s="23">
        <f t="shared" si="35"/>
        <v>-1</v>
      </c>
      <c r="P493" s="23">
        <f t="shared" si="36"/>
        <v>-1</v>
      </c>
      <c r="Q493" s="24">
        <f t="shared" si="37"/>
        <v>-1</v>
      </c>
      <c r="R493" s="3"/>
      <c r="S493" s="1">
        <v>0</v>
      </c>
      <c r="T493" s="24">
        <v>-1</v>
      </c>
      <c r="U493"/>
      <c r="V493" s="1">
        <v>0</v>
      </c>
      <c r="W493" s="24">
        <v>-1</v>
      </c>
      <c r="X493"/>
      <c r="Y493" s="1">
        <v>0</v>
      </c>
      <c r="Z493" s="24">
        <v>-1</v>
      </c>
      <c r="AA493"/>
      <c r="AB493" s="1">
        <v>0</v>
      </c>
      <c r="AC493" s="24">
        <v>-1</v>
      </c>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c r="CE493"/>
      <c r="CF493"/>
      <c r="CG493"/>
      <c r="CH493"/>
      <c r="CI493"/>
      <c r="CJ493"/>
      <c r="CK493"/>
      <c r="CL493"/>
      <c r="CM493"/>
      <c r="CN493"/>
      <c r="CO493"/>
      <c r="CP493"/>
      <c r="CQ493"/>
      <c r="CR493"/>
      <c r="CS493"/>
    </row>
    <row r="494" spans="2:97">
      <c r="B494"/>
      <c r="C494" s="15"/>
      <c r="D494" s="23"/>
      <c r="E494" s="23"/>
      <c r="F494" s="23"/>
      <c r="G494" s="23">
        <f t="shared" si="33"/>
        <v>0</v>
      </c>
      <c r="H494" s="23" t="e" cm="1">
        <f t="array" ref="H494">INDEX('GLOBAL LOG'!#REF!,ROW()-169+15)</f>
        <v>#REF!</v>
      </c>
      <c r="I494" s="23" t="e">
        <f>_xlfn.XLOOKUP(H494,#REF!,#REF!,"",0,1)</f>
        <v>#REF!</v>
      </c>
      <c r="J494" s="23" t="str">
        <f>IFERROR(I494*#REF!,"")</f>
        <v/>
      </c>
      <c r="K494" s="23" t="e" cm="1">
        <f t="array" ref="K494">INDEX('GLOBAL LOG'!#REF!,ROW()-169+15)</f>
        <v>#REF!</v>
      </c>
      <c r="L494" s="23" t="e">
        <f>_xlfn.XLOOKUP(K494,#REF!,#REF!,"",0,1)</f>
        <v>#REF!</v>
      </c>
      <c r="M494" s="23" t="str">
        <f>IFERROR(L494*#REF!,"")</f>
        <v/>
      </c>
      <c r="N494" s="23">
        <f t="shared" si="34"/>
        <v>-1</v>
      </c>
      <c r="O494" s="23">
        <f t="shared" si="35"/>
        <v>-1</v>
      </c>
      <c r="P494" s="23">
        <f t="shared" si="36"/>
        <v>-1</v>
      </c>
      <c r="Q494" s="24">
        <f t="shared" si="37"/>
        <v>-1</v>
      </c>
      <c r="R494" s="3"/>
      <c r="S494" s="1">
        <v>0</v>
      </c>
      <c r="T494" s="24">
        <v>-1</v>
      </c>
      <c r="U494"/>
      <c r="V494" s="1">
        <v>0</v>
      </c>
      <c r="W494" s="24">
        <v>-1</v>
      </c>
      <c r="X494"/>
      <c r="Y494" s="1">
        <v>0</v>
      </c>
      <c r="Z494" s="24">
        <v>-1</v>
      </c>
      <c r="AA494"/>
      <c r="AB494" s="1">
        <v>0</v>
      </c>
      <c r="AC494" s="24">
        <v>-1</v>
      </c>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c r="CC494"/>
      <c r="CD494"/>
      <c r="CE494"/>
      <c r="CF494"/>
      <c r="CG494"/>
      <c r="CH494"/>
      <c r="CI494"/>
      <c r="CJ494"/>
      <c r="CK494"/>
      <c r="CL494"/>
      <c r="CM494"/>
      <c r="CN494"/>
      <c r="CO494"/>
      <c r="CP494"/>
      <c r="CQ494"/>
      <c r="CR494"/>
      <c r="CS494"/>
    </row>
    <row r="495" spans="2:97">
      <c r="B495"/>
      <c r="C495" s="15"/>
      <c r="D495" s="23"/>
      <c r="E495" s="23"/>
      <c r="F495" s="23"/>
      <c r="G495" s="23">
        <f t="shared" si="33"/>
        <v>0</v>
      </c>
      <c r="H495" s="23" t="e" cm="1">
        <f t="array" ref="H495">INDEX('GLOBAL LOG'!#REF!,ROW()-169+15)</f>
        <v>#REF!</v>
      </c>
      <c r="I495" s="23" t="e">
        <f>_xlfn.XLOOKUP(H495,#REF!,#REF!,"",0,1)</f>
        <v>#REF!</v>
      </c>
      <c r="J495" s="23" t="str">
        <f>IFERROR(I495*#REF!,"")</f>
        <v/>
      </c>
      <c r="K495" s="23" t="e" cm="1">
        <f t="array" ref="K495">INDEX('GLOBAL LOG'!#REF!,ROW()-169+15)</f>
        <v>#REF!</v>
      </c>
      <c r="L495" s="23" t="e">
        <f>_xlfn.XLOOKUP(K495,#REF!,#REF!,"",0,1)</f>
        <v>#REF!</v>
      </c>
      <c r="M495" s="23" t="str">
        <f>IFERROR(L495*#REF!,"")</f>
        <v/>
      </c>
      <c r="N495" s="23">
        <f t="shared" si="34"/>
        <v>-1</v>
      </c>
      <c r="O495" s="23">
        <f t="shared" si="35"/>
        <v>-1</v>
      </c>
      <c r="P495" s="23">
        <f t="shared" si="36"/>
        <v>-1</v>
      </c>
      <c r="Q495" s="24">
        <f t="shared" si="37"/>
        <v>-1</v>
      </c>
      <c r="R495" s="3"/>
      <c r="S495" s="1">
        <v>0</v>
      </c>
      <c r="T495" s="24">
        <v>-1</v>
      </c>
      <c r="U495"/>
      <c r="V495" s="1">
        <v>0</v>
      </c>
      <c r="W495" s="24">
        <v>-1</v>
      </c>
      <c r="X495"/>
      <c r="Y495" s="1">
        <v>0</v>
      </c>
      <c r="Z495" s="24">
        <v>-1</v>
      </c>
      <c r="AA495"/>
      <c r="AB495" s="1">
        <v>0</v>
      </c>
      <c r="AC495" s="24">
        <v>-1</v>
      </c>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c r="CC495"/>
      <c r="CD495"/>
      <c r="CE495"/>
      <c r="CF495"/>
      <c r="CG495"/>
      <c r="CH495"/>
      <c r="CI495"/>
      <c r="CJ495"/>
      <c r="CK495"/>
      <c r="CL495"/>
      <c r="CM495"/>
      <c r="CN495"/>
      <c r="CO495"/>
      <c r="CP495"/>
      <c r="CQ495"/>
      <c r="CR495"/>
      <c r="CS495"/>
    </row>
    <row r="496" spans="2:97">
      <c r="B496"/>
      <c r="C496" s="15"/>
      <c r="D496" s="23"/>
      <c r="E496" s="23"/>
      <c r="F496" s="23"/>
      <c r="G496" s="23">
        <f t="shared" si="33"/>
        <v>0</v>
      </c>
      <c r="H496" s="23" t="e" cm="1">
        <f t="array" ref="H496">INDEX('GLOBAL LOG'!#REF!,ROW()-169+15)</f>
        <v>#REF!</v>
      </c>
      <c r="I496" s="23" t="e">
        <f>_xlfn.XLOOKUP(H496,#REF!,#REF!,"",0,1)</f>
        <v>#REF!</v>
      </c>
      <c r="J496" s="23" t="str">
        <f>IFERROR(I496*#REF!,"")</f>
        <v/>
      </c>
      <c r="K496" s="23" t="e" cm="1">
        <f t="array" ref="K496">INDEX('GLOBAL LOG'!#REF!,ROW()-169+15)</f>
        <v>#REF!</v>
      </c>
      <c r="L496" s="23" t="e">
        <f>_xlfn.XLOOKUP(K496,#REF!,#REF!,"",0,1)</f>
        <v>#REF!</v>
      </c>
      <c r="M496" s="23" t="str">
        <f>IFERROR(L496*#REF!,"")</f>
        <v/>
      </c>
      <c r="N496" s="23">
        <f t="shared" si="34"/>
        <v>-1</v>
      </c>
      <c r="O496" s="23">
        <f t="shared" si="35"/>
        <v>-1</v>
      </c>
      <c r="P496" s="23">
        <f t="shared" si="36"/>
        <v>-1</v>
      </c>
      <c r="Q496" s="24">
        <f t="shared" si="37"/>
        <v>-1</v>
      </c>
      <c r="R496" s="3"/>
      <c r="S496" s="1">
        <v>0</v>
      </c>
      <c r="T496" s="24">
        <v>-1</v>
      </c>
      <c r="U496"/>
      <c r="V496" s="1">
        <v>0</v>
      </c>
      <c r="W496" s="24">
        <v>-1</v>
      </c>
      <c r="X496"/>
      <c r="Y496" s="1">
        <v>0</v>
      </c>
      <c r="Z496" s="24">
        <v>-1</v>
      </c>
      <c r="AA496"/>
      <c r="AB496" s="1">
        <v>0</v>
      </c>
      <c r="AC496" s="24">
        <v>-1</v>
      </c>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c r="CC496"/>
      <c r="CD496"/>
      <c r="CE496"/>
      <c r="CF496"/>
      <c r="CG496"/>
      <c r="CH496"/>
      <c r="CI496"/>
      <c r="CJ496"/>
      <c r="CK496"/>
      <c r="CL496"/>
      <c r="CM496"/>
      <c r="CN496"/>
      <c r="CO496"/>
      <c r="CP496"/>
      <c r="CQ496"/>
      <c r="CR496"/>
      <c r="CS496"/>
    </row>
    <row r="497" spans="2:97">
      <c r="B497"/>
      <c r="C497" s="15"/>
      <c r="D497" s="23"/>
      <c r="E497" s="23"/>
      <c r="F497" s="23"/>
      <c r="G497" s="23">
        <f t="shared" si="33"/>
        <v>0</v>
      </c>
      <c r="H497" s="23" t="e" cm="1">
        <f t="array" ref="H497">INDEX('GLOBAL LOG'!#REF!,ROW()-169+15)</f>
        <v>#REF!</v>
      </c>
      <c r="I497" s="23" t="e">
        <f>_xlfn.XLOOKUP(H497,#REF!,#REF!,"",0,1)</f>
        <v>#REF!</v>
      </c>
      <c r="J497" s="23" t="str">
        <f>IFERROR(I497*#REF!,"")</f>
        <v/>
      </c>
      <c r="K497" s="23" t="e" cm="1">
        <f t="array" ref="K497">INDEX('GLOBAL LOG'!#REF!,ROW()-169+15)</f>
        <v>#REF!</v>
      </c>
      <c r="L497" s="23" t="e">
        <f>_xlfn.XLOOKUP(K497,#REF!,#REF!,"",0,1)</f>
        <v>#REF!</v>
      </c>
      <c r="M497" s="23" t="str">
        <f>IFERROR(L497*#REF!,"")</f>
        <v/>
      </c>
      <c r="N497" s="23">
        <f t="shared" si="34"/>
        <v>-1</v>
      </c>
      <c r="O497" s="23">
        <f t="shared" si="35"/>
        <v>-1</v>
      </c>
      <c r="P497" s="23">
        <f t="shared" si="36"/>
        <v>-1</v>
      </c>
      <c r="Q497" s="24">
        <f t="shared" si="37"/>
        <v>-1</v>
      </c>
      <c r="R497" s="3"/>
      <c r="S497" s="1">
        <v>0</v>
      </c>
      <c r="T497" s="24">
        <v>-1</v>
      </c>
      <c r="U497"/>
      <c r="V497" s="1">
        <v>0</v>
      </c>
      <c r="W497" s="24">
        <v>-1</v>
      </c>
      <c r="X497"/>
      <c r="Y497" s="1">
        <v>0</v>
      </c>
      <c r="Z497" s="24">
        <v>-1</v>
      </c>
      <c r="AA497"/>
      <c r="AB497" s="1">
        <v>0</v>
      </c>
      <c r="AC497" s="24">
        <v>-1</v>
      </c>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c r="CE497"/>
      <c r="CF497"/>
      <c r="CG497"/>
      <c r="CH497"/>
      <c r="CI497"/>
      <c r="CJ497"/>
      <c r="CK497"/>
      <c r="CL497"/>
      <c r="CM497"/>
      <c r="CN497"/>
      <c r="CO497"/>
      <c r="CP497"/>
      <c r="CQ497"/>
      <c r="CR497"/>
      <c r="CS497"/>
    </row>
    <row r="498" spans="2:97">
      <c r="B498"/>
      <c r="C498" s="15"/>
      <c r="D498" s="23"/>
      <c r="E498" s="23"/>
      <c r="F498" s="23"/>
      <c r="G498" s="23">
        <f t="shared" si="33"/>
        <v>0</v>
      </c>
      <c r="H498" s="23" t="e" cm="1">
        <f t="array" ref="H498">INDEX('GLOBAL LOG'!#REF!,ROW()-169+15)</f>
        <v>#REF!</v>
      </c>
      <c r="I498" s="23" t="e">
        <f>_xlfn.XLOOKUP(H498,#REF!,#REF!,"",0,1)</f>
        <v>#REF!</v>
      </c>
      <c r="J498" s="23" t="str">
        <f>IFERROR(I498*#REF!,"")</f>
        <v/>
      </c>
      <c r="K498" s="23" t="e" cm="1">
        <f t="array" ref="K498">INDEX('GLOBAL LOG'!#REF!,ROW()-169+15)</f>
        <v>#REF!</v>
      </c>
      <c r="L498" s="23" t="e">
        <f>_xlfn.XLOOKUP(K498,#REF!,#REF!,"",0,1)</f>
        <v>#REF!</v>
      </c>
      <c r="M498" s="23" t="str">
        <f>IFERROR(L498*#REF!,"")</f>
        <v/>
      </c>
      <c r="N498" s="23">
        <f t="shared" si="34"/>
        <v>-1</v>
      </c>
      <c r="O498" s="23">
        <f t="shared" si="35"/>
        <v>-1</v>
      </c>
      <c r="P498" s="23">
        <f t="shared" si="36"/>
        <v>-1</v>
      </c>
      <c r="Q498" s="24">
        <f t="shared" si="37"/>
        <v>-1</v>
      </c>
      <c r="R498" s="3"/>
      <c r="S498" s="1">
        <v>0</v>
      </c>
      <c r="T498" s="24">
        <v>-1</v>
      </c>
      <c r="U498"/>
      <c r="V498" s="1">
        <v>0</v>
      </c>
      <c r="W498" s="24">
        <v>-1</v>
      </c>
      <c r="X498"/>
      <c r="Y498" s="1">
        <v>0</v>
      </c>
      <c r="Z498" s="24">
        <v>-1</v>
      </c>
      <c r="AA498"/>
      <c r="AB498" s="1">
        <v>0</v>
      </c>
      <c r="AC498" s="24">
        <v>-1</v>
      </c>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c r="CC498"/>
      <c r="CD498"/>
      <c r="CE498"/>
      <c r="CF498"/>
      <c r="CG498"/>
      <c r="CH498"/>
      <c r="CI498"/>
      <c r="CJ498"/>
      <c r="CK498"/>
      <c r="CL498"/>
      <c r="CM498"/>
      <c r="CN498"/>
      <c r="CO498"/>
      <c r="CP498"/>
      <c r="CQ498"/>
      <c r="CR498"/>
      <c r="CS498"/>
    </row>
    <row r="499" spans="2:97">
      <c r="B499"/>
      <c r="C499" s="15"/>
      <c r="D499" s="23"/>
      <c r="E499" s="23"/>
      <c r="F499" s="23"/>
      <c r="G499" s="23">
        <f t="shared" si="33"/>
        <v>0</v>
      </c>
      <c r="H499" s="23" t="e" cm="1">
        <f t="array" ref="H499">INDEX('GLOBAL LOG'!#REF!,ROW()-169+15)</f>
        <v>#REF!</v>
      </c>
      <c r="I499" s="23" t="e">
        <f>_xlfn.XLOOKUP(H499,#REF!,#REF!,"",0,1)</f>
        <v>#REF!</v>
      </c>
      <c r="J499" s="23" t="str">
        <f>IFERROR(I499*#REF!,"")</f>
        <v/>
      </c>
      <c r="K499" s="23" t="e" cm="1">
        <f t="array" ref="K499">INDEX('GLOBAL LOG'!#REF!,ROW()-169+15)</f>
        <v>#REF!</v>
      </c>
      <c r="L499" s="23" t="e">
        <f>_xlfn.XLOOKUP(K499,#REF!,#REF!,"",0,1)</f>
        <v>#REF!</v>
      </c>
      <c r="M499" s="23" t="str">
        <f>IFERROR(L499*#REF!,"")</f>
        <v/>
      </c>
      <c r="N499" s="23">
        <f t="shared" si="34"/>
        <v>-1</v>
      </c>
      <c r="O499" s="23">
        <f t="shared" si="35"/>
        <v>-1</v>
      </c>
      <c r="P499" s="23">
        <f t="shared" si="36"/>
        <v>-1</v>
      </c>
      <c r="Q499" s="24">
        <f t="shared" si="37"/>
        <v>-1</v>
      </c>
      <c r="R499" s="3"/>
      <c r="S499" s="1">
        <v>0</v>
      </c>
      <c r="T499" s="24">
        <v>-1</v>
      </c>
      <c r="U499"/>
      <c r="V499" s="1">
        <v>0</v>
      </c>
      <c r="W499" s="24">
        <v>-1</v>
      </c>
      <c r="X499"/>
      <c r="Y499" s="1">
        <v>0</v>
      </c>
      <c r="Z499" s="24">
        <v>-1</v>
      </c>
      <c r="AA499"/>
      <c r="AB499" s="1">
        <v>0</v>
      </c>
      <c r="AC499" s="24">
        <v>-1</v>
      </c>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c r="CC499"/>
      <c r="CD499"/>
      <c r="CE499"/>
      <c r="CF499"/>
      <c r="CG499"/>
      <c r="CH499"/>
      <c r="CI499"/>
      <c r="CJ499"/>
      <c r="CK499"/>
      <c r="CL499"/>
      <c r="CM499"/>
      <c r="CN499"/>
      <c r="CO499"/>
      <c r="CP499"/>
      <c r="CQ499"/>
      <c r="CR499"/>
      <c r="CS499"/>
    </row>
    <row r="500" spans="2:97">
      <c r="B500"/>
      <c r="C500" s="15"/>
      <c r="D500" s="23"/>
      <c r="E500" s="23"/>
      <c r="F500" s="23"/>
      <c r="G500" s="23">
        <f t="shared" si="33"/>
        <v>0</v>
      </c>
      <c r="H500" s="23" t="e" cm="1">
        <f t="array" ref="H500">INDEX('GLOBAL LOG'!#REF!,ROW()-169+15)</f>
        <v>#REF!</v>
      </c>
      <c r="I500" s="23" t="e">
        <f>_xlfn.XLOOKUP(H500,#REF!,#REF!,"",0,1)</f>
        <v>#REF!</v>
      </c>
      <c r="J500" s="23" t="str">
        <f>IFERROR(I500*#REF!,"")</f>
        <v/>
      </c>
      <c r="K500" s="23" t="e" cm="1">
        <f t="array" ref="K500">INDEX('GLOBAL LOG'!#REF!,ROW()-169+15)</f>
        <v>#REF!</v>
      </c>
      <c r="L500" s="23" t="e">
        <f>_xlfn.XLOOKUP(K500,#REF!,#REF!,"",0,1)</f>
        <v>#REF!</v>
      </c>
      <c r="M500" s="23" t="str">
        <f>IFERROR(L500*#REF!,"")</f>
        <v/>
      </c>
      <c r="N500" s="23">
        <f t="shared" si="34"/>
        <v>-1</v>
      </c>
      <c r="O500" s="23">
        <f t="shared" si="35"/>
        <v>-1</v>
      </c>
      <c r="P500" s="23">
        <f t="shared" si="36"/>
        <v>-1</v>
      </c>
      <c r="Q500" s="24">
        <f t="shared" si="37"/>
        <v>-1</v>
      </c>
      <c r="R500" s="3"/>
      <c r="S500" s="1">
        <v>0</v>
      </c>
      <c r="T500" s="24">
        <v>-1</v>
      </c>
      <c r="U500"/>
      <c r="V500" s="1">
        <v>0</v>
      </c>
      <c r="W500" s="24">
        <v>-1</v>
      </c>
      <c r="X500"/>
      <c r="Y500" s="1">
        <v>0</v>
      </c>
      <c r="Z500" s="24">
        <v>-1</v>
      </c>
      <c r="AA500"/>
      <c r="AB500" s="1">
        <v>0</v>
      </c>
      <c r="AC500" s="24">
        <v>-1</v>
      </c>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c r="CC500"/>
      <c r="CD500"/>
      <c r="CE500"/>
      <c r="CF500"/>
      <c r="CG500"/>
      <c r="CH500"/>
      <c r="CI500"/>
      <c r="CJ500"/>
      <c r="CK500"/>
      <c r="CL500"/>
      <c r="CM500"/>
      <c r="CN500"/>
      <c r="CO500"/>
      <c r="CP500"/>
      <c r="CQ500"/>
      <c r="CR500"/>
      <c r="CS500"/>
    </row>
    <row r="501" spans="2:97">
      <c r="B501"/>
      <c r="C501" s="15"/>
      <c r="D501" s="23"/>
      <c r="E501" s="23"/>
      <c r="F501" s="23"/>
      <c r="G501" s="23">
        <f t="shared" si="33"/>
        <v>0</v>
      </c>
      <c r="H501" s="23" t="e" cm="1">
        <f t="array" ref="H501">INDEX('GLOBAL LOG'!#REF!,ROW()-169+15)</f>
        <v>#REF!</v>
      </c>
      <c r="I501" s="23" t="e">
        <f>_xlfn.XLOOKUP(H501,#REF!,#REF!,"",0,1)</f>
        <v>#REF!</v>
      </c>
      <c r="J501" s="23" t="str">
        <f>IFERROR(I501*#REF!,"")</f>
        <v/>
      </c>
      <c r="K501" s="23" t="e" cm="1">
        <f t="array" ref="K501">INDEX('GLOBAL LOG'!#REF!,ROW()-169+15)</f>
        <v>#REF!</v>
      </c>
      <c r="L501" s="23" t="e">
        <f>_xlfn.XLOOKUP(K501,#REF!,#REF!,"",0,1)</f>
        <v>#REF!</v>
      </c>
      <c r="M501" s="23" t="str">
        <f>IFERROR(L501*#REF!,"")</f>
        <v/>
      </c>
      <c r="N501" s="23">
        <f t="shared" si="34"/>
        <v>-1</v>
      </c>
      <c r="O501" s="23">
        <f t="shared" si="35"/>
        <v>-1</v>
      </c>
      <c r="P501" s="23">
        <f t="shared" si="36"/>
        <v>-1</v>
      </c>
      <c r="Q501" s="24">
        <f t="shared" si="37"/>
        <v>-1</v>
      </c>
      <c r="R501" s="3"/>
      <c r="S501" s="1">
        <v>0</v>
      </c>
      <c r="T501" s="24">
        <v>-1</v>
      </c>
      <c r="U501"/>
      <c r="V501" s="1">
        <v>0</v>
      </c>
      <c r="W501" s="24">
        <v>-1</v>
      </c>
      <c r="X501"/>
      <c r="Y501" s="1">
        <v>0</v>
      </c>
      <c r="Z501" s="24">
        <v>-1</v>
      </c>
      <c r="AA501"/>
      <c r="AB501" s="1">
        <v>0</v>
      </c>
      <c r="AC501" s="24">
        <v>-1</v>
      </c>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c r="CD501"/>
      <c r="CE501"/>
      <c r="CF501"/>
      <c r="CG501"/>
      <c r="CH501"/>
      <c r="CI501"/>
      <c r="CJ501"/>
      <c r="CK501"/>
      <c r="CL501"/>
      <c r="CM501"/>
      <c r="CN501"/>
      <c r="CO501"/>
      <c r="CP501"/>
      <c r="CQ501"/>
      <c r="CR501"/>
      <c r="CS501"/>
    </row>
    <row r="502" spans="2:97">
      <c r="B502"/>
      <c r="C502" s="15"/>
      <c r="D502" s="23"/>
      <c r="E502" s="23"/>
      <c r="F502" s="23"/>
      <c r="G502" s="23">
        <f t="shared" si="33"/>
        <v>0</v>
      </c>
      <c r="H502" s="23" t="e" cm="1">
        <f t="array" ref="H502">INDEX('GLOBAL LOG'!#REF!,ROW()-169+15)</f>
        <v>#REF!</v>
      </c>
      <c r="I502" s="23" t="e">
        <f>_xlfn.XLOOKUP(H502,#REF!,#REF!,"",0,1)</f>
        <v>#REF!</v>
      </c>
      <c r="J502" s="23" t="str">
        <f>IFERROR(I502*#REF!,"")</f>
        <v/>
      </c>
      <c r="K502" s="23" t="e" cm="1">
        <f t="array" ref="K502">INDEX('GLOBAL LOG'!#REF!,ROW()-169+15)</f>
        <v>#REF!</v>
      </c>
      <c r="L502" s="23" t="e">
        <f>_xlfn.XLOOKUP(K502,#REF!,#REF!,"",0,1)</f>
        <v>#REF!</v>
      </c>
      <c r="M502" s="23" t="str">
        <f>IFERROR(L502*#REF!,"")</f>
        <v/>
      </c>
      <c r="N502" s="23">
        <f t="shared" si="34"/>
        <v>-1</v>
      </c>
      <c r="O502" s="23">
        <f t="shared" si="35"/>
        <v>-1</v>
      </c>
      <c r="P502" s="23">
        <f t="shared" si="36"/>
        <v>-1</v>
      </c>
      <c r="Q502" s="24">
        <f t="shared" si="37"/>
        <v>-1</v>
      </c>
      <c r="R502" s="3"/>
      <c r="S502" s="1">
        <v>0</v>
      </c>
      <c r="T502" s="24">
        <v>-1</v>
      </c>
      <c r="U502"/>
      <c r="V502" s="1">
        <v>0</v>
      </c>
      <c r="W502" s="24">
        <v>-1</v>
      </c>
      <c r="X502"/>
      <c r="Y502" s="1">
        <v>0</v>
      </c>
      <c r="Z502" s="24">
        <v>-1</v>
      </c>
      <c r="AA502"/>
      <c r="AB502" s="1">
        <v>0</v>
      </c>
      <c r="AC502" s="24">
        <v>-1</v>
      </c>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c r="CD502"/>
      <c r="CE502"/>
      <c r="CF502"/>
      <c r="CG502"/>
      <c r="CH502"/>
      <c r="CI502"/>
      <c r="CJ502"/>
      <c r="CK502"/>
      <c r="CL502"/>
      <c r="CM502"/>
      <c r="CN502"/>
      <c r="CO502"/>
      <c r="CP502"/>
      <c r="CQ502"/>
      <c r="CR502"/>
      <c r="CS502"/>
    </row>
    <row r="503" spans="2:97">
      <c r="B503"/>
      <c r="C503" s="15"/>
      <c r="D503" s="23"/>
      <c r="E503" s="23"/>
      <c r="F503" s="23"/>
      <c r="G503" s="23">
        <f t="shared" si="33"/>
        <v>0</v>
      </c>
      <c r="H503" s="23" t="e" cm="1">
        <f t="array" ref="H503">INDEX('GLOBAL LOG'!#REF!,ROW()-169+15)</f>
        <v>#REF!</v>
      </c>
      <c r="I503" s="23" t="e">
        <f>_xlfn.XLOOKUP(H503,#REF!,#REF!,"",0,1)</f>
        <v>#REF!</v>
      </c>
      <c r="J503" s="23" t="str">
        <f>IFERROR(I503*#REF!,"")</f>
        <v/>
      </c>
      <c r="K503" s="23" t="e" cm="1">
        <f t="array" ref="K503">INDEX('GLOBAL LOG'!#REF!,ROW()-169+15)</f>
        <v>#REF!</v>
      </c>
      <c r="L503" s="23" t="e">
        <f>_xlfn.XLOOKUP(K503,#REF!,#REF!,"",0,1)</f>
        <v>#REF!</v>
      </c>
      <c r="M503" s="23" t="str">
        <f>IFERROR(L503*#REF!,"")</f>
        <v/>
      </c>
      <c r="N503" s="23">
        <f t="shared" si="34"/>
        <v>-1</v>
      </c>
      <c r="O503" s="23">
        <f t="shared" si="35"/>
        <v>-1</v>
      </c>
      <c r="P503" s="23">
        <f t="shared" si="36"/>
        <v>-1</v>
      </c>
      <c r="Q503" s="24">
        <f t="shared" si="37"/>
        <v>-1</v>
      </c>
      <c r="R503" s="3"/>
      <c r="S503" s="1">
        <v>0</v>
      </c>
      <c r="T503" s="24">
        <v>-1</v>
      </c>
      <c r="U503"/>
      <c r="V503" s="1">
        <v>0</v>
      </c>
      <c r="W503" s="24">
        <v>-1</v>
      </c>
      <c r="X503"/>
      <c r="Y503" s="1">
        <v>0</v>
      </c>
      <c r="Z503" s="24">
        <v>-1</v>
      </c>
      <c r="AA503"/>
      <c r="AB503" s="1">
        <v>0</v>
      </c>
      <c r="AC503" s="24">
        <v>-1</v>
      </c>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c r="CC503"/>
      <c r="CD503"/>
      <c r="CE503"/>
      <c r="CF503"/>
      <c r="CG503"/>
      <c r="CH503"/>
      <c r="CI503"/>
      <c r="CJ503"/>
      <c r="CK503"/>
      <c r="CL503"/>
      <c r="CM503"/>
      <c r="CN503"/>
      <c r="CO503"/>
      <c r="CP503"/>
      <c r="CQ503"/>
      <c r="CR503"/>
      <c r="CS503"/>
    </row>
    <row r="504" spans="2:97">
      <c r="B504"/>
      <c r="C504" s="15"/>
      <c r="D504" s="23"/>
      <c r="E504" s="23"/>
      <c r="F504" s="23"/>
      <c r="G504" s="23">
        <f t="shared" si="33"/>
        <v>0</v>
      </c>
      <c r="H504" s="23" t="e" cm="1">
        <f t="array" ref="H504">INDEX('GLOBAL LOG'!#REF!,ROW()-169+15)</f>
        <v>#REF!</v>
      </c>
      <c r="I504" s="23" t="e">
        <f>_xlfn.XLOOKUP(H504,#REF!,#REF!,"",0,1)</f>
        <v>#REF!</v>
      </c>
      <c r="J504" s="23" t="str">
        <f>IFERROR(I504*#REF!,"")</f>
        <v/>
      </c>
      <c r="K504" s="23" t="e" cm="1">
        <f t="array" ref="K504">INDEX('GLOBAL LOG'!#REF!,ROW()-169+15)</f>
        <v>#REF!</v>
      </c>
      <c r="L504" s="23" t="e">
        <f>_xlfn.XLOOKUP(K504,#REF!,#REF!,"",0,1)</f>
        <v>#REF!</v>
      </c>
      <c r="M504" s="23" t="str">
        <f>IFERROR(L504*#REF!,"")</f>
        <v/>
      </c>
      <c r="N504" s="23">
        <f t="shared" si="34"/>
        <v>-1</v>
      </c>
      <c r="O504" s="23">
        <f t="shared" si="35"/>
        <v>-1</v>
      </c>
      <c r="P504" s="23">
        <f t="shared" si="36"/>
        <v>-1</v>
      </c>
      <c r="Q504" s="24">
        <f t="shared" si="37"/>
        <v>-1</v>
      </c>
      <c r="R504" s="3"/>
      <c r="S504" s="1">
        <v>0</v>
      </c>
      <c r="T504" s="24">
        <v>-1</v>
      </c>
      <c r="U504"/>
      <c r="V504" s="1">
        <v>0</v>
      </c>
      <c r="W504" s="24">
        <v>-1</v>
      </c>
      <c r="X504"/>
      <c r="Y504" s="1">
        <v>0</v>
      </c>
      <c r="Z504" s="24">
        <v>-1</v>
      </c>
      <c r="AA504"/>
      <c r="AB504" s="1">
        <v>0</v>
      </c>
      <c r="AC504" s="24">
        <v>-1</v>
      </c>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c r="CC504"/>
      <c r="CD504"/>
      <c r="CE504"/>
      <c r="CF504"/>
      <c r="CG504"/>
      <c r="CH504"/>
      <c r="CI504"/>
      <c r="CJ504"/>
      <c r="CK504"/>
      <c r="CL504"/>
      <c r="CM504"/>
      <c r="CN504"/>
      <c r="CO504"/>
      <c r="CP504"/>
      <c r="CQ504"/>
      <c r="CR504"/>
      <c r="CS504"/>
    </row>
    <row r="505" spans="2:97">
      <c r="B505"/>
      <c r="C505" s="15"/>
      <c r="D505" s="23"/>
      <c r="E505" s="23"/>
      <c r="F505" s="23"/>
      <c r="G505" s="23">
        <f t="shared" si="33"/>
        <v>0</v>
      </c>
      <c r="H505" s="23" t="e" cm="1">
        <f t="array" ref="H505">INDEX('GLOBAL LOG'!#REF!,ROW()-169+15)</f>
        <v>#REF!</v>
      </c>
      <c r="I505" s="23" t="e">
        <f>_xlfn.XLOOKUP(H505,#REF!,#REF!,"",0,1)</f>
        <v>#REF!</v>
      </c>
      <c r="J505" s="23" t="str">
        <f>IFERROR(I505*#REF!,"")</f>
        <v/>
      </c>
      <c r="K505" s="23" t="e" cm="1">
        <f t="array" ref="K505">INDEX('GLOBAL LOG'!#REF!,ROW()-169+15)</f>
        <v>#REF!</v>
      </c>
      <c r="L505" s="23" t="e">
        <f>_xlfn.XLOOKUP(K505,#REF!,#REF!,"",0,1)</f>
        <v>#REF!</v>
      </c>
      <c r="M505" s="23" t="str">
        <f>IFERROR(L505*#REF!,"")</f>
        <v/>
      </c>
      <c r="N505" s="23">
        <f t="shared" si="34"/>
        <v>-1</v>
      </c>
      <c r="O505" s="23">
        <f t="shared" si="35"/>
        <v>-1</v>
      </c>
      <c r="P505" s="23">
        <f t="shared" si="36"/>
        <v>-1</v>
      </c>
      <c r="Q505" s="24">
        <f t="shared" si="37"/>
        <v>-1</v>
      </c>
      <c r="R505" s="3"/>
      <c r="S505" s="1">
        <v>0</v>
      </c>
      <c r="T505" s="24">
        <v>-1</v>
      </c>
      <c r="U505"/>
      <c r="V505" s="1">
        <v>0</v>
      </c>
      <c r="W505" s="24">
        <v>-1</v>
      </c>
      <c r="X505"/>
      <c r="Y505" s="1">
        <v>0</v>
      </c>
      <c r="Z505" s="24">
        <v>-1</v>
      </c>
      <c r="AA505"/>
      <c r="AB505" s="1">
        <v>0</v>
      </c>
      <c r="AC505" s="24">
        <v>-1</v>
      </c>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c r="CC505"/>
      <c r="CD505"/>
      <c r="CE505"/>
      <c r="CF505"/>
      <c r="CG505"/>
      <c r="CH505"/>
      <c r="CI505"/>
      <c r="CJ505"/>
      <c r="CK505"/>
      <c r="CL505"/>
      <c r="CM505"/>
      <c r="CN505"/>
      <c r="CO505"/>
      <c r="CP505"/>
      <c r="CQ505"/>
      <c r="CR505"/>
      <c r="CS505"/>
    </row>
    <row r="506" spans="2:97">
      <c r="B506"/>
      <c r="C506" s="15"/>
      <c r="D506" s="23"/>
      <c r="E506" s="23"/>
      <c r="F506" s="23"/>
      <c r="G506" s="23">
        <f t="shared" si="33"/>
        <v>0</v>
      </c>
      <c r="H506" s="23" t="e" cm="1">
        <f t="array" ref="H506">INDEX('GLOBAL LOG'!#REF!,ROW()-169+15)</f>
        <v>#REF!</v>
      </c>
      <c r="I506" s="23" t="e">
        <f>_xlfn.XLOOKUP(H506,#REF!,#REF!,"",0,1)</f>
        <v>#REF!</v>
      </c>
      <c r="J506" s="23" t="str">
        <f>IFERROR(I506*#REF!,"")</f>
        <v/>
      </c>
      <c r="K506" s="23" t="e" cm="1">
        <f t="array" ref="K506">INDEX('GLOBAL LOG'!#REF!,ROW()-169+15)</f>
        <v>#REF!</v>
      </c>
      <c r="L506" s="23" t="e">
        <f>_xlfn.XLOOKUP(K506,#REF!,#REF!,"",0,1)</f>
        <v>#REF!</v>
      </c>
      <c r="M506" s="23" t="str">
        <f>IFERROR(L506*#REF!,"")</f>
        <v/>
      </c>
      <c r="N506" s="23">
        <f t="shared" si="34"/>
        <v>-1</v>
      </c>
      <c r="O506" s="23">
        <f t="shared" si="35"/>
        <v>-1</v>
      </c>
      <c r="P506" s="23">
        <f t="shared" si="36"/>
        <v>-1</v>
      </c>
      <c r="Q506" s="24">
        <f t="shared" si="37"/>
        <v>-1</v>
      </c>
      <c r="R506" s="3"/>
      <c r="S506" s="1">
        <v>0</v>
      </c>
      <c r="T506" s="24">
        <v>-1</v>
      </c>
      <c r="U506"/>
      <c r="V506" s="1">
        <v>0</v>
      </c>
      <c r="W506" s="24">
        <v>-1</v>
      </c>
      <c r="X506"/>
      <c r="Y506" s="1">
        <v>0</v>
      </c>
      <c r="Z506" s="24">
        <v>-1</v>
      </c>
      <c r="AA506"/>
      <c r="AB506" s="1">
        <v>0</v>
      </c>
      <c r="AC506" s="24">
        <v>-1</v>
      </c>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c r="CE506"/>
      <c r="CF506"/>
      <c r="CG506"/>
      <c r="CH506"/>
      <c r="CI506"/>
      <c r="CJ506"/>
      <c r="CK506"/>
      <c r="CL506"/>
      <c r="CM506"/>
      <c r="CN506"/>
      <c r="CO506"/>
      <c r="CP506"/>
      <c r="CQ506"/>
      <c r="CR506"/>
      <c r="CS506"/>
    </row>
    <row r="507" spans="2:97">
      <c r="B507"/>
      <c r="C507" s="15"/>
      <c r="D507" s="23"/>
      <c r="E507" s="23"/>
      <c r="F507" s="23"/>
      <c r="G507" s="23">
        <f t="shared" si="33"/>
        <v>0</v>
      </c>
      <c r="H507" s="23" t="e" cm="1">
        <f t="array" ref="H507">INDEX('GLOBAL LOG'!#REF!,ROW()-169+15)</f>
        <v>#REF!</v>
      </c>
      <c r="I507" s="23" t="e">
        <f>_xlfn.XLOOKUP(H507,#REF!,#REF!,"",0,1)</f>
        <v>#REF!</v>
      </c>
      <c r="J507" s="23" t="str">
        <f>IFERROR(I507*#REF!,"")</f>
        <v/>
      </c>
      <c r="K507" s="23" t="e" cm="1">
        <f t="array" ref="K507">INDEX('GLOBAL LOG'!#REF!,ROW()-169+15)</f>
        <v>#REF!</v>
      </c>
      <c r="L507" s="23" t="e">
        <f>_xlfn.XLOOKUP(K507,#REF!,#REF!,"",0,1)</f>
        <v>#REF!</v>
      </c>
      <c r="M507" s="23" t="str">
        <f>IFERROR(L507*#REF!,"")</f>
        <v/>
      </c>
      <c r="N507" s="23">
        <f t="shared" si="34"/>
        <v>-1</v>
      </c>
      <c r="O507" s="23">
        <f t="shared" si="35"/>
        <v>-1</v>
      </c>
      <c r="P507" s="23">
        <f t="shared" si="36"/>
        <v>-1</v>
      </c>
      <c r="Q507" s="24">
        <f t="shared" si="37"/>
        <v>-1</v>
      </c>
      <c r="R507" s="3"/>
      <c r="S507" s="1">
        <v>0</v>
      </c>
      <c r="T507" s="24">
        <v>-1</v>
      </c>
      <c r="U507"/>
      <c r="V507" s="1">
        <v>0</v>
      </c>
      <c r="W507" s="24">
        <v>-1</v>
      </c>
      <c r="X507"/>
      <c r="Y507" s="1">
        <v>0</v>
      </c>
      <c r="Z507" s="24">
        <v>-1</v>
      </c>
      <c r="AA507"/>
      <c r="AB507" s="1">
        <v>0</v>
      </c>
      <c r="AC507" s="24">
        <v>-1</v>
      </c>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c r="CE507"/>
      <c r="CF507"/>
      <c r="CG507"/>
      <c r="CH507"/>
      <c r="CI507"/>
      <c r="CJ507"/>
      <c r="CK507"/>
      <c r="CL507"/>
      <c r="CM507"/>
      <c r="CN507"/>
      <c r="CO507"/>
      <c r="CP507"/>
      <c r="CQ507"/>
      <c r="CR507"/>
      <c r="CS507"/>
    </row>
    <row r="508" spans="2:97">
      <c r="B508"/>
      <c r="C508" s="15"/>
      <c r="D508" s="23"/>
      <c r="E508" s="23"/>
      <c r="F508" s="23"/>
      <c r="G508" s="23">
        <f t="shared" si="33"/>
        <v>0</v>
      </c>
      <c r="H508" s="23" t="e" cm="1">
        <f t="array" ref="H508">INDEX('GLOBAL LOG'!#REF!,ROW()-169+15)</f>
        <v>#REF!</v>
      </c>
      <c r="I508" s="23" t="e">
        <f>_xlfn.XLOOKUP(H508,#REF!,#REF!,"",0,1)</f>
        <v>#REF!</v>
      </c>
      <c r="J508" s="23" t="str">
        <f>IFERROR(I508*#REF!,"")</f>
        <v/>
      </c>
      <c r="K508" s="23" t="e" cm="1">
        <f t="array" ref="K508">INDEX('GLOBAL LOG'!#REF!,ROW()-169+15)</f>
        <v>#REF!</v>
      </c>
      <c r="L508" s="23" t="e">
        <f>_xlfn.XLOOKUP(K508,#REF!,#REF!,"",0,1)</f>
        <v>#REF!</v>
      </c>
      <c r="M508" s="23" t="str">
        <f>IFERROR(L508*#REF!,"")</f>
        <v/>
      </c>
      <c r="N508" s="23">
        <f t="shared" si="34"/>
        <v>-1</v>
      </c>
      <c r="O508" s="23">
        <f t="shared" si="35"/>
        <v>-1</v>
      </c>
      <c r="P508" s="23">
        <f t="shared" si="36"/>
        <v>-1</v>
      </c>
      <c r="Q508" s="24">
        <f t="shared" si="37"/>
        <v>-1</v>
      </c>
      <c r="R508" s="3"/>
      <c r="S508" s="1">
        <v>0</v>
      </c>
      <c r="T508" s="24">
        <v>-1</v>
      </c>
      <c r="U508"/>
      <c r="V508" s="1">
        <v>0</v>
      </c>
      <c r="W508" s="24">
        <v>-1</v>
      </c>
      <c r="X508"/>
      <c r="Y508" s="1">
        <v>0</v>
      </c>
      <c r="Z508" s="24">
        <v>-1</v>
      </c>
      <c r="AA508"/>
      <c r="AB508" s="1">
        <v>0</v>
      </c>
      <c r="AC508" s="24">
        <v>-1</v>
      </c>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c r="CC508"/>
      <c r="CD508"/>
      <c r="CE508"/>
      <c r="CF508"/>
      <c r="CG508"/>
      <c r="CH508"/>
      <c r="CI508"/>
      <c r="CJ508"/>
      <c r="CK508"/>
      <c r="CL508"/>
      <c r="CM508"/>
      <c r="CN508"/>
      <c r="CO508"/>
      <c r="CP508"/>
      <c r="CQ508"/>
      <c r="CR508"/>
      <c r="CS508"/>
    </row>
    <row r="509" spans="2:97">
      <c r="B509"/>
      <c r="C509" s="15"/>
      <c r="D509" s="23"/>
      <c r="E509" s="23"/>
      <c r="F509" s="23"/>
      <c r="G509" s="23">
        <f t="shared" si="33"/>
        <v>0</v>
      </c>
      <c r="H509" s="23" t="e" cm="1">
        <f t="array" ref="H509">INDEX('GLOBAL LOG'!#REF!,ROW()-169+15)</f>
        <v>#REF!</v>
      </c>
      <c r="I509" s="23" t="e">
        <f>_xlfn.XLOOKUP(H509,#REF!,#REF!,"",0,1)</f>
        <v>#REF!</v>
      </c>
      <c r="J509" s="23" t="str">
        <f>IFERROR(I509*#REF!,"")</f>
        <v/>
      </c>
      <c r="K509" s="23" t="e" cm="1">
        <f t="array" ref="K509">INDEX('GLOBAL LOG'!#REF!,ROW()-169+15)</f>
        <v>#REF!</v>
      </c>
      <c r="L509" s="23" t="e">
        <f>_xlfn.XLOOKUP(K509,#REF!,#REF!,"",0,1)</f>
        <v>#REF!</v>
      </c>
      <c r="M509" s="23" t="str">
        <f>IFERROR(L509*#REF!,"")</f>
        <v/>
      </c>
      <c r="N509" s="23">
        <f t="shared" si="34"/>
        <v>-1</v>
      </c>
      <c r="O509" s="23">
        <f t="shared" si="35"/>
        <v>-1</v>
      </c>
      <c r="P509" s="23">
        <f t="shared" si="36"/>
        <v>-1</v>
      </c>
      <c r="Q509" s="24">
        <f t="shared" si="37"/>
        <v>-1</v>
      </c>
      <c r="R509" s="3"/>
      <c r="S509" s="1">
        <v>0</v>
      </c>
      <c r="T509" s="24">
        <v>-1</v>
      </c>
      <c r="U509"/>
      <c r="V509" s="1">
        <v>0</v>
      </c>
      <c r="W509" s="24">
        <v>-1</v>
      </c>
      <c r="X509"/>
      <c r="Y509" s="1">
        <v>0</v>
      </c>
      <c r="Z509" s="24">
        <v>-1</v>
      </c>
      <c r="AA509"/>
      <c r="AB509" s="1">
        <v>0</v>
      </c>
      <c r="AC509" s="24">
        <v>-1</v>
      </c>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c r="CC509"/>
      <c r="CD509"/>
      <c r="CE509"/>
      <c r="CF509"/>
      <c r="CG509"/>
      <c r="CH509"/>
      <c r="CI509"/>
      <c r="CJ509"/>
      <c r="CK509"/>
      <c r="CL509"/>
      <c r="CM509"/>
      <c r="CN509"/>
      <c r="CO509"/>
      <c r="CP509"/>
      <c r="CQ509"/>
      <c r="CR509"/>
      <c r="CS509"/>
    </row>
    <row r="510" spans="2:97">
      <c r="B510"/>
      <c r="C510" s="15"/>
      <c r="D510" s="23"/>
      <c r="E510" s="23"/>
      <c r="F510" s="23"/>
      <c r="G510" s="23">
        <f t="shared" si="33"/>
        <v>0</v>
      </c>
      <c r="H510" s="23" t="e" cm="1">
        <f t="array" ref="H510">INDEX('GLOBAL LOG'!#REF!,ROW()-169+15)</f>
        <v>#REF!</v>
      </c>
      <c r="I510" s="23" t="e">
        <f>_xlfn.XLOOKUP(H510,#REF!,#REF!,"",0,1)</f>
        <v>#REF!</v>
      </c>
      <c r="J510" s="23" t="str">
        <f>IFERROR(I510*#REF!,"")</f>
        <v/>
      </c>
      <c r="K510" s="23" t="e" cm="1">
        <f t="array" ref="K510">INDEX('GLOBAL LOG'!#REF!,ROW()-169+15)</f>
        <v>#REF!</v>
      </c>
      <c r="L510" s="23" t="e">
        <f>_xlfn.XLOOKUP(K510,#REF!,#REF!,"",0,1)</f>
        <v>#REF!</v>
      </c>
      <c r="M510" s="23" t="str">
        <f>IFERROR(L510*#REF!,"")</f>
        <v/>
      </c>
      <c r="N510" s="23">
        <f t="shared" si="34"/>
        <v>-1</v>
      </c>
      <c r="O510" s="23">
        <f t="shared" si="35"/>
        <v>-1</v>
      </c>
      <c r="P510" s="23">
        <f t="shared" si="36"/>
        <v>-1</v>
      </c>
      <c r="Q510" s="24">
        <f t="shared" si="37"/>
        <v>-1</v>
      </c>
      <c r="R510" s="3"/>
      <c r="S510" s="1">
        <v>0</v>
      </c>
      <c r="T510" s="24">
        <v>-1</v>
      </c>
      <c r="U510"/>
      <c r="V510" s="1">
        <v>0</v>
      </c>
      <c r="W510" s="24">
        <v>-1</v>
      </c>
      <c r="X510"/>
      <c r="Y510" s="1">
        <v>0</v>
      </c>
      <c r="Z510" s="24">
        <v>-1</v>
      </c>
      <c r="AA510"/>
      <c r="AB510" s="1">
        <v>0</v>
      </c>
      <c r="AC510" s="24">
        <v>-1</v>
      </c>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c r="CC510"/>
      <c r="CD510"/>
      <c r="CE510"/>
      <c r="CF510"/>
      <c r="CG510"/>
      <c r="CH510"/>
      <c r="CI510"/>
      <c r="CJ510"/>
      <c r="CK510"/>
      <c r="CL510"/>
      <c r="CM510"/>
      <c r="CN510"/>
      <c r="CO510"/>
      <c r="CP510"/>
      <c r="CQ510"/>
      <c r="CR510"/>
      <c r="CS510"/>
    </row>
    <row r="511" spans="2:97">
      <c r="B511"/>
      <c r="C511" s="15"/>
      <c r="D511" s="23"/>
      <c r="E511" s="23"/>
      <c r="F511" s="23"/>
      <c r="G511" s="23">
        <f t="shared" si="33"/>
        <v>0</v>
      </c>
      <c r="H511" s="23" t="e" cm="1">
        <f t="array" ref="H511">INDEX('GLOBAL LOG'!#REF!,ROW()-169+15)</f>
        <v>#REF!</v>
      </c>
      <c r="I511" s="23" t="e">
        <f>_xlfn.XLOOKUP(H511,#REF!,#REF!,"",0,1)</f>
        <v>#REF!</v>
      </c>
      <c r="J511" s="23" t="str">
        <f>IFERROR(I511*#REF!,"")</f>
        <v/>
      </c>
      <c r="K511" s="23" t="e" cm="1">
        <f t="array" ref="K511">INDEX('GLOBAL LOG'!#REF!,ROW()-169+15)</f>
        <v>#REF!</v>
      </c>
      <c r="L511" s="23" t="e">
        <f>_xlfn.XLOOKUP(K511,#REF!,#REF!,"",0,1)</f>
        <v>#REF!</v>
      </c>
      <c r="M511" s="23" t="str">
        <f>IFERROR(L511*#REF!,"")</f>
        <v/>
      </c>
      <c r="N511" s="23">
        <f t="shared" si="34"/>
        <v>-1</v>
      </c>
      <c r="O511" s="23">
        <f t="shared" si="35"/>
        <v>-1</v>
      </c>
      <c r="P511" s="23">
        <f t="shared" si="36"/>
        <v>-1</v>
      </c>
      <c r="Q511" s="24">
        <f t="shared" si="37"/>
        <v>-1</v>
      </c>
      <c r="R511" s="3"/>
      <c r="S511" s="1">
        <v>0</v>
      </c>
      <c r="T511" s="24">
        <v>-1</v>
      </c>
      <c r="U511"/>
      <c r="V511" s="1">
        <v>0</v>
      </c>
      <c r="W511" s="24">
        <v>-1</v>
      </c>
      <c r="X511"/>
      <c r="Y511" s="1">
        <v>0</v>
      </c>
      <c r="Z511" s="24">
        <v>-1</v>
      </c>
      <c r="AA511"/>
      <c r="AB511" s="1">
        <v>0</v>
      </c>
      <c r="AC511" s="24">
        <v>-1</v>
      </c>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c r="CC511"/>
      <c r="CD511"/>
      <c r="CE511"/>
      <c r="CF511"/>
      <c r="CG511"/>
      <c r="CH511"/>
      <c r="CI511"/>
      <c r="CJ511"/>
      <c r="CK511"/>
      <c r="CL511"/>
      <c r="CM511"/>
      <c r="CN511"/>
      <c r="CO511"/>
      <c r="CP511"/>
      <c r="CQ511"/>
      <c r="CR511"/>
      <c r="CS511"/>
    </row>
    <row r="512" spans="2:97">
      <c r="B512"/>
      <c r="C512" s="15"/>
      <c r="D512" s="23"/>
      <c r="E512" s="23"/>
      <c r="F512" s="23"/>
      <c r="G512" s="23">
        <f t="shared" si="33"/>
        <v>0</v>
      </c>
      <c r="H512" s="23" t="e" cm="1">
        <f t="array" ref="H512">INDEX('GLOBAL LOG'!#REF!,ROW()-169+15)</f>
        <v>#REF!</v>
      </c>
      <c r="I512" s="23" t="e">
        <f>_xlfn.XLOOKUP(H512,#REF!,#REF!,"",0,1)</f>
        <v>#REF!</v>
      </c>
      <c r="J512" s="23" t="str">
        <f>IFERROR(I512*#REF!,"")</f>
        <v/>
      </c>
      <c r="K512" s="23" t="e" cm="1">
        <f t="array" ref="K512">INDEX('GLOBAL LOG'!#REF!,ROW()-169+15)</f>
        <v>#REF!</v>
      </c>
      <c r="L512" s="23" t="e">
        <f>_xlfn.XLOOKUP(K512,#REF!,#REF!,"",0,1)</f>
        <v>#REF!</v>
      </c>
      <c r="M512" s="23" t="str">
        <f>IFERROR(L512*#REF!,"")</f>
        <v/>
      </c>
      <c r="N512" s="23">
        <f t="shared" si="34"/>
        <v>-1</v>
      </c>
      <c r="O512" s="23">
        <f t="shared" si="35"/>
        <v>-1</v>
      </c>
      <c r="P512" s="23">
        <f t="shared" si="36"/>
        <v>-1</v>
      </c>
      <c r="Q512" s="24">
        <f t="shared" si="37"/>
        <v>-1</v>
      </c>
      <c r="R512" s="3"/>
      <c r="S512" s="1">
        <v>0</v>
      </c>
      <c r="T512" s="24">
        <v>-1</v>
      </c>
      <c r="U512"/>
      <c r="V512" s="1">
        <v>0</v>
      </c>
      <c r="W512" s="24">
        <v>-1</v>
      </c>
      <c r="X512"/>
      <c r="Y512" s="1">
        <v>0</v>
      </c>
      <c r="Z512" s="24">
        <v>-1</v>
      </c>
      <c r="AA512"/>
      <c r="AB512" s="1">
        <v>0</v>
      </c>
      <c r="AC512" s="24">
        <v>-1</v>
      </c>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c r="CC512"/>
      <c r="CD512"/>
      <c r="CE512"/>
      <c r="CF512"/>
      <c r="CG512"/>
      <c r="CH512"/>
      <c r="CI512"/>
      <c r="CJ512"/>
      <c r="CK512"/>
      <c r="CL512"/>
      <c r="CM512"/>
      <c r="CN512"/>
      <c r="CO512"/>
      <c r="CP512"/>
      <c r="CQ512"/>
      <c r="CR512"/>
      <c r="CS512"/>
    </row>
    <row r="513" spans="2:97">
      <c r="B513"/>
      <c r="C513" s="15"/>
      <c r="D513" s="23"/>
      <c r="E513" s="23"/>
      <c r="F513" s="23"/>
      <c r="G513" s="23">
        <f t="shared" si="33"/>
        <v>0</v>
      </c>
      <c r="H513" s="23" t="e" cm="1">
        <f t="array" ref="H513">INDEX('GLOBAL LOG'!#REF!,ROW()-169+15)</f>
        <v>#REF!</v>
      </c>
      <c r="I513" s="23" t="e">
        <f>_xlfn.XLOOKUP(H513,#REF!,#REF!,"",0,1)</f>
        <v>#REF!</v>
      </c>
      <c r="J513" s="23" t="str">
        <f>IFERROR(I513*#REF!,"")</f>
        <v/>
      </c>
      <c r="K513" s="23" t="e" cm="1">
        <f t="array" ref="K513">INDEX('GLOBAL LOG'!#REF!,ROW()-169+15)</f>
        <v>#REF!</v>
      </c>
      <c r="L513" s="23" t="e">
        <f>_xlfn.XLOOKUP(K513,#REF!,#REF!,"",0,1)</f>
        <v>#REF!</v>
      </c>
      <c r="M513" s="23" t="str">
        <f>IFERROR(L513*#REF!,"")</f>
        <v/>
      </c>
      <c r="N513" s="23">
        <f t="shared" si="34"/>
        <v>-1</v>
      </c>
      <c r="O513" s="23">
        <f t="shared" si="35"/>
        <v>-1</v>
      </c>
      <c r="P513" s="23">
        <f t="shared" si="36"/>
        <v>-1</v>
      </c>
      <c r="Q513" s="24">
        <f t="shared" si="37"/>
        <v>-1</v>
      </c>
      <c r="R513" s="3"/>
      <c r="S513" s="1">
        <v>0</v>
      </c>
      <c r="T513" s="24">
        <v>-1</v>
      </c>
      <c r="U513"/>
      <c r="V513" s="1">
        <v>0</v>
      </c>
      <c r="W513" s="24">
        <v>-1</v>
      </c>
      <c r="X513"/>
      <c r="Y513" s="1">
        <v>0</v>
      </c>
      <c r="Z513" s="24">
        <v>-1</v>
      </c>
      <c r="AA513"/>
      <c r="AB513" s="1">
        <v>0</v>
      </c>
      <c r="AC513" s="24">
        <v>-1</v>
      </c>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c r="CC513"/>
      <c r="CD513"/>
      <c r="CE513"/>
      <c r="CF513"/>
      <c r="CG513"/>
      <c r="CH513"/>
      <c r="CI513"/>
      <c r="CJ513"/>
      <c r="CK513"/>
      <c r="CL513"/>
      <c r="CM513"/>
      <c r="CN513"/>
      <c r="CO513"/>
      <c r="CP513"/>
      <c r="CQ513"/>
      <c r="CR513"/>
      <c r="CS513"/>
    </row>
    <row r="514" spans="2:97">
      <c r="B514"/>
      <c r="C514" s="15"/>
      <c r="D514" s="23"/>
      <c r="E514" s="23"/>
      <c r="F514" s="23"/>
      <c r="G514" s="23">
        <f t="shared" si="33"/>
        <v>0</v>
      </c>
      <c r="H514" s="23" t="e" cm="1">
        <f t="array" ref="H514">INDEX('GLOBAL LOG'!#REF!,ROW()-169+15)</f>
        <v>#REF!</v>
      </c>
      <c r="I514" s="23" t="e">
        <f>_xlfn.XLOOKUP(H514,#REF!,#REF!,"",0,1)</f>
        <v>#REF!</v>
      </c>
      <c r="J514" s="23" t="str">
        <f>IFERROR(I514*#REF!,"")</f>
        <v/>
      </c>
      <c r="K514" s="23" t="e" cm="1">
        <f t="array" ref="K514">INDEX('GLOBAL LOG'!#REF!,ROW()-169+15)</f>
        <v>#REF!</v>
      </c>
      <c r="L514" s="23" t="e">
        <f>_xlfn.XLOOKUP(K514,#REF!,#REF!,"",0,1)</f>
        <v>#REF!</v>
      </c>
      <c r="M514" s="23" t="str">
        <f>IFERROR(L514*#REF!,"")</f>
        <v/>
      </c>
      <c r="N514" s="23">
        <f t="shared" si="34"/>
        <v>-1</v>
      </c>
      <c r="O514" s="23">
        <f t="shared" si="35"/>
        <v>-1</v>
      </c>
      <c r="P514" s="23">
        <f t="shared" si="36"/>
        <v>-1</v>
      </c>
      <c r="Q514" s="24">
        <f t="shared" si="37"/>
        <v>-1</v>
      </c>
      <c r="R514" s="3"/>
      <c r="S514" s="1">
        <v>0</v>
      </c>
      <c r="T514" s="24">
        <v>-1</v>
      </c>
      <c r="U514"/>
      <c r="V514" s="1">
        <v>0</v>
      </c>
      <c r="W514" s="24">
        <v>-1</v>
      </c>
      <c r="X514"/>
      <c r="Y514" s="1">
        <v>0</v>
      </c>
      <c r="Z514" s="24">
        <v>-1</v>
      </c>
      <c r="AA514"/>
      <c r="AB514" s="1">
        <v>0</v>
      </c>
      <c r="AC514" s="24">
        <v>-1</v>
      </c>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c r="CC514"/>
      <c r="CD514"/>
      <c r="CE514"/>
      <c r="CF514"/>
      <c r="CG514"/>
      <c r="CH514"/>
      <c r="CI514"/>
      <c r="CJ514"/>
      <c r="CK514"/>
      <c r="CL514"/>
      <c r="CM514"/>
      <c r="CN514"/>
      <c r="CO514"/>
      <c r="CP514"/>
      <c r="CQ514"/>
      <c r="CR514"/>
      <c r="CS514"/>
    </row>
    <row r="515" spans="2:97">
      <c r="B515"/>
      <c r="C515" s="15"/>
      <c r="D515" s="23"/>
      <c r="E515" s="23"/>
      <c r="F515" s="23"/>
      <c r="G515" s="23">
        <f t="shared" si="33"/>
        <v>0</v>
      </c>
      <c r="H515" s="23" t="e" cm="1">
        <f t="array" ref="H515">INDEX('GLOBAL LOG'!#REF!,ROW()-169+15)</f>
        <v>#REF!</v>
      </c>
      <c r="I515" s="23" t="e">
        <f>_xlfn.XLOOKUP(H515,#REF!,#REF!,"",0,1)</f>
        <v>#REF!</v>
      </c>
      <c r="J515" s="23" t="str">
        <f>IFERROR(I515*#REF!,"")</f>
        <v/>
      </c>
      <c r="K515" s="23" t="e" cm="1">
        <f t="array" ref="K515">INDEX('GLOBAL LOG'!#REF!,ROW()-169+15)</f>
        <v>#REF!</v>
      </c>
      <c r="L515" s="23" t="e">
        <f>_xlfn.XLOOKUP(K515,#REF!,#REF!,"",0,1)</f>
        <v>#REF!</v>
      </c>
      <c r="M515" s="23" t="str">
        <f>IFERROR(L515*#REF!,"")</f>
        <v/>
      </c>
      <c r="N515" s="23">
        <f t="shared" si="34"/>
        <v>-1</v>
      </c>
      <c r="O515" s="23">
        <f t="shared" si="35"/>
        <v>-1</v>
      </c>
      <c r="P515" s="23">
        <f t="shared" si="36"/>
        <v>-1</v>
      </c>
      <c r="Q515" s="24">
        <f t="shared" si="37"/>
        <v>-1</v>
      </c>
      <c r="R515" s="3"/>
      <c r="S515" s="1">
        <v>0</v>
      </c>
      <c r="T515" s="24">
        <v>-1</v>
      </c>
      <c r="U515"/>
      <c r="V515" s="1">
        <v>0</v>
      </c>
      <c r="W515" s="24">
        <v>-1</v>
      </c>
      <c r="X515"/>
      <c r="Y515" s="1">
        <v>0</v>
      </c>
      <c r="Z515" s="24">
        <v>-1</v>
      </c>
      <c r="AA515"/>
      <c r="AB515" s="1">
        <v>0</v>
      </c>
      <c r="AC515" s="24">
        <v>-1</v>
      </c>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c r="CC515"/>
      <c r="CD515"/>
      <c r="CE515"/>
      <c r="CF515"/>
      <c r="CG515"/>
      <c r="CH515"/>
      <c r="CI515"/>
      <c r="CJ515"/>
      <c r="CK515"/>
      <c r="CL515"/>
      <c r="CM515"/>
      <c r="CN515"/>
      <c r="CO515"/>
      <c r="CP515"/>
      <c r="CQ515"/>
      <c r="CR515"/>
      <c r="CS515"/>
    </row>
    <row r="516" spans="2:97">
      <c r="B516"/>
      <c r="C516" s="15"/>
      <c r="D516" s="23"/>
      <c r="E516" s="23"/>
      <c r="F516" s="23"/>
      <c r="G516" s="23">
        <f t="shared" si="33"/>
        <v>0</v>
      </c>
      <c r="H516" s="23" t="e" cm="1">
        <f t="array" ref="H516">INDEX('GLOBAL LOG'!#REF!,ROW()-169+15)</f>
        <v>#REF!</v>
      </c>
      <c r="I516" s="23" t="e">
        <f>_xlfn.XLOOKUP(H516,#REF!,#REF!,"",0,1)</f>
        <v>#REF!</v>
      </c>
      <c r="J516" s="23" t="str">
        <f>IFERROR(I516*#REF!,"")</f>
        <v/>
      </c>
      <c r="K516" s="23" t="e" cm="1">
        <f t="array" ref="K516">INDEX('GLOBAL LOG'!#REF!,ROW()-169+15)</f>
        <v>#REF!</v>
      </c>
      <c r="L516" s="23" t="e">
        <f>_xlfn.XLOOKUP(K516,#REF!,#REF!,"",0,1)</f>
        <v>#REF!</v>
      </c>
      <c r="M516" s="23" t="str">
        <f>IFERROR(L516*#REF!,"")</f>
        <v/>
      </c>
      <c r="N516" s="23">
        <f t="shared" si="34"/>
        <v>-1</v>
      </c>
      <c r="O516" s="23">
        <f t="shared" si="35"/>
        <v>-1</v>
      </c>
      <c r="P516" s="23">
        <f t="shared" si="36"/>
        <v>-1</v>
      </c>
      <c r="Q516" s="24">
        <f t="shared" si="37"/>
        <v>-1</v>
      </c>
      <c r="R516" s="3"/>
      <c r="S516" s="1">
        <v>0</v>
      </c>
      <c r="T516" s="24">
        <v>-1</v>
      </c>
      <c r="U516"/>
      <c r="V516" s="1">
        <v>0</v>
      </c>
      <c r="W516" s="24">
        <v>-1</v>
      </c>
      <c r="X516"/>
      <c r="Y516" s="1">
        <v>0</v>
      </c>
      <c r="Z516" s="24">
        <v>-1</v>
      </c>
      <c r="AA516"/>
      <c r="AB516" s="1">
        <v>0</v>
      </c>
      <c r="AC516" s="24">
        <v>-1</v>
      </c>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c r="CC516"/>
      <c r="CD516"/>
      <c r="CE516"/>
      <c r="CF516"/>
      <c r="CG516"/>
      <c r="CH516"/>
      <c r="CI516"/>
      <c r="CJ516"/>
      <c r="CK516"/>
      <c r="CL516"/>
      <c r="CM516"/>
      <c r="CN516"/>
      <c r="CO516"/>
      <c r="CP516"/>
      <c r="CQ516"/>
      <c r="CR516"/>
      <c r="CS516"/>
    </row>
    <row r="517" spans="2:97">
      <c r="B517"/>
      <c r="C517" s="15"/>
      <c r="D517" s="23"/>
      <c r="E517" s="23"/>
      <c r="F517" s="23"/>
      <c r="G517" s="23">
        <f t="shared" si="33"/>
        <v>0</v>
      </c>
      <c r="H517" s="23" t="e" cm="1">
        <f t="array" ref="H517">INDEX('GLOBAL LOG'!#REF!,ROW()-169+15)</f>
        <v>#REF!</v>
      </c>
      <c r="I517" s="23" t="e">
        <f>_xlfn.XLOOKUP(H517,#REF!,#REF!,"",0,1)</f>
        <v>#REF!</v>
      </c>
      <c r="J517" s="23" t="str">
        <f>IFERROR(I517*#REF!,"")</f>
        <v/>
      </c>
      <c r="K517" s="23" t="e" cm="1">
        <f t="array" ref="K517">INDEX('GLOBAL LOG'!#REF!,ROW()-169+15)</f>
        <v>#REF!</v>
      </c>
      <c r="L517" s="23" t="e">
        <f>_xlfn.XLOOKUP(K517,#REF!,#REF!,"",0,1)</f>
        <v>#REF!</v>
      </c>
      <c r="M517" s="23" t="str">
        <f>IFERROR(L517*#REF!,"")</f>
        <v/>
      </c>
      <c r="N517" s="23">
        <f t="shared" si="34"/>
        <v>-1</v>
      </c>
      <c r="O517" s="23">
        <f t="shared" si="35"/>
        <v>-1</v>
      </c>
      <c r="P517" s="23">
        <f t="shared" si="36"/>
        <v>-1</v>
      </c>
      <c r="Q517" s="24">
        <f t="shared" si="37"/>
        <v>-1</v>
      </c>
      <c r="R517" s="3"/>
      <c r="S517" s="1">
        <v>0</v>
      </c>
      <c r="T517" s="24">
        <v>-1</v>
      </c>
      <c r="U517"/>
      <c r="V517" s="1">
        <v>0</v>
      </c>
      <c r="W517" s="24">
        <v>-1</v>
      </c>
      <c r="X517"/>
      <c r="Y517" s="1">
        <v>0</v>
      </c>
      <c r="Z517" s="24">
        <v>-1</v>
      </c>
      <c r="AA517"/>
      <c r="AB517" s="1">
        <v>0</v>
      </c>
      <c r="AC517" s="24">
        <v>-1</v>
      </c>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c r="CC517"/>
      <c r="CD517"/>
      <c r="CE517"/>
      <c r="CF517"/>
      <c r="CG517"/>
      <c r="CH517"/>
      <c r="CI517"/>
      <c r="CJ517"/>
      <c r="CK517"/>
      <c r="CL517"/>
      <c r="CM517"/>
      <c r="CN517"/>
      <c r="CO517"/>
      <c r="CP517"/>
      <c r="CQ517"/>
      <c r="CR517"/>
      <c r="CS517"/>
    </row>
    <row r="518" spans="2:97">
      <c r="B518"/>
      <c r="C518" s="15"/>
      <c r="D518" s="23"/>
      <c r="E518" s="23"/>
      <c r="F518" s="23"/>
      <c r="G518" s="23">
        <f t="shared" si="33"/>
        <v>0</v>
      </c>
      <c r="H518" s="23" t="e" cm="1">
        <f t="array" ref="H518">INDEX('GLOBAL LOG'!#REF!,ROW()-169+15)</f>
        <v>#REF!</v>
      </c>
      <c r="I518" s="23" t="e">
        <f>_xlfn.XLOOKUP(H518,#REF!,#REF!,"",0,1)</f>
        <v>#REF!</v>
      </c>
      <c r="J518" s="23" t="str">
        <f>IFERROR(I518*#REF!,"")</f>
        <v/>
      </c>
      <c r="K518" s="23" t="e" cm="1">
        <f t="array" ref="K518">INDEX('GLOBAL LOG'!#REF!,ROW()-169+15)</f>
        <v>#REF!</v>
      </c>
      <c r="L518" s="23" t="e">
        <f>_xlfn.XLOOKUP(K518,#REF!,#REF!,"",0,1)</f>
        <v>#REF!</v>
      </c>
      <c r="M518" s="23" t="str">
        <f>IFERROR(L518*#REF!,"")</f>
        <v/>
      </c>
      <c r="N518" s="23">
        <f t="shared" si="34"/>
        <v>-1</v>
      </c>
      <c r="O518" s="23">
        <f t="shared" si="35"/>
        <v>-1</v>
      </c>
      <c r="P518" s="23">
        <f t="shared" si="36"/>
        <v>-1</v>
      </c>
      <c r="Q518" s="24">
        <f t="shared" si="37"/>
        <v>-1</v>
      </c>
      <c r="R518" s="3"/>
      <c r="S518" s="1">
        <v>0</v>
      </c>
      <c r="T518" s="24">
        <v>-1</v>
      </c>
      <c r="U518"/>
      <c r="V518" s="1">
        <v>0</v>
      </c>
      <c r="W518" s="24">
        <v>-1</v>
      </c>
      <c r="X518"/>
      <c r="Y518" s="1">
        <v>0</v>
      </c>
      <c r="Z518" s="24">
        <v>-1</v>
      </c>
      <c r="AA518"/>
      <c r="AB518" s="1">
        <v>0</v>
      </c>
      <c r="AC518" s="24">
        <v>-1</v>
      </c>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c r="CC518"/>
      <c r="CD518"/>
      <c r="CE518"/>
      <c r="CF518"/>
      <c r="CG518"/>
      <c r="CH518"/>
      <c r="CI518"/>
      <c r="CJ518"/>
      <c r="CK518"/>
      <c r="CL518"/>
      <c r="CM518"/>
      <c r="CN518"/>
      <c r="CO518"/>
      <c r="CP518"/>
      <c r="CQ518"/>
      <c r="CR518"/>
      <c r="CS518"/>
    </row>
    <row r="519" spans="2:97">
      <c r="B519"/>
      <c r="C519" s="15"/>
      <c r="D519" s="23"/>
      <c r="E519" s="23"/>
      <c r="F519" s="23"/>
      <c r="G519" s="23">
        <f t="shared" si="33"/>
        <v>0</v>
      </c>
      <c r="H519" s="23" t="e" cm="1">
        <f t="array" ref="H519">INDEX('GLOBAL LOG'!#REF!,ROW()-169+15)</f>
        <v>#REF!</v>
      </c>
      <c r="I519" s="23" t="e">
        <f>_xlfn.XLOOKUP(H519,#REF!,#REF!,"",0,1)</f>
        <v>#REF!</v>
      </c>
      <c r="J519" s="23" t="str">
        <f>IFERROR(I519*#REF!,"")</f>
        <v/>
      </c>
      <c r="K519" s="23" t="e" cm="1">
        <f t="array" ref="K519">INDEX('GLOBAL LOG'!#REF!,ROW()-169+15)</f>
        <v>#REF!</v>
      </c>
      <c r="L519" s="23" t="e">
        <f>_xlfn.XLOOKUP(K519,#REF!,#REF!,"",0,1)</f>
        <v>#REF!</v>
      </c>
      <c r="M519" s="23" t="str">
        <f>IFERROR(L519*#REF!,"")</f>
        <v/>
      </c>
      <c r="N519" s="23">
        <f t="shared" si="34"/>
        <v>-1</v>
      </c>
      <c r="O519" s="23">
        <f t="shared" si="35"/>
        <v>-1</v>
      </c>
      <c r="P519" s="23">
        <f t="shared" si="36"/>
        <v>-1</v>
      </c>
      <c r="Q519" s="24">
        <f t="shared" si="37"/>
        <v>-1</v>
      </c>
      <c r="R519" s="3"/>
      <c r="S519" s="1">
        <v>0</v>
      </c>
      <c r="T519" s="24">
        <v>-1</v>
      </c>
      <c r="U519"/>
      <c r="V519" s="1">
        <v>0</v>
      </c>
      <c r="W519" s="24">
        <v>-1</v>
      </c>
      <c r="X519"/>
      <c r="Y519" s="1">
        <v>0</v>
      </c>
      <c r="Z519" s="24">
        <v>-1</v>
      </c>
      <c r="AA519"/>
      <c r="AB519" s="1">
        <v>0</v>
      </c>
      <c r="AC519" s="24">
        <v>-1</v>
      </c>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c r="CC519"/>
      <c r="CD519"/>
      <c r="CE519"/>
      <c r="CF519"/>
      <c r="CG519"/>
      <c r="CH519"/>
      <c r="CI519"/>
      <c r="CJ519"/>
      <c r="CK519"/>
      <c r="CL519"/>
      <c r="CM519"/>
      <c r="CN519"/>
      <c r="CO519"/>
      <c r="CP519"/>
      <c r="CQ519"/>
      <c r="CR519"/>
      <c r="CS519"/>
    </row>
    <row r="520" spans="2:97">
      <c r="B520"/>
      <c r="C520" s="15"/>
      <c r="D520" s="23"/>
      <c r="E520" s="23"/>
      <c r="F520" s="23"/>
      <c r="G520" s="23">
        <f t="shared" si="33"/>
        <v>0</v>
      </c>
      <c r="H520" s="23" t="e" cm="1">
        <f t="array" ref="H520">INDEX('GLOBAL LOG'!#REF!,ROW()-169+15)</f>
        <v>#REF!</v>
      </c>
      <c r="I520" s="23" t="e">
        <f>_xlfn.XLOOKUP(H520,#REF!,#REF!,"",0,1)</f>
        <v>#REF!</v>
      </c>
      <c r="J520" s="23" t="str">
        <f>IFERROR(I520*#REF!,"")</f>
        <v/>
      </c>
      <c r="K520" s="23" t="e" cm="1">
        <f t="array" ref="K520">INDEX('GLOBAL LOG'!#REF!,ROW()-169+15)</f>
        <v>#REF!</v>
      </c>
      <c r="L520" s="23" t="e">
        <f>_xlfn.XLOOKUP(K520,#REF!,#REF!,"",0,1)</f>
        <v>#REF!</v>
      </c>
      <c r="M520" s="23" t="str">
        <f>IFERROR(L520*#REF!,"")</f>
        <v/>
      </c>
      <c r="N520" s="23">
        <f t="shared" si="34"/>
        <v>-1</v>
      </c>
      <c r="O520" s="23">
        <f t="shared" si="35"/>
        <v>-1</v>
      </c>
      <c r="P520" s="23">
        <f t="shared" si="36"/>
        <v>-1</v>
      </c>
      <c r="Q520" s="24">
        <f t="shared" si="37"/>
        <v>-1</v>
      </c>
      <c r="R520" s="3"/>
      <c r="S520" s="1">
        <v>0</v>
      </c>
      <c r="T520" s="24">
        <v>-1</v>
      </c>
      <c r="U520"/>
      <c r="V520" s="1">
        <v>0</v>
      </c>
      <c r="W520" s="24">
        <v>-1</v>
      </c>
      <c r="X520"/>
      <c r="Y520" s="1">
        <v>0</v>
      </c>
      <c r="Z520" s="24">
        <v>-1</v>
      </c>
      <c r="AA520"/>
      <c r="AB520" s="1">
        <v>0</v>
      </c>
      <c r="AC520" s="24">
        <v>-1</v>
      </c>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c r="CC520"/>
      <c r="CD520"/>
      <c r="CE520"/>
      <c r="CF520"/>
      <c r="CG520"/>
      <c r="CH520"/>
      <c r="CI520"/>
      <c r="CJ520"/>
      <c r="CK520"/>
      <c r="CL520"/>
      <c r="CM520"/>
      <c r="CN520"/>
      <c r="CO520"/>
      <c r="CP520"/>
      <c r="CQ520"/>
      <c r="CR520"/>
      <c r="CS520"/>
    </row>
    <row r="521" spans="2:97">
      <c r="B521"/>
      <c r="C521" s="15"/>
      <c r="D521" s="23"/>
      <c r="E521" s="23"/>
      <c r="F521" s="23"/>
      <c r="G521" s="23">
        <f t="shared" si="33"/>
        <v>0</v>
      </c>
      <c r="H521" s="23" t="e" cm="1">
        <f t="array" ref="H521">INDEX('GLOBAL LOG'!#REF!,ROW()-169+15)</f>
        <v>#REF!</v>
      </c>
      <c r="I521" s="23" t="e">
        <f>_xlfn.XLOOKUP(H521,#REF!,#REF!,"",0,1)</f>
        <v>#REF!</v>
      </c>
      <c r="J521" s="23" t="str">
        <f>IFERROR(I521*#REF!,"")</f>
        <v/>
      </c>
      <c r="K521" s="23" t="e" cm="1">
        <f t="array" ref="K521">INDEX('GLOBAL LOG'!#REF!,ROW()-169+15)</f>
        <v>#REF!</v>
      </c>
      <c r="L521" s="23" t="e">
        <f>_xlfn.XLOOKUP(K521,#REF!,#REF!,"",0,1)</f>
        <v>#REF!</v>
      </c>
      <c r="M521" s="23" t="str">
        <f>IFERROR(L521*#REF!,"")</f>
        <v/>
      </c>
      <c r="N521" s="23">
        <f t="shared" si="34"/>
        <v>-1</v>
      </c>
      <c r="O521" s="23">
        <f t="shared" si="35"/>
        <v>-1</v>
      </c>
      <c r="P521" s="23">
        <f t="shared" si="36"/>
        <v>-1</v>
      </c>
      <c r="Q521" s="24">
        <f t="shared" si="37"/>
        <v>-1</v>
      </c>
      <c r="R521" s="3"/>
      <c r="S521" s="1">
        <v>0</v>
      </c>
      <c r="T521" s="24">
        <v>-1</v>
      </c>
      <c r="U521"/>
      <c r="V521" s="1">
        <v>0</v>
      </c>
      <c r="W521" s="24">
        <v>-1</v>
      </c>
      <c r="X521"/>
      <c r="Y521" s="1">
        <v>0</v>
      </c>
      <c r="Z521" s="24">
        <v>-1</v>
      </c>
      <c r="AA521"/>
      <c r="AB521" s="1">
        <v>0</v>
      </c>
      <c r="AC521" s="24">
        <v>-1</v>
      </c>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c r="CC521"/>
      <c r="CD521"/>
      <c r="CE521"/>
      <c r="CF521"/>
      <c r="CG521"/>
      <c r="CH521"/>
      <c r="CI521"/>
      <c r="CJ521"/>
      <c r="CK521"/>
      <c r="CL521"/>
      <c r="CM521"/>
      <c r="CN521"/>
      <c r="CO521"/>
      <c r="CP521"/>
      <c r="CQ521"/>
      <c r="CR521"/>
      <c r="CS521"/>
    </row>
    <row r="522" spans="2:97">
      <c r="B522"/>
      <c r="C522" s="15"/>
      <c r="D522" s="23"/>
      <c r="E522" s="23"/>
      <c r="F522" s="23"/>
      <c r="G522" s="23">
        <f t="shared" si="33"/>
        <v>0</v>
      </c>
      <c r="H522" s="23" t="e" cm="1">
        <f t="array" ref="H522">INDEX('GLOBAL LOG'!#REF!,ROW()-169+15)</f>
        <v>#REF!</v>
      </c>
      <c r="I522" s="23" t="e">
        <f>_xlfn.XLOOKUP(H522,#REF!,#REF!,"",0,1)</f>
        <v>#REF!</v>
      </c>
      <c r="J522" s="23" t="str">
        <f>IFERROR(I522*#REF!,"")</f>
        <v/>
      </c>
      <c r="K522" s="23" t="e" cm="1">
        <f t="array" ref="K522">INDEX('GLOBAL LOG'!#REF!,ROW()-169+15)</f>
        <v>#REF!</v>
      </c>
      <c r="L522" s="23" t="e">
        <f>_xlfn.XLOOKUP(K522,#REF!,#REF!,"",0,1)</f>
        <v>#REF!</v>
      </c>
      <c r="M522" s="23" t="str">
        <f>IFERROR(L522*#REF!,"")</f>
        <v/>
      </c>
      <c r="N522" s="23">
        <f t="shared" si="34"/>
        <v>-1</v>
      </c>
      <c r="O522" s="23">
        <f t="shared" si="35"/>
        <v>-1</v>
      </c>
      <c r="P522" s="23">
        <f t="shared" si="36"/>
        <v>-1</v>
      </c>
      <c r="Q522" s="24">
        <f t="shared" si="37"/>
        <v>-1</v>
      </c>
      <c r="R522" s="3"/>
      <c r="S522" s="1">
        <v>0</v>
      </c>
      <c r="T522" s="24">
        <v>-1</v>
      </c>
      <c r="U522"/>
      <c r="V522" s="1">
        <v>0</v>
      </c>
      <c r="W522" s="24">
        <v>-1</v>
      </c>
      <c r="X522"/>
      <c r="Y522" s="1">
        <v>0</v>
      </c>
      <c r="Z522" s="24">
        <v>-1</v>
      </c>
      <c r="AA522"/>
      <c r="AB522" s="1">
        <v>0</v>
      </c>
      <c r="AC522" s="24">
        <v>-1</v>
      </c>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c r="CC522"/>
      <c r="CD522"/>
      <c r="CE522"/>
      <c r="CF522"/>
      <c r="CG522"/>
      <c r="CH522"/>
      <c r="CI522"/>
      <c r="CJ522"/>
      <c r="CK522"/>
      <c r="CL522"/>
      <c r="CM522"/>
      <c r="CN522"/>
      <c r="CO522"/>
      <c r="CP522"/>
      <c r="CQ522"/>
      <c r="CR522"/>
      <c r="CS522"/>
    </row>
    <row r="523" spans="2:97">
      <c r="B523"/>
      <c r="C523" s="15"/>
      <c r="D523" s="23"/>
      <c r="E523" s="23"/>
      <c r="F523" s="23"/>
      <c r="G523" s="23">
        <f t="shared" si="33"/>
        <v>0</v>
      </c>
      <c r="H523" s="23" t="e" cm="1">
        <f t="array" ref="H523">INDEX('GLOBAL LOG'!#REF!,ROW()-169+15)</f>
        <v>#REF!</v>
      </c>
      <c r="I523" s="23" t="e">
        <f>_xlfn.XLOOKUP(H523,#REF!,#REF!,"",0,1)</f>
        <v>#REF!</v>
      </c>
      <c r="J523" s="23" t="str">
        <f>IFERROR(I523*#REF!,"")</f>
        <v/>
      </c>
      <c r="K523" s="23" t="e" cm="1">
        <f t="array" ref="K523">INDEX('GLOBAL LOG'!#REF!,ROW()-169+15)</f>
        <v>#REF!</v>
      </c>
      <c r="L523" s="23" t="e">
        <f>_xlfn.XLOOKUP(K523,#REF!,#REF!,"",0,1)</f>
        <v>#REF!</v>
      </c>
      <c r="M523" s="23" t="str">
        <f>IFERROR(L523*#REF!,"")</f>
        <v/>
      </c>
      <c r="N523" s="23">
        <f t="shared" si="34"/>
        <v>-1</v>
      </c>
      <c r="O523" s="23">
        <f t="shared" si="35"/>
        <v>-1</v>
      </c>
      <c r="P523" s="23">
        <f t="shared" si="36"/>
        <v>-1</v>
      </c>
      <c r="Q523" s="24">
        <f t="shared" si="37"/>
        <v>-1</v>
      </c>
      <c r="R523" s="3"/>
      <c r="S523" s="1">
        <v>0</v>
      </c>
      <c r="T523" s="24">
        <v>-1</v>
      </c>
      <c r="U523"/>
      <c r="V523" s="1">
        <v>0</v>
      </c>
      <c r="W523" s="24">
        <v>-1</v>
      </c>
      <c r="X523"/>
      <c r="Y523" s="1">
        <v>0</v>
      </c>
      <c r="Z523" s="24">
        <v>-1</v>
      </c>
      <c r="AA523"/>
      <c r="AB523" s="1">
        <v>0</v>
      </c>
      <c r="AC523" s="24">
        <v>-1</v>
      </c>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c r="CA523"/>
      <c r="CB523"/>
      <c r="CC523"/>
      <c r="CD523"/>
      <c r="CE523"/>
      <c r="CF523"/>
      <c r="CG523"/>
      <c r="CH523"/>
      <c r="CI523"/>
      <c r="CJ523"/>
      <c r="CK523"/>
      <c r="CL523"/>
      <c r="CM523"/>
      <c r="CN523"/>
      <c r="CO523"/>
      <c r="CP523"/>
      <c r="CQ523"/>
      <c r="CR523"/>
      <c r="CS523"/>
    </row>
    <row r="524" spans="2:97">
      <c r="B524"/>
      <c r="C524" s="15"/>
      <c r="D524" s="23"/>
      <c r="E524" s="23"/>
      <c r="F524" s="23"/>
      <c r="G524" s="23">
        <f t="shared" si="33"/>
        <v>0</v>
      </c>
      <c r="H524" s="23" t="e" cm="1">
        <f t="array" ref="H524">INDEX('GLOBAL LOG'!#REF!,ROW()-169+15)</f>
        <v>#REF!</v>
      </c>
      <c r="I524" s="23" t="e">
        <f>_xlfn.XLOOKUP(H524,#REF!,#REF!,"",0,1)</f>
        <v>#REF!</v>
      </c>
      <c r="J524" s="23" t="str">
        <f>IFERROR(I524*#REF!,"")</f>
        <v/>
      </c>
      <c r="K524" s="23" t="e" cm="1">
        <f t="array" ref="K524">INDEX('GLOBAL LOG'!#REF!,ROW()-169+15)</f>
        <v>#REF!</v>
      </c>
      <c r="L524" s="23" t="e">
        <f>_xlfn.XLOOKUP(K524,#REF!,#REF!,"",0,1)</f>
        <v>#REF!</v>
      </c>
      <c r="M524" s="23" t="str">
        <f>IFERROR(L524*#REF!,"")</f>
        <v/>
      </c>
      <c r="N524" s="23">
        <f t="shared" si="34"/>
        <v>-1</v>
      </c>
      <c r="O524" s="23">
        <f t="shared" si="35"/>
        <v>-1</v>
      </c>
      <c r="P524" s="23">
        <f t="shared" si="36"/>
        <v>-1</v>
      </c>
      <c r="Q524" s="24">
        <f t="shared" si="37"/>
        <v>-1</v>
      </c>
      <c r="R524" s="3"/>
      <c r="S524" s="1">
        <v>0</v>
      </c>
      <c r="T524" s="24">
        <v>-1</v>
      </c>
      <c r="U524"/>
      <c r="V524" s="1">
        <v>0</v>
      </c>
      <c r="W524" s="24">
        <v>-1</v>
      </c>
      <c r="X524"/>
      <c r="Y524" s="1">
        <v>0</v>
      </c>
      <c r="Z524" s="24">
        <v>-1</v>
      </c>
      <c r="AA524"/>
      <c r="AB524" s="1">
        <v>0</v>
      </c>
      <c r="AC524" s="24">
        <v>-1</v>
      </c>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c r="CC524"/>
      <c r="CD524"/>
      <c r="CE524"/>
      <c r="CF524"/>
      <c r="CG524"/>
      <c r="CH524"/>
      <c r="CI524"/>
      <c r="CJ524"/>
      <c r="CK524"/>
      <c r="CL524"/>
      <c r="CM524"/>
      <c r="CN524"/>
      <c r="CO524"/>
      <c r="CP524"/>
      <c r="CQ524"/>
      <c r="CR524"/>
      <c r="CS524"/>
    </row>
    <row r="525" spans="2:97">
      <c r="B525"/>
      <c r="C525" s="15"/>
      <c r="D525" s="23"/>
      <c r="E525" s="23"/>
      <c r="F525" s="23"/>
      <c r="G525" s="23">
        <f t="shared" si="33"/>
        <v>0</v>
      </c>
      <c r="H525" s="23" t="e" cm="1">
        <f t="array" ref="H525">INDEX('GLOBAL LOG'!#REF!,ROW()-169+15)</f>
        <v>#REF!</v>
      </c>
      <c r="I525" s="23" t="e">
        <f>_xlfn.XLOOKUP(H525,#REF!,#REF!,"",0,1)</f>
        <v>#REF!</v>
      </c>
      <c r="J525" s="23" t="str">
        <f>IFERROR(I525*#REF!,"")</f>
        <v/>
      </c>
      <c r="K525" s="23" t="e" cm="1">
        <f t="array" ref="K525">INDEX('GLOBAL LOG'!#REF!,ROW()-169+15)</f>
        <v>#REF!</v>
      </c>
      <c r="L525" s="23" t="e">
        <f>_xlfn.XLOOKUP(K525,#REF!,#REF!,"",0,1)</f>
        <v>#REF!</v>
      </c>
      <c r="M525" s="23" t="str">
        <f>IFERROR(L525*#REF!,"")</f>
        <v/>
      </c>
      <c r="N525" s="23">
        <f t="shared" si="34"/>
        <v>-1</v>
      </c>
      <c r="O525" s="23">
        <f t="shared" si="35"/>
        <v>-1</v>
      </c>
      <c r="P525" s="23">
        <f t="shared" si="36"/>
        <v>-1</v>
      </c>
      <c r="Q525" s="24">
        <f t="shared" si="37"/>
        <v>-1</v>
      </c>
      <c r="R525" s="3"/>
      <c r="S525" s="1">
        <v>0</v>
      </c>
      <c r="T525" s="24">
        <v>-1</v>
      </c>
      <c r="U525"/>
      <c r="V525" s="1">
        <v>0</v>
      </c>
      <c r="W525" s="24">
        <v>-1</v>
      </c>
      <c r="X525"/>
      <c r="Y525" s="1">
        <v>0</v>
      </c>
      <c r="Z525" s="24">
        <v>-1</v>
      </c>
      <c r="AA525"/>
      <c r="AB525" s="1">
        <v>0</v>
      </c>
      <c r="AC525" s="24">
        <v>-1</v>
      </c>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c r="CC525"/>
      <c r="CD525"/>
      <c r="CE525"/>
      <c r="CF525"/>
      <c r="CG525"/>
      <c r="CH525"/>
      <c r="CI525"/>
      <c r="CJ525"/>
      <c r="CK525"/>
      <c r="CL525"/>
      <c r="CM525"/>
      <c r="CN525"/>
      <c r="CO525"/>
      <c r="CP525"/>
      <c r="CQ525"/>
      <c r="CR525"/>
      <c r="CS525"/>
    </row>
    <row r="526" spans="2:97">
      <c r="B526"/>
      <c r="C526" s="15"/>
      <c r="D526" s="23"/>
      <c r="E526" s="23"/>
      <c r="F526" s="23"/>
      <c r="G526" s="23">
        <f t="shared" si="33"/>
        <v>0</v>
      </c>
      <c r="H526" s="23" t="e" cm="1">
        <f t="array" ref="H526">INDEX('GLOBAL LOG'!#REF!,ROW()-169+15)</f>
        <v>#REF!</v>
      </c>
      <c r="I526" s="23" t="e">
        <f>_xlfn.XLOOKUP(H526,#REF!,#REF!,"",0,1)</f>
        <v>#REF!</v>
      </c>
      <c r="J526" s="23" t="str">
        <f>IFERROR(I526*#REF!,"")</f>
        <v/>
      </c>
      <c r="K526" s="23" t="e" cm="1">
        <f t="array" ref="K526">INDEX('GLOBAL LOG'!#REF!,ROW()-169+15)</f>
        <v>#REF!</v>
      </c>
      <c r="L526" s="23" t="e">
        <f>_xlfn.XLOOKUP(K526,#REF!,#REF!,"",0,1)</f>
        <v>#REF!</v>
      </c>
      <c r="M526" s="23" t="str">
        <f>IFERROR(L526*#REF!,"")</f>
        <v/>
      </c>
      <c r="N526" s="23">
        <f t="shared" si="34"/>
        <v>-1</v>
      </c>
      <c r="O526" s="23">
        <f t="shared" si="35"/>
        <v>-1</v>
      </c>
      <c r="P526" s="23">
        <f t="shared" si="36"/>
        <v>-1</v>
      </c>
      <c r="Q526" s="24">
        <f t="shared" si="37"/>
        <v>-1</v>
      </c>
      <c r="R526" s="3"/>
      <c r="S526" s="1">
        <v>0</v>
      </c>
      <c r="T526" s="24">
        <v>-1</v>
      </c>
      <c r="U526"/>
      <c r="V526" s="1">
        <v>0</v>
      </c>
      <c r="W526" s="24">
        <v>-1</v>
      </c>
      <c r="X526"/>
      <c r="Y526" s="1">
        <v>0</v>
      </c>
      <c r="Z526" s="24">
        <v>-1</v>
      </c>
      <c r="AA526"/>
      <c r="AB526" s="1">
        <v>0</v>
      </c>
      <c r="AC526" s="24">
        <v>-1</v>
      </c>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c r="CC526"/>
      <c r="CD526"/>
      <c r="CE526"/>
      <c r="CF526"/>
      <c r="CG526"/>
      <c r="CH526"/>
      <c r="CI526"/>
      <c r="CJ526"/>
      <c r="CK526"/>
      <c r="CL526"/>
      <c r="CM526"/>
      <c r="CN526"/>
      <c r="CO526"/>
      <c r="CP526"/>
      <c r="CQ526"/>
      <c r="CR526"/>
      <c r="CS526"/>
    </row>
    <row r="527" spans="2:97">
      <c r="B527"/>
      <c r="C527" s="15"/>
      <c r="D527" s="23"/>
      <c r="E527" s="23"/>
      <c r="F527" s="23"/>
      <c r="G527" s="23">
        <f t="shared" si="33"/>
        <v>0</v>
      </c>
      <c r="H527" s="23" t="e" cm="1">
        <f t="array" ref="H527">INDEX('GLOBAL LOG'!#REF!,ROW()-169+15)</f>
        <v>#REF!</v>
      </c>
      <c r="I527" s="23" t="e">
        <f>_xlfn.XLOOKUP(H527,#REF!,#REF!,"",0,1)</f>
        <v>#REF!</v>
      </c>
      <c r="J527" s="23" t="str">
        <f>IFERROR(I527*#REF!,"")</f>
        <v/>
      </c>
      <c r="K527" s="23" t="e" cm="1">
        <f t="array" ref="K527">INDEX('GLOBAL LOG'!#REF!,ROW()-169+15)</f>
        <v>#REF!</v>
      </c>
      <c r="L527" s="23" t="e">
        <f>_xlfn.XLOOKUP(K527,#REF!,#REF!,"",0,1)</f>
        <v>#REF!</v>
      </c>
      <c r="M527" s="23" t="str">
        <f>IFERROR(L527*#REF!,"")</f>
        <v/>
      </c>
      <c r="N527" s="23">
        <f t="shared" si="34"/>
        <v>-1</v>
      </c>
      <c r="O527" s="23">
        <f t="shared" si="35"/>
        <v>-1</v>
      </c>
      <c r="P527" s="23">
        <f t="shared" si="36"/>
        <v>-1</v>
      </c>
      <c r="Q527" s="24">
        <f t="shared" si="37"/>
        <v>-1</v>
      </c>
      <c r="R527" s="3"/>
      <c r="S527" s="1">
        <v>0</v>
      </c>
      <c r="T527" s="24">
        <v>-1</v>
      </c>
      <c r="U527"/>
      <c r="V527" s="1">
        <v>0</v>
      </c>
      <c r="W527" s="24">
        <v>-1</v>
      </c>
      <c r="X527"/>
      <c r="Y527" s="1">
        <v>0</v>
      </c>
      <c r="Z527" s="24">
        <v>-1</v>
      </c>
      <c r="AA527"/>
      <c r="AB527" s="1">
        <v>0</v>
      </c>
      <c r="AC527" s="24">
        <v>-1</v>
      </c>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c r="CC527"/>
      <c r="CD527"/>
      <c r="CE527"/>
      <c r="CF527"/>
      <c r="CG527"/>
      <c r="CH527"/>
      <c r="CI527"/>
      <c r="CJ527"/>
      <c r="CK527"/>
      <c r="CL527"/>
      <c r="CM527"/>
      <c r="CN527"/>
      <c r="CO527"/>
      <c r="CP527"/>
      <c r="CQ527"/>
      <c r="CR527"/>
      <c r="CS527"/>
    </row>
    <row r="528" spans="2:97">
      <c r="B528"/>
      <c r="C528" s="15"/>
      <c r="D528" s="23"/>
      <c r="E528" s="23"/>
      <c r="F528" s="23"/>
      <c r="G528" s="23">
        <f t="shared" si="33"/>
        <v>0</v>
      </c>
      <c r="H528" s="23" t="e" cm="1">
        <f t="array" ref="H528">INDEX('GLOBAL LOG'!#REF!,ROW()-169+15)</f>
        <v>#REF!</v>
      </c>
      <c r="I528" s="23" t="e">
        <f>_xlfn.XLOOKUP(H528,#REF!,#REF!,"",0,1)</f>
        <v>#REF!</v>
      </c>
      <c r="J528" s="23" t="str">
        <f>IFERROR(I528*#REF!,"")</f>
        <v/>
      </c>
      <c r="K528" s="23" t="e" cm="1">
        <f t="array" ref="K528">INDEX('GLOBAL LOG'!#REF!,ROW()-169+15)</f>
        <v>#REF!</v>
      </c>
      <c r="L528" s="23" t="e">
        <f>_xlfn.XLOOKUP(K528,#REF!,#REF!,"",0,1)</f>
        <v>#REF!</v>
      </c>
      <c r="M528" s="23" t="str">
        <f>IFERROR(L528*#REF!,"")</f>
        <v/>
      </c>
      <c r="N528" s="23">
        <f t="shared" si="34"/>
        <v>-1</v>
      </c>
      <c r="O528" s="23">
        <f t="shared" si="35"/>
        <v>-1</v>
      </c>
      <c r="P528" s="23">
        <f t="shared" si="36"/>
        <v>-1</v>
      </c>
      <c r="Q528" s="24">
        <f t="shared" si="37"/>
        <v>-1</v>
      </c>
      <c r="R528" s="3"/>
      <c r="S528" s="1">
        <v>0</v>
      </c>
      <c r="T528" s="24">
        <v>-1</v>
      </c>
      <c r="U528"/>
      <c r="V528" s="1">
        <v>0</v>
      </c>
      <c r="W528" s="24">
        <v>-1</v>
      </c>
      <c r="X528"/>
      <c r="Y528" s="1">
        <v>0</v>
      </c>
      <c r="Z528" s="24">
        <v>-1</v>
      </c>
      <c r="AA528"/>
      <c r="AB528" s="1">
        <v>0</v>
      </c>
      <c r="AC528" s="24">
        <v>-1</v>
      </c>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c r="CA528"/>
      <c r="CB528"/>
      <c r="CC528"/>
      <c r="CD528"/>
      <c r="CE528"/>
      <c r="CF528"/>
      <c r="CG528"/>
      <c r="CH528"/>
      <c r="CI528"/>
      <c r="CJ528"/>
      <c r="CK528"/>
      <c r="CL528"/>
      <c r="CM528"/>
      <c r="CN528"/>
      <c r="CO528"/>
      <c r="CP528"/>
      <c r="CQ528"/>
      <c r="CR528"/>
      <c r="CS528"/>
    </row>
    <row r="529" spans="2:97">
      <c r="B529"/>
      <c r="C529" s="15"/>
      <c r="D529" s="23"/>
      <c r="E529" s="23"/>
      <c r="F529" s="23"/>
      <c r="G529" s="23">
        <f t="shared" si="33"/>
        <v>0</v>
      </c>
      <c r="H529" s="23" t="e" cm="1">
        <f t="array" ref="H529">INDEX('GLOBAL LOG'!#REF!,ROW()-169+15)</f>
        <v>#REF!</v>
      </c>
      <c r="I529" s="23" t="e">
        <f>_xlfn.XLOOKUP(H529,#REF!,#REF!,"",0,1)</f>
        <v>#REF!</v>
      </c>
      <c r="J529" s="23" t="str">
        <f>IFERROR(I529*#REF!,"")</f>
        <v/>
      </c>
      <c r="K529" s="23" t="e" cm="1">
        <f t="array" ref="K529">INDEX('GLOBAL LOG'!#REF!,ROW()-169+15)</f>
        <v>#REF!</v>
      </c>
      <c r="L529" s="23" t="e">
        <f>_xlfn.XLOOKUP(K529,#REF!,#REF!,"",0,1)</f>
        <v>#REF!</v>
      </c>
      <c r="M529" s="23" t="str">
        <f>IFERROR(L529*#REF!,"")</f>
        <v/>
      </c>
      <c r="N529" s="23">
        <f t="shared" si="34"/>
        <v>-1</v>
      </c>
      <c r="O529" s="23">
        <f t="shared" si="35"/>
        <v>-1</v>
      </c>
      <c r="P529" s="23">
        <f t="shared" si="36"/>
        <v>-1</v>
      </c>
      <c r="Q529" s="24">
        <f t="shared" si="37"/>
        <v>-1</v>
      </c>
      <c r="R529" s="3"/>
      <c r="S529" s="1">
        <v>0</v>
      </c>
      <c r="T529" s="24">
        <v>-1</v>
      </c>
      <c r="U529"/>
      <c r="V529" s="1">
        <v>0</v>
      </c>
      <c r="W529" s="24">
        <v>-1</v>
      </c>
      <c r="X529"/>
      <c r="Y529" s="1">
        <v>0</v>
      </c>
      <c r="Z529" s="24">
        <v>-1</v>
      </c>
      <c r="AA529"/>
      <c r="AB529" s="1">
        <v>0</v>
      </c>
      <c r="AC529" s="24">
        <v>-1</v>
      </c>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c r="CA529"/>
      <c r="CB529"/>
      <c r="CC529"/>
      <c r="CD529"/>
      <c r="CE529"/>
      <c r="CF529"/>
      <c r="CG529"/>
      <c r="CH529"/>
      <c r="CI529"/>
      <c r="CJ529"/>
      <c r="CK529"/>
      <c r="CL529"/>
      <c r="CM529"/>
      <c r="CN529"/>
      <c r="CO529"/>
      <c r="CP529"/>
      <c r="CQ529"/>
      <c r="CR529"/>
      <c r="CS529"/>
    </row>
    <row r="530" spans="2:97">
      <c r="B530"/>
      <c r="C530" s="15"/>
      <c r="D530" s="23"/>
      <c r="E530" s="23"/>
      <c r="F530" s="23"/>
      <c r="G530" s="23">
        <f t="shared" si="33"/>
        <v>0</v>
      </c>
      <c r="H530" s="23" t="e" cm="1">
        <f t="array" ref="H530">INDEX('GLOBAL LOG'!#REF!,ROW()-169+15)</f>
        <v>#REF!</v>
      </c>
      <c r="I530" s="23" t="e">
        <f>_xlfn.XLOOKUP(H530,#REF!,#REF!,"",0,1)</f>
        <v>#REF!</v>
      </c>
      <c r="J530" s="23" t="str">
        <f>IFERROR(I530*#REF!,"")</f>
        <v/>
      </c>
      <c r="K530" s="23" t="e" cm="1">
        <f t="array" ref="K530">INDEX('GLOBAL LOG'!#REF!,ROW()-169+15)</f>
        <v>#REF!</v>
      </c>
      <c r="L530" s="23" t="e">
        <f>_xlfn.XLOOKUP(K530,#REF!,#REF!,"",0,1)</f>
        <v>#REF!</v>
      </c>
      <c r="M530" s="23" t="str">
        <f>IFERROR(L530*#REF!,"")</f>
        <v/>
      </c>
      <c r="N530" s="23">
        <f t="shared" si="34"/>
        <v>-1</v>
      </c>
      <c r="O530" s="23">
        <f t="shared" si="35"/>
        <v>-1</v>
      </c>
      <c r="P530" s="23">
        <f t="shared" si="36"/>
        <v>-1</v>
      </c>
      <c r="Q530" s="24">
        <f t="shared" si="37"/>
        <v>-1</v>
      </c>
      <c r="R530" s="3"/>
      <c r="S530" s="1">
        <v>0</v>
      </c>
      <c r="T530" s="24">
        <v>-1</v>
      </c>
      <c r="U530"/>
      <c r="V530" s="1">
        <v>0</v>
      </c>
      <c r="W530" s="24">
        <v>-1</v>
      </c>
      <c r="X530"/>
      <c r="Y530" s="1">
        <v>0</v>
      </c>
      <c r="Z530" s="24">
        <v>-1</v>
      </c>
      <c r="AA530"/>
      <c r="AB530" s="1">
        <v>0</v>
      </c>
      <c r="AC530" s="24">
        <v>-1</v>
      </c>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c r="CC530"/>
      <c r="CD530"/>
      <c r="CE530"/>
      <c r="CF530"/>
      <c r="CG530"/>
      <c r="CH530"/>
      <c r="CI530"/>
      <c r="CJ530"/>
      <c r="CK530"/>
      <c r="CL530"/>
      <c r="CM530"/>
      <c r="CN530"/>
      <c r="CO530"/>
      <c r="CP530"/>
      <c r="CQ530"/>
      <c r="CR530"/>
      <c r="CS530"/>
    </row>
    <row r="531" spans="2:97">
      <c r="B531"/>
      <c r="C531" s="15"/>
      <c r="D531" s="23"/>
      <c r="E531" s="23"/>
      <c r="F531" s="23"/>
      <c r="G531" s="23">
        <f t="shared" si="33"/>
        <v>0</v>
      </c>
      <c r="H531" s="23" t="e" cm="1">
        <f t="array" ref="H531">INDEX('GLOBAL LOG'!#REF!,ROW()-169+15)</f>
        <v>#REF!</v>
      </c>
      <c r="I531" s="23" t="e">
        <f>_xlfn.XLOOKUP(H531,#REF!,#REF!,"",0,1)</f>
        <v>#REF!</v>
      </c>
      <c r="J531" s="23" t="str">
        <f>IFERROR(I531*#REF!,"")</f>
        <v/>
      </c>
      <c r="K531" s="23" t="e" cm="1">
        <f t="array" ref="K531">INDEX('GLOBAL LOG'!#REF!,ROW()-169+15)</f>
        <v>#REF!</v>
      </c>
      <c r="L531" s="23" t="e">
        <f>_xlfn.XLOOKUP(K531,#REF!,#REF!,"",0,1)</f>
        <v>#REF!</v>
      </c>
      <c r="M531" s="23" t="str">
        <f>IFERROR(L531*#REF!,"")</f>
        <v/>
      </c>
      <c r="N531" s="23">
        <f t="shared" si="34"/>
        <v>-1</v>
      </c>
      <c r="O531" s="23">
        <f t="shared" si="35"/>
        <v>-1</v>
      </c>
      <c r="P531" s="23">
        <f t="shared" si="36"/>
        <v>-1</v>
      </c>
      <c r="Q531" s="24">
        <f t="shared" si="37"/>
        <v>-1</v>
      </c>
      <c r="R531" s="3"/>
      <c r="S531" s="1">
        <v>0</v>
      </c>
      <c r="T531" s="24">
        <v>-1</v>
      </c>
      <c r="U531"/>
      <c r="V531" s="1">
        <v>0</v>
      </c>
      <c r="W531" s="24">
        <v>-1</v>
      </c>
      <c r="X531"/>
      <c r="Y531" s="1">
        <v>0</v>
      </c>
      <c r="Z531" s="24">
        <v>-1</v>
      </c>
      <c r="AA531"/>
      <c r="AB531" s="1">
        <v>0</v>
      </c>
      <c r="AC531" s="24">
        <v>-1</v>
      </c>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c r="CC531"/>
      <c r="CD531"/>
      <c r="CE531"/>
      <c r="CF531"/>
      <c r="CG531"/>
      <c r="CH531"/>
      <c r="CI531"/>
      <c r="CJ531"/>
      <c r="CK531"/>
      <c r="CL531"/>
      <c r="CM531"/>
      <c r="CN531"/>
      <c r="CO531"/>
      <c r="CP531"/>
      <c r="CQ531"/>
      <c r="CR531"/>
      <c r="CS531"/>
    </row>
    <row r="532" spans="2:97">
      <c r="B532"/>
      <c r="C532" s="15"/>
      <c r="D532" s="23"/>
      <c r="E532" s="23"/>
      <c r="F532" s="23"/>
      <c r="G532" s="23">
        <f t="shared" si="33"/>
        <v>0</v>
      </c>
      <c r="H532" s="23" t="e" cm="1">
        <f t="array" ref="H532">INDEX('GLOBAL LOG'!#REF!,ROW()-169+15)</f>
        <v>#REF!</v>
      </c>
      <c r="I532" s="23" t="e">
        <f>_xlfn.XLOOKUP(H532,#REF!,#REF!,"",0,1)</f>
        <v>#REF!</v>
      </c>
      <c r="J532" s="23" t="str">
        <f>IFERROR(I532*#REF!,"")</f>
        <v/>
      </c>
      <c r="K532" s="23" t="e" cm="1">
        <f t="array" ref="K532">INDEX('GLOBAL LOG'!#REF!,ROW()-169+15)</f>
        <v>#REF!</v>
      </c>
      <c r="L532" s="23" t="e">
        <f>_xlfn.XLOOKUP(K532,#REF!,#REF!,"",0,1)</f>
        <v>#REF!</v>
      </c>
      <c r="M532" s="23" t="str">
        <f>IFERROR(L532*#REF!,"")</f>
        <v/>
      </c>
      <c r="N532" s="23">
        <f t="shared" si="34"/>
        <v>-1</v>
      </c>
      <c r="O532" s="23">
        <f t="shared" si="35"/>
        <v>-1</v>
      </c>
      <c r="P532" s="23">
        <f t="shared" si="36"/>
        <v>-1</v>
      </c>
      <c r="Q532" s="24">
        <f t="shared" si="37"/>
        <v>-1</v>
      </c>
      <c r="R532" s="3"/>
      <c r="S532" s="1">
        <v>0</v>
      </c>
      <c r="T532" s="24">
        <v>-1</v>
      </c>
      <c r="U532"/>
      <c r="V532" s="1">
        <v>0</v>
      </c>
      <c r="W532" s="24">
        <v>-1</v>
      </c>
      <c r="X532"/>
      <c r="Y532" s="1">
        <v>0</v>
      </c>
      <c r="Z532" s="24">
        <v>-1</v>
      </c>
      <c r="AA532"/>
      <c r="AB532" s="1">
        <v>0</v>
      </c>
      <c r="AC532" s="24">
        <v>-1</v>
      </c>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c r="CD532"/>
      <c r="CE532"/>
      <c r="CF532"/>
      <c r="CG532"/>
      <c r="CH532"/>
      <c r="CI532"/>
      <c r="CJ532"/>
      <c r="CK532"/>
      <c r="CL532"/>
      <c r="CM532"/>
      <c r="CN532"/>
      <c r="CO532"/>
      <c r="CP532"/>
      <c r="CQ532"/>
      <c r="CR532"/>
      <c r="CS532"/>
    </row>
    <row r="533" spans="2:97">
      <c r="B533"/>
      <c r="C533" s="15"/>
      <c r="D533" s="23"/>
      <c r="E533" s="23"/>
      <c r="F533" s="23"/>
      <c r="G533" s="23">
        <f t="shared" si="33"/>
        <v>0</v>
      </c>
      <c r="H533" s="23" t="e" cm="1">
        <f t="array" ref="H533">INDEX('GLOBAL LOG'!#REF!,ROW()-169+15)</f>
        <v>#REF!</v>
      </c>
      <c r="I533" s="23" t="e">
        <f>_xlfn.XLOOKUP(H533,#REF!,#REF!,"",0,1)</f>
        <v>#REF!</v>
      </c>
      <c r="J533" s="23" t="str">
        <f>IFERROR(I533*#REF!,"")</f>
        <v/>
      </c>
      <c r="K533" s="23" t="e" cm="1">
        <f t="array" ref="K533">INDEX('GLOBAL LOG'!#REF!,ROW()-169+15)</f>
        <v>#REF!</v>
      </c>
      <c r="L533" s="23" t="e">
        <f>_xlfn.XLOOKUP(K533,#REF!,#REF!,"",0,1)</f>
        <v>#REF!</v>
      </c>
      <c r="M533" s="23" t="str">
        <f>IFERROR(L533*#REF!,"")</f>
        <v/>
      </c>
      <c r="N533" s="23">
        <f t="shared" si="34"/>
        <v>-1</v>
      </c>
      <c r="O533" s="23">
        <f t="shared" si="35"/>
        <v>-1</v>
      </c>
      <c r="P533" s="23">
        <f t="shared" si="36"/>
        <v>-1</v>
      </c>
      <c r="Q533" s="24">
        <f t="shared" si="37"/>
        <v>-1</v>
      </c>
      <c r="R533" s="3"/>
      <c r="S533" s="1">
        <v>0</v>
      </c>
      <c r="T533" s="24">
        <v>-1</v>
      </c>
      <c r="U533"/>
      <c r="V533" s="1">
        <v>0</v>
      </c>
      <c r="W533" s="24">
        <v>-1</v>
      </c>
      <c r="X533"/>
      <c r="Y533" s="1">
        <v>0</v>
      </c>
      <c r="Z533" s="24">
        <v>-1</v>
      </c>
      <c r="AA533"/>
      <c r="AB533" s="1">
        <v>0</v>
      </c>
      <c r="AC533" s="24">
        <v>-1</v>
      </c>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c r="CC533"/>
      <c r="CD533"/>
      <c r="CE533"/>
      <c r="CF533"/>
      <c r="CG533"/>
      <c r="CH533"/>
      <c r="CI533"/>
      <c r="CJ533"/>
      <c r="CK533"/>
      <c r="CL533"/>
      <c r="CM533"/>
      <c r="CN533"/>
      <c r="CO533"/>
      <c r="CP533"/>
      <c r="CQ533"/>
      <c r="CR533"/>
      <c r="CS533"/>
    </row>
    <row r="534" spans="2:97">
      <c r="B534"/>
      <c r="C534" s="15"/>
      <c r="D534" s="23"/>
      <c r="E534" s="23"/>
      <c r="F534" s="23"/>
      <c r="G534" s="23">
        <f t="shared" si="33"/>
        <v>0</v>
      </c>
      <c r="H534" s="23" t="e" cm="1">
        <f t="array" ref="H534">INDEX('GLOBAL LOG'!#REF!,ROW()-169+15)</f>
        <v>#REF!</v>
      </c>
      <c r="I534" s="23" t="e">
        <f>_xlfn.XLOOKUP(H534,#REF!,#REF!,"",0,1)</f>
        <v>#REF!</v>
      </c>
      <c r="J534" s="23" t="str">
        <f>IFERROR(I534*#REF!,"")</f>
        <v/>
      </c>
      <c r="K534" s="23" t="e" cm="1">
        <f t="array" ref="K534">INDEX('GLOBAL LOG'!#REF!,ROW()-169+15)</f>
        <v>#REF!</v>
      </c>
      <c r="L534" s="23" t="e">
        <f>_xlfn.XLOOKUP(K534,#REF!,#REF!,"",0,1)</f>
        <v>#REF!</v>
      </c>
      <c r="M534" s="23" t="str">
        <f>IFERROR(L534*#REF!,"")</f>
        <v/>
      </c>
      <c r="N534" s="23">
        <f t="shared" si="34"/>
        <v>-1</v>
      </c>
      <c r="O534" s="23">
        <f t="shared" si="35"/>
        <v>-1</v>
      </c>
      <c r="P534" s="23">
        <f t="shared" si="36"/>
        <v>-1</v>
      </c>
      <c r="Q534" s="24">
        <f t="shared" si="37"/>
        <v>-1</v>
      </c>
      <c r="R534" s="3"/>
      <c r="S534" s="1">
        <v>0</v>
      </c>
      <c r="T534" s="24">
        <v>-1</v>
      </c>
      <c r="U534"/>
      <c r="V534" s="1">
        <v>0</v>
      </c>
      <c r="W534" s="24">
        <v>-1</v>
      </c>
      <c r="X534"/>
      <c r="Y534" s="1">
        <v>0</v>
      </c>
      <c r="Z534" s="24">
        <v>-1</v>
      </c>
      <c r="AA534"/>
      <c r="AB534" s="1">
        <v>0</v>
      </c>
      <c r="AC534" s="24">
        <v>-1</v>
      </c>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c r="CC534"/>
      <c r="CD534"/>
      <c r="CE534"/>
      <c r="CF534"/>
      <c r="CG534"/>
      <c r="CH534"/>
      <c r="CI534"/>
      <c r="CJ534"/>
      <c r="CK534"/>
      <c r="CL534"/>
      <c r="CM534"/>
      <c r="CN534"/>
      <c r="CO534"/>
      <c r="CP534"/>
      <c r="CQ534"/>
      <c r="CR534"/>
      <c r="CS534"/>
    </row>
    <row r="535" spans="2:97">
      <c r="B535"/>
      <c r="C535" s="15"/>
      <c r="D535" s="23"/>
      <c r="E535" s="23"/>
      <c r="F535" s="23"/>
      <c r="G535" s="23">
        <f t="shared" si="33"/>
        <v>0</v>
      </c>
      <c r="H535" s="23" t="e" cm="1">
        <f t="array" ref="H535">INDEX('GLOBAL LOG'!#REF!,ROW()-169+15)</f>
        <v>#REF!</v>
      </c>
      <c r="I535" s="23" t="e">
        <f>_xlfn.XLOOKUP(H535,#REF!,#REF!,"",0,1)</f>
        <v>#REF!</v>
      </c>
      <c r="J535" s="23" t="str">
        <f>IFERROR(I535*#REF!,"")</f>
        <v/>
      </c>
      <c r="K535" s="23" t="e" cm="1">
        <f t="array" ref="K535">INDEX('GLOBAL LOG'!#REF!,ROW()-169+15)</f>
        <v>#REF!</v>
      </c>
      <c r="L535" s="23" t="e">
        <f>_xlfn.XLOOKUP(K535,#REF!,#REF!,"",0,1)</f>
        <v>#REF!</v>
      </c>
      <c r="M535" s="23" t="str">
        <f>IFERROR(L535*#REF!,"")</f>
        <v/>
      </c>
      <c r="N535" s="23">
        <f t="shared" si="34"/>
        <v>-1</v>
      </c>
      <c r="O535" s="23">
        <f t="shared" si="35"/>
        <v>-1</v>
      </c>
      <c r="P535" s="23">
        <f t="shared" si="36"/>
        <v>-1</v>
      </c>
      <c r="Q535" s="24">
        <f t="shared" si="37"/>
        <v>-1</v>
      </c>
      <c r="R535" s="3"/>
      <c r="S535" s="1">
        <v>0</v>
      </c>
      <c r="T535" s="24">
        <v>-1</v>
      </c>
      <c r="U535"/>
      <c r="V535" s="1">
        <v>0</v>
      </c>
      <c r="W535" s="24">
        <v>-1</v>
      </c>
      <c r="X535"/>
      <c r="Y535" s="1">
        <v>0</v>
      </c>
      <c r="Z535" s="24">
        <v>-1</v>
      </c>
      <c r="AA535"/>
      <c r="AB535" s="1">
        <v>0</v>
      </c>
      <c r="AC535" s="24">
        <v>-1</v>
      </c>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c r="CC535"/>
      <c r="CD535"/>
      <c r="CE535"/>
      <c r="CF535"/>
      <c r="CG535"/>
      <c r="CH535"/>
      <c r="CI535"/>
      <c r="CJ535"/>
      <c r="CK535"/>
      <c r="CL535"/>
      <c r="CM535"/>
      <c r="CN535"/>
      <c r="CO535"/>
      <c r="CP535"/>
      <c r="CQ535"/>
      <c r="CR535"/>
      <c r="CS535"/>
    </row>
    <row r="536" spans="2:97">
      <c r="B536"/>
      <c r="C536" s="15"/>
      <c r="D536" s="23"/>
      <c r="E536" s="23"/>
      <c r="F536" s="23"/>
      <c r="G536" s="23">
        <f t="shared" si="33"/>
        <v>0</v>
      </c>
      <c r="H536" s="23" t="e" cm="1">
        <f t="array" ref="H536">INDEX('GLOBAL LOG'!#REF!,ROW()-169+15)</f>
        <v>#REF!</v>
      </c>
      <c r="I536" s="23" t="e">
        <f>_xlfn.XLOOKUP(H536,#REF!,#REF!,"",0,1)</f>
        <v>#REF!</v>
      </c>
      <c r="J536" s="23" t="str">
        <f>IFERROR(I536*#REF!,"")</f>
        <v/>
      </c>
      <c r="K536" s="23" t="e" cm="1">
        <f t="array" ref="K536">INDEX('GLOBAL LOG'!#REF!,ROW()-169+15)</f>
        <v>#REF!</v>
      </c>
      <c r="L536" s="23" t="e">
        <f>_xlfn.XLOOKUP(K536,#REF!,#REF!,"",0,1)</f>
        <v>#REF!</v>
      </c>
      <c r="M536" s="23" t="str">
        <f>IFERROR(L536*#REF!,"")</f>
        <v/>
      </c>
      <c r="N536" s="23">
        <f t="shared" si="34"/>
        <v>-1</v>
      </c>
      <c r="O536" s="23">
        <f t="shared" si="35"/>
        <v>-1</v>
      </c>
      <c r="P536" s="23">
        <f t="shared" si="36"/>
        <v>-1</v>
      </c>
      <c r="Q536" s="24">
        <f t="shared" si="37"/>
        <v>-1</v>
      </c>
      <c r="R536" s="3"/>
      <c r="S536" s="1">
        <v>0</v>
      </c>
      <c r="T536" s="24">
        <v>-1</v>
      </c>
      <c r="U536"/>
      <c r="V536" s="1">
        <v>0</v>
      </c>
      <c r="W536" s="24">
        <v>-1</v>
      </c>
      <c r="X536"/>
      <c r="Y536" s="1">
        <v>0</v>
      </c>
      <c r="Z536" s="24">
        <v>-1</v>
      </c>
      <c r="AA536"/>
      <c r="AB536" s="1">
        <v>0</v>
      </c>
      <c r="AC536" s="24">
        <v>-1</v>
      </c>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c r="CC536"/>
      <c r="CD536"/>
      <c r="CE536"/>
      <c r="CF536"/>
      <c r="CG536"/>
      <c r="CH536"/>
      <c r="CI536"/>
      <c r="CJ536"/>
      <c r="CK536"/>
      <c r="CL536"/>
      <c r="CM536"/>
      <c r="CN536"/>
      <c r="CO536"/>
      <c r="CP536"/>
      <c r="CQ536"/>
      <c r="CR536"/>
      <c r="CS536"/>
    </row>
    <row r="537" spans="2:97">
      <c r="B537"/>
      <c r="C537" s="15"/>
      <c r="D537" s="23"/>
      <c r="E537" s="23"/>
      <c r="F537" s="23"/>
      <c r="G537" s="23">
        <f t="shared" si="33"/>
        <v>0</v>
      </c>
      <c r="H537" s="23" t="e" cm="1">
        <f t="array" ref="H537">INDEX('GLOBAL LOG'!#REF!,ROW()-169+15)</f>
        <v>#REF!</v>
      </c>
      <c r="I537" s="23" t="e">
        <f>_xlfn.XLOOKUP(H537,#REF!,#REF!,"",0,1)</f>
        <v>#REF!</v>
      </c>
      <c r="J537" s="23" t="str">
        <f>IFERROR(I537*#REF!,"")</f>
        <v/>
      </c>
      <c r="K537" s="23" t="e" cm="1">
        <f t="array" ref="K537">INDEX('GLOBAL LOG'!#REF!,ROW()-169+15)</f>
        <v>#REF!</v>
      </c>
      <c r="L537" s="23" t="e">
        <f>_xlfn.XLOOKUP(K537,#REF!,#REF!,"",0,1)</f>
        <v>#REF!</v>
      </c>
      <c r="M537" s="23" t="str">
        <f>IFERROR(L537*#REF!,"")</f>
        <v/>
      </c>
      <c r="N537" s="23">
        <f t="shared" si="34"/>
        <v>-1</v>
      </c>
      <c r="O537" s="23">
        <f t="shared" si="35"/>
        <v>-1</v>
      </c>
      <c r="P537" s="23">
        <f t="shared" si="36"/>
        <v>-1</v>
      </c>
      <c r="Q537" s="24">
        <f t="shared" si="37"/>
        <v>-1</v>
      </c>
      <c r="R537" s="3"/>
      <c r="S537" s="1">
        <v>0</v>
      </c>
      <c r="T537" s="24">
        <v>-1</v>
      </c>
      <c r="U537"/>
      <c r="V537" s="1">
        <v>0</v>
      </c>
      <c r="W537" s="24">
        <v>-1</v>
      </c>
      <c r="X537"/>
      <c r="Y537" s="1">
        <v>0</v>
      </c>
      <c r="Z537" s="24">
        <v>-1</v>
      </c>
      <c r="AA537"/>
      <c r="AB537" s="1">
        <v>0</v>
      </c>
      <c r="AC537" s="24">
        <v>-1</v>
      </c>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c r="CD537"/>
      <c r="CE537"/>
      <c r="CF537"/>
      <c r="CG537"/>
      <c r="CH537"/>
      <c r="CI537"/>
      <c r="CJ537"/>
      <c r="CK537"/>
      <c r="CL537"/>
      <c r="CM537"/>
      <c r="CN537"/>
      <c r="CO537"/>
      <c r="CP537"/>
      <c r="CQ537"/>
      <c r="CR537"/>
      <c r="CS537"/>
    </row>
    <row r="538" spans="2:97">
      <c r="B538"/>
      <c r="C538" s="15"/>
      <c r="D538" s="23"/>
      <c r="E538" s="23"/>
      <c r="F538" s="23"/>
      <c r="G538" s="23">
        <f t="shared" si="33"/>
        <v>0</v>
      </c>
      <c r="H538" s="23" t="e" cm="1">
        <f t="array" ref="H538">INDEX('GLOBAL LOG'!#REF!,ROW()-169+15)</f>
        <v>#REF!</v>
      </c>
      <c r="I538" s="23" t="e">
        <f>_xlfn.XLOOKUP(H538,#REF!,#REF!,"",0,1)</f>
        <v>#REF!</v>
      </c>
      <c r="J538" s="23" t="str">
        <f>IFERROR(I538*#REF!,"")</f>
        <v/>
      </c>
      <c r="K538" s="23" t="e" cm="1">
        <f t="array" ref="K538">INDEX('GLOBAL LOG'!#REF!,ROW()-169+15)</f>
        <v>#REF!</v>
      </c>
      <c r="L538" s="23" t="e">
        <f>_xlfn.XLOOKUP(K538,#REF!,#REF!,"",0,1)</f>
        <v>#REF!</v>
      </c>
      <c r="M538" s="23" t="str">
        <f>IFERROR(L538*#REF!,"")</f>
        <v/>
      </c>
      <c r="N538" s="23">
        <f t="shared" si="34"/>
        <v>-1</v>
      </c>
      <c r="O538" s="23">
        <f t="shared" si="35"/>
        <v>-1</v>
      </c>
      <c r="P538" s="23">
        <f t="shared" si="36"/>
        <v>-1</v>
      </c>
      <c r="Q538" s="24">
        <f t="shared" si="37"/>
        <v>-1</v>
      </c>
      <c r="R538" s="3"/>
      <c r="S538" s="1">
        <v>0</v>
      </c>
      <c r="T538" s="24">
        <v>-1</v>
      </c>
      <c r="U538"/>
      <c r="V538" s="1">
        <v>0</v>
      </c>
      <c r="W538" s="24">
        <v>-1</v>
      </c>
      <c r="X538"/>
      <c r="Y538" s="1">
        <v>0</v>
      </c>
      <c r="Z538" s="24">
        <v>-1</v>
      </c>
      <c r="AA538"/>
      <c r="AB538" s="1">
        <v>0</v>
      </c>
      <c r="AC538" s="24">
        <v>-1</v>
      </c>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c r="CC538"/>
      <c r="CD538"/>
      <c r="CE538"/>
      <c r="CF538"/>
      <c r="CG538"/>
      <c r="CH538"/>
      <c r="CI538"/>
      <c r="CJ538"/>
      <c r="CK538"/>
      <c r="CL538"/>
      <c r="CM538"/>
      <c r="CN538"/>
      <c r="CO538"/>
      <c r="CP538"/>
      <c r="CQ538"/>
      <c r="CR538"/>
      <c r="CS538"/>
    </row>
    <row r="539" spans="2:97">
      <c r="B539"/>
      <c r="C539" s="15"/>
      <c r="D539" s="23"/>
      <c r="E539" s="23"/>
      <c r="F539" s="23"/>
      <c r="G539" s="23">
        <f t="shared" si="33"/>
        <v>0</v>
      </c>
      <c r="H539" s="23" t="e" cm="1">
        <f t="array" ref="H539">INDEX('GLOBAL LOG'!#REF!,ROW()-169+15)</f>
        <v>#REF!</v>
      </c>
      <c r="I539" s="23" t="e">
        <f>_xlfn.XLOOKUP(H539,#REF!,#REF!,"",0,1)</f>
        <v>#REF!</v>
      </c>
      <c r="J539" s="23" t="str">
        <f>IFERROR(I539*#REF!,"")</f>
        <v/>
      </c>
      <c r="K539" s="23" t="e" cm="1">
        <f t="array" ref="K539">INDEX('GLOBAL LOG'!#REF!,ROW()-169+15)</f>
        <v>#REF!</v>
      </c>
      <c r="L539" s="23" t="e">
        <f>_xlfn.XLOOKUP(K539,#REF!,#REF!,"",0,1)</f>
        <v>#REF!</v>
      </c>
      <c r="M539" s="23" t="str">
        <f>IFERROR(L539*#REF!,"")</f>
        <v/>
      </c>
      <c r="N539" s="23">
        <f t="shared" si="34"/>
        <v>-1</v>
      </c>
      <c r="O539" s="23">
        <f t="shared" si="35"/>
        <v>-1</v>
      </c>
      <c r="P539" s="23">
        <f t="shared" si="36"/>
        <v>-1</v>
      </c>
      <c r="Q539" s="24">
        <f t="shared" si="37"/>
        <v>-1</v>
      </c>
      <c r="R539" s="3"/>
      <c r="S539" s="1">
        <v>0</v>
      </c>
      <c r="T539" s="24">
        <v>-1</v>
      </c>
      <c r="U539"/>
      <c r="V539" s="1">
        <v>0</v>
      </c>
      <c r="W539" s="24">
        <v>-1</v>
      </c>
      <c r="X539"/>
      <c r="Y539" s="1">
        <v>0</v>
      </c>
      <c r="Z539" s="24">
        <v>-1</v>
      </c>
      <c r="AA539"/>
      <c r="AB539" s="1">
        <v>0</v>
      </c>
      <c r="AC539" s="24">
        <v>-1</v>
      </c>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c r="CC539"/>
      <c r="CD539"/>
      <c r="CE539"/>
      <c r="CF539"/>
      <c r="CG539"/>
      <c r="CH539"/>
      <c r="CI539"/>
      <c r="CJ539"/>
      <c r="CK539"/>
      <c r="CL539"/>
      <c r="CM539"/>
      <c r="CN539"/>
      <c r="CO539"/>
      <c r="CP539"/>
      <c r="CQ539"/>
      <c r="CR539"/>
      <c r="CS539"/>
    </row>
    <row r="540" spans="2:97">
      <c r="B540"/>
      <c r="C540" s="15"/>
      <c r="D540" s="23"/>
      <c r="E540" s="23"/>
      <c r="F540" s="23"/>
      <c r="G540" s="23">
        <f t="shared" si="33"/>
        <v>0</v>
      </c>
      <c r="H540" s="23" t="e" cm="1">
        <f t="array" ref="H540">INDEX('GLOBAL LOG'!#REF!,ROW()-169+15)</f>
        <v>#REF!</v>
      </c>
      <c r="I540" s="23" t="e">
        <f>_xlfn.XLOOKUP(H540,#REF!,#REF!,"",0,1)</f>
        <v>#REF!</v>
      </c>
      <c r="J540" s="23" t="str">
        <f>IFERROR(I540*#REF!,"")</f>
        <v/>
      </c>
      <c r="K540" s="23" t="e" cm="1">
        <f t="array" ref="K540">INDEX('GLOBAL LOG'!#REF!,ROW()-169+15)</f>
        <v>#REF!</v>
      </c>
      <c r="L540" s="23" t="e">
        <f>_xlfn.XLOOKUP(K540,#REF!,#REF!,"",0,1)</f>
        <v>#REF!</v>
      </c>
      <c r="M540" s="23" t="str">
        <f>IFERROR(L540*#REF!,"")</f>
        <v/>
      </c>
      <c r="N540" s="23">
        <f t="shared" si="34"/>
        <v>-1</v>
      </c>
      <c r="O540" s="23">
        <f t="shared" si="35"/>
        <v>-1</v>
      </c>
      <c r="P540" s="23">
        <f t="shared" si="36"/>
        <v>-1</v>
      </c>
      <c r="Q540" s="24">
        <f t="shared" si="37"/>
        <v>-1</v>
      </c>
      <c r="R540" s="3"/>
      <c r="S540" s="1">
        <v>0</v>
      </c>
      <c r="T540" s="24">
        <v>-1</v>
      </c>
      <c r="U540"/>
      <c r="V540" s="1">
        <v>0</v>
      </c>
      <c r="W540" s="24">
        <v>-1</v>
      </c>
      <c r="X540"/>
      <c r="Y540" s="1">
        <v>0</v>
      </c>
      <c r="Z540" s="24">
        <v>-1</v>
      </c>
      <c r="AA540"/>
      <c r="AB540" s="1">
        <v>0</v>
      </c>
      <c r="AC540" s="24">
        <v>-1</v>
      </c>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c r="CC540"/>
      <c r="CD540"/>
      <c r="CE540"/>
      <c r="CF540"/>
      <c r="CG540"/>
      <c r="CH540"/>
      <c r="CI540"/>
      <c r="CJ540"/>
      <c r="CK540"/>
      <c r="CL540"/>
      <c r="CM540"/>
      <c r="CN540"/>
      <c r="CO540"/>
      <c r="CP540"/>
      <c r="CQ540"/>
      <c r="CR540"/>
      <c r="CS540"/>
    </row>
    <row r="541" spans="2:97">
      <c r="B541"/>
      <c r="C541" s="15"/>
      <c r="D541" s="23"/>
      <c r="E541" s="23"/>
      <c r="F541" s="23"/>
      <c r="G541" s="23">
        <f t="shared" si="33"/>
        <v>0</v>
      </c>
      <c r="H541" s="23" t="e" cm="1">
        <f t="array" ref="H541">INDEX('GLOBAL LOG'!#REF!,ROW()-169+15)</f>
        <v>#REF!</v>
      </c>
      <c r="I541" s="23" t="e">
        <f>_xlfn.XLOOKUP(H541,#REF!,#REF!,"",0,1)</f>
        <v>#REF!</v>
      </c>
      <c r="J541" s="23" t="str">
        <f>IFERROR(I541*#REF!,"")</f>
        <v/>
      </c>
      <c r="K541" s="23" t="e" cm="1">
        <f t="array" ref="K541">INDEX('GLOBAL LOG'!#REF!,ROW()-169+15)</f>
        <v>#REF!</v>
      </c>
      <c r="L541" s="23" t="e">
        <f>_xlfn.XLOOKUP(K541,#REF!,#REF!,"",0,1)</f>
        <v>#REF!</v>
      </c>
      <c r="M541" s="23" t="str">
        <f>IFERROR(L541*#REF!,"")</f>
        <v/>
      </c>
      <c r="N541" s="23">
        <f t="shared" si="34"/>
        <v>-1</v>
      </c>
      <c r="O541" s="23">
        <f t="shared" si="35"/>
        <v>-1</v>
      </c>
      <c r="P541" s="23">
        <f t="shared" si="36"/>
        <v>-1</v>
      </c>
      <c r="Q541" s="24">
        <f t="shared" si="37"/>
        <v>-1</v>
      </c>
      <c r="R541" s="3"/>
      <c r="S541" s="1">
        <v>0</v>
      </c>
      <c r="T541" s="24">
        <v>-1</v>
      </c>
      <c r="U541"/>
      <c r="V541" s="1">
        <v>0</v>
      </c>
      <c r="W541" s="24">
        <v>-1</v>
      </c>
      <c r="X541"/>
      <c r="Y541" s="1">
        <v>0</v>
      </c>
      <c r="Z541" s="24">
        <v>-1</v>
      </c>
      <c r="AA541"/>
      <c r="AB541" s="1">
        <v>0</v>
      </c>
      <c r="AC541" s="24">
        <v>-1</v>
      </c>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c r="CC541"/>
      <c r="CD541"/>
      <c r="CE541"/>
      <c r="CF541"/>
      <c r="CG541"/>
      <c r="CH541"/>
      <c r="CI541"/>
      <c r="CJ541"/>
      <c r="CK541"/>
      <c r="CL541"/>
      <c r="CM541"/>
      <c r="CN541"/>
      <c r="CO541"/>
      <c r="CP541"/>
      <c r="CQ541"/>
      <c r="CR541"/>
      <c r="CS541"/>
    </row>
    <row r="542" spans="2:97">
      <c r="B542"/>
      <c r="C542" s="15"/>
      <c r="D542" s="23"/>
      <c r="E542" s="23"/>
      <c r="F542" s="23"/>
      <c r="G542" s="23">
        <f t="shared" si="33"/>
        <v>0</v>
      </c>
      <c r="H542" s="23" t="e" cm="1">
        <f t="array" ref="H542">INDEX('GLOBAL LOG'!#REF!,ROW()-169+15)</f>
        <v>#REF!</v>
      </c>
      <c r="I542" s="23" t="e">
        <f>_xlfn.XLOOKUP(H542,#REF!,#REF!,"",0,1)</f>
        <v>#REF!</v>
      </c>
      <c r="J542" s="23" t="str">
        <f>IFERROR(I542*#REF!,"")</f>
        <v/>
      </c>
      <c r="K542" s="23" t="e" cm="1">
        <f t="array" ref="K542">INDEX('GLOBAL LOG'!#REF!,ROW()-169+15)</f>
        <v>#REF!</v>
      </c>
      <c r="L542" s="23" t="e">
        <f>_xlfn.XLOOKUP(K542,#REF!,#REF!,"",0,1)</f>
        <v>#REF!</v>
      </c>
      <c r="M542" s="23" t="str">
        <f>IFERROR(L542*#REF!,"")</f>
        <v/>
      </c>
      <c r="N542" s="23">
        <f t="shared" si="34"/>
        <v>-1</v>
      </c>
      <c r="O542" s="23">
        <f t="shared" si="35"/>
        <v>-1</v>
      </c>
      <c r="P542" s="23">
        <f t="shared" si="36"/>
        <v>-1</v>
      </c>
      <c r="Q542" s="24">
        <f t="shared" si="37"/>
        <v>-1</v>
      </c>
      <c r="R542" s="3"/>
      <c r="S542" s="1">
        <v>0</v>
      </c>
      <c r="T542" s="24">
        <v>-1</v>
      </c>
      <c r="U542"/>
      <c r="V542" s="1">
        <v>0</v>
      </c>
      <c r="W542" s="24">
        <v>-1</v>
      </c>
      <c r="X542"/>
      <c r="Y542" s="1">
        <v>0</v>
      </c>
      <c r="Z542" s="24">
        <v>-1</v>
      </c>
      <c r="AA542"/>
      <c r="AB542" s="1">
        <v>0</v>
      </c>
      <c r="AC542" s="24">
        <v>-1</v>
      </c>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c r="CC542"/>
      <c r="CD542"/>
      <c r="CE542"/>
      <c r="CF542"/>
      <c r="CG542"/>
      <c r="CH542"/>
      <c r="CI542"/>
      <c r="CJ542"/>
      <c r="CK542"/>
      <c r="CL542"/>
      <c r="CM542"/>
      <c r="CN542"/>
      <c r="CO542"/>
      <c r="CP542"/>
      <c r="CQ542"/>
      <c r="CR542"/>
      <c r="CS542"/>
    </row>
    <row r="543" spans="2:97">
      <c r="B543"/>
      <c r="C543" s="15"/>
      <c r="D543" s="23"/>
      <c r="E543" s="23"/>
      <c r="F543" s="23"/>
      <c r="G543" s="23">
        <f t="shared" si="33"/>
        <v>0</v>
      </c>
      <c r="H543" s="23" t="e" cm="1">
        <f t="array" ref="H543">INDEX('GLOBAL LOG'!#REF!,ROW()-169+15)</f>
        <v>#REF!</v>
      </c>
      <c r="I543" s="23" t="e">
        <f>_xlfn.XLOOKUP(H543,#REF!,#REF!,"",0,1)</f>
        <v>#REF!</v>
      </c>
      <c r="J543" s="23" t="str">
        <f>IFERROR(I543*#REF!,"")</f>
        <v/>
      </c>
      <c r="K543" s="23" t="e" cm="1">
        <f t="array" ref="K543">INDEX('GLOBAL LOG'!#REF!,ROW()-169+15)</f>
        <v>#REF!</v>
      </c>
      <c r="L543" s="23" t="e">
        <f>_xlfn.XLOOKUP(K543,#REF!,#REF!,"",0,1)</f>
        <v>#REF!</v>
      </c>
      <c r="M543" s="23" t="str">
        <f>IFERROR(L543*#REF!,"")</f>
        <v/>
      </c>
      <c r="N543" s="23">
        <f t="shared" si="34"/>
        <v>-1</v>
      </c>
      <c r="O543" s="23">
        <f t="shared" si="35"/>
        <v>-1</v>
      </c>
      <c r="P543" s="23">
        <f t="shared" si="36"/>
        <v>-1</v>
      </c>
      <c r="Q543" s="24">
        <f t="shared" si="37"/>
        <v>-1</v>
      </c>
      <c r="R543" s="3"/>
      <c r="S543" s="1">
        <v>0</v>
      </c>
      <c r="T543" s="24">
        <v>-1</v>
      </c>
      <c r="U543"/>
      <c r="V543" s="1">
        <v>0</v>
      </c>
      <c r="W543" s="24">
        <v>-1</v>
      </c>
      <c r="X543"/>
      <c r="Y543" s="1">
        <v>0</v>
      </c>
      <c r="Z543" s="24">
        <v>-1</v>
      </c>
      <c r="AA543"/>
      <c r="AB543" s="1">
        <v>0</v>
      </c>
      <c r="AC543" s="24">
        <v>-1</v>
      </c>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c r="CA543"/>
      <c r="CB543"/>
      <c r="CC543"/>
      <c r="CD543"/>
      <c r="CE543"/>
      <c r="CF543"/>
      <c r="CG543"/>
      <c r="CH543"/>
      <c r="CI543"/>
      <c r="CJ543"/>
      <c r="CK543"/>
      <c r="CL543"/>
      <c r="CM543"/>
      <c r="CN543"/>
      <c r="CO543"/>
      <c r="CP543"/>
      <c r="CQ543"/>
      <c r="CR543"/>
      <c r="CS543"/>
    </row>
    <row r="544" spans="2:97">
      <c r="B544"/>
      <c r="C544" s="15"/>
      <c r="D544" s="23"/>
      <c r="E544" s="23"/>
      <c r="F544" s="23"/>
      <c r="G544" s="23">
        <f t="shared" si="33"/>
        <v>0</v>
      </c>
      <c r="H544" s="23" t="e" cm="1">
        <f t="array" ref="H544">INDEX('GLOBAL LOG'!#REF!,ROW()-169+15)</f>
        <v>#REF!</v>
      </c>
      <c r="I544" s="23" t="e">
        <f>_xlfn.XLOOKUP(H544,#REF!,#REF!,"",0,1)</f>
        <v>#REF!</v>
      </c>
      <c r="J544" s="23" t="str">
        <f>IFERROR(I544*#REF!,"")</f>
        <v/>
      </c>
      <c r="K544" s="23" t="e" cm="1">
        <f t="array" ref="K544">INDEX('GLOBAL LOG'!#REF!,ROW()-169+15)</f>
        <v>#REF!</v>
      </c>
      <c r="L544" s="23" t="e">
        <f>_xlfn.XLOOKUP(K544,#REF!,#REF!,"",0,1)</f>
        <v>#REF!</v>
      </c>
      <c r="M544" s="23" t="str">
        <f>IFERROR(L544*#REF!,"")</f>
        <v/>
      </c>
      <c r="N544" s="23">
        <f t="shared" si="34"/>
        <v>-1</v>
      </c>
      <c r="O544" s="23">
        <f t="shared" si="35"/>
        <v>-1</v>
      </c>
      <c r="P544" s="23">
        <f t="shared" si="36"/>
        <v>-1</v>
      </c>
      <c r="Q544" s="24">
        <f t="shared" si="37"/>
        <v>-1</v>
      </c>
      <c r="R544" s="3"/>
      <c r="S544" s="1">
        <v>0</v>
      </c>
      <c r="T544" s="24">
        <v>-1</v>
      </c>
      <c r="U544"/>
      <c r="V544" s="1">
        <v>0</v>
      </c>
      <c r="W544" s="24">
        <v>-1</v>
      </c>
      <c r="X544"/>
      <c r="Y544" s="1">
        <v>0</v>
      </c>
      <c r="Z544" s="24">
        <v>-1</v>
      </c>
      <c r="AA544"/>
      <c r="AB544" s="1">
        <v>0</v>
      </c>
      <c r="AC544" s="24">
        <v>-1</v>
      </c>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c r="CA544"/>
      <c r="CB544"/>
      <c r="CC544"/>
      <c r="CD544"/>
      <c r="CE544"/>
      <c r="CF544"/>
      <c r="CG544"/>
      <c r="CH544"/>
      <c r="CI544"/>
      <c r="CJ544"/>
      <c r="CK544"/>
      <c r="CL544"/>
      <c r="CM544"/>
      <c r="CN544"/>
      <c r="CO544"/>
      <c r="CP544"/>
      <c r="CQ544"/>
      <c r="CR544"/>
      <c r="CS544"/>
    </row>
    <row r="545" spans="2:97">
      <c r="B545"/>
      <c r="C545" s="15"/>
      <c r="D545" s="23"/>
      <c r="E545" s="23"/>
      <c r="F545" s="23"/>
      <c r="G545" s="23">
        <f t="shared" si="33"/>
        <v>0</v>
      </c>
      <c r="H545" s="23" t="e" cm="1">
        <f t="array" ref="H545">INDEX('GLOBAL LOG'!#REF!,ROW()-169+15)</f>
        <v>#REF!</v>
      </c>
      <c r="I545" s="23" t="e">
        <f>_xlfn.XLOOKUP(H545,#REF!,#REF!,"",0,1)</f>
        <v>#REF!</v>
      </c>
      <c r="J545" s="23" t="str">
        <f>IFERROR(I545*#REF!,"")</f>
        <v/>
      </c>
      <c r="K545" s="23" t="e" cm="1">
        <f t="array" ref="K545">INDEX('GLOBAL LOG'!#REF!,ROW()-169+15)</f>
        <v>#REF!</v>
      </c>
      <c r="L545" s="23" t="e">
        <f>_xlfn.XLOOKUP(K545,#REF!,#REF!,"",0,1)</f>
        <v>#REF!</v>
      </c>
      <c r="M545" s="23" t="str">
        <f>IFERROR(L545*#REF!,"")</f>
        <v/>
      </c>
      <c r="N545" s="23">
        <f t="shared" si="34"/>
        <v>-1</v>
      </c>
      <c r="O545" s="23">
        <f t="shared" si="35"/>
        <v>-1</v>
      </c>
      <c r="P545" s="23">
        <f t="shared" si="36"/>
        <v>-1</v>
      </c>
      <c r="Q545" s="24">
        <f t="shared" si="37"/>
        <v>-1</v>
      </c>
      <c r="R545" s="3"/>
      <c r="S545" s="1">
        <v>0</v>
      </c>
      <c r="T545" s="24">
        <v>-1</v>
      </c>
      <c r="U545"/>
      <c r="V545" s="1">
        <v>0</v>
      </c>
      <c r="W545" s="24">
        <v>-1</v>
      </c>
      <c r="X545"/>
      <c r="Y545" s="1">
        <v>0</v>
      </c>
      <c r="Z545" s="24">
        <v>-1</v>
      </c>
      <c r="AA545"/>
      <c r="AB545" s="1">
        <v>0</v>
      </c>
      <c r="AC545" s="24">
        <v>-1</v>
      </c>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c r="CC545"/>
      <c r="CD545"/>
      <c r="CE545"/>
      <c r="CF545"/>
      <c r="CG545"/>
      <c r="CH545"/>
      <c r="CI545"/>
      <c r="CJ545"/>
      <c r="CK545"/>
      <c r="CL545"/>
      <c r="CM545"/>
      <c r="CN545"/>
      <c r="CO545"/>
      <c r="CP545"/>
      <c r="CQ545"/>
      <c r="CR545"/>
      <c r="CS545"/>
    </row>
    <row r="546" spans="2:97">
      <c r="B546"/>
      <c r="C546" s="15"/>
      <c r="D546" s="23"/>
      <c r="E546" s="23"/>
      <c r="F546" s="23"/>
      <c r="G546" s="23">
        <f t="shared" si="33"/>
        <v>0</v>
      </c>
      <c r="H546" s="23" t="e" cm="1">
        <f t="array" ref="H546">INDEX('GLOBAL LOG'!#REF!,ROW()-169+15)</f>
        <v>#REF!</v>
      </c>
      <c r="I546" s="23" t="e">
        <f>_xlfn.XLOOKUP(H546,#REF!,#REF!,"",0,1)</f>
        <v>#REF!</v>
      </c>
      <c r="J546" s="23" t="str">
        <f>IFERROR(I546*#REF!,"")</f>
        <v/>
      </c>
      <c r="K546" s="23" t="e" cm="1">
        <f t="array" ref="K546">INDEX('GLOBAL LOG'!#REF!,ROW()-169+15)</f>
        <v>#REF!</v>
      </c>
      <c r="L546" s="23" t="e">
        <f>_xlfn.XLOOKUP(K546,#REF!,#REF!,"",0,1)</f>
        <v>#REF!</v>
      </c>
      <c r="M546" s="23" t="str">
        <f>IFERROR(L546*#REF!,"")</f>
        <v/>
      </c>
      <c r="N546" s="23">
        <f t="shared" si="34"/>
        <v>-1</v>
      </c>
      <c r="O546" s="23">
        <f t="shared" si="35"/>
        <v>-1</v>
      </c>
      <c r="P546" s="23">
        <f t="shared" si="36"/>
        <v>-1</v>
      </c>
      <c r="Q546" s="24">
        <f t="shared" si="37"/>
        <v>-1</v>
      </c>
      <c r="R546" s="3"/>
      <c r="S546" s="1">
        <v>0</v>
      </c>
      <c r="T546" s="24">
        <v>-1</v>
      </c>
      <c r="U546"/>
      <c r="V546" s="1">
        <v>0</v>
      </c>
      <c r="W546" s="24">
        <v>-1</v>
      </c>
      <c r="X546"/>
      <c r="Y546" s="1">
        <v>0</v>
      </c>
      <c r="Z546" s="24">
        <v>-1</v>
      </c>
      <c r="AA546"/>
      <c r="AB546" s="1">
        <v>0</v>
      </c>
      <c r="AC546" s="24">
        <v>-1</v>
      </c>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c r="CC546"/>
      <c r="CD546"/>
      <c r="CE546"/>
      <c r="CF546"/>
      <c r="CG546"/>
      <c r="CH546"/>
      <c r="CI546"/>
      <c r="CJ546"/>
      <c r="CK546"/>
      <c r="CL546"/>
      <c r="CM546"/>
      <c r="CN546"/>
      <c r="CO546"/>
      <c r="CP546"/>
      <c r="CQ546"/>
      <c r="CR546"/>
      <c r="CS546"/>
    </row>
    <row r="547" spans="2:97">
      <c r="B547"/>
      <c r="C547" s="15"/>
      <c r="D547" s="23"/>
      <c r="E547" s="23"/>
      <c r="F547" s="23"/>
      <c r="G547" s="23">
        <f t="shared" si="33"/>
        <v>0</v>
      </c>
      <c r="H547" s="23" t="e" cm="1">
        <f t="array" ref="H547">INDEX('GLOBAL LOG'!#REF!,ROW()-169+15)</f>
        <v>#REF!</v>
      </c>
      <c r="I547" s="23" t="e">
        <f>_xlfn.XLOOKUP(H547,#REF!,#REF!,"",0,1)</f>
        <v>#REF!</v>
      </c>
      <c r="J547" s="23" t="str">
        <f>IFERROR(I547*#REF!,"")</f>
        <v/>
      </c>
      <c r="K547" s="23" t="e" cm="1">
        <f t="array" ref="K547">INDEX('GLOBAL LOG'!#REF!,ROW()-169+15)</f>
        <v>#REF!</v>
      </c>
      <c r="L547" s="23" t="e">
        <f>_xlfn.XLOOKUP(K547,#REF!,#REF!,"",0,1)</f>
        <v>#REF!</v>
      </c>
      <c r="M547" s="23" t="str">
        <f>IFERROR(L547*#REF!,"")</f>
        <v/>
      </c>
      <c r="N547" s="23">
        <f t="shared" si="34"/>
        <v>-1</v>
      </c>
      <c r="O547" s="23">
        <f t="shared" si="35"/>
        <v>-1</v>
      </c>
      <c r="P547" s="23">
        <f t="shared" si="36"/>
        <v>-1</v>
      </c>
      <c r="Q547" s="24">
        <f t="shared" si="37"/>
        <v>-1</v>
      </c>
      <c r="R547" s="3"/>
      <c r="S547" s="1">
        <v>0</v>
      </c>
      <c r="T547" s="24">
        <v>-1</v>
      </c>
      <c r="U547"/>
      <c r="V547" s="1">
        <v>0</v>
      </c>
      <c r="W547" s="24">
        <v>-1</v>
      </c>
      <c r="X547"/>
      <c r="Y547" s="1">
        <v>0</v>
      </c>
      <c r="Z547" s="24">
        <v>-1</v>
      </c>
      <c r="AA547"/>
      <c r="AB547" s="1">
        <v>0</v>
      </c>
      <c r="AC547" s="24">
        <v>-1</v>
      </c>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c r="CC547"/>
      <c r="CD547"/>
      <c r="CE547"/>
      <c r="CF547"/>
      <c r="CG547"/>
      <c r="CH547"/>
      <c r="CI547"/>
      <c r="CJ547"/>
      <c r="CK547"/>
      <c r="CL547"/>
      <c r="CM547"/>
      <c r="CN547"/>
      <c r="CO547"/>
      <c r="CP547"/>
      <c r="CQ547"/>
      <c r="CR547"/>
      <c r="CS547"/>
    </row>
    <row r="548" spans="2:97">
      <c r="B548"/>
      <c r="C548" s="15"/>
      <c r="D548" s="23"/>
      <c r="E548" s="23"/>
      <c r="F548" s="23"/>
      <c r="G548" s="23">
        <f t="shared" si="33"/>
        <v>0</v>
      </c>
      <c r="H548" s="23" t="e" cm="1">
        <f t="array" ref="H548">INDEX('GLOBAL LOG'!#REF!,ROW()-169+15)</f>
        <v>#REF!</v>
      </c>
      <c r="I548" s="23" t="e">
        <f>_xlfn.XLOOKUP(H548,#REF!,#REF!,"",0,1)</f>
        <v>#REF!</v>
      </c>
      <c r="J548" s="23" t="str">
        <f>IFERROR(I548*#REF!,"")</f>
        <v/>
      </c>
      <c r="K548" s="23" t="e" cm="1">
        <f t="array" ref="K548">INDEX('GLOBAL LOG'!#REF!,ROW()-169+15)</f>
        <v>#REF!</v>
      </c>
      <c r="L548" s="23" t="e">
        <f>_xlfn.XLOOKUP(K548,#REF!,#REF!,"",0,1)</f>
        <v>#REF!</v>
      </c>
      <c r="M548" s="23" t="str">
        <f>IFERROR(L548*#REF!,"")</f>
        <v/>
      </c>
      <c r="N548" s="23">
        <f t="shared" si="34"/>
        <v>-1</v>
      </c>
      <c r="O548" s="23">
        <f t="shared" si="35"/>
        <v>-1</v>
      </c>
      <c r="P548" s="23">
        <f t="shared" si="36"/>
        <v>-1</v>
      </c>
      <c r="Q548" s="24">
        <f t="shared" si="37"/>
        <v>-1</v>
      </c>
      <c r="R548" s="3"/>
      <c r="S548" s="1">
        <v>0</v>
      </c>
      <c r="T548" s="24">
        <v>-1</v>
      </c>
      <c r="U548"/>
      <c r="V548" s="1">
        <v>0</v>
      </c>
      <c r="W548" s="24">
        <v>-1</v>
      </c>
      <c r="X548"/>
      <c r="Y548" s="1">
        <v>0</v>
      </c>
      <c r="Z548" s="24">
        <v>-1</v>
      </c>
      <c r="AA548"/>
      <c r="AB548" s="1">
        <v>0</v>
      </c>
      <c r="AC548" s="24">
        <v>-1</v>
      </c>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c r="CA548"/>
      <c r="CB548"/>
      <c r="CC548"/>
      <c r="CD548"/>
      <c r="CE548"/>
      <c r="CF548"/>
      <c r="CG548"/>
      <c r="CH548"/>
      <c r="CI548"/>
      <c r="CJ548"/>
      <c r="CK548"/>
      <c r="CL548"/>
      <c r="CM548"/>
      <c r="CN548"/>
      <c r="CO548"/>
      <c r="CP548"/>
      <c r="CQ548"/>
      <c r="CR548"/>
      <c r="CS548"/>
    </row>
    <row r="549" spans="2:97">
      <c r="B549"/>
      <c r="C549" s="15"/>
      <c r="D549" s="23"/>
      <c r="E549" s="23"/>
      <c r="F549" s="23"/>
      <c r="G549" s="23">
        <f t="shared" si="33"/>
        <v>0</v>
      </c>
      <c r="H549" s="23" t="e" cm="1">
        <f t="array" ref="H549">INDEX('GLOBAL LOG'!#REF!,ROW()-169+15)</f>
        <v>#REF!</v>
      </c>
      <c r="I549" s="23" t="e">
        <f>_xlfn.XLOOKUP(H549,#REF!,#REF!,"",0,1)</f>
        <v>#REF!</v>
      </c>
      <c r="J549" s="23" t="str">
        <f>IFERROR(I549*#REF!,"")</f>
        <v/>
      </c>
      <c r="K549" s="23" t="e" cm="1">
        <f t="array" ref="K549">INDEX('GLOBAL LOG'!#REF!,ROW()-169+15)</f>
        <v>#REF!</v>
      </c>
      <c r="L549" s="23" t="e">
        <f>_xlfn.XLOOKUP(K549,#REF!,#REF!,"",0,1)</f>
        <v>#REF!</v>
      </c>
      <c r="M549" s="23" t="str">
        <f>IFERROR(L549*#REF!,"")</f>
        <v/>
      </c>
      <c r="N549" s="23">
        <f t="shared" si="34"/>
        <v>-1</v>
      </c>
      <c r="O549" s="23">
        <f t="shared" si="35"/>
        <v>-1</v>
      </c>
      <c r="P549" s="23">
        <f t="shared" si="36"/>
        <v>-1</v>
      </c>
      <c r="Q549" s="24">
        <f t="shared" si="37"/>
        <v>-1</v>
      </c>
      <c r="R549" s="3"/>
      <c r="S549" s="1">
        <v>0</v>
      </c>
      <c r="T549" s="24">
        <v>-1</v>
      </c>
      <c r="U549"/>
      <c r="V549" s="1">
        <v>0</v>
      </c>
      <c r="W549" s="24">
        <v>-1</v>
      </c>
      <c r="X549"/>
      <c r="Y549" s="1">
        <v>0</v>
      </c>
      <c r="Z549" s="24">
        <v>-1</v>
      </c>
      <c r="AA549"/>
      <c r="AB549" s="1">
        <v>0</v>
      </c>
      <c r="AC549" s="24">
        <v>-1</v>
      </c>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c r="CA549"/>
      <c r="CB549"/>
      <c r="CC549"/>
      <c r="CD549"/>
      <c r="CE549"/>
      <c r="CF549"/>
      <c r="CG549"/>
      <c r="CH549"/>
      <c r="CI549"/>
      <c r="CJ549"/>
      <c r="CK549"/>
      <c r="CL549"/>
      <c r="CM549"/>
      <c r="CN549"/>
      <c r="CO549"/>
      <c r="CP549"/>
      <c r="CQ549"/>
      <c r="CR549"/>
      <c r="CS549"/>
    </row>
    <row r="550" spans="2:97">
      <c r="B550"/>
      <c r="C550" s="15"/>
      <c r="D550" s="23"/>
      <c r="E550" s="23"/>
      <c r="F550" s="23"/>
      <c r="G550" s="23">
        <f t="shared" si="33"/>
        <v>0</v>
      </c>
      <c r="H550" s="23" t="e" cm="1">
        <f t="array" ref="H550">INDEX('GLOBAL LOG'!#REF!,ROW()-169+15)</f>
        <v>#REF!</v>
      </c>
      <c r="I550" s="23" t="e">
        <f>_xlfn.XLOOKUP(H550,#REF!,#REF!,"",0,1)</f>
        <v>#REF!</v>
      </c>
      <c r="J550" s="23" t="str">
        <f>IFERROR(I550*#REF!,"")</f>
        <v/>
      </c>
      <c r="K550" s="23" t="e" cm="1">
        <f t="array" ref="K550">INDEX('GLOBAL LOG'!#REF!,ROW()-169+15)</f>
        <v>#REF!</v>
      </c>
      <c r="L550" s="23" t="e">
        <f>_xlfn.XLOOKUP(K550,#REF!,#REF!,"",0,1)</f>
        <v>#REF!</v>
      </c>
      <c r="M550" s="23" t="str">
        <f>IFERROR(L550*#REF!,"")</f>
        <v/>
      </c>
      <c r="N550" s="23">
        <f t="shared" si="34"/>
        <v>-1</v>
      </c>
      <c r="O550" s="23">
        <f t="shared" si="35"/>
        <v>-1</v>
      </c>
      <c r="P550" s="23">
        <f t="shared" si="36"/>
        <v>-1</v>
      </c>
      <c r="Q550" s="24">
        <f t="shared" si="37"/>
        <v>-1</v>
      </c>
      <c r="R550" s="3"/>
      <c r="S550" s="1">
        <v>0</v>
      </c>
      <c r="T550" s="24">
        <v>-1</v>
      </c>
      <c r="U550"/>
      <c r="V550" s="1">
        <v>0</v>
      </c>
      <c r="W550" s="24">
        <v>-1</v>
      </c>
      <c r="X550"/>
      <c r="Y550" s="1">
        <v>0</v>
      </c>
      <c r="Z550" s="24">
        <v>-1</v>
      </c>
      <c r="AA550"/>
      <c r="AB550" s="1">
        <v>0</v>
      </c>
      <c r="AC550" s="24">
        <v>-1</v>
      </c>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c r="CC550"/>
      <c r="CD550"/>
      <c r="CE550"/>
      <c r="CF550"/>
      <c r="CG550"/>
      <c r="CH550"/>
      <c r="CI550"/>
      <c r="CJ550"/>
      <c r="CK550"/>
      <c r="CL550"/>
      <c r="CM550"/>
      <c r="CN550"/>
      <c r="CO550"/>
      <c r="CP550"/>
      <c r="CQ550"/>
      <c r="CR550"/>
      <c r="CS550"/>
    </row>
    <row r="551" spans="2:97">
      <c r="B551"/>
      <c r="C551" s="15"/>
      <c r="D551" s="23"/>
      <c r="E551" s="23"/>
      <c r="F551" s="23"/>
      <c r="G551" s="23">
        <f t="shared" si="33"/>
        <v>0</v>
      </c>
      <c r="H551" s="23" t="e" cm="1">
        <f t="array" ref="H551">INDEX('GLOBAL LOG'!#REF!,ROW()-169+15)</f>
        <v>#REF!</v>
      </c>
      <c r="I551" s="23" t="e">
        <f>_xlfn.XLOOKUP(H551,#REF!,#REF!,"",0,1)</f>
        <v>#REF!</v>
      </c>
      <c r="J551" s="23" t="str">
        <f>IFERROR(I551*#REF!,"")</f>
        <v/>
      </c>
      <c r="K551" s="23" t="e" cm="1">
        <f t="array" ref="K551">INDEX('GLOBAL LOG'!#REF!,ROW()-169+15)</f>
        <v>#REF!</v>
      </c>
      <c r="L551" s="23" t="e">
        <f>_xlfn.XLOOKUP(K551,#REF!,#REF!,"",0,1)</f>
        <v>#REF!</v>
      </c>
      <c r="M551" s="23" t="str">
        <f>IFERROR(L551*#REF!,"")</f>
        <v/>
      </c>
      <c r="N551" s="23">
        <f t="shared" si="34"/>
        <v>-1</v>
      </c>
      <c r="O551" s="23">
        <f t="shared" si="35"/>
        <v>-1</v>
      </c>
      <c r="P551" s="23">
        <f t="shared" si="36"/>
        <v>-1</v>
      </c>
      <c r="Q551" s="24">
        <f t="shared" si="37"/>
        <v>-1</v>
      </c>
      <c r="R551" s="3"/>
      <c r="S551" s="1">
        <v>0</v>
      </c>
      <c r="T551" s="24">
        <v>-1</v>
      </c>
      <c r="U551"/>
      <c r="V551" s="1">
        <v>0</v>
      </c>
      <c r="W551" s="24">
        <v>-1</v>
      </c>
      <c r="X551"/>
      <c r="Y551" s="1">
        <v>0</v>
      </c>
      <c r="Z551" s="24">
        <v>-1</v>
      </c>
      <c r="AA551"/>
      <c r="AB551" s="1">
        <v>0</v>
      </c>
      <c r="AC551" s="24">
        <v>-1</v>
      </c>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c r="CC551"/>
      <c r="CD551"/>
      <c r="CE551"/>
      <c r="CF551"/>
      <c r="CG551"/>
      <c r="CH551"/>
      <c r="CI551"/>
      <c r="CJ551"/>
      <c r="CK551"/>
      <c r="CL551"/>
      <c r="CM551"/>
      <c r="CN551"/>
      <c r="CO551"/>
      <c r="CP551"/>
      <c r="CQ551"/>
      <c r="CR551"/>
      <c r="CS551"/>
    </row>
    <row r="552" spans="2:97">
      <c r="B552"/>
      <c r="C552" s="15"/>
      <c r="D552" s="23"/>
      <c r="E552" s="23"/>
      <c r="F552" s="23"/>
      <c r="G552" s="23">
        <f t="shared" si="33"/>
        <v>0</v>
      </c>
      <c r="H552" s="23" t="e" cm="1">
        <f t="array" ref="H552">INDEX('GLOBAL LOG'!#REF!,ROW()-169+15)</f>
        <v>#REF!</v>
      </c>
      <c r="I552" s="23" t="e">
        <f>_xlfn.XLOOKUP(H552,#REF!,#REF!,"",0,1)</f>
        <v>#REF!</v>
      </c>
      <c r="J552" s="23" t="str">
        <f>IFERROR(I552*#REF!,"")</f>
        <v/>
      </c>
      <c r="K552" s="23" t="e" cm="1">
        <f t="array" ref="K552">INDEX('GLOBAL LOG'!#REF!,ROW()-169+15)</f>
        <v>#REF!</v>
      </c>
      <c r="L552" s="23" t="e">
        <f>_xlfn.XLOOKUP(K552,#REF!,#REF!,"",0,1)</f>
        <v>#REF!</v>
      </c>
      <c r="M552" s="23" t="str">
        <f>IFERROR(L552*#REF!,"")</f>
        <v/>
      </c>
      <c r="N552" s="23">
        <f t="shared" si="34"/>
        <v>-1</v>
      </c>
      <c r="O552" s="23">
        <f t="shared" si="35"/>
        <v>-1</v>
      </c>
      <c r="P552" s="23">
        <f t="shared" si="36"/>
        <v>-1</v>
      </c>
      <c r="Q552" s="24">
        <f t="shared" si="37"/>
        <v>-1</v>
      </c>
      <c r="R552" s="3"/>
      <c r="S552" s="1">
        <v>0</v>
      </c>
      <c r="T552" s="24">
        <v>-1</v>
      </c>
      <c r="U552"/>
      <c r="V552" s="1">
        <v>0</v>
      </c>
      <c r="W552" s="24">
        <v>-1</v>
      </c>
      <c r="X552"/>
      <c r="Y552" s="1">
        <v>0</v>
      </c>
      <c r="Z552" s="24">
        <v>-1</v>
      </c>
      <c r="AA552"/>
      <c r="AB552" s="1">
        <v>0</v>
      </c>
      <c r="AC552" s="24">
        <v>-1</v>
      </c>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c r="CC552"/>
      <c r="CD552"/>
      <c r="CE552"/>
      <c r="CF552"/>
      <c r="CG552"/>
      <c r="CH552"/>
      <c r="CI552"/>
      <c r="CJ552"/>
      <c r="CK552"/>
      <c r="CL552"/>
      <c r="CM552"/>
      <c r="CN552"/>
      <c r="CO552"/>
      <c r="CP552"/>
      <c r="CQ552"/>
      <c r="CR552"/>
      <c r="CS552"/>
    </row>
    <row r="553" spans="2:97">
      <c r="B553"/>
      <c r="C553" s="15"/>
      <c r="D553" s="23"/>
      <c r="E553" s="23"/>
      <c r="F553" s="23"/>
      <c r="G553" s="23">
        <f t="shared" si="33"/>
        <v>0</v>
      </c>
      <c r="H553" s="23" t="e" cm="1">
        <f t="array" ref="H553">INDEX('GLOBAL LOG'!#REF!,ROW()-169+15)</f>
        <v>#REF!</v>
      </c>
      <c r="I553" s="23" t="e">
        <f>_xlfn.XLOOKUP(H553,#REF!,#REF!,"",0,1)</f>
        <v>#REF!</v>
      </c>
      <c r="J553" s="23" t="str">
        <f>IFERROR(I553*#REF!,"")</f>
        <v/>
      </c>
      <c r="K553" s="23" t="e" cm="1">
        <f t="array" ref="K553">INDEX('GLOBAL LOG'!#REF!,ROW()-169+15)</f>
        <v>#REF!</v>
      </c>
      <c r="L553" s="23" t="e">
        <f>_xlfn.XLOOKUP(K553,#REF!,#REF!,"",0,1)</f>
        <v>#REF!</v>
      </c>
      <c r="M553" s="23" t="str">
        <f>IFERROR(L553*#REF!,"")</f>
        <v/>
      </c>
      <c r="N553" s="23">
        <f t="shared" si="34"/>
        <v>-1</v>
      </c>
      <c r="O553" s="23">
        <f t="shared" si="35"/>
        <v>-1</v>
      </c>
      <c r="P553" s="23">
        <f t="shared" si="36"/>
        <v>-1</v>
      </c>
      <c r="Q553" s="24">
        <f t="shared" si="37"/>
        <v>-1</v>
      </c>
      <c r="R553" s="3"/>
      <c r="S553" s="1">
        <v>0</v>
      </c>
      <c r="T553" s="24">
        <v>-1</v>
      </c>
      <c r="U553"/>
      <c r="V553" s="1">
        <v>0</v>
      </c>
      <c r="W553" s="24">
        <v>-1</v>
      </c>
      <c r="X553"/>
      <c r="Y553" s="1">
        <v>0</v>
      </c>
      <c r="Z553" s="24">
        <v>-1</v>
      </c>
      <c r="AA553"/>
      <c r="AB553" s="1">
        <v>0</v>
      </c>
      <c r="AC553" s="24">
        <v>-1</v>
      </c>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c r="CA553"/>
      <c r="CB553"/>
      <c r="CC553"/>
      <c r="CD553"/>
      <c r="CE553"/>
      <c r="CF553"/>
      <c r="CG553"/>
      <c r="CH553"/>
      <c r="CI553"/>
      <c r="CJ553"/>
      <c r="CK553"/>
      <c r="CL553"/>
      <c r="CM553"/>
      <c r="CN553"/>
      <c r="CO553"/>
      <c r="CP553"/>
      <c r="CQ553"/>
      <c r="CR553"/>
      <c r="CS553"/>
    </row>
    <row r="554" spans="2:97">
      <c r="B554"/>
      <c r="C554" s="15"/>
      <c r="D554" s="23"/>
      <c r="E554" s="23"/>
      <c r="F554" s="23"/>
      <c r="G554" s="23">
        <f t="shared" ref="G554:G617" si="38">E554+F554</f>
        <v>0</v>
      </c>
      <c r="H554" s="23" t="e" cm="1">
        <f t="array" ref="H554">INDEX('GLOBAL LOG'!#REF!,ROW()-169+15)</f>
        <v>#REF!</v>
      </c>
      <c r="I554" s="23" t="e">
        <f>_xlfn.XLOOKUP(H554,#REF!,#REF!,"",0,1)</f>
        <v>#REF!</v>
      </c>
      <c r="J554" s="23" t="str">
        <f>IFERROR(I554*#REF!,"")</f>
        <v/>
      </c>
      <c r="K554" s="23" t="e" cm="1">
        <f t="array" ref="K554">INDEX('GLOBAL LOG'!#REF!,ROW()-169+15)</f>
        <v>#REF!</v>
      </c>
      <c r="L554" s="23" t="e">
        <f>_xlfn.XLOOKUP(K554,#REF!,#REF!,"",0,1)</f>
        <v>#REF!</v>
      </c>
      <c r="M554" s="23" t="str">
        <f>IFERROR(L554*#REF!,"")</f>
        <v/>
      </c>
      <c r="N554" s="23">
        <f t="shared" ref="N554:N617" si="39">IFERROR(D554*J554*M554,-1)</f>
        <v>-1</v>
      </c>
      <c r="O554" s="23">
        <f t="shared" ref="O554:O617" si="40">IFERROR(E554*J554*M554,-1)</f>
        <v>-1</v>
      </c>
      <c r="P554" s="23">
        <f t="shared" ref="P554:P617" si="41">IFERROR(F554*J554*M554,-1)</f>
        <v>-1</v>
      </c>
      <c r="Q554" s="24">
        <f t="shared" ref="Q554:Q617" si="42">IFERROR(G554*J554*M554,-1)</f>
        <v>-1</v>
      </c>
      <c r="R554" s="3"/>
      <c r="S554" s="1">
        <v>0</v>
      </c>
      <c r="T554" s="24">
        <v>-1</v>
      </c>
      <c r="U554"/>
      <c r="V554" s="1">
        <v>0</v>
      </c>
      <c r="W554" s="24">
        <v>-1</v>
      </c>
      <c r="X554"/>
      <c r="Y554" s="1">
        <v>0</v>
      </c>
      <c r="Z554" s="24">
        <v>-1</v>
      </c>
      <c r="AA554"/>
      <c r="AB554" s="1">
        <v>0</v>
      </c>
      <c r="AC554" s="24">
        <v>-1</v>
      </c>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c r="CA554"/>
      <c r="CB554"/>
      <c r="CC554"/>
      <c r="CD554"/>
      <c r="CE554"/>
      <c r="CF554"/>
      <c r="CG554"/>
      <c r="CH554"/>
      <c r="CI554"/>
      <c r="CJ554"/>
      <c r="CK554"/>
      <c r="CL554"/>
      <c r="CM554"/>
      <c r="CN554"/>
      <c r="CO554"/>
      <c r="CP554"/>
      <c r="CQ554"/>
      <c r="CR554"/>
      <c r="CS554"/>
    </row>
    <row r="555" spans="2:97">
      <c r="B555"/>
      <c r="C555" s="15"/>
      <c r="D555" s="23"/>
      <c r="E555" s="23"/>
      <c r="F555" s="23"/>
      <c r="G555" s="23">
        <f t="shared" si="38"/>
        <v>0</v>
      </c>
      <c r="H555" s="23" t="e" cm="1">
        <f t="array" ref="H555">INDEX('GLOBAL LOG'!#REF!,ROW()-169+15)</f>
        <v>#REF!</v>
      </c>
      <c r="I555" s="23" t="e">
        <f>_xlfn.XLOOKUP(H555,#REF!,#REF!,"",0,1)</f>
        <v>#REF!</v>
      </c>
      <c r="J555" s="23" t="str">
        <f>IFERROR(I555*#REF!,"")</f>
        <v/>
      </c>
      <c r="K555" s="23" t="e" cm="1">
        <f t="array" ref="K555">INDEX('GLOBAL LOG'!#REF!,ROW()-169+15)</f>
        <v>#REF!</v>
      </c>
      <c r="L555" s="23" t="e">
        <f>_xlfn.XLOOKUP(K555,#REF!,#REF!,"",0,1)</f>
        <v>#REF!</v>
      </c>
      <c r="M555" s="23" t="str">
        <f>IFERROR(L555*#REF!,"")</f>
        <v/>
      </c>
      <c r="N555" s="23">
        <f t="shared" si="39"/>
        <v>-1</v>
      </c>
      <c r="O555" s="23">
        <f t="shared" si="40"/>
        <v>-1</v>
      </c>
      <c r="P555" s="23">
        <f t="shared" si="41"/>
        <v>-1</v>
      </c>
      <c r="Q555" s="24">
        <f t="shared" si="42"/>
        <v>-1</v>
      </c>
      <c r="R555" s="3"/>
      <c r="S555" s="1">
        <v>0</v>
      </c>
      <c r="T555" s="24">
        <v>-1</v>
      </c>
      <c r="U555"/>
      <c r="V555" s="1">
        <v>0</v>
      </c>
      <c r="W555" s="24">
        <v>-1</v>
      </c>
      <c r="X555"/>
      <c r="Y555" s="1">
        <v>0</v>
      </c>
      <c r="Z555" s="24">
        <v>-1</v>
      </c>
      <c r="AA555"/>
      <c r="AB555" s="1">
        <v>0</v>
      </c>
      <c r="AC555" s="24">
        <v>-1</v>
      </c>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c r="CA555"/>
      <c r="CB555"/>
      <c r="CC555"/>
      <c r="CD555"/>
      <c r="CE555"/>
      <c r="CF555"/>
      <c r="CG555"/>
      <c r="CH555"/>
      <c r="CI555"/>
      <c r="CJ555"/>
      <c r="CK555"/>
      <c r="CL555"/>
      <c r="CM555"/>
      <c r="CN555"/>
      <c r="CO555"/>
      <c r="CP555"/>
      <c r="CQ555"/>
      <c r="CR555"/>
      <c r="CS555"/>
    </row>
    <row r="556" spans="2:97">
      <c r="B556"/>
      <c r="C556" s="15"/>
      <c r="D556" s="23"/>
      <c r="E556" s="23"/>
      <c r="F556" s="23"/>
      <c r="G556" s="23">
        <f t="shared" si="38"/>
        <v>0</v>
      </c>
      <c r="H556" s="23" t="e" cm="1">
        <f t="array" ref="H556">INDEX('GLOBAL LOG'!#REF!,ROW()-169+15)</f>
        <v>#REF!</v>
      </c>
      <c r="I556" s="23" t="e">
        <f>_xlfn.XLOOKUP(H556,#REF!,#REF!,"",0,1)</f>
        <v>#REF!</v>
      </c>
      <c r="J556" s="23" t="str">
        <f>IFERROR(I556*#REF!,"")</f>
        <v/>
      </c>
      <c r="K556" s="23" t="e" cm="1">
        <f t="array" ref="K556">INDEX('GLOBAL LOG'!#REF!,ROW()-169+15)</f>
        <v>#REF!</v>
      </c>
      <c r="L556" s="23" t="e">
        <f>_xlfn.XLOOKUP(K556,#REF!,#REF!,"",0,1)</f>
        <v>#REF!</v>
      </c>
      <c r="M556" s="23" t="str">
        <f>IFERROR(L556*#REF!,"")</f>
        <v/>
      </c>
      <c r="N556" s="23">
        <f t="shared" si="39"/>
        <v>-1</v>
      </c>
      <c r="O556" s="23">
        <f t="shared" si="40"/>
        <v>-1</v>
      </c>
      <c r="P556" s="23">
        <f t="shared" si="41"/>
        <v>-1</v>
      </c>
      <c r="Q556" s="24">
        <f t="shared" si="42"/>
        <v>-1</v>
      </c>
      <c r="R556" s="3"/>
      <c r="S556" s="1">
        <v>0</v>
      </c>
      <c r="T556" s="24">
        <v>-1</v>
      </c>
      <c r="U556"/>
      <c r="V556" s="1">
        <v>0</v>
      </c>
      <c r="W556" s="24">
        <v>-1</v>
      </c>
      <c r="X556"/>
      <c r="Y556" s="1">
        <v>0</v>
      </c>
      <c r="Z556" s="24">
        <v>-1</v>
      </c>
      <c r="AA556"/>
      <c r="AB556" s="1">
        <v>0</v>
      </c>
      <c r="AC556" s="24">
        <v>-1</v>
      </c>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c r="CC556"/>
      <c r="CD556"/>
      <c r="CE556"/>
      <c r="CF556"/>
      <c r="CG556"/>
      <c r="CH556"/>
      <c r="CI556"/>
      <c r="CJ556"/>
      <c r="CK556"/>
      <c r="CL556"/>
      <c r="CM556"/>
      <c r="CN556"/>
      <c r="CO556"/>
      <c r="CP556"/>
      <c r="CQ556"/>
      <c r="CR556"/>
      <c r="CS556"/>
    </row>
    <row r="557" spans="2:97">
      <c r="B557"/>
      <c r="C557" s="15"/>
      <c r="D557" s="23"/>
      <c r="E557" s="23"/>
      <c r="F557" s="23"/>
      <c r="G557" s="23">
        <f t="shared" si="38"/>
        <v>0</v>
      </c>
      <c r="H557" s="23" t="e" cm="1">
        <f t="array" ref="H557">INDEX('GLOBAL LOG'!#REF!,ROW()-169+15)</f>
        <v>#REF!</v>
      </c>
      <c r="I557" s="23" t="e">
        <f>_xlfn.XLOOKUP(H557,#REF!,#REF!,"",0,1)</f>
        <v>#REF!</v>
      </c>
      <c r="J557" s="23" t="str">
        <f>IFERROR(I557*#REF!,"")</f>
        <v/>
      </c>
      <c r="K557" s="23" t="e" cm="1">
        <f t="array" ref="K557">INDEX('GLOBAL LOG'!#REF!,ROW()-169+15)</f>
        <v>#REF!</v>
      </c>
      <c r="L557" s="23" t="e">
        <f>_xlfn.XLOOKUP(K557,#REF!,#REF!,"",0,1)</f>
        <v>#REF!</v>
      </c>
      <c r="M557" s="23" t="str">
        <f>IFERROR(L557*#REF!,"")</f>
        <v/>
      </c>
      <c r="N557" s="23">
        <f t="shared" si="39"/>
        <v>-1</v>
      </c>
      <c r="O557" s="23">
        <f t="shared" si="40"/>
        <v>-1</v>
      </c>
      <c r="P557" s="23">
        <f t="shared" si="41"/>
        <v>-1</v>
      </c>
      <c r="Q557" s="24">
        <f t="shared" si="42"/>
        <v>-1</v>
      </c>
      <c r="R557" s="3"/>
      <c r="S557" s="1">
        <v>0</v>
      </c>
      <c r="T557" s="24">
        <v>-1</v>
      </c>
      <c r="U557"/>
      <c r="V557" s="1">
        <v>0</v>
      </c>
      <c r="W557" s="24">
        <v>-1</v>
      </c>
      <c r="X557"/>
      <c r="Y557" s="1">
        <v>0</v>
      </c>
      <c r="Z557" s="24">
        <v>-1</v>
      </c>
      <c r="AA557"/>
      <c r="AB557" s="1">
        <v>0</v>
      </c>
      <c r="AC557" s="24">
        <v>-1</v>
      </c>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c r="CC557"/>
      <c r="CD557"/>
      <c r="CE557"/>
      <c r="CF557"/>
      <c r="CG557"/>
      <c r="CH557"/>
      <c r="CI557"/>
      <c r="CJ557"/>
      <c r="CK557"/>
      <c r="CL557"/>
      <c r="CM557"/>
      <c r="CN557"/>
      <c r="CO557"/>
      <c r="CP557"/>
      <c r="CQ557"/>
      <c r="CR557"/>
      <c r="CS557"/>
    </row>
    <row r="558" spans="2:97">
      <c r="B558"/>
      <c r="C558" s="15"/>
      <c r="D558" s="23"/>
      <c r="E558" s="23"/>
      <c r="F558" s="23"/>
      <c r="G558" s="23">
        <f t="shared" si="38"/>
        <v>0</v>
      </c>
      <c r="H558" s="23" t="e" cm="1">
        <f t="array" ref="H558">INDEX('GLOBAL LOG'!#REF!,ROW()-169+15)</f>
        <v>#REF!</v>
      </c>
      <c r="I558" s="23" t="e">
        <f>_xlfn.XLOOKUP(H558,#REF!,#REF!,"",0,1)</f>
        <v>#REF!</v>
      </c>
      <c r="J558" s="23" t="str">
        <f>IFERROR(I558*#REF!,"")</f>
        <v/>
      </c>
      <c r="K558" s="23" t="e" cm="1">
        <f t="array" ref="K558">INDEX('GLOBAL LOG'!#REF!,ROW()-169+15)</f>
        <v>#REF!</v>
      </c>
      <c r="L558" s="23" t="e">
        <f>_xlfn.XLOOKUP(K558,#REF!,#REF!,"",0,1)</f>
        <v>#REF!</v>
      </c>
      <c r="M558" s="23" t="str">
        <f>IFERROR(L558*#REF!,"")</f>
        <v/>
      </c>
      <c r="N558" s="23">
        <f t="shared" si="39"/>
        <v>-1</v>
      </c>
      <c r="O558" s="23">
        <f t="shared" si="40"/>
        <v>-1</v>
      </c>
      <c r="P558" s="23">
        <f t="shared" si="41"/>
        <v>-1</v>
      </c>
      <c r="Q558" s="24">
        <f t="shared" si="42"/>
        <v>-1</v>
      </c>
      <c r="R558" s="3"/>
      <c r="S558" s="1">
        <v>0</v>
      </c>
      <c r="T558" s="24">
        <v>-1</v>
      </c>
      <c r="U558"/>
      <c r="V558" s="1">
        <v>0</v>
      </c>
      <c r="W558" s="24">
        <v>-1</v>
      </c>
      <c r="X558"/>
      <c r="Y558" s="1">
        <v>0</v>
      </c>
      <c r="Z558" s="24">
        <v>-1</v>
      </c>
      <c r="AA558"/>
      <c r="AB558" s="1">
        <v>0</v>
      </c>
      <c r="AC558" s="24">
        <v>-1</v>
      </c>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c r="CA558"/>
      <c r="CB558"/>
      <c r="CC558"/>
      <c r="CD558"/>
      <c r="CE558"/>
      <c r="CF558"/>
      <c r="CG558"/>
      <c r="CH558"/>
      <c r="CI558"/>
      <c r="CJ558"/>
      <c r="CK558"/>
      <c r="CL558"/>
      <c r="CM558"/>
      <c r="CN558"/>
      <c r="CO558"/>
      <c r="CP558"/>
      <c r="CQ558"/>
      <c r="CR558"/>
      <c r="CS558"/>
    </row>
    <row r="559" spans="2:97">
      <c r="B559"/>
      <c r="C559" s="15"/>
      <c r="D559" s="23"/>
      <c r="E559" s="23"/>
      <c r="F559" s="23"/>
      <c r="G559" s="23">
        <f t="shared" si="38"/>
        <v>0</v>
      </c>
      <c r="H559" s="23" t="e" cm="1">
        <f t="array" ref="H559">INDEX('GLOBAL LOG'!#REF!,ROW()-169+15)</f>
        <v>#REF!</v>
      </c>
      <c r="I559" s="23" t="e">
        <f>_xlfn.XLOOKUP(H559,#REF!,#REF!,"",0,1)</f>
        <v>#REF!</v>
      </c>
      <c r="J559" s="23" t="str">
        <f>IFERROR(I559*#REF!,"")</f>
        <v/>
      </c>
      <c r="K559" s="23" t="e" cm="1">
        <f t="array" ref="K559">INDEX('GLOBAL LOG'!#REF!,ROW()-169+15)</f>
        <v>#REF!</v>
      </c>
      <c r="L559" s="23" t="e">
        <f>_xlfn.XLOOKUP(K559,#REF!,#REF!,"",0,1)</f>
        <v>#REF!</v>
      </c>
      <c r="M559" s="23" t="str">
        <f>IFERROR(L559*#REF!,"")</f>
        <v/>
      </c>
      <c r="N559" s="23">
        <f t="shared" si="39"/>
        <v>-1</v>
      </c>
      <c r="O559" s="23">
        <f t="shared" si="40"/>
        <v>-1</v>
      </c>
      <c r="P559" s="23">
        <f t="shared" si="41"/>
        <v>-1</v>
      </c>
      <c r="Q559" s="24">
        <f t="shared" si="42"/>
        <v>-1</v>
      </c>
      <c r="R559" s="3"/>
      <c r="S559" s="1">
        <v>0</v>
      </c>
      <c r="T559" s="24">
        <v>-1</v>
      </c>
      <c r="U559"/>
      <c r="V559" s="1">
        <v>0</v>
      </c>
      <c r="W559" s="24">
        <v>-1</v>
      </c>
      <c r="X559"/>
      <c r="Y559" s="1">
        <v>0</v>
      </c>
      <c r="Z559" s="24">
        <v>-1</v>
      </c>
      <c r="AA559"/>
      <c r="AB559" s="1">
        <v>0</v>
      </c>
      <c r="AC559" s="24">
        <v>-1</v>
      </c>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c r="CA559"/>
      <c r="CB559"/>
      <c r="CC559"/>
      <c r="CD559"/>
      <c r="CE559"/>
      <c r="CF559"/>
      <c r="CG559"/>
      <c r="CH559"/>
      <c r="CI559"/>
      <c r="CJ559"/>
      <c r="CK559"/>
      <c r="CL559"/>
      <c r="CM559"/>
      <c r="CN559"/>
      <c r="CO559"/>
      <c r="CP559"/>
      <c r="CQ559"/>
      <c r="CR559"/>
      <c r="CS559"/>
    </row>
    <row r="560" spans="2:97">
      <c r="B560"/>
      <c r="C560" s="15"/>
      <c r="D560" s="23"/>
      <c r="E560" s="23"/>
      <c r="F560" s="23"/>
      <c r="G560" s="23">
        <f t="shared" si="38"/>
        <v>0</v>
      </c>
      <c r="H560" s="23" t="e" cm="1">
        <f t="array" ref="H560">INDEX('GLOBAL LOG'!#REF!,ROW()-169+15)</f>
        <v>#REF!</v>
      </c>
      <c r="I560" s="23" t="e">
        <f>_xlfn.XLOOKUP(H560,#REF!,#REF!,"",0,1)</f>
        <v>#REF!</v>
      </c>
      <c r="J560" s="23" t="str">
        <f>IFERROR(I560*#REF!,"")</f>
        <v/>
      </c>
      <c r="K560" s="23" t="e" cm="1">
        <f t="array" ref="K560">INDEX('GLOBAL LOG'!#REF!,ROW()-169+15)</f>
        <v>#REF!</v>
      </c>
      <c r="L560" s="23" t="e">
        <f>_xlfn.XLOOKUP(K560,#REF!,#REF!,"",0,1)</f>
        <v>#REF!</v>
      </c>
      <c r="M560" s="23" t="str">
        <f>IFERROR(L560*#REF!,"")</f>
        <v/>
      </c>
      <c r="N560" s="23">
        <f t="shared" si="39"/>
        <v>-1</v>
      </c>
      <c r="O560" s="23">
        <f t="shared" si="40"/>
        <v>-1</v>
      </c>
      <c r="P560" s="23">
        <f t="shared" si="41"/>
        <v>-1</v>
      </c>
      <c r="Q560" s="24">
        <f t="shared" si="42"/>
        <v>-1</v>
      </c>
      <c r="R560" s="3"/>
      <c r="S560" s="1">
        <v>0</v>
      </c>
      <c r="T560" s="24">
        <v>-1</v>
      </c>
      <c r="U560"/>
      <c r="V560" s="1">
        <v>0</v>
      </c>
      <c r="W560" s="24">
        <v>-1</v>
      </c>
      <c r="X560"/>
      <c r="Y560" s="1">
        <v>0</v>
      </c>
      <c r="Z560" s="24">
        <v>-1</v>
      </c>
      <c r="AA560"/>
      <c r="AB560" s="1">
        <v>0</v>
      </c>
      <c r="AC560" s="24">
        <v>-1</v>
      </c>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c r="CC560"/>
      <c r="CD560"/>
      <c r="CE560"/>
      <c r="CF560"/>
      <c r="CG560"/>
      <c r="CH560"/>
      <c r="CI560"/>
      <c r="CJ560"/>
      <c r="CK560"/>
      <c r="CL560"/>
      <c r="CM560"/>
      <c r="CN560"/>
      <c r="CO560"/>
      <c r="CP560"/>
      <c r="CQ560"/>
      <c r="CR560"/>
      <c r="CS560"/>
    </row>
    <row r="561" spans="2:97">
      <c r="B561"/>
      <c r="C561" s="15"/>
      <c r="D561" s="23"/>
      <c r="E561" s="23"/>
      <c r="F561" s="23"/>
      <c r="G561" s="23">
        <f t="shared" si="38"/>
        <v>0</v>
      </c>
      <c r="H561" s="23" t="e" cm="1">
        <f t="array" ref="H561">INDEX('GLOBAL LOG'!#REF!,ROW()-169+15)</f>
        <v>#REF!</v>
      </c>
      <c r="I561" s="23" t="e">
        <f>_xlfn.XLOOKUP(H561,#REF!,#REF!,"",0,1)</f>
        <v>#REF!</v>
      </c>
      <c r="J561" s="23" t="str">
        <f>IFERROR(I561*#REF!,"")</f>
        <v/>
      </c>
      <c r="K561" s="23" t="e" cm="1">
        <f t="array" ref="K561">INDEX('GLOBAL LOG'!#REF!,ROW()-169+15)</f>
        <v>#REF!</v>
      </c>
      <c r="L561" s="23" t="e">
        <f>_xlfn.XLOOKUP(K561,#REF!,#REF!,"",0,1)</f>
        <v>#REF!</v>
      </c>
      <c r="M561" s="23" t="str">
        <f>IFERROR(L561*#REF!,"")</f>
        <v/>
      </c>
      <c r="N561" s="23">
        <f t="shared" si="39"/>
        <v>-1</v>
      </c>
      <c r="O561" s="23">
        <f t="shared" si="40"/>
        <v>-1</v>
      </c>
      <c r="P561" s="23">
        <f t="shared" si="41"/>
        <v>-1</v>
      </c>
      <c r="Q561" s="24">
        <f t="shared" si="42"/>
        <v>-1</v>
      </c>
      <c r="R561" s="3"/>
      <c r="S561" s="1">
        <v>0</v>
      </c>
      <c r="T561" s="24">
        <v>-1</v>
      </c>
      <c r="U561"/>
      <c r="V561" s="1">
        <v>0</v>
      </c>
      <c r="W561" s="24">
        <v>-1</v>
      </c>
      <c r="X561"/>
      <c r="Y561" s="1">
        <v>0</v>
      </c>
      <c r="Z561" s="24">
        <v>-1</v>
      </c>
      <c r="AA561"/>
      <c r="AB561" s="1">
        <v>0</v>
      </c>
      <c r="AC561" s="24">
        <v>-1</v>
      </c>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c r="CC561"/>
      <c r="CD561"/>
      <c r="CE561"/>
      <c r="CF561"/>
      <c r="CG561"/>
      <c r="CH561"/>
      <c r="CI561"/>
      <c r="CJ561"/>
      <c r="CK561"/>
      <c r="CL561"/>
      <c r="CM561"/>
      <c r="CN561"/>
      <c r="CO561"/>
      <c r="CP561"/>
      <c r="CQ561"/>
      <c r="CR561"/>
      <c r="CS561"/>
    </row>
    <row r="562" spans="2:97">
      <c r="B562"/>
      <c r="C562" s="15"/>
      <c r="D562" s="23"/>
      <c r="E562" s="23"/>
      <c r="F562" s="23"/>
      <c r="G562" s="23">
        <f t="shared" si="38"/>
        <v>0</v>
      </c>
      <c r="H562" s="23" t="e" cm="1">
        <f t="array" ref="H562">INDEX('GLOBAL LOG'!#REF!,ROW()-169+15)</f>
        <v>#REF!</v>
      </c>
      <c r="I562" s="23" t="e">
        <f>_xlfn.XLOOKUP(H562,#REF!,#REF!,"",0,1)</f>
        <v>#REF!</v>
      </c>
      <c r="J562" s="23" t="str">
        <f>IFERROR(I562*#REF!,"")</f>
        <v/>
      </c>
      <c r="K562" s="23" t="e" cm="1">
        <f t="array" ref="K562">INDEX('GLOBAL LOG'!#REF!,ROW()-169+15)</f>
        <v>#REF!</v>
      </c>
      <c r="L562" s="23" t="e">
        <f>_xlfn.XLOOKUP(K562,#REF!,#REF!,"",0,1)</f>
        <v>#REF!</v>
      </c>
      <c r="M562" s="23" t="str">
        <f>IFERROR(L562*#REF!,"")</f>
        <v/>
      </c>
      <c r="N562" s="23">
        <f t="shared" si="39"/>
        <v>-1</v>
      </c>
      <c r="O562" s="23">
        <f t="shared" si="40"/>
        <v>-1</v>
      </c>
      <c r="P562" s="23">
        <f t="shared" si="41"/>
        <v>-1</v>
      </c>
      <c r="Q562" s="24">
        <f t="shared" si="42"/>
        <v>-1</v>
      </c>
      <c r="R562" s="3"/>
      <c r="S562" s="1">
        <v>0</v>
      </c>
      <c r="T562" s="24">
        <v>-1</v>
      </c>
      <c r="U562"/>
      <c r="V562" s="1">
        <v>0</v>
      </c>
      <c r="W562" s="24">
        <v>-1</v>
      </c>
      <c r="X562"/>
      <c r="Y562" s="1">
        <v>0</v>
      </c>
      <c r="Z562" s="24">
        <v>-1</v>
      </c>
      <c r="AA562"/>
      <c r="AB562" s="1">
        <v>0</v>
      </c>
      <c r="AC562" s="24">
        <v>-1</v>
      </c>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c r="CC562"/>
      <c r="CD562"/>
      <c r="CE562"/>
      <c r="CF562"/>
      <c r="CG562"/>
      <c r="CH562"/>
      <c r="CI562"/>
      <c r="CJ562"/>
      <c r="CK562"/>
      <c r="CL562"/>
      <c r="CM562"/>
      <c r="CN562"/>
      <c r="CO562"/>
      <c r="CP562"/>
      <c r="CQ562"/>
      <c r="CR562"/>
      <c r="CS562"/>
    </row>
    <row r="563" spans="2:97">
      <c r="B563"/>
      <c r="C563" s="15"/>
      <c r="D563" s="23"/>
      <c r="E563" s="23"/>
      <c r="F563" s="23"/>
      <c r="G563" s="23">
        <f t="shared" si="38"/>
        <v>0</v>
      </c>
      <c r="H563" s="23" t="e" cm="1">
        <f t="array" ref="H563">INDEX('GLOBAL LOG'!#REF!,ROW()-169+15)</f>
        <v>#REF!</v>
      </c>
      <c r="I563" s="23" t="e">
        <f>_xlfn.XLOOKUP(H563,#REF!,#REF!,"",0,1)</f>
        <v>#REF!</v>
      </c>
      <c r="J563" s="23" t="str">
        <f>IFERROR(I563*#REF!,"")</f>
        <v/>
      </c>
      <c r="K563" s="23" t="e" cm="1">
        <f t="array" ref="K563">INDEX('GLOBAL LOG'!#REF!,ROW()-169+15)</f>
        <v>#REF!</v>
      </c>
      <c r="L563" s="23" t="e">
        <f>_xlfn.XLOOKUP(K563,#REF!,#REF!,"",0,1)</f>
        <v>#REF!</v>
      </c>
      <c r="M563" s="23" t="str">
        <f>IFERROR(L563*#REF!,"")</f>
        <v/>
      </c>
      <c r="N563" s="23">
        <f t="shared" si="39"/>
        <v>-1</v>
      </c>
      <c r="O563" s="23">
        <f t="shared" si="40"/>
        <v>-1</v>
      </c>
      <c r="P563" s="23">
        <f t="shared" si="41"/>
        <v>-1</v>
      </c>
      <c r="Q563" s="24">
        <f t="shared" si="42"/>
        <v>-1</v>
      </c>
      <c r="R563" s="3"/>
      <c r="S563" s="1">
        <v>0</v>
      </c>
      <c r="T563" s="24">
        <v>-1</v>
      </c>
      <c r="U563"/>
      <c r="V563" s="1">
        <v>0</v>
      </c>
      <c r="W563" s="24">
        <v>-1</v>
      </c>
      <c r="X563"/>
      <c r="Y563" s="1">
        <v>0</v>
      </c>
      <c r="Z563" s="24">
        <v>-1</v>
      </c>
      <c r="AA563"/>
      <c r="AB563" s="1">
        <v>0</v>
      </c>
      <c r="AC563" s="24">
        <v>-1</v>
      </c>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c r="CA563"/>
      <c r="CB563"/>
      <c r="CC563"/>
      <c r="CD563"/>
      <c r="CE563"/>
      <c r="CF563"/>
      <c r="CG563"/>
      <c r="CH563"/>
      <c r="CI563"/>
      <c r="CJ563"/>
      <c r="CK563"/>
      <c r="CL563"/>
      <c r="CM563"/>
      <c r="CN563"/>
      <c r="CO563"/>
      <c r="CP563"/>
      <c r="CQ563"/>
      <c r="CR563"/>
      <c r="CS563"/>
    </row>
    <row r="564" spans="2:97">
      <c r="B564"/>
      <c r="C564" s="15"/>
      <c r="D564" s="23"/>
      <c r="E564" s="23"/>
      <c r="F564" s="23"/>
      <c r="G564" s="23">
        <f t="shared" si="38"/>
        <v>0</v>
      </c>
      <c r="H564" s="23" t="e" cm="1">
        <f t="array" ref="H564">INDEX('GLOBAL LOG'!#REF!,ROW()-169+15)</f>
        <v>#REF!</v>
      </c>
      <c r="I564" s="23" t="e">
        <f>_xlfn.XLOOKUP(H564,#REF!,#REF!,"",0,1)</f>
        <v>#REF!</v>
      </c>
      <c r="J564" s="23" t="str">
        <f>IFERROR(I564*#REF!,"")</f>
        <v/>
      </c>
      <c r="K564" s="23" t="e" cm="1">
        <f t="array" ref="K564">INDEX('GLOBAL LOG'!#REF!,ROW()-169+15)</f>
        <v>#REF!</v>
      </c>
      <c r="L564" s="23" t="e">
        <f>_xlfn.XLOOKUP(K564,#REF!,#REF!,"",0,1)</f>
        <v>#REF!</v>
      </c>
      <c r="M564" s="23" t="str">
        <f>IFERROR(L564*#REF!,"")</f>
        <v/>
      </c>
      <c r="N564" s="23">
        <f t="shared" si="39"/>
        <v>-1</v>
      </c>
      <c r="O564" s="23">
        <f t="shared" si="40"/>
        <v>-1</v>
      </c>
      <c r="P564" s="23">
        <f t="shared" si="41"/>
        <v>-1</v>
      </c>
      <c r="Q564" s="24">
        <f t="shared" si="42"/>
        <v>-1</v>
      </c>
      <c r="R564" s="3"/>
      <c r="S564" s="1">
        <v>0</v>
      </c>
      <c r="T564" s="24">
        <v>-1</v>
      </c>
      <c r="U564"/>
      <c r="V564" s="1">
        <v>0</v>
      </c>
      <c r="W564" s="24">
        <v>-1</v>
      </c>
      <c r="X564"/>
      <c r="Y564" s="1">
        <v>0</v>
      </c>
      <c r="Z564" s="24">
        <v>-1</v>
      </c>
      <c r="AA564"/>
      <c r="AB564" s="1">
        <v>0</v>
      </c>
      <c r="AC564" s="24">
        <v>-1</v>
      </c>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c r="CC564"/>
      <c r="CD564"/>
      <c r="CE564"/>
      <c r="CF564"/>
      <c r="CG564"/>
      <c r="CH564"/>
      <c r="CI564"/>
      <c r="CJ564"/>
      <c r="CK564"/>
      <c r="CL564"/>
      <c r="CM564"/>
      <c r="CN564"/>
      <c r="CO564"/>
      <c r="CP564"/>
      <c r="CQ564"/>
      <c r="CR564"/>
      <c r="CS564"/>
    </row>
    <row r="565" spans="2:97">
      <c r="B565"/>
      <c r="C565" s="15"/>
      <c r="D565" s="23"/>
      <c r="E565" s="23"/>
      <c r="F565" s="23"/>
      <c r="G565" s="23">
        <f t="shared" si="38"/>
        <v>0</v>
      </c>
      <c r="H565" s="23" t="e" cm="1">
        <f t="array" ref="H565">INDEX('GLOBAL LOG'!#REF!,ROW()-169+15)</f>
        <v>#REF!</v>
      </c>
      <c r="I565" s="23" t="e">
        <f>_xlfn.XLOOKUP(H565,#REF!,#REF!,"",0,1)</f>
        <v>#REF!</v>
      </c>
      <c r="J565" s="23" t="str">
        <f>IFERROR(I565*#REF!,"")</f>
        <v/>
      </c>
      <c r="K565" s="23" t="e" cm="1">
        <f t="array" ref="K565">INDEX('GLOBAL LOG'!#REF!,ROW()-169+15)</f>
        <v>#REF!</v>
      </c>
      <c r="L565" s="23" t="e">
        <f>_xlfn.XLOOKUP(K565,#REF!,#REF!,"",0,1)</f>
        <v>#REF!</v>
      </c>
      <c r="M565" s="23" t="str">
        <f>IFERROR(L565*#REF!,"")</f>
        <v/>
      </c>
      <c r="N565" s="23">
        <f t="shared" si="39"/>
        <v>-1</v>
      </c>
      <c r="O565" s="23">
        <f t="shared" si="40"/>
        <v>-1</v>
      </c>
      <c r="P565" s="23">
        <f t="shared" si="41"/>
        <v>-1</v>
      </c>
      <c r="Q565" s="24">
        <f t="shared" si="42"/>
        <v>-1</v>
      </c>
      <c r="R565" s="3"/>
      <c r="S565" s="1">
        <v>0</v>
      </c>
      <c r="T565" s="24">
        <v>-1</v>
      </c>
      <c r="U565"/>
      <c r="V565" s="1">
        <v>0</v>
      </c>
      <c r="W565" s="24">
        <v>-1</v>
      </c>
      <c r="X565"/>
      <c r="Y565" s="1">
        <v>0</v>
      </c>
      <c r="Z565" s="24">
        <v>-1</v>
      </c>
      <c r="AA565"/>
      <c r="AB565" s="1">
        <v>0</v>
      </c>
      <c r="AC565" s="24">
        <v>-1</v>
      </c>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c r="CC565"/>
      <c r="CD565"/>
      <c r="CE565"/>
      <c r="CF565"/>
      <c r="CG565"/>
      <c r="CH565"/>
      <c r="CI565"/>
      <c r="CJ565"/>
      <c r="CK565"/>
      <c r="CL565"/>
      <c r="CM565"/>
      <c r="CN565"/>
      <c r="CO565"/>
      <c r="CP565"/>
      <c r="CQ565"/>
      <c r="CR565"/>
      <c r="CS565"/>
    </row>
    <row r="566" spans="2:97">
      <c r="B566"/>
      <c r="C566" s="15"/>
      <c r="D566" s="23"/>
      <c r="E566" s="23"/>
      <c r="F566" s="23"/>
      <c r="G566" s="23">
        <f t="shared" si="38"/>
        <v>0</v>
      </c>
      <c r="H566" s="23" t="e" cm="1">
        <f t="array" ref="H566">INDEX('GLOBAL LOG'!#REF!,ROW()-169+15)</f>
        <v>#REF!</v>
      </c>
      <c r="I566" s="23" t="e">
        <f>_xlfn.XLOOKUP(H566,#REF!,#REF!,"",0,1)</f>
        <v>#REF!</v>
      </c>
      <c r="J566" s="23" t="str">
        <f>IFERROR(I566*#REF!,"")</f>
        <v/>
      </c>
      <c r="K566" s="23" t="e" cm="1">
        <f t="array" ref="K566">INDEX('GLOBAL LOG'!#REF!,ROW()-169+15)</f>
        <v>#REF!</v>
      </c>
      <c r="L566" s="23" t="e">
        <f>_xlfn.XLOOKUP(K566,#REF!,#REF!,"",0,1)</f>
        <v>#REF!</v>
      </c>
      <c r="M566" s="23" t="str">
        <f>IFERROR(L566*#REF!,"")</f>
        <v/>
      </c>
      <c r="N566" s="23">
        <f t="shared" si="39"/>
        <v>-1</v>
      </c>
      <c r="O566" s="23">
        <f t="shared" si="40"/>
        <v>-1</v>
      </c>
      <c r="P566" s="23">
        <f t="shared" si="41"/>
        <v>-1</v>
      </c>
      <c r="Q566" s="24">
        <f t="shared" si="42"/>
        <v>-1</v>
      </c>
      <c r="R566" s="3"/>
      <c r="S566" s="1">
        <v>0</v>
      </c>
      <c r="T566" s="24">
        <v>-1</v>
      </c>
      <c r="U566"/>
      <c r="V566" s="1">
        <v>0</v>
      </c>
      <c r="W566" s="24">
        <v>-1</v>
      </c>
      <c r="X566"/>
      <c r="Y566" s="1">
        <v>0</v>
      </c>
      <c r="Z566" s="24">
        <v>-1</v>
      </c>
      <c r="AA566"/>
      <c r="AB566" s="1">
        <v>0</v>
      </c>
      <c r="AC566" s="24">
        <v>-1</v>
      </c>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c r="CC566"/>
      <c r="CD566"/>
      <c r="CE566"/>
      <c r="CF566"/>
      <c r="CG566"/>
      <c r="CH566"/>
      <c r="CI566"/>
      <c r="CJ566"/>
      <c r="CK566"/>
      <c r="CL566"/>
      <c r="CM566"/>
      <c r="CN566"/>
      <c r="CO566"/>
      <c r="CP566"/>
      <c r="CQ566"/>
      <c r="CR566"/>
      <c r="CS566"/>
    </row>
    <row r="567" spans="2:97">
      <c r="B567"/>
      <c r="C567" s="15"/>
      <c r="D567" s="23"/>
      <c r="E567" s="23"/>
      <c r="F567" s="23"/>
      <c r="G567" s="23">
        <f t="shared" si="38"/>
        <v>0</v>
      </c>
      <c r="H567" s="23" t="e" cm="1">
        <f t="array" ref="H567">INDEX('GLOBAL LOG'!#REF!,ROW()-169+15)</f>
        <v>#REF!</v>
      </c>
      <c r="I567" s="23" t="e">
        <f>_xlfn.XLOOKUP(H567,#REF!,#REF!,"",0,1)</f>
        <v>#REF!</v>
      </c>
      <c r="J567" s="23" t="str">
        <f>IFERROR(I567*#REF!,"")</f>
        <v/>
      </c>
      <c r="K567" s="23" t="e" cm="1">
        <f t="array" ref="K567">INDEX('GLOBAL LOG'!#REF!,ROW()-169+15)</f>
        <v>#REF!</v>
      </c>
      <c r="L567" s="23" t="e">
        <f>_xlfn.XLOOKUP(K567,#REF!,#REF!,"",0,1)</f>
        <v>#REF!</v>
      </c>
      <c r="M567" s="23" t="str">
        <f>IFERROR(L567*#REF!,"")</f>
        <v/>
      </c>
      <c r="N567" s="23">
        <f t="shared" si="39"/>
        <v>-1</v>
      </c>
      <c r="O567" s="23">
        <f t="shared" si="40"/>
        <v>-1</v>
      </c>
      <c r="P567" s="23">
        <f t="shared" si="41"/>
        <v>-1</v>
      </c>
      <c r="Q567" s="24">
        <f t="shared" si="42"/>
        <v>-1</v>
      </c>
      <c r="R567" s="3"/>
      <c r="S567" s="1">
        <v>0</v>
      </c>
      <c r="T567" s="24">
        <v>-1</v>
      </c>
      <c r="U567"/>
      <c r="V567" s="1">
        <v>0</v>
      </c>
      <c r="W567" s="24">
        <v>-1</v>
      </c>
      <c r="X567"/>
      <c r="Y567" s="1">
        <v>0</v>
      </c>
      <c r="Z567" s="24">
        <v>-1</v>
      </c>
      <c r="AA567"/>
      <c r="AB567" s="1">
        <v>0</v>
      </c>
      <c r="AC567" s="24">
        <v>-1</v>
      </c>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c r="CC567"/>
      <c r="CD567"/>
      <c r="CE567"/>
      <c r="CF567"/>
      <c r="CG567"/>
      <c r="CH567"/>
      <c r="CI567"/>
      <c r="CJ567"/>
      <c r="CK567"/>
      <c r="CL567"/>
      <c r="CM567"/>
      <c r="CN567"/>
      <c r="CO567"/>
      <c r="CP567"/>
      <c r="CQ567"/>
      <c r="CR567"/>
      <c r="CS567"/>
    </row>
    <row r="568" spans="2:97">
      <c r="B568"/>
      <c r="C568" s="15"/>
      <c r="D568" s="23"/>
      <c r="E568" s="23"/>
      <c r="F568" s="23"/>
      <c r="G568" s="23">
        <f t="shared" si="38"/>
        <v>0</v>
      </c>
      <c r="H568" s="23" t="e" cm="1">
        <f t="array" ref="H568">INDEX('GLOBAL LOG'!#REF!,ROW()-169+15)</f>
        <v>#REF!</v>
      </c>
      <c r="I568" s="23" t="e">
        <f>_xlfn.XLOOKUP(H568,#REF!,#REF!,"",0,1)</f>
        <v>#REF!</v>
      </c>
      <c r="J568" s="23" t="str">
        <f>IFERROR(I568*#REF!,"")</f>
        <v/>
      </c>
      <c r="K568" s="23" t="e" cm="1">
        <f t="array" ref="K568">INDEX('GLOBAL LOG'!#REF!,ROW()-169+15)</f>
        <v>#REF!</v>
      </c>
      <c r="L568" s="23" t="e">
        <f>_xlfn.XLOOKUP(K568,#REF!,#REF!,"",0,1)</f>
        <v>#REF!</v>
      </c>
      <c r="M568" s="23" t="str">
        <f>IFERROR(L568*#REF!,"")</f>
        <v/>
      </c>
      <c r="N568" s="23">
        <f t="shared" si="39"/>
        <v>-1</v>
      </c>
      <c r="O568" s="23">
        <f t="shared" si="40"/>
        <v>-1</v>
      </c>
      <c r="P568" s="23">
        <f t="shared" si="41"/>
        <v>-1</v>
      </c>
      <c r="Q568" s="24">
        <f t="shared" si="42"/>
        <v>-1</v>
      </c>
      <c r="R568" s="3"/>
      <c r="S568" s="1">
        <v>0</v>
      </c>
      <c r="T568" s="24">
        <v>-1</v>
      </c>
      <c r="U568"/>
      <c r="V568" s="1">
        <v>0</v>
      </c>
      <c r="W568" s="24">
        <v>-1</v>
      </c>
      <c r="X568"/>
      <c r="Y568" s="1">
        <v>0</v>
      </c>
      <c r="Z568" s="24">
        <v>-1</v>
      </c>
      <c r="AA568"/>
      <c r="AB568" s="1">
        <v>0</v>
      </c>
      <c r="AC568" s="24">
        <v>-1</v>
      </c>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c r="CC568"/>
      <c r="CD568"/>
      <c r="CE568"/>
      <c r="CF568"/>
      <c r="CG568"/>
      <c r="CH568"/>
      <c r="CI568"/>
      <c r="CJ568"/>
      <c r="CK568"/>
      <c r="CL568"/>
      <c r="CM568"/>
      <c r="CN568"/>
      <c r="CO568"/>
      <c r="CP568"/>
      <c r="CQ568"/>
      <c r="CR568"/>
      <c r="CS568"/>
    </row>
    <row r="569" spans="2:97">
      <c r="B569"/>
      <c r="C569" s="15"/>
      <c r="D569" s="23"/>
      <c r="E569" s="23"/>
      <c r="F569" s="23"/>
      <c r="G569" s="23">
        <f t="shared" si="38"/>
        <v>0</v>
      </c>
      <c r="H569" s="23" t="e" cm="1">
        <f t="array" ref="H569">INDEX('GLOBAL LOG'!#REF!,ROW()-169+15)</f>
        <v>#REF!</v>
      </c>
      <c r="I569" s="23" t="e">
        <f>_xlfn.XLOOKUP(H569,#REF!,#REF!,"",0,1)</f>
        <v>#REF!</v>
      </c>
      <c r="J569" s="23" t="str">
        <f>IFERROR(I569*#REF!,"")</f>
        <v/>
      </c>
      <c r="K569" s="23" t="e" cm="1">
        <f t="array" ref="K569">INDEX('GLOBAL LOG'!#REF!,ROW()-169+15)</f>
        <v>#REF!</v>
      </c>
      <c r="L569" s="23" t="e">
        <f>_xlfn.XLOOKUP(K569,#REF!,#REF!,"",0,1)</f>
        <v>#REF!</v>
      </c>
      <c r="M569" s="23" t="str">
        <f>IFERROR(L569*#REF!,"")</f>
        <v/>
      </c>
      <c r="N569" s="23">
        <f t="shared" si="39"/>
        <v>-1</v>
      </c>
      <c r="O569" s="23">
        <f t="shared" si="40"/>
        <v>-1</v>
      </c>
      <c r="P569" s="23">
        <f t="shared" si="41"/>
        <v>-1</v>
      </c>
      <c r="Q569" s="24">
        <f t="shared" si="42"/>
        <v>-1</v>
      </c>
      <c r="R569" s="3"/>
      <c r="S569" s="1">
        <v>0</v>
      </c>
      <c r="T569" s="24">
        <v>-1</v>
      </c>
      <c r="U569"/>
      <c r="V569" s="1">
        <v>0</v>
      </c>
      <c r="W569" s="24">
        <v>-1</v>
      </c>
      <c r="X569"/>
      <c r="Y569" s="1">
        <v>0</v>
      </c>
      <c r="Z569" s="24">
        <v>-1</v>
      </c>
      <c r="AA569"/>
      <c r="AB569" s="1">
        <v>0</v>
      </c>
      <c r="AC569" s="24">
        <v>-1</v>
      </c>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c r="CA569"/>
      <c r="CB569"/>
      <c r="CC569"/>
      <c r="CD569"/>
      <c r="CE569"/>
      <c r="CF569"/>
      <c r="CG569"/>
      <c r="CH569"/>
      <c r="CI569"/>
      <c r="CJ569"/>
      <c r="CK569"/>
      <c r="CL569"/>
      <c r="CM569"/>
      <c r="CN569"/>
      <c r="CO569"/>
      <c r="CP569"/>
      <c r="CQ569"/>
      <c r="CR569"/>
      <c r="CS569"/>
    </row>
    <row r="570" spans="2:97">
      <c r="B570"/>
      <c r="C570" s="15"/>
      <c r="D570" s="23"/>
      <c r="E570" s="23"/>
      <c r="F570" s="23"/>
      <c r="G570" s="23">
        <f t="shared" si="38"/>
        <v>0</v>
      </c>
      <c r="H570" s="23" t="e" cm="1">
        <f t="array" ref="H570">INDEX('GLOBAL LOG'!#REF!,ROW()-169+15)</f>
        <v>#REF!</v>
      </c>
      <c r="I570" s="23" t="e">
        <f>_xlfn.XLOOKUP(H570,#REF!,#REF!,"",0,1)</f>
        <v>#REF!</v>
      </c>
      <c r="J570" s="23" t="str">
        <f>IFERROR(I570*#REF!,"")</f>
        <v/>
      </c>
      <c r="K570" s="23" t="e" cm="1">
        <f t="array" ref="K570">INDEX('GLOBAL LOG'!#REF!,ROW()-169+15)</f>
        <v>#REF!</v>
      </c>
      <c r="L570" s="23" t="e">
        <f>_xlfn.XLOOKUP(K570,#REF!,#REF!,"",0,1)</f>
        <v>#REF!</v>
      </c>
      <c r="M570" s="23" t="str">
        <f>IFERROR(L570*#REF!,"")</f>
        <v/>
      </c>
      <c r="N570" s="23">
        <f t="shared" si="39"/>
        <v>-1</v>
      </c>
      <c r="O570" s="23">
        <f t="shared" si="40"/>
        <v>-1</v>
      </c>
      <c r="P570" s="23">
        <f t="shared" si="41"/>
        <v>-1</v>
      </c>
      <c r="Q570" s="24">
        <f t="shared" si="42"/>
        <v>-1</v>
      </c>
      <c r="R570" s="3"/>
      <c r="S570" s="1">
        <v>0</v>
      </c>
      <c r="T570" s="24">
        <v>-1</v>
      </c>
      <c r="U570"/>
      <c r="V570" s="1">
        <v>0</v>
      </c>
      <c r="W570" s="24">
        <v>-1</v>
      </c>
      <c r="X570"/>
      <c r="Y570" s="1">
        <v>0</v>
      </c>
      <c r="Z570" s="24">
        <v>-1</v>
      </c>
      <c r="AA570"/>
      <c r="AB570" s="1">
        <v>0</v>
      </c>
      <c r="AC570" s="24">
        <v>-1</v>
      </c>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c r="CC570"/>
      <c r="CD570"/>
      <c r="CE570"/>
      <c r="CF570"/>
      <c r="CG570"/>
      <c r="CH570"/>
      <c r="CI570"/>
      <c r="CJ570"/>
      <c r="CK570"/>
      <c r="CL570"/>
      <c r="CM570"/>
      <c r="CN570"/>
      <c r="CO570"/>
      <c r="CP570"/>
      <c r="CQ570"/>
      <c r="CR570"/>
      <c r="CS570"/>
    </row>
    <row r="571" spans="2:97">
      <c r="B571"/>
      <c r="C571" s="15"/>
      <c r="D571" s="23"/>
      <c r="E571" s="23"/>
      <c r="F571" s="23"/>
      <c r="G571" s="23">
        <f t="shared" si="38"/>
        <v>0</v>
      </c>
      <c r="H571" s="23" t="e" cm="1">
        <f t="array" ref="H571">INDEX('GLOBAL LOG'!#REF!,ROW()-169+15)</f>
        <v>#REF!</v>
      </c>
      <c r="I571" s="23" t="e">
        <f>_xlfn.XLOOKUP(H571,#REF!,#REF!,"",0,1)</f>
        <v>#REF!</v>
      </c>
      <c r="J571" s="23" t="str">
        <f>IFERROR(I571*#REF!,"")</f>
        <v/>
      </c>
      <c r="K571" s="23" t="e" cm="1">
        <f t="array" ref="K571">INDEX('GLOBAL LOG'!#REF!,ROW()-169+15)</f>
        <v>#REF!</v>
      </c>
      <c r="L571" s="23" t="e">
        <f>_xlfn.XLOOKUP(K571,#REF!,#REF!,"",0,1)</f>
        <v>#REF!</v>
      </c>
      <c r="M571" s="23" t="str">
        <f>IFERROR(L571*#REF!,"")</f>
        <v/>
      </c>
      <c r="N571" s="23">
        <f t="shared" si="39"/>
        <v>-1</v>
      </c>
      <c r="O571" s="23">
        <f t="shared" si="40"/>
        <v>-1</v>
      </c>
      <c r="P571" s="23">
        <f t="shared" si="41"/>
        <v>-1</v>
      </c>
      <c r="Q571" s="24">
        <f t="shared" si="42"/>
        <v>-1</v>
      </c>
      <c r="R571" s="3"/>
      <c r="S571" s="1">
        <v>0</v>
      </c>
      <c r="T571" s="24">
        <v>-1</v>
      </c>
      <c r="U571"/>
      <c r="V571" s="1">
        <v>0</v>
      </c>
      <c r="W571" s="24">
        <v>-1</v>
      </c>
      <c r="X571"/>
      <c r="Y571" s="1">
        <v>0</v>
      </c>
      <c r="Z571" s="24">
        <v>-1</v>
      </c>
      <c r="AA571"/>
      <c r="AB571" s="1">
        <v>0</v>
      </c>
      <c r="AC571" s="24">
        <v>-1</v>
      </c>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c r="CC571"/>
      <c r="CD571"/>
      <c r="CE571"/>
      <c r="CF571"/>
      <c r="CG571"/>
      <c r="CH571"/>
      <c r="CI571"/>
      <c r="CJ571"/>
      <c r="CK571"/>
      <c r="CL571"/>
      <c r="CM571"/>
      <c r="CN571"/>
      <c r="CO571"/>
      <c r="CP571"/>
      <c r="CQ571"/>
      <c r="CR571"/>
      <c r="CS571"/>
    </row>
    <row r="572" spans="2:97">
      <c r="B572"/>
      <c r="C572" s="15"/>
      <c r="D572" s="23"/>
      <c r="E572" s="23"/>
      <c r="F572" s="23"/>
      <c r="G572" s="23">
        <f t="shared" si="38"/>
        <v>0</v>
      </c>
      <c r="H572" s="23" t="e" cm="1">
        <f t="array" ref="H572">INDEX('GLOBAL LOG'!#REF!,ROW()-169+15)</f>
        <v>#REF!</v>
      </c>
      <c r="I572" s="23" t="e">
        <f>_xlfn.XLOOKUP(H572,#REF!,#REF!,"",0,1)</f>
        <v>#REF!</v>
      </c>
      <c r="J572" s="23" t="str">
        <f>IFERROR(I572*#REF!,"")</f>
        <v/>
      </c>
      <c r="K572" s="23" t="e" cm="1">
        <f t="array" ref="K572">INDEX('GLOBAL LOG'!#REF!,ROW()-169+15)</f>
        <v>#REF!</v>
      </c>
      <c r="L572" s="23" t="e">
        <f>_xlfn.XLOOKUP(K572,#REF!,#REF!,"",0,1)</f>
        <v>#REF!</v>
      </c>
      <c r="M572" s="23" t="str">
        <f>IFERROR(L572*#REF!,"")</f>
        <v/>
      </c>
      <c r="N572" s="23">
        <f t="shared" si="39"/>
        <v>-1</v>
      </c>
      <c r="O572" s="23">
        <f t="shared" si="40"/>
        <v>-1</v>
      </c>
      <c r="P572" s="23">
        <f t="shared" si="41"/>
        <v>-1</v>
      </c>
      <c r="Q572" s="24">
        <f t="shared" si="42"/>
        <v>-1</v>
      </c>
      <c r="R572" s="3"/>
      <c r="S572" s="1">
        <v>0</v>
      </c>
      <c r="T572" s="24">
        <v>-1</v>
      </c>
      <c r="U572"/>
      <c r="V572" s="1">
        <v>0</v>
      </c>
      <c r="W572" s="24">
        <v>-1</v>
      </c>
      <c r="X572"/>
      <c r="Y572" s="1">
        <v>0</v>
      </c>
      <c r="Z572" s="24">
        <v>-1</v>
      </c>
      <c r="AA572"/>
      <c r="AB572" s="1">
        <v>0</v>
      </c>
      <c r="AC572" s="24">
        <v>-1</v>
      </c>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c r="CC572"/>
      <c r="CD572"/>
      <c r="CE572"/>
      <c r="CF572"/>
      <c r="CG572"/>
      <c r="CH572"/>
      <c r="CI572"/>
      <c r="CJ572"/>
      <c r="CK572"/>
      <c r="CL572"/>
      <c r="CM572"/>
      <c r="CN572"/>
      <c r="CO572"/>
      <c r="CP572"/>
      <c r="CQ572"/>
      <c r="CR572"/>
      <c r="CS572"/>
    </row>
    <row r="573" spans="2:97">
      <c r="B573"/>
      <c r="C573" s="15"/>
      <c r="D573" s="23"/>
      <c r="E573" s="23"/>
      <c r="F573" s="23"/>
      <c r="G573" s="23">
        <f t="shared" si="38"/>
        <v>0</v>
      </c>
      <c r="H573" s="23" t="e" cm="1">
        <f t="array" ref="H573">INDEX('GLOBAL LOG'!#REF!,ROW()-169+15)</f>
        <v>#REF!</v>
      </c>
      <c r="I573" s="23" t="e">
        <f>_xlfn.XLOOKUP(H573,#REF!,#REF!,"",0,1)</f>
        <v>#REF!</v>
      </c>
      <c r="J573" s="23" t="str">
        <f>IFERROR(I573*#REF!,"")</f>
        <v/>
      </c>
      <c r="K573" s="23" t="e" cm="1">
        <f t="array" ref="K573">INDEX('GLOBAL LOG'!#REF!,ROW()-169+15)</f>
        <v>#REF!</v>
      </c>
      <c r="L573" s="23" t="e">
        <f>_xlfn.XLOOKUP(K573,#REF!,#REF!,"",0,1)</f>
        <v>#REF!</v>
      </c>
      <c r="M573" s="23" t="str">
        <f>IFERROR(L573*#REF!,"")</f>
        <v/>
      </c>
      <c r="N573" s="23">
        <f t="shared" si="39"/>
        <v>-1</v>
      </c>
      <c r="O573" s="23">
        <f t="shared" si="40"/>
        <v>-1</v>
      </c>
      <c r="P573" s="23">
        <f t="shared" si="41"/>
        <v>-1</v>
      </c>
      <c r="Q573" s="24">
        <f t="shared" si="42"/>
        <v>-1</v>
      </c>
      <c r="R573" s="3"/>
      <c r="S573" s="1">
        <v>0</v>
      </c>
      <c r="T573" s="24">
        <v>-1</v>
      </c>
      <c r="U573"/>
      <c r="V573" s="1">
        <v>0</v>
      </c>
      <c r="W573" s="24">
        <v>-1</v>
      </c>
      <c r="X573"/>
      <c r="Y573" s="1">
        <v>0</v>
      </c>
      <c r="Z573" s="24">
        <v>-1</v>
      </c>
      <c r="AA573"/>
      <c r="AB573" s="1">
        <v>0</v>
      </c>
      <c r="AC573" s="24">
        <v>-1</v>
      </c>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c r="CC573"/>
      <c r="CD573"/>
      <c r="CE573"/>
      <c r="CF573"/>
      <c r="CG573"/>
      <c r="CH573"/>
      <c r="CI573"/>
      <c r="CJ573"/>
      <c r="CK573"/>
      <c r="CL573"/>
      <c r="CM573"/>
      <c r="CN573"/>
      <c r="CO573"/>
      <c r="CP573"/>
      <c r="CQ573"/>
      <c r="CR573"/>
      <c r="CS573"/>
    </row>
    <row r="574" spans="2:97">
      <c r="B574"/>
      <c r="C574" s="15"/>
      <c r="D574" s="23"/>
      <c r="E574" s="23"/>
      <c r="F574" s="23"/>
      <c r="G574" s="23">
        <f t="shared" si="38"/>
        <v>0</v>
      </c>
      <c r="H574" s="23" t="e" cm="1">
        <f t="array" ref="H574">INDEX('GLOBAL LOG'!#REF!,ROW()-169+15)</f>
        <v>#REF!</v>
      </c>
      <c r="I574" s="23" t="e">
        <f>_xlfn.XLOOKUP(H574,#REF!,#REF!,"",0,1)</f>
        <v>#REF!</v>
      </c>
      <c r="J574" s="23" t="str">
        <f>IFERROR(I574*#REF!,"")</f>
        <v/>
      </c>
      <c r="K574" s="23" t="e" cm="1">
        <f t="array" ref="K574">INDEX('GLOBAL LOG'!#REF!,ROW()-169+15)</f>
        <v>#REF!</v>
      </c>
      <c r="L574" s="23" t="e">
        <f>_xlfn.XLOOKUP(K574,#REF!,#REF!,"",0,1)</f>
        <v>#REF!</v>
      </c>
      <c r="M574" s="23" t="str">
        <f>IFERROR(L574*#REF!,"")</f>
        <v/>
      </c>
      <c r="N574" s="23">
        <f t="shared" si="39"/>
        <v>-1</v>
      </c>
      <c r="O574" s="23">
        <f t="shared" si="40"/>
        <v>-1</v>
      </c>
      <c r="P574" s="23">
        <f t="shared" si="41"/>
        <v>-1</v>
      </c>
      <c r="Q574" s="24">
        <f t="shared" si="42"/>
        <v>-1</v>
      </c>
      <c r="R574" s="3"/>
      <c r="S574" s="1">
        <v>0</v>
      </c>
      <c r="T574" s="24">
        <v>-1</v>
      </c>
      <c r="U574"/>
      <c r="V574" s="1">
        <v>0</v>
      </c>
      <c r="W574" s="24">
        <v>-1</v>
      </c>
      <c r="X574"/>
      <c r="Y574" s="1">
        <v>0</v>
      </c>
      <c r="Z574" s="24">
        <v>-1</v>
      </c>
      <c r="AA574"/>
      <c r="AB574" s="1">
        <v>0</v>
      </c>
      <c r="AC574" s="24">
        <v>-1</v>
      </c>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c r="CC574"/>
      <c r="CD574"/>
      <c r="CE574"/>
      <c r="CF574"/>
      <c r="CG574"/>
      <c r="CH574"/>
      <c r="CI574"/>
      <c r="CJ574"/>
      <c r="CK574"/>
      <c r="CL574"/>
      <c r="CM574"/>
      <c r="CN574"/>
      <c r="CO574"/>
      <c r="CP574"/>
      <c r="CQ574"/>
      <c r="CR574"/>
      <c r="CS574"/>
    </row>
    <row r="575" spans="2:97">
      <c r="B575"/>
      <c r="C575" s="15"/>
      <c r="D575" s="23"/>
      <c r="E575" s="23"/>
      <c r="F575" s="23"/>
      <c r="G575" s="23">
        <f t="shared" si="38"/>
        <v>0</v>
      </c>
      <c r="H575" s="23" t="e" cm="1">
        <f t="array" ref="H575">INDEX('GLOBAL LOG'!#REF!,ROW()-169+15)</f>
        <v>#REF!</v>
      </c>
      <c r="I575" s="23" t="e">
        <f>_xlfn.XLOOKUP(H575,#REF!,#REF!,"",0,1)</f>
        <v>#REF!</v>
      </c>
      <c r="J575" s="23" t="str">
        <f>IFERROR(I575*#REF!,"")</f>
        <v/>
      </c>
      <c r="K575" s="23" t="e" cm="1">
        <f t="array" ref="K575">INDEX('GLOBAL LOG'!#REF!,ROW()-169+15)</f>
        <v>#REF!</v>
      </c>
      <c r="L575" s="23" t="e">
        <f>_xlfn.XLOOKUP(K575,#REF!,#REF!,"",0,1)</f>
        <v>#REF!</v>
      </c>
      <c r="M575" s="23" t="str">
        <f>IFERROR(L575*#REF!,"")</f>
        <v/>
      </c>
      <c r="N575" s="23">
        <f t="shared" si="39"/>
        <v>-1</v>
      </c>
      <c r="O575" s="23">
        <f t="shared" si="40"/>
        <v>-1</v>
      </c>
      <c r="P575" s="23">
        <f t="shared" si="41"/>
        <v>-1</v>
      </c>
      <c r="Q575" s="24">
        <f t="shared" si="42"/>
        <v>-1</v>
      </c>
      <c r="R575" s="3"/>
      <c r="S575" s="1">
        <v>0</v>
      </c>
      <c r="T575" s="24">
        <v>-1</v>
      </c>
      <c r="U575"/>
      <c r="V575" s="1">
        <v>0</v>
      </c>
      <c r="W575" s="24">
        <v>-1</v>
      </c>
      <c r="X575"/>
      <c r="Y575" s="1">
        <v>0</v>
      </c>
      <c r="Z575" s="24">
        <v>-1</v>
      </c>
      <c r="AA575"/>
      <c r="AB575" s="1">
        <v>0</v>
      </c>
      <c r="AC575" s="24">
        <v>-1</v>
      </c>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c r="CC575"/>
      <c r="CD575"/>
      <c r="CE575"/>
      <c r="CF575"/>
      <c r="CG575"/>
      <c r="CH575"/>
      <c r="CI575"/>
      <c r="CJ575"/>
      <c r="CK575"/>
      <c r="CL575"/>
      <c r="CM575"/>
      <c r="CN575"/>
      <c r="CO575"/>
      <c r="CP575"/>
      <c r="CQ575"/>
      <c r="CR575"/>
      <c r="CS575"/>
    </row>
    <row r="576" spans="2:97">
      <c r="B576"/>
      <c r="C576" s="15"/>
      <c r="D576" s="23"/>
      <c r="E576" s="23"/>
      <c r="F576" s="23"/>
      <c r="G576" s="23">
        <f t="shared" si="38"/>
        <v>0</v>
      </c>
      <c r="H576" s="23" t="e" cm="1">
        <f t="array" ref="H576">INDEX('GLOBAL LOG'!#REF!,ROW()-169+15)</f>
        <v>#REF!</v>
      </c>
      <c r="I576" s="23" t="e">
        <f>_xlfn.XLOOKUP(H576,#REF!,#REF!,"",0,1)</f>
        <v>#REF!</v>
      </c>
      <c r="J576" s="23" t="str">
        <f>IFERROR(I576*#REF!,"")</f>
        <v/>
      </c>
      <c r="K576" s="23" t="e" cm="1">
        <f t="array" ref="K576">INDEX('GLOBAL LOG'!#REF!,ROW()-169+15)</f>
        <v>#REF!</v>
      </c>
      <c r="L576" s="23" t="e">
        <f>_xlfn.XLOOKUP(K576,#REF!,#REF!,"",0,1)</f>
        <v>#REF!</v>
      </c>
      <c r="M576" s="23" t="str">
        <f>IFERROR(L576*#REF!,"")</f>
        <v/>
      </c>
      <c r="N576" s="23">
        <f t="shared" si="39"/>
        <v>-1</v>
      </c>
      <c r="O576" s="23">
        <f t="shared" si="40"/>
        <v>-1</v>
      </c>
      <c r="P576" s="23">
        <f t="shared" si="41"/>
        <v>-1</v>
      </c>
      <c r="Q576" s="24">
        <f t="shared" si="42"/>
        <v>-1</v>
      </c>
      <c r="R576" s="3"/>
      <c r="S576" s="1">
        <v>0</v>
      </c>
      <c r="T576" s="24">
        <v>-1</v>
      </c>
      <c r="U576"/>
      <c r="V576" s="1">
        <v>0</v>
      </c>
      <c r="W576" s="24">
        <v>-1</v>
      </c>
      <c r="X576"/>
      <c r="Y576" s="1">
        <v>0</v>
      </c>
      <c r="Z576" s="24">
        <v>-1</v>
      </c>
      <c r="AA576"/>
      <c r="AB576" s="1">
        <v>0</v>
      </c>
      <c r="AC576" s="24">
        <v>-1</v>
      </c>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c r="CC576"/>
      <c r="CD576"/>
      <c r="CE576"/>
      <c r="CF576"/>
      <c r="CG576"/>
      <c r="CH576"/>
      <c r="CI576"/>
      <c r="CJ576"/>
      <c r="CK576"/>
      <c r="CL576"/>
      <c r="CM576"/>
      <c r="CN576"/>
      <c r="CO576"/>
      <c r="CP576"/>
      <c r="CQ576"/>
      <c r="CR576"/>
      <c r="CS576"/>
    </row>
    <row r="577" spans="2:97">
      <c r="B577"/>
      <c r="C577" s="15"/>
      <c r="D577" s="23"/>
      <c r="E577" s="23"/>
      <c r="F577" s="23"/>
      <c r="G577" s="23">
        <f t="shared" si="38"/>
        <v>0</v>
      </c>
      <c r="H577" s="23" t="e" cm="1">
        <f t="array" ref="H577">INDEX('GLOBAL LOG'!#REF!,ROW()-169+15)</f>
        <v>#REF!</v>
      </c>
      <c r="I577" s="23" t="e">
        <f>_xlfn.XLOOKUP(H577,#REF!,#REF!,"",0,1)</f>
        <v>#REF!</v>
      </c>
      <c r="J577" s="23" t="str">
        <f>IFERROR(I577*#REF!,"")</f>
        <v/>
      </c>
      <c r="K577" s="23" t="e" cm="1">
        <f t="array" ref="K577">INDEX('GLOBAL LOG'!#REF!,ROW()-169+15)</f>
        <v>#REF!</v>
      </c>
      <c r="L577" s="23" t="e">
        <f>_xlfn.XLOOKUP(K577,#REF!,#REF!,"",0,1)</f>
        <v>#REF!</v>
      </c>
      <c r="M577" s="23" t="str">
        <f>IFERROR(L577*#REF!,"")</f>
        <v/>
      </c>
      <c r="N577" s="23">
        <f t="shared" si="39"/>
        <v>-1</v>
      </c>
      <c r="O577" s="23">
        <f t="shared" si="40"/>
        <v>-1</v>
      </c>
      <c r="P577" s="23">
        <f t="shared" si="41"/>
        <v>-1</v>
      </c>
      <c r="Q577" s="24">
        <f t="shared" si="42"/>
        <v>-1</v>
      </c>
      <c r="R577" s="3"/>
      <c r="S577" s="1">
        <v>0</v>
      </c>
      <c r="T577" s="24">
        <v>-1</v>
      </c>
      <c r="U577"/>
      <c r="V577" s="1">
        <v>0</v>
      </c>
      <c r="W577" s="24">
        <v>-1</v>
      </c>
      <c r="X577"/>
      <c r="Y577" s="1">
        <v>0</v>
      </c>
      <c r="Z577" s="24">
        <v>-1</v>
      </c>
      <c r="AA577"/>
      <c r="AB577" s="1">
        <v>0</v>
      </c>
      <c r="AC577" s="24">
        <v>-1</v>
      </c>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c r="CC577"/>
      <c r="CD577"/>
      <c r="CE577"/>
      <c r="CF577"/>
      <c r="CG577"/>
      <c r="CH577"/>
      <c r="CI577"/>
      <c r="CJ577"/>
      <c r="CK577"/>
      <c r="CL577"/>
      <c r="CM577"/>
      <c r="CN577"/>
      <c r="CO577"/>
      <c r="CP577"/>
      <c r="CQ577"/>
      <c r="CR577"/>
      <c r="CS577"/>
    </row>
    <row r="578" spans="2:97">
      <c r="B578"/>
      <c r="C578" s="15"/>
      <c r="D578" s="23"/>
      <c r="E578" s="23"/>
      <c r="F578" s="23"/>
      <c r="G578" s="23">
        <f t="shared" si="38"/>
        <v>0</v>
      </c>
      <c r="H578" s="23" t="e" cm="1">
        <f t="array" ref="H578">INDEX('GLOBAL LOG'!#REF!,ROW()-169+15)</f>
        <v>#REF!</v>
      </c>
      <c r="I578" s="23" t="e">
        <f>_xlfn.XLOOKUP(H578,#REF!,#REF!,"",0,1)</f>
        <v>#REF!</v>
      </c>
      <c r="J578" s="23" t="str">
        <f>IFERROR(I578*#REF!,"")</f>
        <v/>
      </c>
      <c r="K578" s="23" t="e" cm="1">
        <f t="array" ref="K578">INDEX('GLOBAL LOG'!#REF!,ROW()-169+15)</f>
        <v>#REF!</v>
      </c>
      <c r="L578" s="23" t="e">
        <f>_xlfn.XLOOKUP(K578,#REF!,#REF!,"",0,1)</f>
        <v>#REF!</v>
      </c>
      <c r="M578" s="23" t="str">
        <f>IFERROR(L578*#REF!,"")</f>
        <v/>
      </c>
      <c r="N578" s="23">
        <f t="shared" si="39"/>
        <v>-1</v>
      </c>
      <c r="O578" s="23">
        <f t="shared" si="40"/>
        <v>-1</v>
      </c>
      <c r="P578" s="23">
        <f t="shared" si="41"/>
        <v>-1</v>
      </c>
      <c r="Q578" s="24">
        <f t="shared" si="42"/>
        <v>-1</v>
      </c>
      <c r="R578" s="3"/>
      <c r="S578" s="1">
        <v>0</v>
      </c>
      <c r="T578" s="24">
        <v>-1</v>
      </c>
      <c r="U578"/>
      <c r="V578" s="1">
        <v>0</v>
      </c>
      <c r="W578" s="24">
        <v>-1</v>
      </c>
      <c r="X578"/>
      <c r="Y578" s="1">
        <v>0</v>
      </c>
      <c r="Z578" s="24">
        <v>-1</v>
      </c>
      <c r="AA578"/>
      <c r="AB578" s="1">
        <v>0</v>
      </c>
      <c r="AC578" s="24">
        <v>-1</v>
      </c>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c r="CC578"/>
      <c r="CD578"/>
      <c r="CE578"/>
      <c r="CF578"/>
      <c r="CG578"/>
      <c r="CH578"/>
      <c r="CI578"/>
      <c r="CJ578"/>
      <c r="CK578"/>
      <c r="CL578"/>
      <c r="CM578"/>
      <c r="CN578"/>
      <c r="CO578"/>
      <c r="CP578"/>
      <c r="CQ578"/>
      <c r="CR578"/>
      <c r="CS578"/>
    </row>
    <row r="579" spans="2:97">
      <c r="B579"/>
      <c r="C579" s="15"/>
      <c r="D579" s="23"/>
      <c r="E579" s="23"/>
      <c r="F579" s="23"/>
      <c r="G579" s="23">
        <f t="shared" si="38"/>
        <v>0</v>
      </c>
      <c r="H579" s="23" t="e" cm="1">
        <f t="array" ref="H579">INDEX('GLOBAL LOG'!#REF!,ROW()-169+15)</f>
        <v>#REF!</v>
      </c>
      <c r="I579" s="23" t="e">
        <f>_xlfn.XLOOKUP(H579,#REF!,#REF!,"",0,1)</f>
        <v>#REF!</v>
      </c>
      <c r="J579" s="23" t="str">
        <f>IFERROR(I579*#REF!,"")</f>
        <v/>
      </c>
      <c r="K579" s="23" t="e" cm="1">
        <f t="array" ref="K579">INDEX('GLOBAL LOG'!#REF!,ROW()-169+15)</f>
        <v>#REF!</v>
      </c>
      <c r="L579" s="23" t="e">
        <f>_xlfn.XLOOKUP(K579,#REF!,#REF!,"",0,1)</f>
        <v>#REF!</v>
      </c>
      <c r="M579" s="23" t="str">
        <f>IFERROR(L579*#REF!,"")</f>
        <v/>
      </c>
      <c r="N579" s="23">
        <f t="shared" si="39"/>
        <v>-1</v>
      </c>
      <c r="O579" s="23">
        <f t="shared" si="40"/>
        <v>-1</v>
      </c>
      <c r="P579" s="23">
        <f t="shared" si="41"/>
        <v>-1</v>
      </c>
      <c r="Q579" s="24">
        <f t="shared" si="42"/>
        <v>-1</v>
      </c>
      <c r="R579" s="3"/>
      <c r="S579" s="1">
        <v>0</v>
      </c>
      <c r="T579" s="24">
        <v>-1</v>
      </c>
      <c r="U579"/>
      <c r="V579" s="1">
        <v>0</v>
      </c>
      <c r="W579" s="24">
        <v>-1</v>
      </c>
      <c r="X579"/>
      <c r="Y579" s="1">
        <v>0</v>
      </c>
      <c r="Z579" s="24">
        <v>-1</v>
      </c>
      <c r="AA579"/>
      <c r="AB579" s="1">
        <v>0</v>
      </c>
      <c r="AC579" s="24">
        <v>-1</v>
      </c>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c r="CC579"/>
      <c r="CD579"/>
      <c r="CE579"/>
      <c r="CF579"/>
      <c r="CG579"/>
      <c r="CH579"/>
      <c r="CI579"/>
      <c r="CJ579"/>
      <c r="CK579"/>
      <c r="CL579"/>
      <c r="CM579"/>
      <c r="CN579"/>
      <c r="CO579"/>
      <c r="CP579"/>
      <c r="CQ579"/>
      <c r="CR579"/>
      <c r="CS579"/>
    </row>
    <row r="580" spans="2:97">
      <c r="B580"/>
      <c r="C580" s="15"/>
      <c r="D580" s="23"/>
      <c r="E580" s="23"/>
      <c r="F580" s="23"/>
      <c r="G580" s="23">
        <f t="shared" si="38"/>
        <v>0</v>
      </c>
      <c r="H580" s="23" t="e" cm="1">
        <f t="array" ref="H580">INDEX('GLOBAL LOG'!#REF!,ROW()-169+15)</f>
        <v>#REF!</v>
      </c>
      <c r="I580" s="23" t="e">
        <f>_xlfn.XLOOKUP(H580,#REF!,#REF!,"",0,1)</f>
        <v>#REF!</v>
      </c>
      <c r="J580" s="23" t="str">
        <f>IFERROR(I580*#REF!,"")</f>
        <v/>
      </c>
      <c r="K580" s="23" t="e" cm="1">
        <f t="array" ref="K580">INDEX('GLOBAL LOG'!#REF!,ROW()-169+15)</f>
        <v>#REF!</v>
      </c>
      <c r="L580" s="23" t="e">
        <f>_xlfn.XLOOKUP(K580,#REF!,#REF!,"",0,1)</f>
        <v>#REF!</v>
      </c>
      <c r="M580" s="23" t="str">
        <f>IFERROR(L580*#REF!,"")</f>
        <v/>
      </c>
      <c r="N580" s="23">
        <f t="shared" si="39"/>
        <v>-1</v>
      </c>
      <c r="O580" s="23">
        <f t="shared" si="40"/>
        <v>-1</v>
      </c>
      <c r="P580" s="23">
        <f t="shared" si="41"/>
        <v>-1</v>
      </c>
      <c r="Q580" s="24">
        <f t="shared" si="42"/>
        <v>-1</v>
      </c>
      <c r="R580" s="3"/>
      <c r="S580" s="1">
        <v>0</v>
      </c>
      <c r="T580" s="24">
        <v>-1</v>
      </c>
      <c r="U580"/>
      <c r="V580" s="1">
        <v>0</v>
      </c>
      <c r="W580" s="24">
        <v>-1</v>
      </c>
      <c r="X580"/>
      <c r="Y580" s="1">
        <v>0</v>
      </c>
      <c r="Z580" s="24">
        <v>-1</v>
      </c>
      <c r="AA580"/>
      <c r="AB580" s="1">
        <v>0</v>
      </c>
      <c r="AC580" s="24">
        <v>-1</v>
      </c>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c r="CC580"/>
      <c r="CD580"/>
      <c r="CE580"/>
      <c r="CF580"/>
      <c r="CG580"/>
      <c r="CH580"/>
      <c r="CI580"/>
      <c r="CJ580"/>
      <c r="CK580"/>
      <c r="CL580"/>
      <c r="CM580"/>
      <c r="CN580"/>
      <c r="CO580"/>
      <c r="CP580"/>
      <c r="CQ580"/>
      <c r="CR580"/>
      <c r="CS580"/>
    </row>
    <row r="581" spans="2:97">
      <c r="B581"/>
      <c r="C581" s="15"/>
      <c r="D581" s="23"/>
      <c r="E581" s="23"/>
      <c r="F581" s="23"/>
      <c r="G581" s="23">
        <f t="shared" si="38"/>
        <v>0</v>
      </c>
      <c r="H581" s="23" t="e" cm="1">
        <f t="array" ref="H581">INDEX('GLOBAL LOG'!#REF!,ROW()-169+15)</f>
        <v>#REF!</v>
      </c>
      <c r="I581" s="23" t="e">
        <f>_xlfn.XLOOKUP(H581,#REF!,#REF!,"",0,1)</f>
        <v>#REF!</v>
      </c>
      <c r="J581" s="23" t="str">
        <f>IFERROR(I581*#REF!,"")</f>
        <v/>
      </c>
      <c r="K581" s="23" t="e" cm="1">
        <f t="array" ref="K581">INDEX('GLOBAL LOG'!#REF!,ROW()-169+15)</f>
        <v>#REF!</v>
      </c>
      <c r="L581" s="23" t="e">
        <f>_xlfn.XLOOKUP(K581,#REF!,#REF!,"",0,1)</f>
        <v>#REF!</v>
      </c>
      <c r="M581" s="23" t="str">
        <f>IFERROR(L581*#REF!,"")</f>
        <v/>
      </c>
      <c r="N581" s="23">
        <f t="shared" si="39"/>
        <v>-1</v>
      </c>
      <c r="O581" s="23">
        <f t="shared" si="40"/>
        <v>-1</v>
      </c>
      <c r="P581" s="23">
        <f t="shared" si="41"/>
        <v>-1</v>
      </c>
      <c r="Q581" s="24">
        <f t="shared" si="42"/>
        <v>-1</v>
      </c>
      <c r="R581" s="3"/>
      <c r="S581" s="1">
        <v>0</v>
      </c>
      <c r="T581" s="24">
        <v>-1</v>
      </c>
      <c r="U581"/>
      <c r="V581" s="1">
        <v>0</v>
      </c>
      <c r="W581" s="24">
        <v>-1</v>
      </c>
      <c r="X581"/>
      <c r="Y581" s="1">
        <v>0</v>
      </c>
      <c r="Z581" s="24">
        <v>-1</v>
      </c>
      <c r="AA581"/>
      <c r="AB581" s="1">
        <v>0</v>
      </c>
      <c r="AC581" s="24">
        <v>-1</v>
      </c>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c r="CC581"/>
      <c r="CD581"/>
      <c r="CE581"/>
      <c r="CF581"/>
      <c r="CG581"/>
      <c r="CH581"/>
      <c r="CI581"/>
      <c r="CJ581"/>
      <c r="CK581"/>
      <c r="CL581"/>
      <c r="CM581"/>
      <c r="CN581"/>
      <c r="CO581"/>
      <c r="CP581"/>
      <c r="CQ581"/>
      <c r="CR581"/>
      <c r="CS581"/>
    </row>
    <row r="582" spans="2:97">
      <c r="B582"/>
      <c r="C582" s="15"/>
      <c r="D582" s="23"/>
      <c r="E582" s="23"/>
      <c r="F582" s="23"/>
      <c r="G582" s="23">
        <f t="shared" si="38"/>
        <v>0</v>
      </c>
      <c r="H582" s="23" t="e" cm="1">
        <f t="array" ref="H582">INDEX('GLOBAL LOG'!#REF!,ROW()-169+15)</f>
        <v>#REF!</v>
      </c>
      <c r="I582" s="23" t="e">
        <f>_xlfn.XLOOKUP(H582,#REF!,#REF!,"",0,1)</f>
        <v>#REF!</v>
      </c>
      <c r="J582" s="23" t="str">
        <f>IFERROR(I582*#REF!,"")</f>
        <v/>
      </c>
      <c r="K582" s="23" t="e" cm="1">
        <f t="array" ref="K582">INDEX('GLOBAL LOG'!#REF!,ROW()-169+15)</f>
        <v>#REF!</v>
      </c>
      <c r="L582" s="23" t="e">
        <f>_xlfn.XLOOKUP(K582,#REF!,#REF!,"",0,1)</f>
        <v>#REF!</v>
      </c>
      <c r="M582" s="23" t="str">
        <f>IFERROR(L582*#REF!,"")</f>
        <v/>
      </c>
      <c r="N582" s="23">
        <f t="shared" si="39"/>
        <v>-1</v>
      </c>
      <c r="O582" s="23">
        <f t="shared" si="40"/>
        <v>-1</v>
      </c>
      <c r="P582" s="23">
        <f t="shared" si="41"/>
        <v>-1</v>
      </c>
      <c r="Q582" s="24">
        <f t="shared" si="42"/>
        <v>-1</v>
      </c>
      <c r="R582" s="3"/>
      <c r="S582" s="1">
        <v>0</v>
      </c>
      <c r="T582" s="24">
        <v>-1</v>
      </c>
      <c r="U582"/>
      <c r="V582" s="1">
        <v>0</v>
      </c>
      <c r="W582" s="24">
        <v>-1</v>
      </c>
      <c r="X582"/>
      <c r="Y582" s="1">
        <v>0</v>
      </c>
      <c r="Z582" s="24">
        <v>-1</v>
      </c>
      <c r="AA582"/>
      <c r="AB582" s="1">
        <v>0</v>
      </c>
      <c r="AC582" s="24">
        <v>-1</v>
      </c>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c r="CC582"/>
      <c r="CD582"/>
      <c r="CE582"/>
      <c r="CF582"/>
      <c r="CG582"/>
      <c r="CH582"/>
      <c r="CI582"/>
      <c r="CJ582"/>
      <c r="CK582"/>
      <c r="CL582"/>
      <c r="CM582"/>
      <c r="CN582"/>
      <c r="CO582"/>
      <c r="CP582"/>
      <c r="CQ582"/>
      <c r="CR582"/>
      <c r="CS582"/>
    </row>
    <row r="583" spans="2:97">
      <c r="B583"/>
      <c r="C583" s="15"/>
      <c r="D583" s="23"/>
      <c r="E583" s="23"/>
      <c r="F583" s="23"/>
      <c r="G583" s="23">
        <f t="shared" si="38"/>
        <v>0</v>
      </c>
      <c r="H583" s="23" t="e" cm="1">
        <f t="array" ref="H583">INDEX('GLOBAL LOG'!#REF!,ROW()-169+15)</f>
        <v>#REF!</v>
      </c>
      <c r="I583" s="23" t="e">
        <f>_xlfn.XLOOKUP(H583,#REF!,#REF!,"",0,1)</f>
        <v>#REF!</v>
      </c>
      <c r="J583" s="23" t="str">
        <f>IFERROR(I583*#REF!,"")</f>
        <v/>
      </c>
      <c r="K583" s="23" t="e" cm="1">
        <f t="array" ref="K583">INDEX('GLOBAL LOG'!#REF!,ROW()-169+15)</f>
        <v>#REF!</v>
      </c>
      <c r="L583" s="23" t="e">
        <f>_xlfn.XLOOKUP(K583,#REF!,#REF!,"",0,1)</f>
        <v>#REF!</v>
      </c>
      <c r="M583" s="23" t="str">
        <f>IFERROR(L583*#REF!,"")</f>
        <v/>
      </c>
      <c r="N583" s="23">
        <f t="shared" si="39"/>
        <v>-1</v>
      </c>
      <c r="O583" s="23">
        <f t="shared" si="40"/>
        <v>-1</v>
      </c>
      <c r="P583" s="23">
        <f t="shared" si="41"/>
        <v>-1</v>
      </c>
      <c r="Q583" s="24">
        <f t="shared" si="42"/>
        <v>-1</v>
      </c>
      <c r="R583" s="3"/>
      <c r="S583" s="1">
        <v>0</v>
      </c>
      <c r="T583" s="24">
        <v>-1</v>
      </c>
      <c r="U583"/>
      <c r="V583" s="1">
        <v>0</v>
      </c>
      <c r="W583" s="24">
        <v>-1</v>
      </c>
      <c r="X583"/>
      <c r="Y583" s="1">
        <v>0</v>
      </c>
      <c r="Z583" s="24">
        <v>-1</v>
      </c>
      <c r="AA583"/>
      <c r="AB583" s="1">
        <v>0</v>
      </c>
      <c r="AC583" s="24">
        <v>-1</v>
      </c>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c r="CC583"/>
      <c r="CD583"/>
      <c r="CE583"/>
      <c r="CF583"/>
      <c r="CG583"/>
      <c r="CH583"/>
      <c r="CI583"/>
      <c r="CJ583"/>
      <c r="CK583"/>
      <c r="CL583"/>
      <c r="CM583"/>
      <c r="CN583"/>
      <c r="CO583"/>
      <c r="CP583"/>
      <c r="CQ583"/>
      <c r="CR583"/>
      <c r="CS583"/>
    </row>
    <row r="584" spans="2:97">
      <c r="B584"/>
      <c r="C584" s="15"/>
      <c r="D584" s="23"/>
      <c r="E584" s="23"/>
      <c r="F584" s="23"/>
      <c r="G584" s="23">
        <f t="shared" si="38"/>
        <v>0</v>
      </c>
      <c r="H584" s="23" t="e" cm="1">
        <f t="array" ref="H584">INDEX('GLOBAL LOG'!#REF!,ROW()-169+15)</f>
        <v>#REF!</v>
      </c>
      <c r="I584" s="23" t="e">
        <f>_xlfn.XLOOKUP(H584,#REF!,#REF!,"",0,1)</f>
        <v>#REF!</v>
      </c>
      <c r="J584" s="23" t="str">
        <f>IFERROR(I584*#REF!,"")</f>
        <v/>
      </c>
      <c r="K584" s="23" t="e" cm="1">
        <f t="array" ref="K584">INDEX('GLOBAL LOG'!#REF!,ROW()-169+15)</f>
        <v>#REF!</v>
      </c>
      <c r="L584" s="23" t="e">
        <f>_xlfn.XLOOKUP(K584,#REF!,#REF!,"",0,1)</f>
        <v>#REF!</v>
      </c>
      <c r="M584" s="23" t="str">
        <f>IFERROR(L584*#REF!,"")</f>
        <v/>
      </c>
      <c r="N584" s="23">
        <f t="shared" si="39"/>
        <v>-1</v>
      </c>
      <c r="O584" s="23">
        <f t="shared" si="40"/>
        <v>-1</v>
      </c>
      <c r="P584" s="23">
        <f t="shared" si="41"/>
        <v>-1</v>
      </c>
      <c r="Q584" s="24">
        <f t="shared" si="42"/>
        <v>-1</v>
      </c>
      <c r="R584" s="3"/>
      <c r="S584" s="1">
        <v>0</v>
      </c>
      <c r="T584" s="24">
        <v>-1</v>
      </c>
      <c r="U584"/>
      <c r="V584" s="1">
        <v>0</v>
      </c>
      <c r="W584" s="24">
        <v>-1</v>
      </c>
      <c r="X584"/>
      <c r="Y584" s="1">
        <v>0</v>
      </c>
      <c r="Z584" s="24">
        <v>-1</v>
      </c>
      <c r="AA584"/>
      <c r="AB584" s="1">
        <v>0</v>
      </c>
      <c r="AC584" s="24">
        <v>-1</v>
      </c>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c r="CC584"/>
      <c r="CD584"/>
      <c r="CE584"/>
      <c r="CF584"/>
      <c r="CG584"/>
      <c r="CH584"/>
      <c r="CI584"/>
      <c r="CJ584"/>
      <c r="CK584"/>
      <c r="CL584"/>
      <c r="CM584"/>
      <c r="CN584"/>
      <c r="CO584"/>
      <c r="CP584"/>
      <c r="CQ584"/>
      <c r="CR584"/>
      <c r="CS584"/>
    </row>
    <row r="585" spans="2:97">
      <c r="B585"/>
      <c r="C585" s="15"/>
      <c r="D585" s="23"/>
      <c r="E585" s="23"/>
      <c r="F585" s="23"/>
      <c r="G585" s="23">
        <f t="shared" si="38"/>
        <v>0</v>
      </c>
      <c r="H585" s="23" t="e" cm="1">
        <f t="array" ref="H585">INDEX('GLOBAL LOG'!#REF!,ROW()-169+15)</f>
        <v>#REF!</v>
      </c>
      <c r="I585" s="23" t="e">
        <f>_xlfn.XLOOKUP(H585,#REF!,#REF!,"",0,1)</f>
        <v>#REF!</v>
      </c>
      <c r="J585" s="23" t="str">
        <f>IFERROR(I585*#REF!,"")</f>
        <v/>
      </c>
      <c r="K585" s="23" t="e" cm="1">
        <f t="array" ref="K585">INDEX('GLOBAL LOG'!#REF!,ROW()-169+15)</f>
        <v>#REF!</v>
      </c>
      <c r="L585" s="23" t="e">
        <f>_xlfn.XLOOKUP(K585,#REF!,#REF!,"",0,1)</f>
        <v>#REF!</v>
      </c>
      <c r="M585" s="23" t="str">
        <f>IFERROR(L585*#REF!,"")</f>
        <v/>
      </c>
      <c r="N585" s="23">
        <f t="shared" si="39"/>
        <v>-1</v>
      </c>
      <c r="O585" s="23">
        <f t="shared" si="40"/>
        <v>-1</v>
      </c>
      <c r="P585" s="23">
        <f t="shared" si="41"/>
        <v>-1</v>
      </c>
      <c r="Q585" s="24">
        <f t="shared" si="42"/>
        <v>-1</v>
      </c>
      <c r="R585" s="3"/>
      <c r="S585" s="1">
        <v>0</v>
      </c>
      <c r="T585" s="24">
        <v>-1</v>
      </c>
      <c r="U585"/>
      <c r="V585" s="1">
        <v>0</v>
      </c>
      <c r="W585" s="24">
        <v>-1</v>
      </c>
      <c r="X585"/>
      <c r="Y585" s="1">
        <v>0</v>
      </c>
      <c r="Z585" s="24">
        <v>-1</v>
      </c>
      <c r="AA585"/>
      <c r="AB585" s="1">
        <v>0</v>
      </c>
      <c r="AC585" s="24">
        <v>-1</v>
      </c>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c r="CC585"/>
      <c r="CD585"/>
      <c r="CE585"/>
      <c r="CF585"/>
      <c r="CG585"/>
      <c r="CH585"/>
      <c r="CI585"/>
      <c r="CJ585"/>
      <c r="CK585"/>
      <c r="CL585"/>
      <c r="CM585"/>
      <c r="CN585"/>
      <c r="CO585"/>
      <c r="CP585"/>
      <c r="CQ585"/>
      <c r="CR585"/>
      <c r="CS585"/>
    </row>
    <row r="586" spans="2:97">
      <c r="B586"/>
      <c r="C586" s="15"/>
      <c r="D586" s="23"/>
      <c r="E586" s="23"/>
      <c r="F586" s="23"/>
      <c r="G586" s="23">
        <f t="shared" si="38"/>
        <v>0</v>
      </c>
      <c r="H586" s="23" t="e" cm="1">
        <f t="array" ref="H586">INDEX('GLOBAL LOG'!#REF!,ROW()-169+15)</f>
        <v>#REF!</v>
      </c>
      <c r="I586" s="23" t="e">
        <f>_xlfn.XLOOKUP(H586,#REF!,#REF!,"",0,1)</f>
        <v>#REF!</v>
      </c>
      <c r="J586" s="23" t="str">
        <f>IFERROR(I586*#REF!,"")</f>
        <v/>
      </c>
      <c r="K586" s="23" t="e" cm="1">
        <f t="array" ref="K586">INDEX('GLOBAL LOG'!#REF!,ROW()-169+15)</f>
        <v>#REF!</v>
      </c>
      <c r="L586" s="23" t="e">
        <f>_xlfn.XLOOKUP(K586,#REF!,#REF!,"",0,1)</f>
        <v>#REF!</v>
      </c>
      <c r="M586" s="23" t="str">
        <f>IFERROR(L586*#REF!,"")</f>
        <v/>
      </c>
      <c r="N586" s="23">
        <f t="shared" si="39"/>
        <v>-1</v>
      </c>
      <c r="O586" s="23">
        <f t="shared" si="40"/>
        <v>-1</v>
      </c>
      <c r="P586" s="23">
        <f t="shared" si="41"/>
        <v>-1</v>
      </c>
      <c r="Q586" s="24">
        <f t="shared" si="42"/>
        <v>-1</v>
      </c>
      <c r="R586" s="3"/>
      <c r="S586" s="1">
        <v>0</v>
      </c>
      <c r="T586" s="24">
        <v>-1</v>
      </c>
      <c r="U586"/>
      <c r="V586" s="1">
        <v>0</v>
      </c>
      <c r="W586" s="24">
        <v>-1</v>
      </c>
      <c r="X586"/>
      <c r="Y586" s="1">
        <v>0</v>
      </c>
      <c r="Z586" s="24">
        <v>-1</v>
      </c>
      <c r="AA586"/>
      <c r="AB586" s="1">
        <v>0</v>
      </c>
      <c r="AC586" s="24">
        <v>-1</v>
      </c>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c r="CC586"/>
      <c r="CD586"/>
      <c r="CE586"/>
      <c r="CF586"/>
      <c r="CG586"/>
      <c r="CH586"/>
      <c r="CI586"/>
      <c r="CJ586"/>
      <c r="CK586"/>
      <c r="CL586"/>
      <c r="CM586"/>
      <c r="CN586"/>
      <c r="CO586"/>
      <c r="CP586"/>
      <c r="CQ586"/>
      <c r="CR586"/>
      <c r="CS586"/>
    </row>
    <row r="587" spans="2:97">
      <c r="B587"/>
      <c r="C587" s="15"/>
      <c r="D587" s="23"/>
      <c r="E587" s="23"/>
      <c r="F587" s="23"/>
      <c r="G587" s="23">
        <f t="shared" si="38"/>
        <v>0</v>
      </c>
      <c r="H587" s="23" t="e" cm="1">
        <f t="array" ref="H587">INDEX('GLOBAL LOG'!#REF!,ROW()-169+15)</f>
        <v>#REF!</v>
      </c>
      <c r="I587" s="23" t="e">
        <f>_xlfn.XLOOKUP(H587,#REF!,#REF!,"",0,1)</f>
        <v>#REF!</v>
      </c>
      <c r="J587" s="23" t="str">
        <f>IFERROR(I587*#REF!,"")</f>
        <v/>
      </c>
      <c r="K587" s="23" t="e" cm="1">
        <f t="array" ref="K587">INDEX('GLOBAL LOG'!#REF!,ROW()-169+15)</f>
        <v>#REF!</v>
      </c>
      <c r="L587" s="23" t="e">
        <f>_xlfn.XLOOKUP(K587,#REF!,#REF!,"",0,1)</f>
        <v>#REF!</v>
      </c>
      <c r="M587" s="23" t="str">
        <f>IFERROR(L587*#REF!,"")</f>
        <v/>
      </c>
      <c r="N587" s="23">
        <f t="shared" si="39"/>
        <v>-1</v>
      </c>
      <c r="O587" s="23">
        <f t="shared" si="40"/>
        <v>-1</v>
      </c>
      <c r="P587" s="23">
        <f t="shared" si="41"/>
        <v>-1</v>
      </c>
      <c r="Q587" s="24">
        <f t="shared" si="42"/>
        <v>-1</v>
      </c>
      <c r="R587" s="3"/>
      <c r="S587" s="1">
        <v>0</v>
      </c>
      <c r="T587" s="24">
        <v>-1</v>
      </c>
      <c r="U587"/>
      <c r="V587" s="1">
        <v>0</v>
      </c>
      <c r="W587" s="24">
        <v>-1</v>
      </c>
      <c r="X587"/>
      <c r="Y587" s="1">
        <v>0</v>
      </c>
      <c r="Z587" s="24">
        <v>-1</v>
      </c>
      <c r="AA587"/>
      <c r="AB587" s="1">
        <v>0</v>
      </c>
      <c r="AC587" s="24">
        <v>-1</v>
      </c>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c r="CC587"/>
      <c r="CD587"/>
      <c r="CE587"/>
      <c r="CF587"/>
      <c r="CG587"/>
      <c r="CH587"/>
      <c r="CI587"/>
      <c r="CJ587"/>
      <c r="CK587"/>
      <c r="CL587"/>
      <c r="CM587"/>
      <c r="CN587"/>
      <c r="CO587"/>
      <c r="CP587"/>
      <c r="CQ587"/>
      <c r="CR587"/>
      <c r="CS587"/>
    </row>
    <row r="588" spans="2:97">
      <c r="B588"/>
      <c r="C588" s="15"/>
      <c r="D588" s="23"/>
      <c r="E588" s="23"/>
      <c r="F588" s="23"/>
      <c r="G588" s="23">
        <f t="shared" si="38"/>
        <v>0</v>
      </c>
      <c r="H588" s="23" t="e" cm="1">
        <f t="array" ref="H588">INDEX('GLOBAL LOG'!#REF!,ROW()-169+15)</f>
        <v>#REF!</v>
      </c>
      <c r="I588" s="23" t="e">
        <f>_xlfn.XLOOKUP(H588,#REF!,#REF!,"",0,1)</f>
        <v>#REF!</v>
      </c>
      <c r="J588" s="23" t="str">
        <f>IFERROR(I588*#REF!,"")</f>
        <v/>
      </c>
      <c r="K588" s="23" t="e" cm="1">
        <f t="array" ref="K588">INDEX('GLOBAL LOG'!#REF!,ROW()-169+15)</f>
        <v>#REF!</v>
      </c>
      <c r="L588" s="23" t="e">
        <f>_xlfn.XLOOKUP(K588,#REF!,#REF!,"",0,1)</f>
        <v>#REF!</v>
      </c>
      <c r="M588" s="23" t="str">
        <f>IFERROR(L588*#REF!,"")</f>
        <v/>
      </c>
      <c r="N588" s="23">
        <f t="shared" si="39"/>
        <v>-1</v>
      </c>
      <c r="O588" s="23">
        <f t="shared" si="40"/>
        <v>-1</v>
      </c>
      <c r="P588" s="23">
        <f t="shared" si="41"/>
        <v>-1</v>
      </c>
      <c r="Q588" s="24">
        <f t="shared" si="42"/>
        <v>-1</v>
      </c>
      <c r="R588" s="3"/>
      <c r="S588" s="1">
        <v>0</v>
      </c>
      <c r="T588" s="24">
        <v>-1</v>
      </c>
      <c r="U588"/>
      <c r="V588" s="1">
        <v>0</v>
      </c>
      <c r="W588" s="24">
        <v>-1</v>
      </c>
      <c r="X588"/>
      <c r="Y588" s="1">
        <v>0</v>
      </c>
      <c r="Z588" s="24">
        <v>-1</v>
      </c>
      <c r="AA588"/>
      <c r="AB588" s="1">
        <v>0</v>
      </c>
      <c r="AC588" s="24">
        <v>-1</v>
      </c>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c r="CC588"/>
      <c r="CD588"/>
      <c r="CE588"/>
      <c r="CF588"/>
      <c r="CG588"/>
      <c r="CH588"/>
      <c r="CI588"/>
      <c r="CJ588"/>
      <c r="CK588"/>
      <c r="CL588"/>
      <c r="CM588"/>
      <c r="CN588"/>
      <c r="CO588"/>
      <c r="CP588"/>
      <c r="CQ588"/>
      <c r="CR588"/>
      <c r="CS588"/>
    </row>
    <row r="589" spans="2:97">
      <c r="B589"/>
      <c r="C589" s="15"/>
      <c r="D589" s="23"/>
      <c r="E589" s="23"/>
      <c r="F589" s="23"/>
      <c r="G589" s="23">
        <f t="shared" si="38"/>
        <v>0</v>
      </c>
      <c r="H589" s="23" t="e" cm="1">
        <f t="array" ref="H589">INDEX('GLOBAL LOG'!#REF!,ROW()-169+15)</f>
        <v>#REF!</v>
      </c>
      <c r="I589" s="23" t="e">
        <f>_xlfn.XLOOKUP(H589,#REF!,#REF!,"",0,1)</f>
        <v>#REF!</v>
      </c>
      <c r="J589" s="23" t="str">
        <f>IFERROR(I589*#REF!,"")</f>
        <v/>
      </c>
      <c r="K589" s="23" t="e" cm="1">
        <f t="array" ref="K589">INDEX('GLOBAL LOG'!#REF!,ROW()-169+15)</f>
        <v>#REF!</v>
      </c>
      <c r="L589" s="23" t="e">
        <f>_xlfn.XLOOKUP(K589,#REF!,#REF!,"",0,1)</f>
        <v>#REF!</v>
      </c>
      <c r="M589" s="23" t="str">
        <f>IFERROR(L589*#REF!,"")</f>
        <v/>
      </c>
      <c r="N589" s="23">
        <f t="shared" si="39"/>
        <v>-1</v>
      </c>
      <c r="O589" s="23">
        <f t="shared" si="40"/>
        <v>-1</v>
      </c>
      <c r="P589" s="23">
        <f t="shared" si="41"/>
        <v>-1</v>
      </c>
      <c r="Q589" s="24">
        <f t="shared" si="42"/>
        <v>-1</v>
      </c>
      <c r="R589" s="3"/>
      <c r="S589" s="1">
        <v>0</v>
      </c>
      <c r="T589" s="24">
        <v>-1</v>
      </c>
      <c r="U589"/>
      <c r="V589" s="1">
        <v>0</v>
      </c>
      <c r="W589" s="24">
        <v>-1</v>
      </c>
      <c r="X589"/>
      <c r="Y589" s="1">
        <v>0</v>
      </c>
      <c r="Z589" s="24">
        <v>-1</v>
      </c>
      <c r="AA589"/>
      <c r="AB589" s="1">
        <v>0</v>
      </c>
      <c r="AC589" s="24">
        <v>-1</v>
      </c>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c r="CC589"/>
      <c r="CD589"/>
      <c r="CE589"/>
      <c r="CF589"/>
      <c r="CG589"/>
      <c r="CH589"/>
      <c r="CI589"/>
      <c r="CJ589"/>
      <c r="CK589"/>
      <c r="CL589"/>
      <c r="CM589"/>
      <c r="CN589"/>
      <c r="CO589"/>
      <c r="CP589"/>
      <c r="CQ589"/>
      <c r="CR589"/>
      <c r="CS589"/>
    </row>
    <row r="590" spans="2:97">
      <c r="B590"/>
      <c r="C590" s="15"/>
      <c r="D590" s="23"/>
      <c r="E590" s="23"/>
      <c r="F590" s="23"/>
      <c r="G590" s="23">
        <f t="shared" si="38"/>
        <v>0</v>
      </c>
      <c r="H590" s="23" t="e" cm="1">
        <f t="array" ref="H590">INDEX('GLOBAL LOG'!#REF!,ROW()-169+15)</f>
        <v>#REF!</v>
      </c>
      <c r="I590" s="23" t="e">
        <f>_xlfn.XLOOKUP(H590,#REF!,#REF!,"",0,1)</f>
        <v>#REF!</v>
      </c>
      <c r="J590" s="23" t="str">
        <f>IFERROR(I590*#REF!,"")</f>
        <v/>
      </c>
      <c r="K590" s="23" t="e" cm="1">
        <f t="array" ref="K590">INDEX('GLOBAL LOG'!#REF!,ROW()-169+15)</f>
        <v>#REF!</v>
      </c>
      <c r="L590" s="23" t="e">
        <f>_xlfn.XLOOKUP(K590,#REF!,#REF!,"",0,1)</f>
        <v>#REF!</v>
      </c>
      <c r="M590" s="23" t="str">
        <f>IFERROR(L590*#REF!,"")</f>
        <v/>
      </c>
      <c r="N590" s="23">
        <f t="shared" si="39"/>
        <v>-1</v>
      </c>
      <c r="O590" s="23">
        <f t="shared" si="40"/>
        <v>-1</v>
      </c>
      <c r="P590" s="23">
        <f t="shared" si="41"/>
        <v>-1</v>
      </c>
      <c r="Q590" s="24">
        <f t="shared" si="42"/>
        <v>-1</v>
      </c>
      <c r="R590" s="3"/>
      <c r="S590" s="1">
        <v>0</v>
      </c>
      <c r="T590" s="24">
        <v>-1</v>
      </c>
      <c r="U590"/>
      <c r="V590" s="1">
        <v>0</v>
      </c>
      <c r="W590" s="24">
        <v>-1</v>
      </c>
      <c r="X590"/>
      <c r="Y590" s="1">
        <v>0</v>
      </c>
      <c r="Z590" s="24">
        <v>-1</v>
      </c>
      <c r="AA590"/>
      <c r="AB590" s="1">
        <v>0</v>
      </c>
      <c r="AC590" s="24">
        <v>-1</v>
      </c>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c r="CC590"/>
      <c r="CD590"/>
      <c r="CE590"/>
      <c r="CF590"/>
      <c r="CG590"/>
      <c r="CH590"/>
      <c r="CI590"/>
      <c r="CJ590"/>
      <c r="CK590"/>
      <c r="CL590"/>
      <c r="CM590"/>
      <c r="CN590"/>
      <c r="CO590"/>
      <c r="CP590"/>
      <c r="CQ590"/>
      <c r="CR590"/>
      <c r="CS590"/>
    </row>
    <row r="591" spans="2:97">
      <c r="B591"/>
      <c r="C591" s="15"/>
      <c r="D591" s="23"/>
      <c r="E591" s="23"/>
      <c r="F591" s="23"/>
      <c r="G591" s="23">
        <f t="shared" si="38"/>
        <v>0</v>
      </c>
      <c r="H591" s="23" t="e" cm="1">
        <f t="array" ref="H591">INDEX('GLOBAL LOG'!#REF!,ROW()-169+15)</f>
        <v>#REF!</v>
      </c>
      <c r="I591" s="23" t="e">
        <f>_xlfn.XLOOKUP(H591,#REF!,#REF!,"",0,1)</f>
        <v>#REF!</v>
      </c>
      <c r="J591" s="23" t="str">
        <f>IFERROR(I591*#REF!,"")</f>
        <v/>
      </c>
      <c r="K591" s="23" t="e" cm="1">
        <f t="array" ref="K591">INDEX('GLOBAL LOG'!#REF!,ROW()-169+15)</f>
        <v>#REF!</v>
      </c>
      <c r="L591" s="23" t="e">
        <f>_xlfn.XLOOKUP(K591,#REF!,#REF!,"",0,1)</f>
        <v>#REF!</v>
      </c>
      <c r="M591" s="23" t="str">
        <f>IFERROR(L591*#REF!,"")</f>
        <v/>
      </c>
      <c r="N591" s="23">
        <f t="shared" si="39"/>
        <v>-1</v>
      </c>
      <c r="O591" s="23">
        <f t="shared" si="40"/>
        <v>-1</v>
      </c>
      <c r="P591" s="23">
        <f t="shared" si="41"/>
        <v>-1</v>
      </c>
      <c r="Q591" s="24">
        <f t="shared" si="42"/>
        <v>-1</v>
      </c>
      <c r="R591" s="3"/>
      <c r="S591" s="1">
        <v>0</v>
      </c>
      <c r="T591" s="24">
        <v>-1</v>
      </c>
      <c r="U591"/>
      <c r="V591" s="1">
        <v>0</v>
      </c>
      <c r="W591" s="24">
        <v>-1</v>
      </c>
      <c r="X591"/>
      <c r="Y591" s="1">
        <v>0</v>
      </c>
      <c r="Z591" s="24">
        <v>-1</v>
      </c>
      <c r="AA591"/>
      <c r="AB591" s="1">
        <v>0</v>
      </c>
      <c r="AC591" s="24">
        <v>-1</v>
      </c>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c r="CC591"/>
      <c r="CD591"/>
      <c r="CE591"/>
      <c r="CF591"/>
      <c r="CG591"/>
      <c r="CH591"/>
      <c r="CI591"/>
      <c r="CJ591"/>
      <c r="CK591"/>
      <c r="CL591"/>
      <c r="CM591"/>
      <c r="CN591"/>
      <c r="CO591"/>
      <c r="CP591"/>
      <c r="CQ591"/>
      <c r="CR591"/>
      <c r="CS591"/>
    </row>
    <row r="592" spans="2:97">
      <c r="B592"/>
      <c r="C592" s="15"/>
      <c r="D592" s="23"/>
      <c r="E592" s="23"/>
      <c r="F592" s="23"/>
      <c r="G592" s="23">
        <f t="shared" si="38"/>
        <v>0</v>
      </c>
      <c r="H592" s="23" t="e" cm="1">
        <f t="array" ref="H592">INDEX('GLOBAL LOG'!#REF!,ROW()-169+15)</f>
        <v>#REF!</v>
      </c>
      <c r="I592" s="23" t="e">
        <f>_xlfn.XLOOKUP(H592,#REF!,#REF!,"",0,1)</f>
        <v>#REF!</v>
      </c>
      <c r="J592" s="23" t="str">
        <f>IFERROR(I592*#REF!,"")</f>
        <v/>
      </c>
      <c r="K592" s="23" t="e" cm="1">
        <f t="array" ref="K592">INDEX('GLOBAL LOG'!#REF!,ROW()-169+15)</f>
        <v>#REF!</v>
      </c>
      <c r="L592" s="23" t="e">
        <f>_xlfn.XLOOKUP(K592,#REF!,#REF!,"",0,1)</f>
        <v>#REF!</v>
      </c>
      <c r="M592" s="23" t="str">
        <f>IFERROR(L592*#REF!,"")</f>
        <v/>
      </c>
      <c r="N592" s="23">
        <f t="shared" si="39"/>
        <v>-1</v>
      </c>
      <c r="O592" s="23">
        <f t="shared" si="40"/>
        <v>-1</v>
      </c>
      <c r="P592" s="23">
        <f t="shared" si="41"/>
        <v>-1</v>
      </c>
      <c r="Q592" s="24">
        <f t="shared" si="42"/>
        <v>-1</v>
      </c>
      <c r="R592" s="3"/>
      <c r="S592" s="1">
        <v>0</v>
      </c>
      <c r="T592" s="24">
        <v>-1</v>
      </c>
      <c r="U592"/>
      <c r="V592" s="1">
        <v>0</v>
      </c>
      <c r="W592" s="24">
        <v>-1</v>
      </c>
      <c r="X592"/>
      <c r="Y592" s="1">
        <v>0</v>
      </c>
      <c r="Z592" s="24">
        <v>-1</v>
      </c>
      <c r="AA592"/>
      <c r="AB592" s="1">
        <v>0</v>
      </c>
      <c r="AC592" s="24">
        <v>-1</v>
      </c>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c r="CC592"/>
      <c r="CD592"/>
      <c r="CE592"/>
      <c r="CF592"/>
      <c r="CG592"/>
      <c r="CH592"/>
      <c r="CI592"/>
      <c r="CJ592"/>
      <c r="CK592"/>
      <c r="CL592"/>
      <c r="CM592"/>
      <c r="CN592"/>
      <c r="CO592"/>
      <c r="CP592"/>
      <c r="CQ592"/>
      <c r="CR592"/>
      <c r="CS592"/>
    </row>
    <row r="593" spans="2:97">
      <c r="B593"/>
      <c r="C593" s="15"/>
      <c r="D593" s="23"/>
      <c r="E593" s="23"/>
      <c r="F593" s="23"/>
      <c r="G593" s="23">
        <f t="shared" si="38"/>
        <v>0</v>
      </c>
      <c r="H593" s="23" t="e" cm="1">
        <f t="array" ref="H593">INDEX('GLOBAL LOG'!#REF!,ROW()-169+15)</f>
        <v>#REF!</v>
      </c>
      <c r="I593" s="23" t="e">
        <f>_xlfn.XLOOKUP(H593,#REF!,#REF!,"",0,1)</f>
        <v>#REF!</v>
      </c>
      <c r="J593" s="23" t="str">
        <f>IFERROR(I593*#REF!,"")</f>
        <v/>
      </c>
      <c r="K593" s="23" t="e" cm="1">
        <f t="array" ref="K593">INDEX('GLOBAL LOG'!#REF!,ROW()-169+15)</f>
        <v>#REF!</v>
      </c>
      <c r="L593" s="23" t="e">
        <f>_xlfn.XLOOKUP(K593,#REF!,#REF!,"",0,1)</f>
        <v>#REF!</v>
      </c>
      <c r="M593" s="23" t="str">
        <f>IFERROR(L593*#REF!,"")</f>
        <v/>
      </c>
      <c r="N593" s="23">
        <f t="shared" si="39"/>
        <v>-1</v>
      </c>
      <c r="O593" s="23">
        <f t="shared" si="40"/>
        <v>-1</v>
      </c>
      <c r="P593" s="23">
        <f t="shared" si="41"/>
        <v>-1</v>
      </c>
      <c r="Q593" s="24">
        <f t="shared" si="42"/>
        <v>-1</v>
      </c>
      <c r="R593" s="3"/>
      <c r="S593" s="1">
        <v>0</v>
      </c>
      <c r="T593" s="24">
        <v>-1</v>
      </c>
      <c r="U593"/>
      <c r="V593" s="1">
        <v>0</v>
      </c>
      <c r="W593" s="24">
        <v>-1</v>
      </c>
      <c r="X593"/>
      <c r="Y593" s="1">
        <v>0</v>
      </c>
      <c r="Z593" s="24">
        <v>-1</v>
      </c>
      <c r="AA593"/>
      <c r="AB593" s="1">
        <v>0</v>
      </c>
      <c r="AC593" s="24">
        <v>-1</v>
      </c>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c r="CC593"/>
      <c r="CD593"/>
      <c r="CE593"/>
      <c r="CF593"/>
      <c r="CG593"/>
      <c r="CH593"/>
      <c r="CI593"/>
      <c r="CJ593"/>
      <c r="CK593"/>
      <c r="CL593"/>
      <c r="CM593"/>
      <c r="CN593"/>
      <c r="CO593"/>
      <c r="CP593"/>
      <c r="CQ593"/>
      <c r="CR593"/>
      <c r="CS593"/>
    </row>
    <row r="594" spans="2:97">
      <c r="B594"/>
      <c r="C594" s="15"/>
      <c r="D594" s="23"/>
      <c r="E594" s="23"/>
      <c r="F594" s="23"/>
      <c r="G594" s="23">
        <f t="shared" si="38"/>
        <v>0</v>
      </c>
      <c r="H594" s="23" t="e" cm="1">
        <f t="array" ref="H594">INDEX('GLOBAL LOG'!#REF!,ROW()-169+15)</f>
        <v>#REF!</v>
      </c>
      <c r="I594" s="23" t="e">
        <f>_xlfn.XLOOKUP(H594,#REF!,#REF!,"",0,1)</f>
        <v>#REF!</v>
      </c>
      <c r="J594" s="23" t="str">
        <f>IFERROR(I594*#REF!,"")</f>
        <v/>
      </c>
      <c r="K594" s="23" t="e" cm="1">
        <f t="array" ref="K594">INDEX('GLOBAL LOG'!#REF!,ROW()-169+15)</f>
        <v>#REF!</v>
      </c>
      <c r="L594" s="23" t="e">
        <f>_xlfn.XLOOKUP(K594,#REF!,#REF!,"",0,1)</f>
        <v>#REF!</v>
      </c>
      <c r="M594" s="23" t="str">
        <f>IFERROR(L594*#REF!,"")</f>
        <v/>
      </c>
      <c r="N594" s="23">
        <f t="shared" si="39"/>
        <v>-1</v>
      </c>
      <c r="O594" s="23">
        <f t="shared" si="40"/>
        <v>-1</v>
      </c>
      <c r="P594" s="23">
        <f t="shared" si="41"/>
        <v>-1</v>
      </c>
      <c r="Q594" s="24">
        <f t="shared" si="42"/>
        <v>-1</v>
      </c>
      <c r="R594" s="3"/>
      <c r="S594" s="1">
        <v>0</v>
      </c>
      <c r="T594" s="24">
        <v>-1</v>
      </c>
      <c r="U594"/>
      <c r="V594" s="1">
        <v>0</v>
      </c>
      <c r="W594" s="24">
        <v>-1</v>
      </c>
      <c r="X594"/>
      <c r="Y594" s="1">
        <v>0</v>
      </c>
      <c r="Z594" s="24">
        <v>-1</v>
      </c>
      <c r="AA594"/>
      <c r="AB594" s="1">
        <v>0</v>
      </c>
      <c r="AC594" s="24">
        <v>-1</v>
      </c>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c r="CC594"/>
      <c r="CD594"/>
      <c r="CE594"/>
      <c r="CF594"/>
      <c r="CG594"/>
      <c r="CH594"/>
      <c r="CI594"/>
      <c r="CJ594"/>
      <c r="CK594"/>
      <c r="CL594"/>
      <c r="CM594"/>
      <c r="CN594"/>
      <c r="CO594"/>
      <c r="CP594"/>
      <c r="CQ594"/>
      <c r="CR594"/>
      <c r="CS594"/>
    </row>
    <row r="595" spans="2:97">
      <c r="B595"/>
      <c r="C595" s="15"/>
      <c r="D595" s="23"/>
      <c r="E595" s="23"/>
      <c r="F595" s="23"/>
      <c r="G595" s="23">
        <f t="shared" si="38"/>
        <v>0</v>
      </c>
      <c r="H595" s="23" t="e" cm="1">
        <f t="array" ref="H595">INDEX('GLOBAL LOG'!#REF!,ROW()-169+15)</f>
        <v>#REF!</v>
      </c>
      <c r="I595" s="23" t="e">
        <f>_xlfn.XLOOKUP(H595,#REF!,#REF!,"",0,1)</f>
        <v>#REF!</v>
      </c>
      <c r="J595" s="23" t="str">
        <f>IFERROR(I595*#REF!,"")</f>
        <v/>
      </c>
      <c r="K595" s="23" t="e" cm="1">
        <f t="array" ref="K595">INDEX('GLOBAL LOG'!#REF!,ROW()-169+15)</f>
        <v>#REF!</v>
      </c>
      <c r="L595" s="23" t="e">
        <f>_xlfn.XLOOKUP(K595,#REF!,#REF!,"",0,1)</f>
        <v>#REF!</v>
      </c>
      <c r="M595" s="23" t="str">
        <f>IFERROR(L595*#REF!,"")</f>
        <v/>
      </c>
      <c r="N595" s="23">
        <f t="shared" si="39"/>
        <v>-1</v>
      </c>
      <c r="O595" s="23">
        <f t="shared" si="40"/>
        <v>-1</v>
      </c>
      <c r="P595" s="23">
        <f t="shared" si="41"/>
        <v>-1</v>
      </c>
      <c r="Q595" s="24">
        <f t="shared" si="42"/>
        <v>-1</v>
      </c>
      <c r="R595" s="3"/>
      <c r="S595" s="1">
        <v>0</v>
      </c>
      <c r="T595" s="24">
        <v>-1</v>
      </c>
      <c r="U595"/>
      <c r="V595" s="1">
        <v>0</v>
      </c>
      <c r="W595" s="24">
        <v>-1</v>
      </c>
      <c r="X595"/>
      <c r="Y595" s="1">
        <v>0</v>
      </c>
      <c r="Z595" s="24">
        <v>-1</v>
      </c>
      <c r="AA595"/>
      <c r="AB595" s="1">
        <v>0</v>
      </c>
      <c r="AC595" s="24">
        <v>-1</v>
      </c>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c r="CC595"/>
      <c r="CD595"/>
      <c r="CE595"/>
      <c r="CF595"/>
      <c r="CG595"/>
      <c r="CH595"/>
      <c r="CI595"/>
      <c r="CJ595"/>
      <c r="CK595"/>
      <c r="CL595"/>
      <c r="CM595"/>
      <c r="CN595"/>
      <c r="CO595"/>
      <c r="CP595"/>
      <c r="CQ595"/>
      <c r="CR595"/>
      <c r="CS595"/>
    </row>
    <row r="596" spans="2:97">
      <c r="B596"/>
      <c r="C596" s="15"/>
      <c r="D596" s="23"/>
      <c r="E596" s="23"/>
      <c r="F596" s="23"/>
      <c r="G596" s="23">
        <f t="shared" si="38"/>
        <v>0</v>
      </c>
      <c r="H596" s="23" t="e" cm="1">
        <f t="array" ref="H596">INDEX('GLOBAL LOG'!#REF!,ROW()-169+15)</f>
        <v>#REF!</v>
      </c>
      <c r="I596" s="23" t="e">
        <f>_xlfn.XLOOKUP(H596,#REF!,#REF!,"",0,1)</f>
        <v>#REF!</v>
      </c>
      <c r="J596" s="23" t="str">
        <f>IFERROR(I596*#REF!,"")</f>
        <v/>
      </c>
      <c r="K596" s="23" t="e" cm="1">
        <f t="array" ref="K596">INDEX('GLOBAL LOG'!#REF!,ROW()-169+15)</f>
        <v>#REF!</v>
      </c>
      <c r="L596" s="23" t="e">
        <f>_xlfn.XLOOKUP(K596,#REF!,#REF!,"",0,1)</f>
        <v>#REF!</v>
      </c>
      <c r="M596" s="23" t="str">
        <f>IFERROR(L596*#REF!,"")</f>
        <v/>
      </c>
      <c r="N596" s="23">
        <f t="shared" si="39"/>
        <v>-1</v>
      </c>
      <c r="O596" s="23">
        <f t="shared" si="40"/>
        <v>-1</v>
      </c>
      <c r="P596" s="23">
        <f t="shared" si="41"/>
        <v>-1</v>
      </c>
      <c r="Q596" s="24">
        <f t="shared" si="42"/>
        <v>-1</v>
      </c>
      <c r="R596" s="3"/>
      <c r="S596" s="1">
        <v>0</v>
      </c>
      <c r="T596" s="24">
        <v>-1</v>
      </c>
      <c r="U596"/>
      <c r="V596" s="1">
        <v>0</v>
      </c>
      <c r="W596" s="24">
        <v>-1</v>
      </c>
      <c r="X596"/>
      <c r="Y596" s="1">
        <v>0</v>
      </c>
      <c r="Z596" s="24">
        <v>-1</v>
      </c>
      <c r="AA596"/>
      <c r="AB596" s="1">
        <v>0</v>
      </c>
      <c r="AC596" s="24">
        <v>-1</v>
      </c>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c r="CC596"/>
      <c r="CD596"/>
      <c r="CE596"/>
      <c r="CF596"/>
      <c r="CG596"/>
      <c r="CH596"/>
      <c r="CI596"/>
      <c r="CJ596"/>
      <c r="CK596"/>
      <c r="CL596"/>
      <c r="CM596"/>
      <c r="CN596"/>
      <c r="CO596"/>
      <c r="CP596"/>
      <c r="CQ596"/>
      <c r="CR596"/>
      <c r="CS596"/>
    </row>
    <row r="597" spans="2:97">
      <c r="B597"/>
      <c r="C597" s="15"/>
      <c r="D597" s="23"/>
      <c r="E597" s="23"/>
      <c r="F597" s="23"/>
      <c r="G597" s="23">
        <f t="shared" si="38"/>
        <v>0</v>
      </c>
      <c r="H597" s="23" t="e" cm="1">
        <f t="array" ref="H597">INDEX('GLOBAL LOG'!#REF!,ROW()-169+15)</f>
        <v>#REF!</v>
      </c>
      <c r="I597" s="23" t="e">
        <f>_xlfn.XLOOKUP(H597,#REF!,#REF!,"",0,1)</f>
        <v>#REF!</v>
      </c>
      <c r="J597" s="23" t="str">
        <f>IFERROR(I597*#REF!,"")</f>
        <v/>
      </c>
      <c r="K597" s="23" t="e" cm="1">
        <f t="array" ref="K597">INDEX('GLOBAL LOG'!#REF!,ROW()-169+15)</f>
        <v>#REF!</v>
      </c>
      <c r="L597" s="23" t="e">
        <f>_xlfn.XLOOKUP(K597,#REF!,#REF!,"",0,1)</f>
        <v>#REF!</v>
      </c>
      <c r="M597" s="23" t="str">
        <f>IFERROR(L597*#REF!,"")</f>
        <v/>
      </c>
      <c r="N597" s="23">
        <f t="shared" si="39"/>
        <v>-1</v>
      </c>
      <c r="O597" s="23">
        <f t="shared" si="40"/>
        <v>-1</v>
      </c>
      <c r="P597" s="23">
        <f t="shared" si="41"/>
        <v>-1</v>
      </c>
      <c r="Q597" s="24">
        <f t="shared" si="42"/>
        <v>-1</v>
      </c>
      <c r="R597" s="3"/>
      <c r="S597" s="1">
        <v>0</v>
      </c>
      <c r="T597" s="24">
        <v>-1</v>
      </c>
      <c r="U597"/>
      <c r="V597" s="1">
        <v>0</v>
      </c>
      <c r="W597" s="24">
        <v>-1</v>
      </c>
      <c r="X597"/>
      <c r="Y597" s="1">
        <v>0</v>
      </c>
      <c r="Z597" s="24">
        <v>-1</v>
      </c>
      <c r="AA597"/>
      <c r="AB597" s="1">
        <v>0</v>
      </c>
      <c r="AC597" s="24">
        <v>-1</v>
      </c>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c r="CC597"/>
      <c r="CD597"/>
      <c r="CE597"/>
      <c r="CF597"/>
      <c r="CG597"/>
      <c r="CH597"/>
      <c r="CI597"/>
      <c r="CJ597"/>
      <c r="CK597"/>
      <c r="CL597"/>
      <c r="CM597"/>
      <c r="CN597"/>
      <c r="CO597"/>
      <c r="CP597"/>
      <c r="CQ597"/>
      <c r="CR597"/>
      <c r="CS597"/>
    </row>
    <row r="598" spans="2:97">
      <c r="B598"/>
      <c r="C598" s="15"/>
      <c r="D598" s="23"/>
      <c r="E598" s="23"/>
      <c r="F598" s="23"/>
      <c r="G598" s="23">
        <f t="shared" si="38"/>
        <v>0</v>
      </c>
      <c r="H598" s="23" t="e" cm="1">
        <f t="array" ref="H598">INDEX('GLOBAL LOG'!#REF!,ROW()-169+15)</f>
        <v>#REF!</v>
      </c>
      <c r="I598" s="23" t="e">
        <f>_xlfn.XLOOKUP(H598,#REF!,#REF!,"",0,1)</f>
        <v>#REF!</v>
      </c>
      <c r="J598" s="23" t="str">
        <f>IFERROR(I598*#REF!,"")</f>
        <v/>
      </c>
      <c r="K598" s="23" t="e" cm="1">
        <f t="array" ref="K598">INDEX('GLOBAL LOG'!#REF!,ROW()-169+15)</f>
        <v>#REF!</v>
      </c>
      <c r="L598" s="23" t="e">
        <f>_xlfn.XLOOKUP(K598,#REF!,#REF!,"",0,1)</f>
        <v>#REF!</v>
      </c>
      <c r="M598" s="23" t="str">
        <f>IFERROR(L598*#REF!,"")</f>
        <v/>
      </c>
      <c r="N598" s="23">
        <f t="shared" si="39"/>
        <v>-1</v>
      </c>
      <c r="O598" s="23">
        <f t="shared" si="40"/>
        <v>-1</v>
      </c>
      <c r="P598" s="23">
        <f t="shared" si="41"/>
        <v>-1</v>
      </c>
      <c r="Q598" s="24">
        <f t="shared" si="42"/>
        <v>-1</v>
      </c>
      <c r="R598" s="3"/>
      <c r="S598" s="1">
        <v>0</v>
      </c>
      <c r="T598" s="24">
        <v>-1</v>
      </c>
      <c r="U598"/>
      <c r="V598" s="1">
        <v>0</v>
      </c>
      <c r="W598" s="24">
        <v>-1</v>
      </c>
      <c r="X598"/>
      <c r="Y598" s="1">
        <v>0</v>
      </c>
      <c r="Z598" s="24">
        <v>-1</v>
      </c>
      <c r="AA598"/>
      <c r="AB598" s="1">
        <v>0</v>
      </c>
      <c r="AC598" s="24">
        <v>-1</v>
      </c>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c r="CC598"/>
      <c r="CD598"/>
      <c r="CE598"/>
      <c r="CF598"/>
      <c r="CG598"/>
      <c r="CH598"/>
      <c r="CI598"/>
      <c r="CJ598"/>
      <c r="CK598"/>
      <c r="CL598"/>
      <c r="CM598"/>
      <c r="CN598"/>
      <c r="CO598"/>
      <c r="CP598"/>
      <c r="CQ598"/>
      <c r="CR598"/>
      <c r="CS598"/>
    </row>
    <row r="599" spans="2:97">
      <c r="B599"/>
      <c r="C599" s="15"/>
      <c r="D599" s="23"/>
      <c r="E599" s="23"/>
      <c r="F599" s="23"/>
      <c r="G599" s="23">
        <f t="shared" si="38"/>
        <v>0</v>
      </c>
      <c r="H599" s="23" t="e" cm="1">
        <f t="array" ref="H599">INDEX('GLOBAL LOG'!#REF!,ROW()-169+15)</f>
        <v>#REF!</v>
      </c>
      <c r="I599" s="23" t="e">
        <f>_xlfn.XLOOKUP(H599,#REF!,#REF!,"",0,1)</f>
        <v>#REF!</v>
      </c>
      <c r="J599" s="23" t="str">
        <f>IFERROR(I599*#REF!,"")</f>
        <v/>
      </c>
      <c r="K599" s="23" t="e" cm="1">
        <f t="array" ref="K599">INDEX('GLOBAL LOG'!#REF!,ROW()-169+15)</f>
        <v>#REF!</v>
      </c>
      <c r="L599" s="23" t="e">
        <f>_xlfn.XLOOKUP(K599,#REF!,#REF!,"",0,1)</f>
        <v>#REF!</v>
      </c>
      <c r="M599" s="23" t="str">
        <f>IFERROR(L599*#REF!,"")</f>
        <v/>
      </c>
      <c r="N599" s="23">
        <f t="shared" si="39"/>
        <v>-1</v>
      </c>
      <c r="O599" s="23">
        <f t="shared" si="40"/>
        <v>-1</v>
      </c>
      <c r="P599" s="23">
        <f t="shared" si="41"/>
        <v>-1</v>
      </c>
      <c r="Q599" s="24">
        <f t="shared" si="42"/>
        <v>-1</v>
      </c>
      <c r="R599" s="3"/>
      <c r="S599" s="1">
        <v>0</v>
      </c>
      <c r="T599" s="24">
        <v>-1</v>
      </c>
      <c r="U599"/>
      <c r="V599" s="1">
        <v>0</v>
      </c>
      <c r="W599" s="24">
        <v>-1</v>
      </c>
      <c r="X599"/>
      <c r="Y599" s="1">
        <v>0</v>
      </c>
      <c r="Z599" s="24">
        <v>-1</v>
      </c>
      <c r="AA599"/>
      <c r="AB599" s="1">
        <v>0</v>
      </c>
      <c r="AC599" s="24">
        <v>-1</v>
      </c>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c r="CC599"/>
      <c r="CD599"/>
      <c r="CE599"/>
      <c r="CF599"/>
      <c r="CG599"/>
      <c r="CH599"/>
      <c r="CI599"/>
      <c r="CJ599"/>
      <c r="CK599"/>
      <c r="CL599"/>
      <c r="CM599"/>
      <c r="CN599"/>
      <c r="CO599"/>
      <c r="CP599"/>
      <c r="CQ599"/>
      <c r="CR599"/>
      <c r="CS599"/>
    </row>
    <row r="600" spans="2:97">
      <c r="B600"/>
      <c r="C600" s="15"/>
      <c r="D600" s="23"/>
      <c r="E600" s="23"/>
      <c r="F600" s="23"/>
      <c r="G600" s="23">
        <f t="shared" si="38"/>
        <v>0</v>
      </c>
      <c r="H600" s="23" t="e" cm="1">
        <f t="array" ref="H600">INDEX('GLOBAL LOG'!#REF!,ROW()-169+15)</f>
        <v>#REF!</v>
      </c>
      <c r="I600" s="23" t="e">
        <f>_xlfn.XLOOKUP(H600,#REF!,#REF!,"",0,1)</f>
        <v>#REF!</v>
      </c>
      <c r="J600" s="23" t="str">
        <f>IFERROR(I600*#REF!,"")</f>
        <v/>
      </c>
      <c r="K600" s="23" t="e" cm="1">
        <f t="array" ref="K600">INDEX('GLOBAL LOG'!#REF!,ROW()-169+15)</f>
        <v>#REF!</v>
      </c>
      <c r="L600" s="23" t="e">
        <f>_xlfn.XLOOKUP(K600,#REF!,#REF!,"",0,1)</f>
        <v>#REF!</v>
      </c>
      <c r="M600" s="23" t="str">
        <f>IFERROR(L600*#REF!,"")</f>
        <v/>
      </c>
      <c r="N600" s="23">
        <f t="shared" si="39"/>
        <v>-1</v>
      </c>
      <c r="O600" s="23">
        <f t="shared" si="40"/>
        <v>-1</v>
      </c>
      <c r="P600" s="23">
        <f t="shared" si="41"/>
        <v>-1</v>
      </c>
      <c r="Q600" s="24">
        <f t="shared" si="42"/>
        <v>-1</v>
      </c>
      <c r="R600" s="3"/>
      <c r="S600" s="1">
        <v>0</v>
      </c>
      <c r="T600" s="24">
        <v>-1</v>
      </c>
      <c r="U600"/>
      <c r="V600" s="1">
        <v>0</v>
      </c>
      <c r="W600" s="24">
        <v>-1</v>
      </c>
      <c r="X600"/>
      <c r="Y600" s="1">
        <v>0</v>
      </c>
      <c r="Z600" s="24">
        <v>-1</v>
      </c>
      <c r="AA600"/>
      <c r="AB600" s="1">
        <v>0</v>
      </c>
      <c r="AC600" s="24">
        <v>-1</v>
      </c>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c r="CC600"/>
      <c r="CD600"/>
      <c r="CE600"/>
      <c r="CF600"/>
      <c r="CG600"/>
      <c r="CH600"/>
      <c r="CI600"/>
      <c r="CJ600"/>
      <c r="CK600"/>
      <c r="CL600"/>
      <c r="CM600"/>
      <c r="CN600"/>
      <c r="CO600"/>
      <c r="CP600"/>
      <c r="CQ600"/>
      <c r="CR600"/>
      <c r="CS600"/>
    </row>
    <row r="601" spans="2:97">
      <c r="B601"/>
      <c r="C601" s="15"/>
      <c r="D601" s="23"/>
      <c r="E601" s="23"/>
      <c r="F601" s="23"/>
      <c r="G601" s="23">
        <f t="shared" si="38"/>
        <v>0</v>
      </c>
      <c r="H601" s="23" t="e" cm="1">
        <f t="array" ref="H601">INDEX('GLOBAL LOG'!#REF!,ROW()-169+15)</f>
        <v>#REF!</v>
      </c>
      <c r="I601" s="23" t="e">
        <f>_xlfn.XLOOKUP(H601,#REF!,#REF!,"",0,1)</f>
        <v>#REF!</v>
      </c>
      <c r="J601" s="23" t="str">
        <f>IFERROR(I601*#REF!,"")</f>
        <v/>
      </c>
      <c r="K601" s="23" t="e" cm="1">
        <f t="array" ref="K601">INDEX('GLOBAL LOG'!#REF!,ROW()-169+15)</f>
        <v>#REF!</v>
      </c>
      <c r="L601" s="23" t="e">
        <f>_xlfn.XLOOKUP(K601,#REF!,#REF!,"",0,1)</f>
        <v>#REF!</v>
      </c>
      <c r="M601" s="23" t="str">
        <f>IFERROR(L601*#REF!,"")</f>
        <v/>
      </c>
      <c r="N601" s="23">
        <f t="shared" si="39"/>
        <v>-1</v>
      </c>
      <c r="O601" s="23">
        <f t="shared" si="40"/>
        <v>-1</v>
      </c>
      <c r="P601" s="23">
        <f t="shared" si="41"/>
        <v>-1</v>
      </c>
      <c r="Q601" s="24">
        <f t="shared" si="42"/>
        <v>-1</v>
      </c>
      <c r="R601" s="3"/>
      <c r="S601" s="1">
        <v>0</v>
      </c>
      <c r="T601" s="24">
        <v>-1</v>
      </c>
      <c r="U601"/>
      <c r="V601" s="1">
        <v>0</v>
      </c>
      <c r="W601" s="24">
        <v>-1</v>
      </c>
      <c r="X601"/>
      <c r="Y601" s="1">
        <v>0</v>
      </c>
      <c r="Z601" s="24">
        <v>-1</v>
      </c>
      <c r="AA601"/>
      <c r="AB601" s="1">
        <v>0</v>
      </c>
      <c r="AC601" s="24">
        <v>-1</v>
      </c>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c r="CC601"/>
      <c r="CD601"/>
      <c r="CE601"/>
      <c r="CF601"/>
      <c r="CG601"/>
      <c r="CH601"/>
      <c r="CI601"/>
      <c r="CJ601"/>
      <c r="CK601"/>
      <c r="CL601"/>
      <c r="CM601"/>
      <c r="CN601"/>
      <c r="CO601"/>
      <c r="CP601"/>
      <c r="CQ601"/>
      <c r="CR601"/>
      <c r="CS601"/>
    </row>
    <row r="602" spans="2:97">
      <c r="B602"/>
      <c r="C602" s="15"/>
      <c r="D602" s="23"/>
      <c r="E602" s="23"/>
      <c r="F602" s="23"/>
      <c r="G602" s="23">
        <f t="shared" si="38"/>
        <v>0</v>
      </c>
      <c r="H602" s="23" t="e" cm="1">
        <f t="array" ref="H602">INDEX('GLOBAL LOG'!#REF!,ROW()-169+15)</f>
        <v>#REF!</v>
      </c>
      <c r="I602" s="23" t="e">
        <f>_xlfn.XLOOKUP(H602,#REF!,#REF!,"",0,1)</f>
        <v>#REF!</v>
      </c>
      <c r="J602" s="23" t="str">
        <f>IFERROR(I602*#REF!,"")</f>
        <v/>
      </c>
      <c r="K602" s="23" t="e" cm="1">
        <f t="array" ref="K602">INDEX('GLOBAL LOG'!#REF!,ROW()-169+15)</f>
        <v>#REF!</v>
      </c>
      <c r="L602" s="23" t="e">
        <f>_xlfn.XLOOKUP(K602,#REF!,#REF!,"",0,1)</f>
        <v>#REF!</v>
      </c>
      <c r="M602" s="23" t="str">
        <f>IFERROR(L602*#REF!,"")</f>
        <v/>
      </c>
      <c r="N602" s="23">
        <f t="shared" si="39"/>
        <v>-1</v>
      </c>
      <c r="O602" s="23">
        <f t="shared" si="40"/>
        <v>-1</v>
      </c>
      <c r="P602" s="23">
        <f t="shared" si="41"/>
        <v>-1</v>
      </c>
      <c r="Q602" s="24">
        <f t="shared" si="42"/>
        <v>-1</v>
      </c>
      <c r="R602" s="3"/>
      <c r="S602" s="1">
        <v>0</v>
      </c>
      <c r="T602" s="24">
        <v>-1</v>
      </c>
      <c r="U602"/>
      <c r="V602" s="1">
        <v>0</v>
      </c>
      <c r="W602" s="24">
        <v>-1</v>
      </c>
      <c r="X602"/>
      <c r="Y602" s="1">
        <v>0</v>
      </c>
      <c r="Z602" s="24">
        <v>-1</v>
      </c>
      <c r="AA602"/>
      <c r="AB602" s="1">
        <v>0</v>
      </c>
      <c r="AC602" s="24">
        <v>-1</v>
      </c>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c r="CC602"/>
      <c r="CD602"/>
      <c r="CE602"/>
      <c r="CF602"/>
      <c r="CG602"/>
      <c r="CH602"/>
      <c r="CI602"/>
      <c r="CJ602"/>
      <c r="CK602"/>
      <c r="CL602"/>
      <c r="CM602"/>
      <c r="CN602"/>
      <c r="CO602"/>
      <c r="CP602"/>
      <c r="CQ602"/>
      <c r="CR602"/>
      <c r="CS602"/>
    </row>
    <row r="603" spans="2:97">
      <c r="B603"/>
      <c r="C603" s="15"/>
      <c r="D603" s="23"/>
      <c r="E603" s="23"/>
      <c r="F603" s="23"/>
      <c r="G603" s="23">
        <f t="shared" si="38"/>
        <v>0</v>
      </c>
      <c r="H603" s="23" t="e" cm="1">
        <f t="array" ref="H603">INDEX('GLOBAL LOG'!#REF!,ROW()-169+15)</f>
        <v>#REF!</v>
      </c>
      <c r="I603" s="23" t="e">
        <f>_xlfn.XLOOKUP(H603,#REF!,#REF!,"",0,1)</f>
        <v>#REF!</v>
      </c>
      <c r="J603" s="23" t="str">
        <f>IFERROR(I603*#REF!,"")</f>
        <v/>
      </c>
      <c r="K603" s="23" t="e" cm="1">
        <f t="array" ref="K603">INDEX('GLOBAL LOG'!#REF!,ROW()-169+15)</f>
        <v>#REF!</v>
      </c>
      <c r="L603" s="23" t="e">
        <f>_xlfn.XLOOKUP(K603,#REF!,#REF!,"",0,1)</f>
        <v>#REF!</v>
      </c>
      <c r="M603" s="23" t="str">
        <f>IFERROR(L603*#REF!,"")</f>
        <v/>
      </c>
      <c r="N603" s="23">
        <f t="shared" si="39"/>
        <v>-1</v>
      </c>
      <c r="O603" s="23">
        <f t="shared" si="40"/>
        <v>-1</v>
      </c>
      <c r="P603" s="23">
        <f t="shared" si="41"/>
        <v>-1</v>
      </c>
      <c r="Q603" s="24">
        <f t="shared" si="42"/>
        <v>-1</v>
      </c>
      <c r="R603" s="3"/>
      <c r="S603" s="1">
        <v>0</v>
      </c>
      <c r="T603" s="24">
        <v>-1</v>
      </c>
      <c r="U603"/>
      <c r="V603" s="1">
        <v>0</v>
      </c>
      <c r="W603" s="24">
        <v>-1</v>
      </c>
      <c r="X603"/>
      <c r="Y603" s="1">
        <v>0</v>
      </c>
      <c r="Z603" s="24">
        <v>-1</v>
      </c>
      <c r="AA603"/>
      <c r="AB603" s="1">
        <v>0</v>
      </c>
      <c r="AC603" s="24">
        <v>-1</v>
      </c>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c r="CC603"/>
      <c r="CD603"/>
      <c r="CE603"/>
      <c r="CF603"/>
      <c r="CG603"/>
      <c r="CH603"/>
      <c r="CI603"/>
      <c r="CJ603"/>
      <c r="CK603"/>
      <c r="CL603"/>
      <c r="CM603"/>
      <c r="CN603"/>
      <c r="CO603"/>
      <c r="CP603"/>
      <c r="CQ603"/>
      <c r="CR603"/>
      <c r="CS603"/>
    </row>
    <row r="604" spans="2:97">
      <c r="B604"/>
      <c r="C604" s="15"/>
      <c r="D604" s="23"/>
      <c r="E604" s="23"/>
      <c r="F604" s="23"/>
      <c r="G604" s="23">
        <f t="shared" si="38"/>
        <v>0</v>
      </c>
      <c r="H604" s="23" t="e" cm="1">
        <f t="array" ref="H604">INDEX('GLOBAL LOG'!#REF!,ROW()-169+15)</f>
        <v>#REF!</v>
      </c>
      <c r="I604" s="23" t="e">
        <f>_xlfn.XLOOKUP(H604,#REF!,#REF!,"",0,1)</f>
        <v>#REF!</v>
      </c>
      <c r="J604" s="23" t="str">
        <f>IFERROR(I604*#REF!,"")</f>
        <v/>
      </c>
      <c r="K604" s="23" t="e" cm="1">
        <f t="array" ref="K604">INDEX('GLOBAL LOG'!#REF!,ROW()-169+15)</f>
        <v>#REF!</v>
      </c>
      <c r="L604" s="23" t="e">
        <f>_xlfn.XLOOKUP(K604,#REF!,#REF!,"",0,1)</f>
        <v>#REF!</v>
      </c>
      <c r="M604" s="23" t="str">
        <f>IFERROR(L604*#REF!,"")</f>
        <v/>
      </c>
      <c r="N604" s="23">
        <f t="shared" si="39"/>
        <v>-1</v>
      </c>
      <c r="O604" s="23">
        <f t="shared" si="40"/>
        <v>-1</v>
      </c>
      <c r="P604" s="23">
        <f t="shared" si="41"/>
        <v>-1</v>
      </c>
      <c r="Q604" s="24">
        <f t="shared" si="42"/>
        <v>-1</v>
      </c>
      <c r="R604" s="3"/>
      <c r="S604" s="1">
        <v>0</v>
      </c>
      <c r="T604" s="24">
        <v>-1</v>
      </c>
      <c r="U604"/>
      <c r="V604" s="1">
        <v>0</v>
      </c>
      <c r="W604" s="24">
        <v>-1</v>
      </c>
      <c r="X604"/>
      <c r="Y604" s="1">
        <v>0</v>
      </c>
      <c r="Z604" s="24">
        <v>-1</v>
      </c>
      <c r="AA604"/>
      <c r="AB604" s="1">
        <v>0</v>
      </c>
      <c r="AC604" s="24">
        <v>-1</v>
      </c>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c r="CC604"/>
      <c r="CD604"/>
      <c r="CE604"/>
      <c r="CF604"/>
      <c r="CG604"/>
      <c r="CH604"/>
      <c r="CI604"/>
      <c r="CJ604"/>
      <c r="CK604"/>
      <c r="CL604"/>
      <c r="CM604"/>
      <c r="CN604"/>
      <c r="CO604"/>
      <c r="CP604"/>
      <c r="CQ604"/>
      <c r="CR604"/>
      <c r="CS604"/>
    </row>
    <row r="605" spans="2:97">
      <c r="B605"/>
      <c r="C605" s="15"/>
      <c r="D605" s="23"/>
      <c r="E605" s="23"/>
      <c r="F605" s="23"/>
      <c r="G605" s="23">
        <f t="shared" si="38"/>
        <v>0</v>
      </c>
      <c r="H605" s="23" t="e" cm="1">
        <f t="array" ref="H605">INDEX('GLOBAL LOG'!#REF!,ROW()-169+15)</f>
        <v>#REF!</v>
      </c>
      <c r="I605" s="23" t="e">
        <f>_xlfn.XLOOKUP(H605,#REF!,#REF!,"",0,1)</f>
        <v>#REF!</v>
      </c>
      <c r="J605" s="23" t="str">
        <f>IFERROR(I605*#REF!,"")</f>
        <v/>
      </c>
      <c r="K605" s="23" t="e" cm="1">
        <f t="array" ref="K605">INDEX('GLOBAL LOG'!#REF!,ROW()-169+15)</f>
        <v>#REF!</v>
      </c>
      <c r="L605" s="23" t="e">
        <f>_xlfn.XLOOKUP(K605,#REF!,#REF!,"",0,1)</f>
        <v>#REF!</v>
      </c>
      <c r="M605" s="23" t="str">
        <f>IFERROR(L605*#REF!,"")</f>
        <v/>
      </c>
      <c r="N605" s="23">
        <f t="shared" si="39"/>
        <v>-1</v>
      </c>
      <c r="O605" s="23">
        <f t="shared" si="40"/>
        <v>-1</v>
      </c>
      <c r="P605" s="23">
        <f t="shared" si="41"/>
        <v>-1</v>
      </c>
      <c r="Q605" s="24">
        <f t="shared" si="42"/>
        <v>-1</v>
      </c>
      <c r="R605" s="3"/>
      <c r="S605" s="1">
        <v>0</v>
      </c>
      <c r="T605" s="24">
        <v>-1</v>
      </c>
      <c r="U605"/>
      <c r="V605" s="1">
        <v>0</v>
      </c>
      <c r="W605" s="24">
        <v>-1</v>
      </c>
      <c r="X605"/>
      <c r="Y605" s="1">
        <v>0</v>
      </c>
      <c r="Z605" s="24">
        <v>-1</v>
      </c>
      <c r="AA605"/>
      <c r="AB605" s="1">
        <v>0</v>
      </c>
      <c r="AC605" s="24">
        <v>-1</v>
      </c>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c r="CC605"/>
      <c r="CD605"/>
      <c r="CE605"/>
      <c r="CF605"/>
      <c r="CG605"/>
      <c r="CH605"/>
      <c r="CI605"/>
      <c r="CJ605"/>
      <c r="CK605"/>
      <c r="CL605"/>
      <c r="CM605"/>
      <c r="CN605"/>
      <c r="CO605"/>
      <c r="CP605"/>
      <c r="CQ605"/>
      <c r="CR605"/>
      <c r="CS605"/>
    </row>
    <row r="606" spans="2:97">
      <c r="B606"/>
      <c r="C606" s="15"/>
      <c r="D606" s="23"/>
      <c r="E606" s="23"/>
      <c r="F606" s="23"/>
      <c r="G606" s="23">
        <f t="shared" si="38"/>
        <v>0</v>
      </c>
      <c r="H606" s="23" t="e" cm="1">
        <f t="array" ref="H606">INDEX('GLOBAL LOG'!#REF!,ROW()-169+15)</f>
        <v>#REF!</v>
      </c>
      <c r="I606" s="23" t="e">
        <f>_xlfn.XLOOKUP(H606,#REF!,#REF!,"",0,1)</f>
        <v>#REF!</v>
      </c>
      <c r="J606" s="23" t="str">
        <f>IFERROR(I606*#REF!,"")</f>
        <v/>
      </c>
      <c r="K606" s="23" t="e" cm="1">
        <f t="array" ref="K606">INDEX('GLOBAL LOG'!#REF!,ROW()-169+15)</f>
        <v>#REF!</v>
      </c>
      <c r="L606" s="23" t="e">
        <f>_xlfn.XLOOKUP(K606,#REF!,#REF!,"",0,1)</f>
        <v>#REF!</v>
      </c>
      <c r="M606" s="23" t="str">
        <f>IFERROR(L606*#REF!,"")</f>
        <v/>
      </c>
      <c r="N606" s="23">
        <f t="shared" si="39"/>
        <v>-1</v>
      </c>
      <c r="O606" s="23">
        <f t="shared" si="40"/>
        <v>-1</v>
      </c>
      <c r="P606" s="23">
        <f t="shared" si="41"/>
        <v>-1</v>
      </c>
      <c r="Q606" s="24">
        <f t="shared" si="42"/>
        <v>-1</v>
      </c>
      <c r="R606" s="3"/>
      <c r="S606" s="1">
        <v>0</v>
      </c>
      <c r="T606" s="24">
        <v>-1</v>
      </c>
      <c r="U606"/>
      <c r="V606" s="1">
        <v>0</v>
      </c>
      <c r="W606" s="24">
        <v>-1</v>
      </c>
      <c r="X606"/>
      <c r="Y606" s="1">
        <v>0</v>
      </c>
      <c r="Z606" s="24">
        <v>-1</v>
      </c>
      <c r="AA606"/>
      <c r="AB606" s="1">
        <v>0</v>
      </c>
      <c r="AC606" s="24">
        <v>-1</v>
      </c>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c r="CC606"/>
      <c r="CD606"/>
      <c r="CE606"/>
      <c r="CF606"/>
      <c r="CG606"/>
      <c r="CH606"/>
      <c r="CI606"/>
      <c r="CJ606"/>
      <c r="CK606"/>
      <c r="CL606"/>
      <c r="CM606"/>
      <c r="CN606"/>
      <c r="CO606"/>
      <c r="CP606"/>
      <c r="CQ606"/>
      <c r="CR606"/>
      <c r="CS606"/>
    </row>
    <row r="607" spans="2:97">
      <c r="B607"/>
      <c r="C607" s="15"/>
      <c r="D607" s="23"/>
      <c r="E607" s="23"/>
      <c r="F607" s="23"/>
      <c r="G607" s="23">
        <f t="shared" si="38"/>
        <v>0</v>
      </c>
      <c r="H607" s="23" t="e" cm="1">
        <f t="array" ref="H607">INDEX('GLOBAL LOG'!#REF!,ROW()-169+15)</f>
        <v>#REF!</v>
      </c>
      <c r="I607" s="23" t="e">
        <f>_xlfn.XLOOKUP(H607,#REF!,#REF!,"",0,1)</f>
        <v>#REF!</v>
      </c>
      <c r="J607" s="23" t="str">
        <f>IFERROR(I607*#REF!,"")</f>
        <v/>
      </c>
      <c r="K607" s="23" t="e" cm="1">
        <f t="array" ref="K607">INDEX('GLOBAL LOG'!#REF!,ROW()-169+15)</f>
        <v>#REF!</v>
      </c>
      <c r="L607" s="23" t="e">
        <f>_xlfn.XLOOKUP(K607,#REF!,#REF!,"",0,1)</f>
        <v>#REF!</v>
      </c>
      <c r="M607" s="23" t="str">
        <f>IFERROR(L607*#REF!,"")</f>
        <v/>
      </c>
      <c r="N607" s="23">
        <f t="shared" si="39"/>
        <v>-1</v>
      </c>
      <c r="O607" s="23">
        <f t="shared" si="40"/>
        <v>-1</v>
      </c>
      <c r="P607" s="23">
        <f t="shared" si="41"/>
        <v>-1</v>
      </c>
      <c r="Q607" s="24">
        <f t="shared" si="42"/>
        <v>-1</v>
      </c>
      <c r="R607" s="3"/>
      <c r="S607" s="1">
        <v>0</v>
      </c>
      <c r="T607" s="24">
        <v>-1</v>
      </c>
      <c r="U607"/>
      <c r="V607" s="1">
        <v>0</v>
      </c>
      <c r="W607" s="24">
        <v>-1</v>
      </c>
      <c r="X607"/>
      <c r="Y607" s="1">
        <v>0</v>
      </c>
      <c r="Z607" s="24">
        <v>-1</v>
      </c>
      <c r="AA607"/>
      <c r="AB607" s="1">
        <v>0</v>
      </c>
      <c r="AC607" s="24">
        <v>-1</v>
      </c>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c r="CC607"/>
      <c r="CD607"/>
      <c r="CE607"/>
      <c r="CF607"/>
      <c r="CG607"/>
      <c r="CH607"/>
      <c r="CI607"/>
      <c r="CJ607"/>
      <c r="CK607"/>
      <c r="CL607"/>
      <c r="CM607"/>
      <c r="CN607"/>
      <c r="CO607"/>
      <c r="CP607"/>
      <c r="CQ607"/>
      <c r="CR607"/>
      <c r="CS607"/>
    </row>
    <row r="608" spans="2:97">
      <c r="B608"/>
      <c r="C608" s="15"/>
      <c r="D608" s="23"/>
      <c r="E608" s="23"/>
      <c r="F608" s="23"/>
      <c r="G608" s="23">
        <f t="shared" si="38"/>
        <v>0</v>
      </c>
      <c r="H608" s="23" t="e" cm="1">
        <f t="array" ref="H608">INDEX('GLOBAL LOG'!#REF!,ROW()-169+15)</f>
        <v>#REF!</v>
      </c>
      <c r="I608" s="23" t="e">
        <f>_xlfn.XLOOKUP(H608,#REF!,#REF!,"",0,1)</f>
        <v>#REF!</v>
      </c>
      <c r="J608" s="23" t="str">
        <f>IFERROR(I608*#REF!,"")</f>
        <v/>
      </c>
      <c r="K608" s="23" t="e" cm="1">
        <f t="array" ref="K608">INDEX('GLOBAL LOG'!#REF!,ROW()-169+15)</f>
        <v>#REF!</v>
      </c>
      <c r="L608" s="23" t="e">
        <f>_xlfn.XLOOKUP(K608,#REF!,#REF!,"",0,1)</f>
        <v>#REF!</v>
      </c>
      <c r="M608" s="23" t="str">
        <f>IFERROR(L608*#REF!,"")</f>
        <v/>
      </c>
      <c r="N608" s="23">
        <f t="shared" si="39"/>
        <v>-1</v>
      </c>
      <c r="O608" s="23">
        <f t="shared" si="40"/>
        <v>-1</v>
      </c>
      <c r="P608" s="23">
        <f t="shared" si="41"/>
        <v>-1</v>
      </c>
      <c r="Q608" s="24">
        <f t="shared" si="42"/>
        <v>-1</v>
      </c>
      <c r="R608" s="3"/>
      <c r="S608" s="1">
        <v>0</v>
      </c>
      <c r="T608" s="24">
        <v>-1</v>
      </c>
      <c r="U608"/>
      <c r="V608" s="1">
        <v>0</v>
      </c>
      <c r="W608" s="24">
        <v>-1</v>
      </c>
      <c r="X608"/>
      <c r="Y608" s="1">
        <v>0</v>
      </c>
      <c r="Z608" s="24">
        <v>-1</v>
      </c>
      <c r="AA608"/>
      <c r="AB608" s="1">
        <v>0</v>
      </c>
      <c r="AC608" s="24">
        <v>-1</v>
      </c>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c r="CC608"/>
      <c r="CD608"/>
      <c r="CE608"/>
      <c r="CF608"/>
      <c r="CG608"/>
      <c r="CH608"/>
      <c r="CI608"/>
      <c r="CJ608"/>
      <c r="CK608"/>
      <c r="CL608"/>
      <c r="CM608"/>
      <c r="CN608"/>
      <c r="CO608"/>
      <c r="CP608"/>
      <c r="CQ608"/>
      <c r="CR608"/>
      <c r="CS608"/>
    </row>
    <row r="609" spans="2:97">
      <c r="B609"/>
      <c r="C609" s="15"/>
      <c r="D609" s="23"/>
      <c r="E609" s="23"/>
      <c r="F609" s="23"/>
      <c r="G609" s="23">
        <f t="shared" si="38"/>
        <v>0</v>
      </c>
      <c r="H609" s="23" t="e" cm="1">
        <f t="array" ref="H609">INDEX('GLOBAL LOG'!#REF!,ROW()-169+15)</f>
        <v>#REF!</v>
      </c>
      <c r="I609" s="23" t="e">
        <f>_xlfn.XLOOKUP(H609,#REF!,#REF!,"",0,1)</f>
        <v>#REF!</v>
      </c>
      <c r="J609" s="23" t="str">
        <f>IFERROR(I609*#REF!,"")</f>
        <v/>
      </c>
      <c r="K609" s="23" t="e" cm="1">
        <f t="array" ref="K609">INDEX('GLOBAL LOG'!#REF!,ROW()-169+15)</f>
        <v>#REF!</v>
      </c>
      <c r="L609" s="23" t="e">
        <f>_xlfn.XLOOKUP(K609,#REF!,#REF!,"",0,1)</f>
        <v>#REF!</v>
      </c>
      <c r="M609" s="23" t="str">
        <f>IFERROR(L609*#REF!,"")</f>
        <v/>
      </c>
      <c r="N609" s="23">
        <f t="shared" si="39"/>
        <v>-1</v>
      </c>
      <c r="O609" s="23">
        <f t="shared" si="40"/>
        <v>-1</v>
      </c>
      <c r="P609" s="23">
        <f t="shared" si="41"/>
        <v>-1</v>
      </c>
      <c r="Q609" s="24">
        <f t="shared" si="42"/>
        <v>-1</v>
      </c>
      <c r="R609" s="3"/>
      <c r="S609" s="1">
        <v>0</v>
      </c>
      <c r="T609" s="24">
        <v>-1</v>
      </c>
      <c r="U609"/>
      <c r="V609" s="1">
        <v>0</v>
      </c>
      <c r="W609" s="24">
        <v>-1</v>
      </c>
      <c r="X609"/>
      <c r="Y609" s="1">
        <v>0</v>
      </c>
      <c r="Z609" s="24">
        <v>-1</v>
      </c>
      <c r="AA609"/>
      <c r="AB609" s="1">
        <v>0</v>
      </c>
      <c r="AC609" s="24">
        <v>-1</v>
      </c>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c r="CC609"/>
      <c r="CD609"/>
      <c r="CE609"/>
      <c r="CF609"/>
      <c r="CG609"/>
      <c r="CH609"/>
      <c r="CI609"/>
      <c r="CJ609"/>
      <c r="CK609"/>
      <c r="CL609"/>
      <c r="CM609"/>
      <c r="CN609"/>
      <c r="CO609"/>
      <c r="CP609"/>
      <c r="CQ609"/>
      <c r="CR609"/>
      <c r="CS609"/>
    </row>
    <row r="610" spans="2:97">
      <c r="B610"/>
      <c r="C610" s="15"/>
      <c r="D610" s="23"/>
      <c r="E610" s="23"/>
      <c r="F610" s="23"/>
      <c r="G610" s="23">
        <f t="shared" si="38"/>
        <v>0</v>
      </c>
      <c r="H610" s="23" t="e" cm="1">
        <f t="array" ref="H610">INDEX('GLOBAL LOG'!#REF!,ROW()-169+15)</f>
        <v>#REF!</v>
      </c>
      <c r="I610" s="23" t="e">
        <f>_xlfn.XLOOKUP(H610,#REF!,#REF!,"",0,1)</f>
        <v>#REF!</v>
      </c>
      <c r="J610" s="23" t="str">
        <f>IFERROR(I610*#REF!,"")</f>
        <v/>
      </c>
      <c r="K610" s="23" t="e" cm="1">
        <f t="array" ref="K610">INDEX('GLOBAL LOG'!#REF!,ROW()-169+15)</f>
        <v>#REF!</v>
      </c>
      <c r="L610" s="23" t="e">
        <f>_xlfn.XLOOKUP(K610,#REF!,#REF!,"",0,1)</f>
        <v>#REF!</v>
      </c>
      <c r="M610" s="23" t="str">
        <f>IFERROR(L610*#REF!,"")</f>
        <v/>
      </c>
      <c r="N610" s="23">
        <f t="shared" si="39"/>
        <v>-1</v>
      </c>
      <c r="O610" s="23">
        <f t="shared" si="40"/>
        <v>-1</v>
      </c>
      <c r="P610" s="23">
        <f t="shared" si="41"/>
        <v>-1</v>
      </c>
      <c r="Q610" s="24">
        <f t="shared" si="42"/>
        <v>-1</v>
      </c>
      <c r="R610" s="3"/>
      <c r="S610" s="1">
        <v>0</v>
      </c>
      <c r="T610" s="24">
        <v>-1</v>
      </c>
      <c r="U610"/>
      <c r="V610" s="1">
        <v>0</v>
      </c>
      <c r="W610" s="24">
        <v>-1</v>
      </c>
      <c r="X610"/>
      <c r="Y610" s="1">
        <v>0</v>
      </c>
      <c r="Z610" s="24">
        <v>-1</v>
      </c>
      <c r="AA610"/>
      <c r="AB610" s="1">
        <v>0</v>
      </c>
      <c r="AC610" s="24">
        <v>-1</v>
      </c>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c r="CC610"/>
      <c r="CD610"/>
      <c r="CE610"/>
      <c r="CF610"/>
      <c r="CG610"/>
      <c r="CH610"/>
      <c r="CI610"/>
      <c r="CJ610"/>
      <c r="CK610"/>
      <c r="CL610"/>
      <c r="CM610"/>
      <c r="CN610"/>
      <c r="CO610"/>
      <c r="CP610"/>
      <c r="CQ610"/>
      <c r="CR610"/>
      <c r="CS610"/>
    </row>
    <row r="611" spans="2:97">
      <c r="B611"/>
      <c r="C611" s="15"/>
      <c r="D611" s="23"/>
      <c r="E611" s="23"/>
      <c r="F611" s="23"/>
      <c r="G611" s="23">
        <f t="shared" si="38"/>
        <v>0</v>
      </c>
      <c r="H611" s="23" t="e" cm="1">
        <f t="array" ref="H611">INDEX('GLOBAL LOG'!#REF!,ROW()-169+15)</f>
        <v>#REF!</v>
      </c>
      <c r="I611" s="23" t="e">
        <f>_xlfn.XLOOKUP(H611,#REF!,#REF!,"",0,1)</f>
        <v>#REF!</v>
      </c>
      <c r="J611" s="23" t="str">
        <f>IFERROR(I611*#REF!,"")</f>
        <v/>
      </c>
      <c r="K611" s="23" t="e" cm="1">
        <f t="array" ref="K611">INDEX('GLOBAL LOG'!#REF!,ROW()-169+15)</f>
        <v>#REF!</v>
      </c>
      <c r="L611" s="23" t="e">
        <f>_xlfn.XLOOKUP(K611,#REF!,#REF!,"",0,1)</f>
        <v>#REF!</v>
      </c>
      <c r="M611" s="23" t="str">
        <f>IFERROR(L611*#REF!,"")</f>
        <v/>
      </c>
      <c r="N611" s="23">
        <f t="shared" si="39"/>
        <v>-1</v>
      </c>
      <c r="O611" s="23">
        <f t="shared" si="40"/>
        <v>-1</v>
      </c>
      <c r="P611" s="23">
        <f t="shared" si="41"/>
        <v>-1</v>
      </c>
      <c r="Q611" s="24">
        <f t="shared" si="42"/>
        <v>-1</v>
      </c>
      <c r="R611" s="3"/>
      <c r="S611" s="1">
        <v>0</v>
      </c>
      <c r="T611" s="24">
        <v>-1</v>
      </c>
      <c r="U611"/>
      <c r="V611" s="1">
        <v>0</v>
      </c>
      <c r="W611" s="24">
        <v>-1</v>
      </c>
      <c r="X611"/>
      <c r="Y611" s="1">
        <v>0</v>
      </c>
      <c r="Z611" s="24">
        <v>-1</v>
      </c>
      <c r="AA611"/>
      <c r="AB611" s="1">
        <v>0</v>
      </c>
      <c r="AC611" s="24">
        <v>-1</v>
      </c>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c r="CC611"/>
      <c r="CD611"/>
      <c r="CE611"/>
      <c r="CF611"/>
      <c r="CG611"/>
      <c r="CH611"/>
      <c r="CI611"/>
      <c r="CJ611"/>
      <c r="CK611"/>
      <c r="CL611"/>
      <c r="CM611"/>
      <c r="CN611"/>
      <c r="CO611"/>
      <c r="CP611"/>
      <c r="CQ611"/>
      <c r="CR611"/>
      <c r="CS611"/>
    </row>
    <row r="612" spans="2:97">
      <c r="B612"/>
      <c r="C612" s="15"/>
      <c r="D612" s="23"/>
      <c r="E612" s="23"/>
      <c r="F612" s="23"/>
      <c r="G612" s="23">
        <f t="shared" si="38"/>
        <v>0</v>
      </c>
      <c r="H612" s="23" t="e" cm="1">
        <f t="array" ref="H612">INDEX('GLOBAL LOG'!#REF!,ROW()-169+15)</f>
        <v>#REF!</v>
      </c>
      <c r="I612" s="23" t="e">
        <f>_xlfn.XLOOKUP(H612,#REF!,#REF!,"",0,1)</f>
        <v>#REF!</v>
      </c>
      <c r="J612" s="23" t="str">
        <f>IFERROR(I612*#REF!,"")</f>
        <v/>
      </c>
      <c r="K612" s="23" t="e" cm="1">
        <f t="array" ref="K612">INDEX('GLOBAL LOG'!#REF!,ROW()-169+15)</f>
        <v>#REF!</v>
      </c>
      <c r="L612" s="23" t="e">
        <f>_xlfn.XLOOKUP(K612,#REF!,#REF!,"",0,1)</f>
        <v>#REF!</v>
      </c>
      <c r="M612" s="23" t="str">
        <f>IFERROR(L612*#REF!,"")</f>
        <v/>
      </c>
      <c r="N612" s="23">
        <f t="shared" si="39"/>
        <v>-1</v>
      </c>
      <c r="O612" s="23">
        <f t="shared" si="40"/>
        <v>-1</v>
      </c>
      <c r="P612" s="23">
        <f t="shared" si="41"/>
        <v>-1</v>
      </c>
      <c r="Q612" s="24">
        <f t="shared" si="42"/>
        <v>-1</v>
      </c>
      <c r="R612" s="3"/>
      <c r="S612" s="1">
        <v>0</v>
      </c>
      <c r="T612" s="24">
        <v>-1</v>
      </c>
      <c r="U612"/>
      <c r="V612" s="1">
        <v>0</v>
      </c>
      <c r="W612" s="24">
        <v>-1</v>
      </c>
      <c r="X612"/>
      <c r="Y612" s="1">
        <v>0</v>
      </c>
      <c r="Z612" s="24">
        <v>-1</v>
      </c>
      <c r="AA612"/>
      <c r="AB612" s="1">
        <v>0</v>
      </c>
      <c r="AC612" s="24">
        <v>-1</v>
      </c>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c r="CC612"/>
      <c r="CD612"/>
      <c r="CE612"/>
      <c r="CF612"/>
      <c r="CG612"/>
      <c r="CH612"/>
      <c r="CI612"/>
      <c r="CJ612"/>
      <c r="CK612"/>
      <c r="CL612"/>
      <c r="CM612"/>
      <c r="CN612"/>
      <c r="CO612"/>
      <c r="CP612"/>
      <c r="CQ612"/>
      <c r="CR612"/>
      <c r="CS612"/>
    </row>
    <row r="613" spans="2:97">
      <c r="B613"/>
      <c r="C613" s="15"/>
      <c r="D613" s="23"/>
      <c r="E613" s="23"/>
      <c r="F613" s="23"/>
      <c r="G613" s="23">
        <f t="shared" si="38"/>
        <v>0</v>
      </c>
      <c r="H613" s="23" t="e" cm="1">
        <f t="array" ref="H613">INDEX('GLOBAL LOG'!#REF!,ROW()-169+15)</f>
        <v>#REF!</v>
      </c>
      <c r="I613" s="23" t="e">
        <f>_xlfn.XLOOKUP(H613,#REF!,#REF!,"",0,1)</f>
        <v>#REF!</v>
      </c>
      <c r="J613" s="23" t="str">
        <f>IFERROR(I613*#REF!,"")</f>
        <v/>
      </c>
      <c r="K613" s="23" t="e" cm="1">
        <f t="array" ref="K613">INDEX('GLOBAL LOG'!#REF!,ROW()-169+15)</f>
        <v>#REF!</v>
      </c>
      <c r="L613" s="23" t="e">
        <f>_xlfn.XLOOKUP(K613,#REF!,#REF!,"",0,1)</f>
        <v>#REF!</v>
      </c>
      <c r="M613" s="23" t="str">
        <f>IFERROR(L613*#REF!,"")</f>
        <v/>
      </c>
      <c r="N613" s="23">
        <f t="shared" si="39"/>
        <v>-1</v>
      </c>
      <c r="O613" s="23">
        <f t="shared" si="40"/>
        <v>-1</v>
      </c>
      <c r="P613" s="23">
        <f t="shared" si="41"/>
        <v>-1</v>
      </c>
      <c r="Q613" s="24">
        <f t="shared" si="42"/>
        <v>-1</v>
      </c>
      <c r="R613" s="3"/>
      <c r="S613" s="1">
        <v>0</v>
      </c>
      <c r="T613" s="24">
        <v>-1</v>
      </c>
      <c r="U613"/>
      <c r="V613" s="1">
        <v>0</v>
      </c>
      <c r="W613" s="24">
        <v>-1</v>
      </c>
      <c r="X613"/>
      <c r="Y613" s="1">
        <v>0</v>
      </c>
      <c r="Z613" s="24">
        <v>-1</v>
      </c>
      <c r="AA613"/>
      <c r="AB613" s="1">
        <v>0</v>
      </c>
      <c r="AC613" s="24">
        <v>-1</v>
      </c>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c r="CC613"/>
      <c r="CD613"/>
      <c r="CE613"/>
      <c r="CF613"/>
      <c r="CG613"/>
      <c r="CH613"/>
      <c r="CI613"/>
      <c r="CJ613"/>
      <c r="CK613"/>
      <c r="CL613"/>
      <c r="CM613"/>
      <c r="CN613"/>
      <c r="CO613"/>
      <c r="CP613"/>
      <c r="CQ613"/>
      <c r="CR613"/>
      <c r="CS613"/>
    </row>
    <row r="614" spans="2:97">
      <c r="B614"/>
      <c r="C614" s="15"/>
      <c r="D614" s="23"/>
      <c r="E614" s="23"/>
      <c r="F614" s="23"/>
      <c r="G614" s="23">
        <f t="shared" si="38"/>
        <v>0</v>
      </c>
      <c r="H614" s="23" t="e" cm="1">
        <f t="array" ref="H614">INDEX('GLOBAL LOG'!#REF!,ROW()-169+15)</f>
        <v>#REF!</v>
      </c>
      <c r="I614" s="23" t="e">
        <f>_xlfn.XLOOKUP(H614,#REF!,#REF!,"",0,1)</f>
        <v>#REF!</v>
      </c>
      <c r="J614" s="23" t="str">
        <f>IFERROR(I614*#REF!,"")</f>
        <v/>
      </c>
      <c r="K614" s="23" t="e" cm="1">
        <f t="array" ref="K614">INDEX('GLOBAL LOG'!#REF!,ROW()-169+15)</f>
        <v>#REF!</v>
      </c>
      <c r="L614" s="23" t="e">
        <f>_xlfn.XLOOKUP(K614,#REF!,#REF!,"",0,1)</f>
        <v>#REF!</v>
      </c>
      <c r="M614" s="23" t="str">
        <f>IFERROR(L614*#REF!,"")</f>
        <v/>
      </c>
      <c r="N614" s="23">
        <f t="shared" si="39"/>
        <v>-1</v>
      </c>
      <c r="O614" s="23">
        <f t="shared" si="40"/>
        <v>-1</v>
      </c>
      <c r="P614" s="23">
        <f t="shared" si="41"/>
        <v>-1</v>
      </c>
      <c r="Q614" s="24">
        <f t="shared" si="42"/>
        <v>-1</v>
      </c>
      <c r="R614" s="3"/>
      <c r="S614" s="1">
        <v>0</v>
      </c>
      <c r="T614" s="24">
        <v>-1</v>
      </c>
      <c r="U614"/>
      <c r="V614" s="1">
        <v>0</v>
      </c>
      <c r="W614" s="24">
        <v>-1</v>
      </c>
      <c r="X614"/>
      <c r="Y614" s="1">
        <v>0</v>
      </c>
      <c r="Z614" s="24">
        <v>-1</v>
      </c>
      <c r="AA614"/>
      <c r="AB614" s="1">
        <v>0</v>
      </c>
      <c r="AC614" s="24">
        <v>-1</v>
      </c>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c r="CC614"/>
      <c r="CD614"/>
      <c r="CE614"/>
      <c r="CF614"/>
      <c r="CG614"/>
      <c r="CH614"/>
      <c r="CI614"/>
      <c r="CJ614"/>
      <c r="CK614"/>
      <c r="CL614"/>
      <c r="CM614"/>
      <c r="CN614"/>
      <c r="CO614"/>
      <c r="CP614"/>
      <c r="CQ614"/>
      <c r="CR614"/>
      <c r="CS614"/>
    </row>
    <row r="615" spans="2:97">
      <c r="B615"/>
      <c r="C615" s="15"/>
      <c r="D615" s="23"/>
      <c r="E615" s="23"/>
      <c r="F615" s="23"/>
      <c r="G615" s="23">
        <f t="shared" si="38"/>
        <v>0</v>
      </c>
      <c r="H615" s="23" t="e" cm="1">
        <f t="array" ref="H615">INDEX('GLOBAL LOG'!#REF!,ROW()-169+15)</f>
        <v>#REF!</v>
      </c>
      <c r="I615" s="23" t="e">
        <f>_xlfn.XLOOKUP(H615,#REF!,#REF!,"",0,1)</f>
        <v>#REF!</v>
      </c>
      <c r="J615" s="23" t="str">
        <f>IFERROR(I615*#REF!,"")</f>
        <v/>
      </c>
      <c r="K615" s="23" t="e" cm="1">
        <f t="array" ref="K615">INDEX('GLOBAL LOG'!#REF!,ROW()-169+15)</f>
        <v>#REF!</v>
      </c>
      <c r="L615" s="23" t="e">
        <f>_xlfn.XLOOKUP(K615,#REF!,#REF!,"",0,1)</f>
        <v>#REF!</v>
      </c>
      <c r="M615" s="23" t="str">
        <f>IFERROR(L615*#REF!,"")</f>
        <v/>
      </c>
      <c r="N615" s="23">
        <f t="shared" si="39"/>
        <v>-1</v>
      </c>
      <c r="O615" s="23">
        <f t="shared" si="40"/>
        <v>-1</v>
      </c>
      <c r="P615" s="23">
        <f t="shared" si="41"/>
        <v>-1</v>
      </c>
      <c r="Q615" s="24">
        <f t="shared" si="42"/>
        <v>-1</v>
      </c>
      <c r="R615" s="3"/>
      <c r="S615" s="1">
        <v>0</v>
      </c>
      <c r="T615" s="24">
        <v>-1</v>
      </c>
      <c r="U615"/>
      <c r="V615" s="1">
        <v>0</v>
      </c>
      <c r="W615" s="24">
        <v>-1</v>
      </c>
      <c r="X615"/>
      <c r="Y615" s="1">
        <v>0</v>
      </c>
      <c r="Z615" s="24">
        <v>-1</v>
      </c>
      <c r="AA615"/>
      <c r="AB615" s="1">
        <v>0</v>
      </c>
      <c r="AC615" s="24">
        <v>-1</v>
      </c>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c r="CC615"/>
      <c r="CD615"/>
      <c r="CE615"/>
      <c r="CF615"/>
      <c r="CG615"/>
      <c r="CH615"/>
      <c r="CI615"/>
      <c r="CJ615"/>
      <c r="CK615"/>
      <c r="CL615"/>
      <c r="CM615"/>
      <c r="CN615"/>
      <c r="CO615"/>
      <c r="CP615"/>
      <c r="CQ615"/>
      <c r="CR615"/>
      <c r="CS615"/>
    </row>
    <row r="616" spans="2:97">
      <c r="B616"/>
      <c r="C616" s="15"/>
      <c r="D616" s="23"/>
      <c r="E616" s="23"/>
      <c r="F616" s="23"/>
      <c r="G616" s="23">
        <f t="shared" si="38"/>
        <v>0</v>
      </c>
      <c r="H616" s="23" t="e" cm="1">
        <f t="array" ref="H616">INDEX('GLOBAL LOG'!#REF!,ROW()-169+15)</f>
        <v>#REF!</v>
      </c>
      <c r="I616" s="23" t="e">
        <f>_xlfn.XLOOKUP(H616,#REF!,#REF!,"",0,1)</f>
        <v>#REF!</v>
      </c>
      <c r="J616" s="23" t="str">
        <f>IFERROR(I616*#REF!,"")</f>
        <v/>
      </c>
      <c r="K616" s="23" t="e" cm="1">
        <f t="array" ref="K616">INDEX('GLOBAL LOG'!#REF!,ROW()-169+15)</f>
        <v>#REF!</v>
      </c>
      <c r="L616" s="23" t="e">
        <f>_xlfn.XLOOKUP(K616,#REF!,#REF!,"",0,1)</f>
        <v>#REF!</v>
      </c>
      <c r="M616" s="23" t="str">
        <f>IFERROR(L616*#REF!,"")</f>
        <v/>
      </c>
      <c r="N616" s="23">
        <f t="shared" si="39"/>
        <v>-1</v>
      </c>
      <c r="O616" s="23">
        <f t="shared" si="40"/>
        <v>-1</v>
      </c>
      <c r="P616" s="23">
        <f t="shared" si="41"/>
        <v>-1</v>
      </c>
      <c r="Q616" s="24">
        <f t="shared" si="42"/>
        <v>-1</v>
      </c>
      <c r="R616" s="3"/>
      <c r="S616" s="1">
        <v>0</v>
      </c>
      <c r="T616" s="24">
        <v>-1</v>
      </c>
      <c r="U616"/>
      <c r="V616" s="1">
        <v>0</v>
      </c>
      <c r="W616" s="24">
        <v>-1</v>
      </c>
      <c r="X616"/>
      <c r="Y616" s="1">
        <v>0</v>
      </c>
      <c r="Z616" s="24">
        <v>-1</v>
      </c>
      <c r="AA616"/>
      <c r="AB616" s="1">
        <v>0</v>
      </c>
      <c r="AC616" s="24">
        <v>-1</v>
      </c>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c r="CC616"/>
      <c r="CD616"/>
      <c r="CE616"/>
      <c r="CF616"/>
      <c r="CG616"/>
      <c r="CH616"/>
      <c r="CI616"/>
      <c r="CJ616"/>
      <c r="CK616"/>
      <c r="CL616"/>
      <c r="CM616"/>
      <c r="CN616"/>
      <c r="CO616"/>
      <c r="CP616"/>
      <c r="CQ616"/>
      <c r="CR616"/>
      <c r="CS616"/>
    </row>
    <row r="617" spans="2:97">
      <c r="B617"/>
      <c r="C617" s="15"/>
      <c r="D617" s="23"/>
      <c r="E617" s="23"/>
      <c r="F617" s="23"/>
      <c r="G617" s="23">
        <f t="shared" si="38"/>
        <v>0</v>
      </c>
      <c r="H617" s="23" t="e" cm="1">
        <f t="array" ref="H617">INDEX('GLOBAL LOG'!#REF!,ROW()-169+15)</f>
        <v>#REF!</v>
      </c>
      <c r="I617" s="23" t="e">
        <f>_xlfn.XLOOKUP(H617,#REF!,#REF!,"",0,1)</f>
        <v>#REF!</v>
      </c>
      <c r="J617" s="23" t="str">
        <f>IFERROR(I617*#REF!,"")</f>
        <v/>
      </c>
      <c r="K617" s="23" t="e" cm="1">
        <f t="array" ref="K617">INDEX('GLOBAL LOG'!#REF!,ROW()-169+15)</f>
        <v>#REF!</v>
      </c>
      <c r="L617" s="23" t="e">
        <f>_xlfn.XLOOKUP(K617,#REF!,#REF!,"",0,1)</f>
        <v>#REF!</v>
      </c>
      <c r="M617" s="23" t="str">
        <f>IFERROR(L617*#REF!,"")</f>
        <v/>
      </c>
      <c r="N617" s="23">
        <f t="shared" si="39"/>
        <v>-1</v>
      </c>
      <c r="O617" s="23">
        <f t="shared" si="40"/>
        <v>-1</v>
      </c>
      <c r="P617" s="23">
        <f t="shared" si="41"/>
        <v>-1</v>
      </c>
      <c r="Q617" s="24">
        <f t="shared" si="42"/>
        <v>-1</v>
      </c>
      <c r="R617" s="3"/>
      <c r="S617" s="1">
        <v>0</v>
      </c>
      <c r="T617" s="24">
        <v>-1</v>
      </c>
      <c r="U617"/>
      <c r="V617" s="1">
        <v>0</v>
      </c>
      <c r="W617" s="24">
        <v>-1</v>
      </c>
      <c r="X617"/>
      <c r="Y617" s="1">
        <v>0</v>
      </c>
      <c r="Z617" s="24">
        <v>-1</v>
      </c>
      <c r="AA617"/>
      <c r="AB617" s="1">
        <v>0</v>
      </c>
      <c r="AC617" s="24">
        <v>-1</v>
      </c>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c r="CC617"/>
      <c r="CD617"/>
      <c r="CE617"/>
      <c r="CF617"/>
      <c r="CG617"/>
      <c r="CH617"/>
      <c r="CI617"/>
      <c r="CJ617"/>
      <c r="CK617"/>
      <c r="CL617"/>
      <c r="CM617"/>
      <c r="CN617"/>
      <c r="CO617"/>
      <c r="CP617"/>
      <c r="CQ617"/>
      <c r="CR617"/>
      <c r="CS617"/>
    </row>
    <row r="618" spans="2:97">
      <c r="B618"/>
      <c r="C618" s="15"/>
      <c r="D618" s="23"/>
      <c r="E618" s="23"/>
      <c r="F618" s="23"/>
      <c r="G618" s="23">
        <f t="shared" ref="G618:G681" si="43">E618+F618</f>
        <v>0</v>
      </c>
      <c r="H618" s="23" t="e" cm="1">
        <f t="array" ref="H618">INDEX('GLOBAL LOG'!#REF!,ROW()-169+15)</f>
        <v>#REF!</v>
      </c>
      <c r="I618" s="23" t="e">
        <f>_xlfn.XLOOKUP(H618,#REF!,#REF!,"",0,1)</f>
        <v>#REF!</v>
      </c>
      <c r="J618" s="23" t="str">
        <f>IFERROR(I618*#REF!,"")</f>
        <v/>
      </c>
      <c r="K618" s="23" t="e" cm="1">
        <f t="array" ref="K618">INDEX('GLOBAL LOG'!#REF!,ROW()-169+15)</f>
        <v>#REF!</v>
      </c>
      <c r="L618" s="23" t="e">
        <f>_xlfn.XLOOKUP(K618,#REF!,#REF!,"",0,1)</f>
        <v>#REF!</v>
      </c>
      <c r="M618" s="23" t="str">
        <f>IFERROR(L618*#REF!,"")</f>
        <v/>
      </c>
      <c r="N618" s="23">
        <f t="shared" ref="N618:N681" si="44">IFERROR(D618*J618*M618,-1)</f>
        <v>-1</v>
      </c>
      <c r="O618" s="23">
        <f t="shared" ref="O618:O681" si="45">IFERROR(E618*J618*M618,-1)</f>
        <v>-1</v>
      </c>
      <c r="P618" s="23">
        <f t="shared" ref="P618:P681" si="46">IFERROR(F618*J618*M618,-1)</f>
        <v>-1</v>
      </c>
      <c r="Q618" s="24">
        <f t="shared" ref="Q618:Q681" si="47">IFERROR(G618*J618*M618,-1)</f>
        <v>-1</v>
      </c>
      <c r="R618" s="3"/>
      <c r="S618" s="1">
        <v>0</v>
      </c>
      <c r="T618" s="24">
        <v>-1</v>
      </c>
      <c r="U618"/>
      <c r="V618" s="1">
        <v>0</v>
      </c>
      <c r="W618" s="24">
        <v>-1</v>
      </c>
      <c r="X618"/>
      <c r="Y618" s="1">
        <v>0</v>
      </c>
      <c r="Z618" s="24">
        <v>-1</v>
      </c>
      <c r="AA618"/>
      <c r="AB618" s="1">
        <v>0</v>
      </c>
      <c r="AC618" s="24">
        <v>-1</v>
      </c>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c r="CC618"/>
      <c r="CD618"/>
      <c r="CE618"/>
      <c r="CF618"/>
      <c r="CG618"/>
      <c r="CH618"/>
      <c r="CI618"/>
      <c r="CJ618"/>
      <c r="CK618"/>
      <c r="CL618"/>
      <c r="CM618"/>
      <c r="CN618"/>
      <c r="CO618"/>
      <c r="CP618"/>
      <c r="CQ618"/>
      <c r="CR618"/>
      <c r="CS618"/>
    </row>
    <row r="619" spans="2:97">
      <c r="B619"/>
      <c r="C619" s="15"/>
      <c r="D619" s="23"/>
      <c r="E619" s="23"/>
      <c r="F619" s="23"/>
      <c r="G619" s="23">
        <f t="shared" si="43"/>
        <v>0</v>
      </c>
      <c r="H619" s="23" t="e" cm="1">
        <f t="array" ref="H619">INDEX('GLOBAL LOG'!#REF!,ROW()-169+15)</f>
        <v>#REF!</v>
      </c>
      <c r="I619" s="23" t="e">
        <f>_xlfn.XLOOKUP(H619,#REF!,#REF!,"",0,1)</f>
        <v>#REF!</v>
      </c>
      <c r="J619" s="23" t="str">
        <f>IFERROR(I619*#REF!,"")</f>
        <v/>
      </c>
      <c r="K619" s="23" t="e" cm="1">
        <f t="array" ref="K619">INDEX('GLOBAL LOG'!#REF!,ROW()-169+15)</f>
        <v>#REF!</v>
      </c>
      <c r="L619" s="23" t="e">
        <f>_xlfn.XLOOKUP(K619,#REF!,#REF!,"",0,1)</f>
        <v>#REF!</v>
      </c>
      <c r="M619" s="23" t="str">
        <f>IFERROR(L619*#REF!,"")</f>
        <v/>
      </c>
      <c r="N619" s="23">
        <f t="shared" si="44"/>
        <v>-1</v>
      </c>
      <c r="O619" s="23">
        <f t="shared" si="45"/>
        <v>-1</v>
      </c>
      <c r="P619" s="23">
        <f t="shared" si="46"/>
        <v>-1</v>
      </c>
      <c r="Q619" s="24">
        <f t="shared" si="47"/>
        <v>-1</v>
      </c>
      <c r="R619" s="3"/>
      <c r="S619" s="1">
        <v>0</v>
      </c>
      <c r="T619" s="24">
        <v>-1</v>
      </c>
      <c r="U619"/>
      <c r="V619" s="1">
        <v>0</v>
      </c>
      <c r="W619" s="24">
        <v>-1</v>
      </c>
      <c r="X619"/>
      <c r="Y619" s="1">
        <v>0</v>
      </c>
      <c r="Z619" s="24">
        <v>-1</v>
      </c>
      <c r="AA619"/>
      <c r="AB619" s="1">
        <v>0</v>
      </c>
      <c r="AC619" s="24">
        <v>-1</v>
      </c>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c r="CC619"/>
      <c r="CD619"/>
      <c r="CE619"/>
      <c r="CF619"/>
      <c r="CG619"/>
      <c r="CH619"/>
      <c r="CI619"/>
      <c r="CJ619"/>
      <c r="CK619"/>
      <c r="CL619"/>
      <c r="CM619"/>
      <c r="CN619"/>
      <c r="CO619"/>
      <c r="CP619"/>
      <c r="CQ619"/>
      <c r="CR619"/>
      <c r="CS619"/>
    </row>
    <row r="620" spans="2:97">
      <c r="B620"/>
      <c r="C620" s="15"/>
      <c r="D620" s="23"/>
      <c r="E620" s="23"/>
      <c r="F620" s="23"/>
      <c r="G620" s="23">
        <f t="shared" si="43"/>
        <v>0</v>
      </c>
      <c r="H620" s="23" t="e" cm="1">
        <f t="array" ref="H620">INDEX('GLOBAL LOG'!#REF!,ROW()-169+15)</f>
        <v>#REF!</v>
      </c>
      <c r="I620" s="23" t="e">
        <f>_xlfn.XLOOKUP(H620,#REF!,#REF!,"",0,1)</f>
        <v>#REF!</v>
      </c>
      <c r="J620" s="23" t="str">
        <f>IFERROR(I620*#REF!,"")</f>
        <v/>
      </c>
      <c r="K620" s="23" t="e" cm="1">
        <f t="array" ref="K620">INDEX('GLOBAL LOG'!#REF!,ROW()-169+15)</f>
        <v>#REF!</v>
      </c>
      <c r="L620" s="23" t="e">
        <f>_xlfn.XLOOKUP(K620,#REF!,#REF!,"",0,1)</f>
        <v>#REF!</v>
      </c>
      <c r="M620" s="23" t="str">
        <f>IFERROR(L620*#REF!,"")</f>
        <v/>
      </c>
      <c r="N620" s="23">
        <f t="shared" si="44"/>
        <v>-1</v>
      </c>
      <c r="O620" s="23">
        <f t="shared" si="45"/>
        <v>-1</v>
      </c>
      <c r="P620" s="23">
        <f t="shared" si="46"/>
        <v>-1</v>
      </c>
      <c r="Q620" s="24">
        <f t="shared" si="47"/>
        <v>-1</v>
      </c>
      <c r="R620" s="3"/>
      <c r="S620" s="1">
        <v>0</v>
      </c>
      <c r="T620" s="24">
        <v>-1</v>
      </c>
      <c r="U620"/>
      <c r="V620" s="1">
        <v>0</v>
      </c>
      <c r="W620" s="24">
        <v>-1</v>
      </c>
      <c r="X620"/>
      <c r="Y620" s="1">
        <v>0</v>
      </c>
      <c r="Z620" s="24">
        <v>-1</v>
      </c>
      <c r="AA620"/>
      <c r="AB620" s="1">
        <v>0</v>
      </c>
      <c r="AC620" s="24">
        <v>-1</v>
      </c>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c r="CA620"/>
      <c r="CB620"/>
      <c r="CC620"/>
      <c r="CD620"/>
      <c r="CE620"/>
      <c r="CF620"/>
      <c r="CG620"/>
      <c r="CH620"/>
      <c r="CI620"/>
      <c r="CJ620"/>
      <c r="CK620"/>
      <c r="CL620"/>
      <c r="CM620"/>
      <c r="CN620"/>
      <c r="CO620"/>
      <c r="CP620"/>
      <c r="CQ620"/>
      <c r="CR620"/>
      <c r="CS620"/>
    </row>
    <row r="621" spans="2:97">
      <c r="B621"/>
      <c r="C621" s="15"/>
      <c r="D621" s="23"/>
      <c r="E621" s="23"/>
      <c r="F621" s="23"/>
      <c r="G621" s="23">
        <f t="shared" si="43"/>
        <v>0</v>
      </c>
      <c r="H621" s="23" t="e" cm="1">
        <f t="array" ref="H621">INDEX('GLOBAL LOG'!#REF!,ROW()-169+15)</f>
        <v>#REF!</v>
      </c>
      <c r="I621" s="23" t="e">
        <f>_xlfn.XLOOKUP(H621,#REF!,#REF!,"",0,1)</f>
        <v>#REF!</v>
      </c>
      <c r="J621" s="23" t="str">
        <f>IFERROR(I621*#REF!,"")</f>
        <v/>
      </c>
      <c r="K621" s="23" t="e" cm="1">
        <f t="array" ref="K621">INDEX('GLOBAL LOG'!#REF!,ROW()-169+15)</f>
        <v>#REF!</v>
      </c>
      <c r="L621" s="23" t="e">
        <f>_xlfn.XLOOKUP(K621,#REF!,#REF!,"",0,1)</f>
        <v>#REF!</v>
      </c>
      <c r="M621" s="23" t="str">
        <f>IFERROR(L621*#REF!,"")</f>
        <v/>
      </c>
      <c r="N621" s="23">
        <f t="shared" si="44"/>
        <v>-1</v>
      </c>
      <c r="O621" s="23">
        <f t="shared" si="45"/>
        <v>-1</v>
      </c>
      <c r="P621" s="23">
        <f t="shared" si="46"/>
        <v>-1</v>
      </c>
      <c r="Q621" s="24">
        <f t="shared" si="47"/>
        <v>-1</v>
      </c>
      <c r="R621" s="3"/>
      <c r="S621" s="1">
        <v>0</v>
      </c>
      <c r="T621" s="24">
        <v>-1</v>
      </c>
      <c r="U621"/>
      <c r="V621" s="1">
        <v>0</v>
      </c>
      <c r="W621" s="24">
        <v>-1</v>
      </c>
      <c r="X621"/>
      <c r="Y621" s="1">
        <v>0</v>
      </c>
      <c r="Z621" s="24">
        <v>-1</v>
      </c>
      <c r="AA621"/>
      <c r="AB621" s="1">
        <v>0</v>
      </c>
      <c r="AC621" s="24">
        <v>-1</v>
      </c>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c r="CC621"/>
      <c r="CD621"/>
      <c r="CE621"/>
      <c r="CF621"/>
      <c r="CG621"/>
      <c r="CH621"/>
      <c r="CI621"/>
      <c r="CJ621"/>
      <c r="CK621"/>
      <c r="CL621"/>
      <c r="CM621"/>
      <c r="CN621"/>
      <c r="CO621"/>
      <c r="CP621"/>
      <c r="CQ621"/>
      <c r="CR621"/>
      <c r="CS621"/>
    </row>
    <row r="622" spans="2:97">
      <c r="B622"/>
      <c r="C622" s="15"/>
      <c r="D622" s="23"/>
      <c r="E622" s="23"/>
      <c r="F622" s="23"/>
      <c r="G622" s="23">
        <f t="shared" si="43"/>
        <v>0</v>
      </c>
      <c r="H622" s="23" t="e" cm="1">
        <f t="array" ref="H622">INDEX('GLOBAL LOG'!#REF!,ROW()-169+15)</f>
        <v>#REF!</v>
      </c>
      <c r="I622" s="23" t="e">
        <f>_xlfn.XLOOKUP(H622,#REF!,#REF!,"",0,1)</f>
        <v>#REF!</v>
      </c>
      <c r="J622" s="23" t="str">
        <f>IFERROR(I622*#REF!,"")</f>
        <v/>
      </c>
      <c r="K622" s="23" t="e" cm="1">
        <f t="array" ref="K622">INDEX('GLOBAL LOG'!#REF!,ROW()-169+15)</f>
        <v>#REF!</v>
      </c>
      <c r="L622" s="23" t="e">
        <f>_xlfn.XLOOKUP(K622,#REF!,#REF!,"",0,1)</f>
        <v>#REF!</v>
      </c>
      <c r="M622" s="23" t="str">
        <f>IFERROR(L622*#REF!,"")</f>
        <v/>
      </c>
      <c r="N622" s="23">
        <f t="shared" si="44"/>
        <v>-1</v>
      </c>
      <c r="O622" s="23">
        <f t="shared" si="45"/>
        <v>-1</v>
      </c>
      <c r="P622" s="23">
        <f t="shared" si="46"/>
        <v>-1</v>
      </c>
      <c r="Q622" s="24">
        <f t="shared" si="47"/>
        <v>-1</v>
      </c>
      <c r="R622" s="3"/>
      <c r="S622" s="1">
        <v>0</v>
      </c>
      <c r="T622" s="24">
        <v>-1</v>
      </c>
      <c r="U622"/>
      <c r="V622" s="1">
        <v>0</v>
      </c>
      <c r="W622" s="24">
        <v>-1</v>
      </c>
      <c r="X622"/>
      <c r="Y622" s="1">
        <v>0</v>
      </c>
      <c r="Z622" s="24">
        <v>-1</v>
      </c>
      <c r="AA622"/>
      <c r="AB622" s="1">
        <v>0</v>
      </c>
      <c r="AC622" s="24">
        <v>-1</v>
      </c>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c r="CC622"/>
      <c r="CD622"/>
      <c r="CE622"/>
      <c r="CF622"/>
      <c r="CG622"/>
      <c r="CH622"/>
      <c r="CI622"/>
      <c r="CJ622"/>
      <c r="CK622"/>
      <c r="CL622"/>
      <c r="CM622"/>
      <c r="CN622"/>
      <c r="CO622"/>
      <c r="CP622"/>
      <c r="CQ622"/>
      <c r="CR622"/>
      <c r="CS622"/>
    </row>
    <row r="623" spans="2:97">
      <c r="B623"/>
      <c r="C623" s="15"/>
      <c r="D623" s="23"/>
      <c r="E623" s="23"/>
      <c r="F623" s="23"/>
      <c r="G623" s="23">
        <f t="shared" si="43"/>
        <v>0</v>
      </c>
      <c r="H623" s="23" t="e" cm="1">
        <f t="array" ref="H623">INDEX('GLOBAL LOG'!#REF!,ROW()-169+15)</f>
        <v>#REF!</v>
      </c>
      <c r="I623" s="23" t="e">
        <f>_xlfn.XLOOKUP(H623,#REF!,#REF!,"",0,1)</f>
        <v>#REF!</v>
      </c>
      <c r="J623" s="23" t="str">
        <f>IFERROR(I623*#REF!,"")</f>
        <v/>
      </c>
      <c r="K623" s="23" t="e" cm="1">
        <f t="array" ref="K623">INDEX('GLOBAL LOG'!#REF!,ROW()-169+15)</f>
        <v>#REF!</v>
      </c>
      <c r="L623" s="23" t="e">
        <f>_xlfn.XLOOKUP(K623,#REF!,#REF!,"",0,1)</f>
        <v>#REF!</v>
      </c>
      <c r="M623" s="23" t="str">
        <f>IFERROR(L623*#REF!,"")</f>
        <v/>
      </c>
      <c r="N623" s="23">
        <f t="shared" si="44"/>
        <v>-1</v>
      </c>
      <c r="O623" s="23">
        <f t="shared" si="45"/>
        <v>-1</v>
      </c>
      <c r="P623" s="23">
        <f t="shared" si="46"/>
        <v>-1</v>
      </c>
      <c r="Q623" s="24">
        <f t="shared" si="47"/>
        <v>-1</v>
      </c>
      <c r="R623" s="3"/>
      <c r="S623" s="1">
        <v>0</v>
      </c>
      <c r="T623" s="24">
        <v>-1</v>
      </c>
      <c r="U623"/>
      <c r="V623" s="1">
        <v>0</v>
      </c>
      <c r="W623" s="24">
        <v>-1</v>
      </c>
      <c r="X623"/>
      <c r="Y623" s="1">
        <v>0</v>
      </c>
      <c r="Z623" s="24">
        <v>-1</v>
      </c>
      <c r="AA623"/>
      <c r="AB623" s="1">
        <v>0</v>
      </c>
      <c r="AC623" s="24">
        <v>-1</v>
      </c>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c r="CA623"/>
      <c r="CB623"/>
      <c r="CC623"/>
      <c r="CD623"/>
      <c r="CE623"/>
      <c r="CF623"/>
      <c r="CG623"/>
      <c r="CH623"/>
      <c r="CI623"/>
      <c r="CJ623"/>
      <c r="CK623"/>
      <c r="CL623"/>
      <c r="CM623"/>
      <c r="CN623"/>
      <c r="CO623"/>
      <c r="CP623"/>
      <c r="CQ623"/>
      <c r="CR623"/>
      <c r="CS623"/>
    </row>
    <row r="624" spans="2:97">
      <c r="B624"/>
      <c r="C624" s="15"/>
      <c r="D624" s="23"/>
      <c r="E624" s="23"/>
      <c r="F624" s="23"/>
      <c r="G624" s="23">
        <f t="shared" si="43"/>
        <v>0</v>
      </c>
      <c r="H624" s="23" t="e" cm="1">
        <f t="array" ref="H624">INDEX('GLOBAL LOG'!#REF!,ROW()-169+15)</f>
        <v>#REF!</v>
      </c>
      <c r="I624" s="23" t="e">
        <f>_xlfn.XLOOKUP(H624,#REF!,#REF!,"",0,1)</f>
        <v>#REF!</v>
      </c>
      <c r="J624" s="23" t="str">
        <f>IFERROR(I624*#REF!,"")</f>
        <v/>
      </c>
      <c r="K624" s="23" t="e" cm="1">
        <f t="array" ref="K624">INDEX('GLOBAL LOG'!#REF!,ROW()-169+15)</f>
        <v>#REF!</v>
      </c>
      <c r="L624" s="23" t="e">
        <f>_xlfn.XLOOKUP(K624,#REF!,#REF!,"",0,1)</f>
        <v>#REF!</v>
      </c>
      <c r="M624" s="23" t="str">
        <f>IFERROR(L624*#REF!,"")</f>
        <v/>
      </c>
      <c r="N624" s="23">
        <f t="shared" si="44"/>
        <v>-1</v>
      </c>
      <c r="O624" s="23">
        <f t="shared" si="45"/>
        <v>-1</v>
      </c>
      <c r="P624" s="23">
        <f t="shared" si="46"/>
        <v>-1</v>
      </c>
      <c r="Q624" s="24">
        <f t="shared" si="47"/>
        <v>-1</v>
      </c>
      <c r="R624" s="3"/>
      <c r="S624" s="1">
        <v>0</v>
      </c>
      <c r="T624" s="24">
        <v>-1</v>
      </c>
      <c r="U624"/>
      <c r="V624" s="1">
        <v>0</v>
      </c>
      <c r="W624" s="24">
        <v>-1</v>
      </c>
      <c r="X624"/>
      <c r="Y624" s="1">
        <v>0</v>
      </c>
      <c r="Z624" s="24">
        <v>-1</v>
      </c>
      <c r="AA624"/>
      <c r="AB624" s="1">
        <v>0</v>
      </c>
      <c r="AC624" s="24">
        <v>-1</v>
      </c>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c r="CA624"/>
      <c r="CB624"/>
      <c r="CC624"/>
      <c r="CD624"/>
      <c r="CE624"/>
      <c r="CF624"/>
      <c r="CG624"/>
      <c r="CH624"/>
      <c r="CI624"/>
      <c r="CJ624"/>
      <c r="CK624"/>
      <c r="CL624"/>
      <c r="CM624"/>
      <c r="CN624"/>
      <c r="CO624"/>
      <c r="CP624"/>
      <c r="CQ624"/>
      <c r="CR624"/>
      <c r="CS624"/>
    </row>
    <row r="625" spans="2:97">
      <c r="B625"/>
      <c r="C625" s="15"/>
      <c r="D625" s="23"/>
      <c r="E625" s="23"/>
      <c r="F625" s="23"/>
      <c r="G625" s="23">
        <f t="shared" si="43"/>
        <v>0</v>
      </c>
      <c r="H625" s="23" t="e" cm="1">
        <f t="array" ref="H625">INDEX('GLOBAL LOG'!#REF!,ROW()-169+15)</f>
        <v>#REF!</v>
      </c>
      <c r="I625" s="23" t="e">
        <f>_xlfn.XLOOKUP(H625,#REF!,#REF!,"",0,1)</f>
        <v>#REF!</v>
      </c>
      <c r="J625" s="23" t="str">
        <f>IFERROR(I625*#REF!,"")</f>
        <v/>
      </c>
      <c r="K625" s="23" t="e" cm="1">
        <f t="array" ref="K625">INDEX('GLOBAL LOG'!#REF!,ROW()-169+15)</f>
        <v>#REF!</v>
      </c>
      <c r="L625" s="23" t="e">
        <f>_xlfn.XLOOKUP(K625,#REF!,#REF!,"",0,1)</f>
        <v>#REF!</v>
      </c>
      <c r="M625" s="23" t="str">
        <f>IFERROR(L625*#REF!,"")</f>
        <v/>
      </c>
      <c r="N625" s="23">
        <f t="shared" si="44"/>
        <v>-1</v>
      </c>
      <c r="O625" s="23">
        <f t="shared" si="45"/>
        <v>-1</v>
      </c>
      <c r="P625" s="23">
        <f t="shared" si="46"/>
        <v>-1</v>
      </c>
      <c r="Q625" s="24">
        <f t="shared" si="47"/>
        <v>-1</v>
      </c>
      <c r="R625" s="3"/>
      <c r="S625" s="1">
        <v>0</v>
      </c>
      <c r="T625" s="24">
        <v>-1</v>
      </c>
      <c r="U625"/>
      <c r="V625" s="1">
        <v>0</v>
      </c>
      <c r="W625" s="24">
        <v>-1</v>
      </c>
      <c r="X625"/>
      <c r="Y625" s="1">
        <v>0</v>
      </c>
      <c r="Z625" s="24">
        <v>-1</v>
      </c>
      <c r="AA625"/>
      <c r="AB625" s="1">
        <v>0</v>
      </c>
      <c r="AC625" s="24">
        <v>-1</v>
      </c>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c r="CA625"/>
      <c r="CB625"/>
      <c r="CC625"/>
      <c r="CD625"/>
      <c r="CE625"/>
      <c r="CF625"/>
      <c r="CG625"/>
      <c r="CH625"/>
      <c r="CI625"/>
      <c r="CJ625"/>
      <c r="CK625"/>
      <c r="CL625"/>
      <c r="CM625"/>
      <c r="CN625"/>
      <c r="CO625"/>
      <c r="CP625"/>
      <c r="CQ625"/>
      <c r="CR625"/>
      <c r="CS625"/>
    </row>
    <row r="626" spans="2:97">
      <c r="B626"/>
      <c r="C626" s="15"/>
      <c r="D626" s="23"/>
      <c r="E626" s="23"/>
      <c r="F626" s="23"/>
      <c r="G626" s="23">
        <f t="shared" si="43"/>
        <v>0</v>
      </c>
      <c r="H626" s="23" t="e" cm="1">
        <f t="array" ref="H626">INDEX('GLOBAL LOG'!#REF!,ROW()-169+15)</f>
        <v>#REF!</v>
      </c>
      <c r="I626" s="23" t="e">
        <f>_xlfn.XLOOKUP(H626,#REF!,#REF!,"",0,1)</f>
        <v>#REF!</v>
      </c>
      <c r="J626" s="23" t="str">
        <f>IFERROR(I626*#REF!,"")</f>
        <v/>
      </c>
      <c r="K626" s="23" t="e" cm="1">
        <f t="array" ref="K626">INDEX('GLOBAL LOG'!#REF!,ROW()-169+15)</f>
        <v>#REF!</v>
      </c>
      <c r="L626" s="23" t="e">
        <f>_xlfn.XLOOKUP(K626,#REF!,#REF!,"",0,1)</f>
        <v>#REF!</v>
      </c>
      <c r="M626" s="23" t="str">
        <f>IFERROR(L626*#REF!,"")</f>
        <v/>
      </c>
      <c r="N626" s="23">
        <f t="shared" si="44"/>
        <v>-1</v>
      </c>
      <c r="O626" s="23">
        <f t="shared" si="45"/>
        <v>-1</v>
      </c>
      <c r="P626" s="23">
        <f t="shared" si="46"/>
        <v>-1</v>
      </c>
      <c r="Q626" s="24">
        <f t="shared" si="47"/>
        <v>-1</v>
      </c>
      <c r="R626" s="3"/>
      <c r="S626" s="1">
        <v>0</v>
      </c>
      <c r="T626" s="24">
        <v>-1</v>
      </c>
      <c r="U626"/>
      <c r="V626" s="1">
        <v>0</v>
      </c>
      <c r="W626" s="24">
        <v>-1</v>
      </c>
      <c r="X626"/>
      <c r="Y626" s="1">
        <v>0</v>
      </c>
      <c r="Z626" s="24">
        <v>-1</v>
      </c>
      <c r="AA626"/>
      <c r="AB626" s="1">
        <v>0</v>
      </c>
      <c r="AC626" s="24">
        <v>-1</v>
      </c>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c r="CC626"/>
      <c r="CD626"/>
      <c r="CE626"/>
      <c r="CF626"/>
      <c r="CG626"/>
      <c r="CH626"/>
      <c r="CI626"/>
      <c r="CJ626"/>
      <c r="CK626"/>
      <c r="CL626"/>
      <c r="CM626"/>
      <c r="CN626"/>
      <c r="CO626"/>
      <c r="CP626"/>
      <c r="CQ626"/>
      <c r="CR626"/>
      <c r="CS626"/>
    </row>
    <row r="627" spans="2:97">
      <c r="B627"/>
      <c r="C627" s="15"/>
      <c r="D627" s="23"/>
      <c r="E627" s="23"/>
      <c r="F627" s="23"/>
      <c r="G627" s="23">
        <f t="shared" si="43"/>
        <v>0</v>
      </c>
      <c r="H627" s="23" t="e" cm="1">
        <f t="array" ref="H627">INDEX('GLOBAL LOG'!#REF!,ROW()-169+15)</f>
        <v>#REF!</v>
      </c>
      <c r="I627" s="23" t="e">
        <f>_xlfn.XLOOKUP(H627,#REF!,#REF!,"",0,1)</f>
        <v>#REF!</v>
      </c>
      <c r="J627" s="23" t="str">
        <f>IFERROR(I627*#REF!,"")</f>
        <v/>
      </c>
      <c r="K627" s="23" t="e" cm="1">
        <f t="array" ref="K627">INDEX('GLOBAL LOG'!#REF!,ROW()-169+15)</f>
        <v>#REF!</v>
      </c>
      <c r="L627" s="23" t="e">
        <f>_xlfn.XLOOKUP(K627,#REF!,#REF!,"",0,1)</f>
        <v>#REF!</v>
      </c>
      <c r="M627" s="23" t="str">
        <f>IFERROR(L627*#REF!,"")</f>
        <v/>
      </c>
      <c r="N627" s="23">
        <f t="shared" si="44"/>
        <v>-1</v>
      </c>
      <c r="O627" s="23">
        <f t="shared" si="45"/>
        <v>-1</v>
      </c>
      <c r="P627" s="23">
        <f t="shared" si="46"/>
        <v>-1</v>
      </c>
      <c r="Q627" s="24">
        <f t="shared" si="47"/>
        <v>-1</v>
      </c>
      <c r="R627" s="3"/>
      <c r="S627" s="1">
        <v>0</v>
      </c>
      <c r="T627" s="24">
        <v>-1</v>
      </c>
      <c r="U627"/>
      <c r="V627" s="1">
        <v>0</v>
      </c>
      <c r="W627" s="24">
        <v>-1</v>
      </c>
      <c r="X627"/>
      <c r="Y627" s="1">
        <v>0</v>
      </c>
      <c r="Z627" s="24">
        <v>-1</v>
      </c>
      <c r="AA627"/>
      <c r="AB627" s="1">
        <v>0</v>
      </c>
      <c r="AC627" s="24">
        <v>-1</v>
      </c>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c r="CC627"/>
      <c r="CD627"/>
      <c r="CE627"/>
      <c r="CF627"/>
      <c r="CG627"/>
      <c r="CH627"/>
      <c r="CI627"/>
      <c r="CJ627"/>
      <c r="CK627"/>
      <c r="CL627"/>
      <c r="CM627"/>
      <c r="CN627"/>
      <c r="CO627"/>
      <c r="CP627"/>
      <c r="CQ627"/>
      <c r="CR627"/>
      <c r="CS627"/>
    </row>
    <row r="628" spans="2:97">
      <c r="B628"/>
      <c r="C628" s="15"/>
      <c r="D628" s="23"/>
      <c r="E628" s="23"/>
      <c r="F628" s="23"/>
      <c r="G628" s="23">
        <f t="shared" si="43"/>
        <v>0</v>
      </c>
      <c r="H628" s="23" t="e" cm="1">
        <f t="array" ref="H628">INDEX('GLOBAL LOG'!#REF!,ROW()-169+15)</f>
        <v>#REF!</v>
      </c>
      <c r="I628" s="23" t="e">
        <f>_xlfn.XLOOKUP(H628,#REF!,#REF!,"",0,1)</f>
        <v>#REF!</v>
      </c>
      <c r="J628" s="23" t="str">
        <f>IFERROR(I628*#REF!,"")</f>
        <v/>
      </c>
      <c r="K628" s="23" t="e" cm="1">
        <f t="array" ref="K628">INDEX('GLOBAL LOG'!#REF!,ROW()-169+15)</f>
        <v>#REF!</v>
      </c>
      <c r="L628" s="23" t="e">
        <f>_xlfn.XLOOKUP(K628,#REF!,#REF!,"",0,1)</f>
        <v>#REF!</v>
      </c>
      <c r="M628" s="23" t="str">
        <f>IFERROR(L628*#REF!,"")</f>
        <v/>
      </c>
      <c r="N628" s="23">
        <f t="shared" si="44"/>
        <v>-1</v>
      </c>
      <c r="O628" s="23">
        <f t="shared" si="45"/>
        <v>-1</v>
      </c>
      <c r="P628" s="23">
        <f t="shared" si="46"/>
        <v>-1</v>
      </c>
      <c r="Q628" s="24">
        <f t="shared" si="47"/>
        <v>-1</v>
      </c>
      <c r="R628" s="3"/>
      <c r="S628" s="1">
        <v>0</v>
      </c>
      <c r="T628" s="24">
        <v>-1</v>
      </c>
      <c r="U628"/>
      <c r="V628" s="1">
        <v>0</v>
      </c>
      <c r="W628" s="24">
        <v>-1</v>
      </c>
      <c r="X628"/>
      <c r="Y628" s="1">
        <v>0</v>
      </c>
      <c r="Z628" s="24">
        <v>-1</v>
      </c>
      <c r="AA628"/>
      <c r="AB628" s="1">
        <v>0</v>
      </c>
      <c r="AC628" s="24">
        <v>-1</v>
      </c>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c r="CC628"/>
      <c r="CD628"/>
      <c r="CE628"/>
      <c r="CF628"/>
      <c r="CG628"/>
      <c r="CH628"/>
      <c r="CI628"/>
      <c r="CJ628"/>
      <c r="CK628"/>
      <c r="CL628"/>
      <c r="CM628"/>
      <c r="CN628"/>
      <c r="CO628"/>
      <c r="CP628"/>
      <c r="CQ628"/>
      <c r="CR628"/>
      <c r="CS628"/>
    </row>
    <row r="629" spans="2:97">
      <c r="B629"/>
      <c r="C629" s="15"/>
      <c r="D629" s="23"/>
      <c r="E629" s="23"/>
      <c r="F629" s="23"/>
      <c r="G629" s="23">
        <f t="shared" si="43"/>
        <v>0</v>
      </c>
      <c r="H629" s="23" t="e" cm="1">
        <f t="array" ref="H629">INDEX('GLOBAL LOG'!#REF!,ROW()-169+15)</f>
        <v>#REF!</v>
      </c>
      <c r="I629" s="23" t="e">
        <f>_xlfn.XLOOKUP(H629,#REF!,#REF!,"",0,1)</f>
        <v>#REF!</v>
      </c>
      <c r="J629" s="23" t="str">
        <f>IFERROR(I629*#REF!,"")</f>
        <v/>
      </c>
      <c r="K629" s="23" t="e" cm="1">
        <f t="array" ref="K629">INDEX('GLOBAL LOG'!#REF!,ROW()-169+15)</f>
        <v>#REF!</v>
      </c>
      <c r="L629" s="23" t="e">
        <f>_xlfn.XLOOKUP(K629,#REF!,#REF!,"",0,1)</f>
        <v>#REF!</v>
      </c>
      <c r="M629" s="23" t="str">
        <f>IFERROR(L629*#REF!,"")</f>
        <v/>
      </c>
      <c r="N629" s="23">
        <f t="shared" si="44"/>
        <v>-1</v>
      </c>
      <c r="O629" s="23">
        <f t="shared" si="45"/>
        <v>-1</v>
      </c>
      <c r="P629" s="23">
        <f t="shared" si="46"/>
        <v>-1</v>
      </c>
      <c r="Q629" s="24">
        <f t="shared" si="47"/>
        <v>-1</v>
      </c>
      <c r="R629" s="3"/>
      <c r="S629" s="1">
        <v>0</v>
      </c>
      <c r="T629" s="24">
        <v>-1</v>
      </c>
      <c r="U629"/>
      <c r="V629" s="1">
        <v>0</v>
      </c>
      <c r="W629" s="24">
        <v>-1</v>
      </c>
      <c r="X629"/>
      <c r="Y629" s="1">
        <v>0</v>
      </c>
      <c r="Z629" s="24">
        <v>-1</v>
      </c>
      <c r="AA629"/>
      <c r="AB629" s="1">
        <v>0</v>
      </c>
      <c r="AC629" s="24">
        <v>-1</v>
      </c>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c r="CA629"/>
      <c r="CB629"/>
      <c r="CC629"/>
      <c r="CD629"/>
      <c r="CE629"/>
      <c r="CF629"/>
      <c r="CG629"/>
      <c r="CH629"/>
      <c r="CI629"/>
      <c r="CJ629"/>
      <c r="CK629"/>
      <c r="CL629"/>
      <c r="CM629"/>
      <c r="CN629"/>
      <c r="CO629"/>
      <c r="CP629"/>
      <c r="CQ629"/>
      <c r="CR629"/>
      <c r="CS629"/>
    </row>
    <row r="630" spans="2:97">
      <c r="B630"/>
      <c r="C630" s="15"/>
      <c r="D630" s="23"/>
      <c r="E630" s="23"/>
      <c r="F630" s="23"/>
      <c r="G630" s="23">
        <f t="shared" si="43"/>
        <v>0</v>
      </c>
      <c r="H630" s="23" t="e" cm="1">
        <f t="array" ref="H630">INDEX('GLOBAL LOG'!#REF!,ROW()-169+15)</f>
        <v>#REF!</v>
      </c>
      <c r="I630" s="23" t="e">
        <f>_xlfn.XLOOKUP(H630,#REF!,#REF!,"",0,1)</f>
        <v>#REF!</v>
      </c>
      <c r="J630" s="23" t="str">
        <f>IFERROR(I630*#REF!,"")</f>
        <v/>
      </c>
      <c r="K630" s="23" t="e" cm="1">
        <f t="array" ref="K630">INDEX('GLOBAL LOG'!#REF!,ROW()-169+15)</f>
        <v>#REF!</v>
      </c>
      <c r="L630" s="23" t="e">
        <f>_xlfn.XLOOKUP(K630,#REF!,#REF!,"",0,1)</f>
        <v>#REF!</v>
      </c>
      <c r="M630" s="23" t="str">
        <f>IFERROR(L630*#REF!,"")</f>
        <v/>
      </c>
      <c r="N630" s="23">
        <f t="shared" si="44"/>
        <v>-1</v>
      </c>
      <c r="O630" s="23">
        <f t="shared" si="45"/>
        <v>-1</v>
      </c>
      <c r="P630" s="23">
        <f t="shared" si="46"/>
        <v>-1</v>
      </c>
      <c r="Q630" s="24">
        <f t="shared" si="47"/>
        <v>-1</v>
      </c>
      <c r="R630" s="3"/>
      <c r="S630" s="1">
        <v>0</v>
      </c>
      <c r="T630" s="24">
        <v>-1</v>
      </c>
      <c r="U630"/>
      <c r="V630" s="1">
        <v>0</v>
      </c>
      <c r="W630" s="24">
        <v>-1</v>
      </c>
      <c r="X630"/>
      <c r="Y630" s="1">
        <v>0</v>
      </c>
      <c r="Z630" s="24">
        <v>-1</v>
      </c>
      <c r="AA630"/>
      <c r="AB630" s="1">
        <v>0</v>
      </c>
      <c r="AC630" s="24">
        <v>-1</v>
      </c>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c r="CC630"/>
      <c r="CD630"/>
      <c r="CE630"/>
      <c r="CF630"/>
      <c r="CG630"/>
      <c r="CH630"/>
      <c r="CI630"/>
      <c r="CJ630"/>
      <c r="CK630"/>
      <c r="CL630"/>
      <c r="CM630"/>
      <c r="CN630"/>
      <c r="CO630"/>
      <c r="CP630"/>
      <c r="CQ630"/>
      <c r="CR630"/>
      <c r="CS630"/>
    </row>
    <row r="631" spans="2:97">
      <c r="B631"/>
      <c r="C631" s="15"/>
      <c r="D631" s="23"/>
      <c r="E631" s="23"/>
      <c r="F631" s="23"/>
      <c r="G631" s="23">
        <f t="shared" si="43"/>
        <v>0</v>
      </c>
      <c r="H631" s="23" t="e" cm="1">
        <f t="array" ref="H631">INDEX('GLOBAL LOG'!#REF!,ROW()-169+15)</f>
        <v>#REF!</v>
      </c>
      <c r="I631" s="23" t="e">
        <f>_xlfn.XLOOKUP(H631,#REF!,#REF!,"",0,1)</f>
        <v>#REF!</v>
      </c>
      <c r="J631" s="23" t="str">
        <f>IFERROR(I631*#REF!,"")</f>
        <v/>
      </c>
      <c r="K631" s="23" t="e" cm="1">
        <f t="array" ref="K631">INDEX('GLOBAL LOG'!#REF!,ROW()-169+15)</f>
        <v>#REF!</v>
      </c>
      <c r="L631" s="23" t="e">
        <f>_xlfn.XLOOKUP(K631,#REF!,#REF!,"",0,1)</f>
        <v>#REF!</v>
      </c>
      <c r="M631" s="23" t="str">
        <f>IFERROR(L631*#REF!,"")</f>
        <v/>
      </c>
      <c r="N631" s="23">
        <f t="shared" si="44"/>
        <v>-1</v>
      </c>
      <c r="O631" s="23">
        <f t="shared" si="45"/>
        <v>-1</v>
      </c>
      <c r="P631" s="23">
        <f t="shared" si="46"/>
        <v>-1</v>
      </c>
      <c r="Q631" s="24">
        <f t="shared" si="47"/>
        <v>-1</v>
      </c>
      <c r="R631" s="3"/>
      <c r="S631" s="1">
        <v>0</v>
      </c>
      <c r="T631" s="24">
        <v>-1</v>
      </c>
      <c r="U631"/>
      <c r="V631" s="1">
        <v>0</v>
      </c>
      <c r="W631" s="24">
        <v>-1</v>
      </c>
      <c r="X631"/>
      <c r="Y631" s="1">
        <v>0</v>
      </c>
      <c r="Z631" s="24">
        <v>-1</v>
      </c>
      <c r="AA631"/>
      <c r="AB631" s="1">
        <v>0</v>
      </c>
      <c r="AC631" s="24">
        <v>-1</v>
      </c>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c r="CC631"/>
      <c r="CD631"/>
      <c r="CE631"/>
      <c r="CF631"/>
      <c r="CG631"/>
      <c r="CH631"/>
      <c r="CI631"/>
      <c r="CJ631"/>
      <c r="CK631"/>
      <c r="CL631"/>
      <c r="CM631"/>
      <c r="CN631"/>
      <c r="CO631"/>
      <c r="CP631"/>
      <c r="CQ631"/>
      <c r="CR631"/>
      <c r="CS631"/>
    </row>
    <row r="632" spans="2:97">
      <c r="B632"/>
      <c r="C632" s="15"/>
      <c r="D632" s="23"/>
      <c r="E632" s="23"/>
      <c r="F632" s="23"/>
      <c r="G632" s="23">
        <f t="shared" si="43"/>
        <v>0</v>
      </c>
      <c r="H632" s="23" t="e" cm="1">
        <f t="array" ref="H632">INDEX('GLOBAL LOG'!#REF!,ROW()-169+15)</f>
        <v>#REF!</v>
      </c>
      <c r="I632" s="23" t="e">
        <f>_xlfn.XLOOKUP(H632,#REF!,#REF!,"",0,1)</f>
        <v>#REF!</v>
      </c>
      <c r="J632" s="23" t="str">
        <f>IFERROR(I632*#REF!,"")</f>
        <v/>
      </c>
      <c r="K632" s="23" t="e" cm="1">
        <f t="array" ref="K632">INDEX('GLOBAL LOG'!#REF!,ROW()-169+15)</f>
        <v>#REF!</v>
      </c>
      <c r="L632" s="23" t="e">
        <f>_xlfn.XLOOKUP(K632,#REF!,#REF!,"",0,1)</f>
        <v>#REF!</v>
      </c>
      <c r="M632" s="23" t="str">
        <f>IFERROR(L632*#REF!,"")</f>
        <v/>
      </c>
      <c r="N632" s="23">
        <f t="shared" si="44"/>
        <v>-1</v>
      </c>
      <c r="O632" s="23">
        <f t="shared" si="45"/>
        <v>-1</v>
      </c>
      <c r="P632" s="23">
        <f t="shared" si="46"/>
        <v>-1</v>
      </c>
      <c r="Q632" s="24">
        <f t="shared" si="47"/>
        <v>-1</v>
      </c>
      <c r="R632" s="3"/>
      <c r="S632" s="1">
        <v>0</v>
      </c>
      <c r="T632" s="24">
        <v>-1</v>
      </c>
      <c r="U632"/>
      <c r="V632" s="1">
        <v>0</v>
      </c>
      <c r="W632" s="24">
        <v>-1</v>
      </c>
      <c r="X632"/>
      <c r="Y632" s="1">
        <v>0</v>
      </c>
      <c r="Z632" s="24">
        <v>-1</v>
      </c>
      <c r="AA632"/>
      <c r="AB632" s="1">
        <v>0</v>
      </c>
      <c r="AC632" s="24">
        <v>-1</v>
      </c>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c r="CC632"/>
      <c r="CD632"/>
      <c r="CE632"/>
      <c r="CF632"/>
      <c r="CG632"/>
      <c r="CH632"/>
      <c r="CI632"/>
      <c r="CJ632"/>
      <c r="CK632"/>
      <c r="CL632"/>
      <c r="CM632"/>
      <c r="CN632"/>
      <c r="CO632"/>
      <c r="CP632"/>
      <c r="CQ632"/>
      <c r="CR632"/>
      <c r="CS632"/>
    </row>
    <row r="633" spans="2:97">
      <c r="B633"/>
      <c r="C633" s="15"/>
      <c r="D633" s="23"/>
      <c r="E633" s="23"/>
      <c r="F633" s="23"/>
      <c r="G633" s="23">
        <f t="shared" si="43"/>
        <v>0</v>
      </c>
      <c r="H633" s="23" t="e" cm="1">
        <f t="array" ref="H633">INDEX('GLOBAL LOG'!#REF!,ROW()-169+15)</f>
        <v>#REF!</v>
      </c>
      <c r="I633" s="23" t="e">
        <f>_xlfn.XLOOKUP(H633,#REF!,#REF!,"",0,1)</f>
        <v>#REF!</v>
      </c>
      <c r="J633" s="23" t="str">
        <f>IFERROR(I633*#REF!,"")</f>
        <v/>
      </c>
      <c r="K633" s="23" t="e" cm="1">
        <f t="array" ref="K633">INDEX('GLOBAL LOG'!#REF!,ROW()-169+15)</f>
        <v>#REF!</v>
      </c>
      <c r="L633" s="23" t="e">
        <f>_xlfn.XLOOKUP(K633,#REF!,#REF!,"",0,1)</f>
        <v>#REF!</v>
      </c>
      <c r="M633" s="23" t="str">
        <f>IFERROR(L633*#REF!,"")</f>
        <v/>
      </c>
      <c r="N633" s="23">
        <f t="shared" si="44"/>
        <v>-1</v>
      </c>
      <c r="O633" s="23">
        <f t="shared" si="45"/>
        <v>-1</v>
      </c>
      <c r="P633" s="23">
        <f t="shared" si="46"/>
        <v>-1</v>
      </c>
      <c r="Q633" s="24">
        <f t="shared" si="47"/>
        <v>-1</v>
      </c>
      <c r="R633" s="3"/>
      <c r="S633" s="1">
        <v>0</v>
      </c>
      <c r="T633" s="24">
        <v>-1</v>
      </c>
      <c r="U633"/>
      <c r="V633" s="1">
        <v>0</v>
      </c>
      <c r="W633" s="24">
        <v>-1</v>
      </c>
      <c r="X633"/>
      <c r="Y633" s="1">
        <v>0</v>
      </c>
      <c r="Z633" s="24">
        <v>-1</v>
      </c>
      <c r="AA633"/>
      <c r="AB633" s="1">
        <v>0</v>
      </c>
      <c r="AC633" s="24">
        <v>-1</v>
      </c>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c r="CC633"/>
      <c r="CD633"/>
      <c r="CE633"/>
      <c r="CF633"/>
      <c r="CG633"/>
      <c r="CH633"/>
      <c r="CI633"/>
      <c r="CJ633"/>
      <c r="CK633"/>
      <c r="CL633"/>
      <c r="CM633"/>
      <c r="CN633"/>
      <c r="CO633"/>
      <c r="CP633"/>
      <c r="CQ633"/>
      <c r="CR633"/>
      <c r="CS633"/>
    </row>
    <row r="634" spans="2:97">
      <c r="B634"/>
      <c r="C634" s="15"/>
      <c r="D634" s="23"/>
      <c r="E634" s="23"/>
      <c r="F634" s="23"/>
      <c r="G634" s="23">
        <f t="shared" si="43"/>
        <v>0</v>
      </c>
      <c r="H634" s="23" t="e" cm="1">
        <f t="array" ref="H634">INDEX('GLOBAL LOG'!#REF!,ROW()-169+15)</f>
        <v>#REF!</v>
      </c>
      <c r="I634" s="23" t="e">
        <f>_xlfn.XLOOKUP(H634,#REF!,#REF!,"",0,1)</f>
        <v>#REF!</v>
      </c>
      <c r="J634" s="23" t="str">
        <f>IFERROR(I634*#REF!,"")</f>
        <v/>
      </c>
      <c r="K634" s="23" t="e" cm="1">
        <f t="array" ref="K634">INDEX('GLOBAL LOG'!#REF!,ROW()-169+15)</f>
        <v>#REF!</v>
      </c>
      <c r="L634" s="23" t="e">
        <f>_xlfn.XLOOKUP(K634,#REF!,#REF!,"",0,1)</f>
        <v>#REF!</v>
      </c>
      <c r="M634" s="23" t="str">
        <f>IFERROR(L634*#REF!,"")</f>
        <v/>
      </c>
      <c r="N634" s="23">
        <f t="shared" si="44"/>
        <v>-1</v>
      </c>
      <c r="O634" s="23">
        <f t="shared" si="45"/>
        <v>-1</v>
      </c>
      <c r="P634" s="23">
        <f t="shared" si="46"/>
        <v>-1</v>
      </c>
      <c r="Q634" s="24">
        <f t="shared" si="47"/>
        <v>-1</v>
      </c>
      <c r="R634" s="3"/>
      <c r="S634" s="1">
        <v>0</v>
      </c>
      <c r="T634" s="24">
        <v>-1</v>
      </c>
      <c r="U634"/>
      <c r="V634" s="1">
        <v>0</v>
      </c>
      <c r="W634" s="24">
        <v>-1</v>
      </c>
      <c r="X634"/>
      <c r="Y634" s="1">
        <v>0</v>
      </c>
      <c r="Z634" s="24">
        <v>-1</v>
      </c>
      <c r="AA634"/>
      <c r="AB634" s="1">
        <v>0</v>
      </c>
      <c r="AC634" s="24">
        <v>-1</v>
      </c>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c r="CC634"/>
      <c r="CD634"/>
      <c r="CE634"/>
      <c r="CF634"/>
      <c r="CG634"/>
      <c r="CH634"/>
      <c r="CI634"/>
      <c r="CJ634"/>
      <c r="CK634"/>
      <c r="CL634"/>
      <c r="CM634"/>
      <c r="CN634"/>
      <c r="CO634"/>
      <c r="CP634"/>
      <c r="CQ634"/>
      <c r="CR634"/>
      <c r="CS634"/>
    </row>
    <row r="635" spans="2:97">
      <c r="B635"/>
      <c r="C635" s="15"/>
      <c r="D635" s="23"/>
      <c r="E635" s="23"/>
      <c r="F635" s="23"/>
      <c r="G635" s="23">
        <f t="shared" si="43"/>
        <v>0</v>
      </c>
      <c r="H635" s="23" t="e" cm="1">
        <f t="array" ref="H635">INDEX('GLOBAL LOG'!#REF!,ROW()-169+15)</f>
        <v>#REF!</v>
      </c>
      <c r="I635" s="23" t="e">
        <f>_xlfn.XLOOKUP(H635,#REF!,#REF!,"",0,1)</f>
        <v>#REF!</v>
      </c>
      <c r="J635" s="23" t="str">
        <f>IFERROR(I635*#REF!,"")</f>
        <v/>
      </c>
      <c r="K635" s="23" t="e" cm="1">
        <f t="array" ref="K635">INDEX('GLOBAL LOG'!#REF!,ROW()-169+15)</f>
        <v>#REF!</v>
      </c>
      <c r="L635" s="23" t="e">
        <f>_xlfn.XLOOKUP(K635,#REF!,#REF!,"",0,1)</f>
        <v>#REF!</v>
      </c>
      <c r="M635" s="23" t="str">
        <f>IFERROR(L635*#REF!,"")</f>
        <v/>
      </c>
      <c r="N635" s="23">
        <f t="shared" si="44"/>
        <v>-1</v>
      </c>
      <c r="O635" s="23">
        <f t="shared" si="45"/>
        <v>-1</v>
      </c>
      <c r="P635" s="23">
        <f t="shared" si="46"/>
        <v>-1</v>
      </c>
      <c r="Q635" s="24">
        <f t="shared" si="47"/>
        <v>-1</v>
      </c>
      <c r="R635" s="3"/>
      <c r="S635" s="1">
        <v>0</v>
      </c>
      <c r="T635" s="24">
        <v>-1</v>
      </c>
      <c r="U635"/>
      <c r="V635" s="1">
        <v>0</v>
      </c>
      <c r="W635" s="24">
        <v>-1</v>
      </c>
      <c r="X635"/>
      <c r="Y635" s="1">
        <v>0</v>
      </c>
      <c r="Z635" s="24">
        <v>-1</v>
      </c>
      <c r="AA635"/>
      <c r="AB635" s="1">
        <v>0</v>
      </c>
      <c r="AC635" s="24">
        <v>-1</v>
      </c>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c r="CC635"/>
      <c r="CD635"/>
      <c r="CE635"/>
      <c r="CF635"/>
      <c r="CG635"/>
      <c r="CH635"/>
      <c r="CI635"/>
      <c r="CJ635"/>
      <c r="CK635"/>
      <c r="CL635"/>
      <c r="CM635"/>
      <c r="CN635"/>
      <c r="CO635"/>
      <c r="CP635"/>
      <c r="CQ635"/>
      <c r="CR635"/>
      <c r="CS635"/>
    </row>
    <row r="636" spans="2:97">
      <c r="B636"/>
      <c r="C636" s="15"/>
      <c r="D636" s="23"/>
      <c r="E636" s="23"/>
      <c r="F636" s="23"/>
      <c r="G636" s="23">
        <f t="shared" si="43"/>
        <v>0</v>
      </c>
      <c r="H636" s="23" t="e" cm="1">
        <f t="array" ref="H636">INDEX('GLOBAL LOG'!#REF!,ROW()-169+15)</f>
        <v>#REF!</v>
      </c>
      <c r="I636" s="23" t="e">
        <f>_xlfn.XLOOKUP(H636,#REF!,#REF!,"",0,1)</f>
        <v>#REF!</v>
      </c>
      <c r="J636" s="23" t="str">
        <f>IFERROR(I636*#REF!,"")</f>
        <v/>
      </c>
      <c r="K636" s="23" t="e" cm="1">
        <f t="array" ref="K636">INDEX('GLOBAL LOG'!#REF!,ROW()-169+15)</f>
        <v>#REF!</v>
      </c>
      <c r="L636" s="23" t="e">
        <f>_xlfn.XLOOKUP(K636,#REF!,#REF!,"",0,1)</f>
        <v>#REF!</v>
      </c>
      <c r="M636" s="23" t="str">
        <f>IFERROR(L636*#REF!,"")</f>
        <v/>
      </c>
      <c r="N636" s="23">
        <f t="shared" si="44"/>
        <v>-1</v>
      </c>
      <c r="O636" s="23">
        <f t="shared" si="45"/>
        <v>-1</v>
      </c>
      <c r="P636" s="23">
        <f t="shared" si="46"/>
        <v>-1</v>
      </c>
      <c r="Q636" s="24">
        <f t="shared" si="47"/>
        <v>-1</v>
      </c>
      <c r="R636" s="3"/>
      <c r="S636" s="1">
        <v>0</v>
      </c>
      <c r="T636" s="24">
        <v>-1</v>
      </c>
      <c r="U636"/>
      <c r="V636" s="1">
        <v>0</v>
      </c>
      <c r="W636" s="24">
        <v>-1</v>
      </c>
      <c r="X636"/>
      <c r="Y636" s="1">
        <v>0</v>
      </c>
      <c r="Z636" s="24">
        <v>-1</v>
      </c>
      <c r="AA636"/>
      <c r="AB636" s="1">
        <v>0</v>
      </c>
      <c r="AC636" s="24">
        <v>-1</v>
      </c>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c r="CC636"/>
      <c r="CD636"/>
      <c r="CE636"/>
      <c r="CF636"/>
      <c r="CG636"/>
      <c r="CH636"/>
      <c r="CI636"/>
      <c r="CJ636"/>
      <c r="CK636"/>
      <c r="CL636"/>
      <c r="CM636"/>
      <c r="CN636"/>
      <c r="CO636"/>
      <c r="CP636"/>
      <c r="CQ636"/>
      <c r="CR636"/>
      <c r="CS636"/>
    </row>
    <row r="637" spans="2:97">
      <c r="B637"/>
      <c r="C637" s="15"/>
      <c r="D637" s="23"/>
      <c r="E637" s="23"/>
      <c r="F637" s="23"/>
      <c r="G637" s="23">
        <f t="shared" si="43"/>
        <v>0</v>
      </c>
      <c r="H637" s="23" t="e" cm="1">
        <f t="array" ref="H637">INDEX('GLOBAL LOG'!#REF!,ROW()-169+15)</f>
        <v>#REF!</v>
      </c>
      <c r="I637" s="23" t="e">
        <f>_xlfn.XLOOKUP(H637,#REF!,#REF!,"",0,1)</f>
        <v>#REF!</v>
      </c>
      <c r="J637" s="23" t="str">
        <f>IFERROR(I637*#REF!,"")</f>
        <v/>
      </c>
      <c r="K637" s="23" t="e" cm="1">
        <f t="array" ref="K637">INDEX('GLOBAL LOG'!#REF!,ROW()-169+15)</f>
        <v>#REF!</v>
      </c>
      <c r="L637" s="23" t="e">
        <f>_xlfn.XLOOKUP(K637,#REF!,#REF!,"",0,1)</f>
        <v>#REF!</v>
      </c>
      <c r="M637" s="23" t="str">
        <f>IFERROR(L637*#REF!,"")</f>
        <v/>
      </c>
      <c r="N637" s="23">
        <f t="shared" si="44"/>
        <v>-1</v>
      </c>
      <c r="O637" s="23">
        <f t="shared" si="45"/>
        <v>-1</v>
      </c>
      <c r="P637" s="23">
        <f t="shared" si="46"/>
        <v>-1</v>
      </c>
      <c r="Q637" s="24">
        <f t="shared" si="47"/>
        <v>-1</v>
      </c>
      <c r="R637" s="3"/>
      <c r="S637" s="1">
        <v>0</v>
      </c>
      <c r="T637" s="24">
        <v>-1</v>
      </c>
      <c r="U637"/>
      <c r="V637" s="1">
        <v>0</v>
      </c>
      <c r="W637" s="24">
        <v>-1</v>
      </c>
      <c r="X637"/>
      <c r="Y637" s="1">
        <v>0</v>
      </c>
      <c r="Z637" s="24">
        <v>-1</v>
      </c>
      <c r="AA637"/>
      <c r="AB637" s="1">
        <v>0</v>
      </c>
      <c r="AC637" s="24">
        <v>-1</v>
      </c>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c r="CC637"/>
      <c r="CD637"/>
      <c r="CE637"/>
      <c r="CF637"/>
      <c r="CG637"/>
      <c r="CH637"/>
      <c r="CI637"/>
      <c r="CJ637"/>
      <c r="CK637"/>
      <c r="CL637"/>
      <c r="CM637"/>
      <c r="CN637"/>
      <c r="CO637"/>
      <c r="CP637"/>
      <c r="CQ637"/>
      <c r="CR637"/>
      <c r="CS637"/>
    </row>
    <row r="638" spans="2:97">
      <c r="B638"/>
      <c r="C638" s="15"/>
      <c r="D638" s="23"/>
      <c r="E638" s="23"/>
      <c r="F638" s="23"/>
      <c r="G638" s="23">
        <f t="shared" si="43"/>
        <v>0</v>
      </c>
      <c r="H638" s="23" t="e" cm="1">
        <f t="array" ref="H638">INDEX('GLOBAL LOG'!#REF!,ROW()-169+15)</f>
        <v>#REF!</v>
      </c>
      <c r="I638" s="23" t="e">
        <f>_xlfn.XLOOKUP(H638,#REF!,#REF!,"",0,1)</f>
        <v>#REF!</v>
      </c>
      <c r="J638" s="23" t="str">
        <f>IFERROR(I638*#REF!,"")</f>
        <v/>
      </c>
      <c r="K638" s="23" t="e" cm="1">
        <f t="array" ref="K638">INDEX('GLOBAL LOG'!#REF!,ROW()-169+15)</f>
        <v>#REF!</v>
      </c>
      <c r="L638" s="23" t="e">
        <f>_xlfn.XLOOKUP(K638,#REF!,#REF!,"",0,1)</f>
        <v>#REF!</v>
      </c>
      <c r="M638" s="23" t="str">
        <f>IFERROR(L638*#REF!,"")</f>
        <v/>
      </c>
      <c r="N638" s="23">
        <f t="shared" si="44"/>
        <v>-1</v>
      </c>
      <c r="O638" s="23">
        <f t="shared" si="45"/>
        <v>-1</v>
      </c>
      <c r="P638" s="23">
        <f t="shared" si="46"/>
        <v>-1</v>
      </c>
      <c r="Q638" s="24">
        <f t="shared" si="47"/>
        <v>-1</v>
      </c>
      <c r="R638" s="3"/>
      <c r="S638" s="1">
        <v>0</v>
      </c>
      <c r="T638" s="24">
        <v>-1</v>
      </c>
      <c r="U638"/>
      <c r="V638" s="1">
        <v>0</v>
      </c>
      <c r="W638" s="24">
        <v>-1</v>
      </c>
      <c r="X638"/>
      <c r="Y638" s="1">
        <v>0</v>
      </c>
      <c r="Z638" s="24">
        <v>-1</v>
      </c>
      <c r="AA638"/>
      <c r="AB638" s="1">
        <v>0</v>
      </c>
      <c r="AC638" s="24">
        <v>-1</v>
      </c>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c r="CC638"/>
      <c r="CD638"/>
      <c r="CE638"/>
      <c r="CF638"/>
      <c r="CG638"/>
      <c r="CH638"/>
      <c r="CI638"/>
      <c r="CJ638"/>
      <c r="CK638"/>
      <c r="CL638"/>
      <c r="CM638"/>
      <c r="CN638"/>
      <c r="CO638"/>
      <c r="CP638"/>
      <c r="CQ638"/>
      <c r="CR638"/>
      <c r="CS638"/>
    </row>
    <row r="639" spans="2:97">
      <c r="B639"/>
      <c r="C639" s="15"/>
      <c r="D639" s="23"/>
      <c r="E639" s="23"/>
      <c r="F639" s="23"/>
      <c r="G639" s="23">
        <f t="shared" si="43"/>
        <v>0</v>
      </c>
      <c r="H639" s="23" t="e" cm="1">
        <f t="array" ref="H639">INDEX('GLOBAL LOG'!#REF!,ROW()-169+15)</f>
        <v>#REF!</v>
      </c>
      <c r="I639" s="23" t="e">
        <f>_xlfn.XLOOKUP(H639,#REF!,#REF!,"",0,1)</f>
        <v>#REF!</v>
      </c>
      <c r="J639" s="23" t="str">
        <f>IFERROR(I639*#REF!,"")</f>
        <v/>
      </c>
      <c r="K639" s="23" t="e" cm="1">
        <f t="array" ref="K639">INDEX('GLOBAL LOG'!#REF!,ROW()-169+15)</f>
        <v>#REF!</v>
      </c>
      <c r="L639" s="23" t="e">
        <f>_xlfn.XLOOKUP(K639,#REF!,#REF!,"",0,1)</f>
        <v>#REF!</v>
      </c>
      <c r="M639" s="23" t="str">
        <f>IFERROR(L639*#REF!,"")</f>
        <v/>
      </c>
      <c r="N639" s="23">
        <f t="shared" si="44"/>
        <v>-1</v>
      </c>
      <c r="O639" s="23">
        <f t="shared" si="45"/>
        <v>-1</v>
      </c>
      <c r="P639" s="23">
        <f t="shared" si="46"/>
        <v>-1</v>
      </c>
      <c r="Q639" s="24">
        <f t="shared" si="47"/>
        <v>-1</v>
      </c>
      <c r="R639" s="3"/>
      <c r="S639" s="1">
        <v>0</v>
      </c>
      <c r="T639" s="24">
        <v>-1</v>
      </c>
      <c r="U639"/>
      <c r="V639" s="1">
        <v>0</v>
      </c>
      <c r="W639" s="24">
        <v>-1</v>
      </c>
      <c r="X639"/>
      <c r="Y639" s="1">
        <v>0</v>
      </c>
      <c r="Z639" s="24">
        <v>-1</v>
      </c>
      <c r="AA639"/>
      <c r="AB639" s="1">
        <v>0</v>
      </c>
      <c r="AC639" s="24">
        <v>-1</v>
      </c>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c r="CC639"/>
      <c r="CD639"/>
      <c r="CE639"/>
      <c r="CF639"/>
      <c r="CG639"/>
      <c r="CH639"/>
      <c r="CI639"/>
      <c r="CJ639"/>
      <c r="CK639"/>
      <c r="CL639"/>
      <c r="CM639"/>
      <c r="CN639"/>
      <c r="CO639"/>
      <c r="CP639"/>
      <c r="CQ639"/>
      <c r="CR639"/>
      <c r="CS639"/>
    </row>
    <row r="640" spans="2:97">
      <c r="B640"/>
      <c r="C640" s="15"/>
      <c r="D640" s="23"/>
      <c r="E640" s="23"/>
      <c r="F640" s="23"/>
      <c r="G640" s="23">
        <f t="shared" si="43"/>
        <v>0</v>
      </c>
      <c r="H640" s="23" t="e" cm="1">
        <f t="array" ref="H640">INDEX('GLOBAL LOG'!#REF!,ROW()-169+15)</f>
        <v>#REF!</v>
      </c>
      <c r="I640" s="23" t="e">
        <f>_xlfn.XLOOKUP(H640,#REF!,#REF!,"",0,1)</f>
        <v>#REF!</v>
      </c>
      <c r="J640" s="23" t="str">
        <f>IFERROR(I640*#REF!,"")</f>
        <v/>
      </c>
      <c r="K640" s="23" t="e" cm="1">
        <f t="array" ref="K640">INDEX('GLOBAL LOG'!#REF!,ROW()-169+15)</f>
        <v>#REF!</v>
      </c>
      <c r="L640" s="23" t="e">
        <f>_xlfn.XLOOKUP(K640,#REF!,#REF!,"",0,1)</f>
        <v>#REF!</v>
      </c>
      <c r="M640" s="23" t="str">
        <f>IFERROR(L640*#REF!,"")</f>
        <v/>
      </c>
      <c r="N640" s="23">
        <f t="shared" si="44"/>
        <v>-1</v>
      </c>
      <c r="O640" s="23">
        <f t="shared" si="45"/>
        <v>-1</v>
      </c>
      <c r="P640" s="23">
        <f t="shared" si="46"/>
        <v>-1</v>
      </c>
      <c r="Q640" s="24">
        <f t="shared" si="47"/>
        <v>-1</v>
      </c>
      <c r="R640" s="3"/>
      <c r="S640" s="1">
        <v>0</v>
      </c>
      <c r="T640" s="24">
        <v>-1</v>
      </c>
      <c r="U640"/>
      <c r="V640" s="1">
        <v>0</v>
      </c>
      <c r="W640" s="24">
        <v>-1</v>
      </c>
      <c r="X640"/>
      <c r="Y640" s="1">
        <v>0</v>
      </c>
      <c r="Z640" s="24">
        <v>-1</v>
      </c>
      <c r="AA640"/>
      <c r="AB640" s="1">
        <v>0</v>
      </c>
      <c r="AC640" s="24">
        <v>-1</v>
      </c>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c r="CA640"/>
      <c r="CB640"/>
      <c r="CC640"/>
      <c r="CD640"/>
      <c r="CE640"/>
      <c r="CF640"/>
      <c r="CG640"/>
      <c r="CH640"/>
      <c r="CI640"/>
      <c r="CJ640"/>
      <c r="CK640"/>
      <c r="CL640"/>
      <c r="CM640"/>
      <c r="CN640"/>
      <c r="CO640"/>
      <c r="CP640"/>
      <c r="CQ640"/>
      <c r="CR640"/>
      <c r="CS640"/>
    </row>
    <row r="641" spans="2:97">
      <c r="B641"/>
      <c r="C641" s="15"/>
      <c r="D641" s="23"/>
      <c r="E641" s="23"/>
      <c r="F641" s="23"/>
      <c r="G641" s="23">
        <f t="shared" si="43"/>
        <v>0</v>
      </c>
      <c r="H641" s="23" t="e" cm="1">
        <f t="array" ref="H641">INDEX('GLOBAL LOG'!#REF!,ROW()-169+15)</f>
        <v>#REF!</v>
      </c>
      <c r="I641" s="23" t="e">
        <f>_xlfn.XLOOKUP(H641,#REF!,#REF!,"",0,1)</f>
        <v>#REF!</v>
      </c>
      <c r="J641" s="23" t="str">
        <f>IFERROR(I641*#REF!,"")</f>
        <v/>
      </c>
      <c r="K641" s="23" t="e" cm="1">
        <f t="array" ref="K641">INDEX('GLOBAL LOG'!#REF!,ROW()-169+15)</f>
        <v>#REF!</v>
      </c>
      <c r="L641" s="23" t="e">
        <f>_xlfn.XLOOKUP(K641,#REF!,#REF!,"",0,1)</f>
        <v>#REF!</v>
      </c>
      <c r="M641" s="23" t="str">
        <f>IFERROR(L641*#REF!,"")</f>
        <v/>
      </c>
      <c r="N641" s="23">
        <f t="shared" si="44"/>
        <v>-1</v>
      </c>
      <c r="O641" s="23">
        <f t="shared" si="45"/>
        <v>-1</v>
      </c>
      <c r="P641" s="23">
        <f t="shared" si="46"/>
        <v>-1</v>
      </c>
      <c r="Q641" s="24">
        <f t="shared" si="47"/>
        <v>-1</v>
      </c>
      <c r="R641" s="3"/>
      <c r="S641" s="1">
        <v>0</v>
      </c>
      <c r="T641" s="24">
        <v>-1</v>
      </c>
      <c r="U641"/>
      <c r="V641" s="1">
        <v>0</v>
      </c>
      <c r="W641" s="24">
        <v>-1</v>
      </c>
      <c r="X641"/>
      <c r="Y641" s="1">
        <v>0</v>
      </c>
      <c r="Z641" s="24">
        <v>-1</v>
      </c>
      <c r="AA641"/>
      <c r="AB641" s="1">
        <v>0</v>
      </c>
      <c r="AC641" s="24">
        <v>-1</v>
      </c>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c r="CC641"/>
      <c r="CD641"/>
      <c r="CE641"/>
      <c r="CF641"/>
      <c r="CG641"/>
      <c r="CH641"/>
      <c r="CI641"/>
      <c r="CJ641"/>
      <c r="CK641"/>
      <c r="CL641"/>
      <c r="CM641"/>
      <c r="CN641"/>
      <c r="CO641"/>
      <c r="CP641"/>
      <c r="CQ641"/>
      <c r="CR641"/>
      <c r="CS641"/>
    </row>
    <row r="642" spans="2:97">
      <c r="B642"/>
      <c r="C642" s="15"/>
      <c r="D642" s="23"/>
      <c r="E642" s="23"/>
      <c r="F642" s="23"/>
      <c r="G642" s="23">
        <f t="shared" si="43"/>
        <v>0</v>
      </c>
      <c r="H642" s="23" t="e" cm="1">
        <f t="array" ref="H642">INDEX('GLOBAL LOG'!#REF!,ROW()-169+15)</f>
        <v>#REF!</v>
      </c>
      <c r="I642" s="23" t="e">
        <f>_xlfn.XLOOKUP(H642,#REF!,#REF!,"",0,1)</f>
        <v>#REF!</v>
      </c>
      <c r="J642" s="23" t="str">
        <f>IFERROR(I642*#REF!,"")</f>
        <v/>
      </c>
      <c r="K642" s="23" t="e" cm="1">
        <f t="array" ref="K642">INDEX('GLOBAL LOG'!#REF!,ROW()-169+15)</f>
        <v>#REF!</v>
      </c>
      <c r="L642" s="23" t="e">
        <f>_xlfn.XLOOKUP(K642,#REF!,#REF!,"",0,1)</f>
        <v>#REF!</v>
      </c>
      <c r="M642" s="23" t="str">
        <f>IFERROR(L642*#REF!,"")</f>
        <v/>
      </c>
      <c r="N642" s="23">
        <f t="shared" si="44"/>
        <v>-1</v>
      </c>
      <c r="O642" s="23">
        <f t="shared" si="45"/>
        <v>-1</v>
      </c>
      <c r="P642" s="23">
        <f t="shared" si="46"/>
        <v>-1</v>
      </c>
      <c r="Q642" s="24">
        <f t="shared" si="47"/>
        <v>-1</v>
      </c>
      <c r="R642" s="3"/>
      <c r="S642" s="1">
        <v>0</v>
      </c>
      <c r="T642" s="24">
        <v>-1</v>
      </c>
      <c r="U642"/>
      <c r="V642" s="1">
        <v>0</v>
      </c>
      <c r="W642" s="24">
        <v>-1</v>
      </c>
      <c r="X642"/>
      <c r="Y642" s="1">
        <v>0</v>
      </c>
      <c r="Z642" s="24">
        <v>-1</v>
      </c>
      <c r="AA642"/>
      <c r="AB642" s="1">
        <v>0</v>
      </c>
      <c r="AC642" s="24">
        <v>-1</v>
      </c>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c r="CC642"/>
      <c r="CD642"/>
      <c r="CE642"/>
      <c r="CF642"/>
      <c r="CG642"/>
      <c r="CH642"/>
      <c r="CI642"/>
      <c r="CJ642"/>
      <c r="CK642"/>
      <c r="CL642"/>
      <c r="CM642"/>
      <c r="CN642"/>
      <c r="CO642"/>
      <c r="CP642"/>
      <c r="CQ642"/>
      <c r="CR642"/>
      <c r="CS642"/>
    </row>
    <row r="643" spans="2:97">
      <c r="B643"/>
      <c r="C643" s="15"/>
      <c r="D643" s="23"/>
      <c r="E643" s="23"/>
      <c r="F643" s="23"/>
      <c r="G643" s="23">
        <f t="shared" si="43"/>
        <v>0</v>
      </c>
      <c r="H643" s="23" t="e" cm="1">
        <f t="array" ref="H643">INDEX('GLOBAL LOG'!#REF!,ROW()-169+15)</f>
        <v>#REF!</v>
      </c>
      <c r="I643" s="23" t="e">
        <f>_xlfn.XLOOKUP(H643,#REF!,#REF!,"",0,1)</f>
        <v>#REF!</v>
      </c>
      <c r="J643" s="23" t="str">
        <f>IFERROR(I643*#REF!,"")</f>
        <v/>
      </c>
      <c r="K643" s="23" t="e" cm="1">
        <f t="array" ref="K643">INDEX('GLOBAL LOG'!#REF!,ROW()-169+15)</f>
        <v>#REF!</v>
      </c>
      <c r="L643" s="23" t="e">
        <f>_xlfn.XLOOKUP(K643,#REF!,#REF!,"",0,1)</f>
        <v>#REF!</v>
      </c>
      <c r="M643" s="23" t="str">
        <f>IFERROR(L643*#REF!,"")</f>
        <v/>
      </c>
      <c r="N643" s="23">
        <f t="shared" si="44"/>
        <v>-1</v>
      </c>
      <c r="O643" s="23">
        <f t="shared" si="45"/>
        <v>-1</v>
      </c>
      <c r="P643" s="23">
        <f t="shared" si="46"/>
        <v>-1</v>
      </c>
      <c r="Q643" s="24">
        <f t="shared" si="47"/>
        <v>-1</v>
      </c>
      <c r="R643" s="3"/>
      <c r="S643" s="1">
        <v>0</v>
      </c>
      <c r="T643" s="24">
        <v>-1</v>
      </c>
      <c r="U643"/>
      <c r="V643" s="1">
        <v>0</v>
      </c>
      <c r="W643" s="24">
        <v>-1</v>
      </c>
      <c r="X643"/>
      <c r="Y643" s="1">
        <v>0</v>
      </c>
      <c r="Z643" s="24">
        <v>-1</v>
      </c>
      <c r="AA643"/>
      <c r="AB643" s="1">
        <v>0</v>
      </c>
      <c r="AC643" s="24">
        <v>-1</v>
      </c>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c r="CA643"/>
      <c r="CB643"/>
      <c r="CC643"/>
      <c r="CD643"/>
      <c r="CE643"/>
      <c r="CF643"/>
      <c r="CG643"/>
      <c r="CH643"/>
      <c r="CI643"/>
      <c r="CJ643"/>
      <c r="CK643"/>
      <c r="CL643"/>
      <c r="CM643"/>
      <c r="CN643"/>
      <c r="CO643"/>
      <c r="CP643"/>
      <c r="CQ643"/>
      <c r="CR643"/>
      <c r="CS643"/>
    </row>
    <row r="644" spans="2:97">
      <c r="B644"/>
      <c r="C644" s="15"/>
      <c r="D644" s="23"/>
      <c r="E644" s="23"/>
      <c r="F644" s="23"/>
      <c r="G644" s="23">
        <f t="shared" si="43"/>
        <v>0</v>
      </c>
      <c r="H644" s="23" t="e" cm="1">
        <f t="array" ref="H644">INDEX('GLOBAL LOG'!#REF!,ROW()-169+15)</f>
        <v>#REF!</v>
      </c>
      <c r="I644" s="23" t="e">
        <f>_xlfn.XLOOKUP(H644,#REF!,#REF!,"",0,1)</f>
        <v>#REF!</v>
      </c>
      <c r="J644" s="23" t="str">
        <f>IFERROR(I644*#REF!,"")</f>
        <v/>
      </c>
      <c r="K644" s="23" t="e" cm="1">
        <f t="array" ref="K644">INDEX('GLOBAL LOG'!#REF!,ROW()-169+15)</f>
        <v>#REF!</v>
      </c>
      <c r="L644" s="23" t="e">
        <f>_xlfn.XLOOKUP(K644,#REF!,#REF!,"",0,1)</f>
        <v>#REF!</v>
      </c>
      <c r="M644" s="23" t="str">
        <f>IFERROR(L644*#REF!,"")</f>
        <v/>
      </c>
      <c r="N644" s="23">
        <f t="shared" si="44"/>
        <v>-1</v>
      </c>
      <c r="O644" s="23">
        <f t="shared" si="45"/>
        <v>-1</v>
      </c>
      <c r="P644" s="23">
        <f t="shared" si="46"/>
        <v>-1</v>
      </c>
      <c r="Q644" s="24">
        <f t="shared" si="47"/>
        <v>-1</v>
      </c>
      <c r="R644" s="3"/>
      <c r="S644" s="1">
        <v>0</v>
      </c>
      <c r="T644" s="24">
        <v>-1</v>
      </c>
      <c r="U644"/>
      <c r="V644" s="1">
        <v>0</v>
      </c>
      <c r="W644" s="24">
        <v>-1</v>
      </c>
      <c r="X644"/>
      <c r="Y644" s="1">
        <v>0</v>
      </c>
      <c r="Z644" s="24">
        <v>-1</v>
      </c>
      <c r="AA644"/>
      <c r="AB644" s="1">
        <v>0</v>
      </c>
      <c r="AC644" s="24">
        <v>-1</v>
      </c>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c r="CC644"/>
      <c r="CD644"/>
      <c r="CE644"/>
      <c r="CF644"/>
      <c r="CG644"/>
      <c r="CH644"/>
      <c r="CI644"/>
      <c r="CJ644"/>
      <c r="CK644"/>
      <c r="CL644"/>
      <c r="CM644"/>
      <c r="CN644"/>
      <c r="CO644"/>
      <c r="CP644"/>
      <c r="CQ644"/>
      <c r="CR644"/>
      <c r="CS644"/>
    </row>
    <row r="645" spans="2:97">
      <c r="B645"/>
      <c r="C645" s="15"/>
      <c r="D645" s="23"/>
      <c r="E645" s="23"/>
      <c r="F645" s="23"/>
      <c r="G645" s="23">
        <f t="shared" si="43"/>
        <v>0</v>
      </c>
      <c r="H645" s="23" t="e" cm="1">
        <f t="array" ref="H645">INDEX('GLOBAL LOG'!#REF!,ROW()-169+15)</f>
        <v>#REF!</v>
      </c>
      <c r="I645" s="23" t="e">
        <f>_xlfn.XLOOKUP(H645,#REF!,#REF!,"",0,1)</f>
        <v>#REF!</v>
      </c>
      <c r="J645" s="23" t="str">
        <f>IFERROR(I645*#REF!,"")</f>
        <v/>
      </c>
      <c r="K645" s="23" t="e" cm="1">
        <f t="array" ref="K645">INDEX('GLOBAL LOG'!#REF!,ROW()-169+15)</f>
        <v>#REF!</v>
      </c>
      <c r="L645" s="23" t="e">
        <f>_xlfn.XLOOKUP(K645,#REF!,#REF!,"",0,1)</f>
        <v>#REF!</v>
      </c>
      <c r="M645" s="23" t="str">
        <f>IFERROR(L645*#REF!,"")</f>
        <v/>
      </c>
      <c r="N645" s="23">
        <f t="shared" si="44"/>
        <v>-1</v>
      </c>
      <c r="O645" s="23">
        <f t="shared" si="45"/>
        <v>-1</v>
      </c>
      <c r="P645" s="23">
        <f t="shared" si="46"/>
        <v>-1</v>
      </c>
      <c r="Q645" s="24">
        <f t="shared" si="47"/>
        <v>-1</v>
      </c>
      <c r="R645" s="3"/>
      <c r="S645" s="1">
        <v>0</v>
      </c>
      <c r="T645" s="24">
        <v>-1</v>
      </c>
      <c r="U645"/>
      <c r="V645" s="1">
        <v>0</v>
      </c>
      <c r="W645" s="24">
        <v>-1</v>
      </c>
      <c r="X645"/>
      <c r="Y645" s="1">
        <v>0</v>
      </c>
      <c r="Z645" s="24">
        <v>-1</v>
      </c>
      <c r="AA645"/>
      <c r="AB645" s="1">
        <v>0</v>
      </c>
      <c r="AC645" s="24">
        <v>-1</v>
      </c>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c r="CC645"/>
      <c r="CD645"/>
      <c r="CE645"/>
      <c r="CF645"/>
      <c r="CG645"/>
      <c r="CH645"/>
      <c r="CI645"/>
      <c r="CJ645"/>
      <c r="CK645"/>
      <c r="CL645"/>
      <c r="CM645"/>
      <c r="CN645"/>
      <c r="CO645"/>
      <c r="CP645"/>
      <c r="CQ645"/>
      <c r="CR645"/>
      <c r="CS645"/>
    </row>
    <row r="646" spans="2:97">
      <c r="B646"/>
      <c r="C646" s="15"/>
      <c r="D646" s="23"/>
      <c r="E646" s="23"/>
      <c r="F646" s="23"/>
      <c r="G646" s="23">
        <f t="shared" si="43"/>
        <v>0</v>
      </c>
      <c r="H646" s="23" t="e" cm="1">
        <f t="array" ref="H646">INDEX('GLOBAL LOG'!#REF!,ROW()-169+15)</f>
        <v>#REF!</v>
      </c>
      <c r="I646" s="23" t="e">
        <f>_xlfn.XLOOKUP(H646,#REF!,#REF!,"",0,1)</f>
        <v>#REF!</v>
      </c>
      <c r="J646" s="23" t="str">
        <f>IFERROR(I646*#REF!,"")</f>
        <v/>
      </c>
      <c r="K646" s="23" t="e" cm="1">
        <f t="array" ref="K646">INDEX('GLOBAL LOG'!#REF!,ROW()-169+15)</f>
        <v>#REF!</v>
      </c>
      <c r="L646" s="23" t="e">
        <f>_xlfn.XLOOKUP(K646,#REF!,#REF!,"",0,1)</f>
        <v>#REF!</v>
      </c>
      <c r="M646" s="23" t="str">
        <f>IFERROR(L646*#REF!,"")</f>
        <v/>
      </c>
      <c r="N646" s="23">
        <f t="shared" si="44"/>
        <v>-1</v>
      </c>
      <c r="O646" s="23">
        <f t="shared" si="45"/>
        <v>-1</v>
      </c>
      <c r="P646" s="23">
        <f t="shared" si="46"/>
        <v>-1</v>
      </c>
      <c r="Q646" s="24">
        <f t="shared" si="47"/>
        <v>-1</v>
      </c>
      <c r="R646" s="3"/>
      <c r="S646" s="1">
        <v>0</v>
      </c>
      <c r="T646" s="24">
        <v>-1</v>
      </c>
      <c r="U646"/>
      <c r="V646" s="1">
        <v>0</v>
      </c>
      <c r="W646" s="24">
        <v>-1</v>
      </c>
      <c r="X646"/>
      <c r="Y646" s="1">
        <v>0</v>
      </c>
      <c r="Z646" s="24">
        <v>-1</v>
      </c>
      <c r="AA646"/>
      <c r="AB646" s="1">
        <v>0</v>
      </c>
      <c r="AC646" s="24">
        <v>-1</v>
      </c>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c r="CC646"/>
      <c r="CD646"/>
      <c r="CE646"/>
      <c r="CF646"/>
      <c r="CG646"/>
      <c r="CH646"/>
      <c r="CI646"/>
      <c r="CJ646"/>
      <c r="CK646"/>
      <c r="CL646"/>
      <c r="CM646"/>
      <c r="CN646"/>
      <c r="CO646"/>
      <c r="CP646"/>
      <c r="CQ646"/>
      <c r="CR646"/>
      <c r="CS646"/>
    </row>
    <row r="647" spans="2:97">
      <c r="B647"/>
      <c r="C647" s="15"/>
      <c r="D647" s="23"/>
      <c r="E647" s="23"/>
      <c r="F647" s="23"/>
      <c r="G647" s="23">
        <f t="shared" si="43"/>
        <v>0</v>
      </c>
      <c r="H647" s="23" t="e" cm="1">
        <f t="array" ref="H647">INDEX('GLOBAL LOG'!#REF!,ROW()-169+15)</f>
        <v>#REF!</v>
      </c>
      <c r="I647" s="23" t="e">
        <f>_xlfn.XLOOKUP(H647,#REF!,#REF!,"",0,1)</f>
        <v>#REF!</v>
      </c>
      <c r="J647" s="23" t="str">
        <f>IFERROR(I647*#REF!,"")</f>
        <v/>
      </c>
      <c r="K647" s="23" t="e" cm="1">
        <f t="array" ref="K647">INDEX('GLOBAL LOG'!#REF!,ROW()-169+15)</f>
        <v>#REF!</v>
      </c>
      <c r="L647" s="23" t="e">
        <f>_xlfn.XLOOKUP(K647,#REF!,#REF!,"",0,1)</f>
        <v>#REF!</v>
      </c>
      <c r="M647" s="23" t="str">
        <f>IFERROR(L647*#REF!,"")</f>
        <v/>
      </c>
      <c r="N647" s="23">
        <f t="shared" si="44"/>
        <v>-1</v>
      </c>
      <c r="O647" s="23">
        <f t="shared" si="45"/>
        <v>-1</v>
      </c>
      <c r="P647" s="23">
        <f t="shared" si="46"/>
        <v>-1</v>
      </c>
      <c r="Q647" s="24">
        <f t="shared" si="47"/>
        <v>-1</v>
      </c>
      <c r="R647" s="3"/>
      <c r="S647" s="1">
        <v>0</v>
      </c>
      <c r="T647" s="24">
        <v>-1</v>
      </c>
      <c r="U647"/>
      <c r="V647" s="1">
        <v>0</v>
      </c>
      <c r="W647" s="24">
        <v>-1</v>
      </c>
      <c r="X647"/>
      <c r="Y647" s="1">
        <v>0</v>
      </c>
      <c r="Z647" s="24">
        <v>-1</v>
      </c>
      <c r="AA647"/>
      <c r="AB647" s="1">
        <v>0</v>
      </c>
      <c r="AC647" s="24">
        <v>-1</v>
      </c>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c r="CC647"/>
      <c r="CD647"/>
      <c r="CE647"/>
      <c r="CF647"/>
      <c r="CG647"/>
      <c r="CH647"/>
      <c r="CI647"/>
      <c r="CJ647"/>
      <c r="CK647"/>
      <c r="CL647"/>
      <c r="CM647"/>
      <c r="CN647"/>
      <c r="CO647"/>
      <c r="CP647"/>
      <c r="CQ647"/>
      <c r="CR647"/>
      <c r="CS647"/>
    </row>
    <row r="648" spans="2:97">
      <c r="B648"/>
      <c r="C648" s="15"/>
      <c r="D648" s="23"/>
      <c r="E648" s="23"/>
      <c r="F648" s="23"/>
      <c r="G648" s="23">
        <f t="shared" si="43"/>
        <v>0</v>
      </c>
      <c r="H648" s="23" t="e" cm="1">
        <f t="array" ref="H648">INDEX('GLOBAL LOG'!#REF!,ROW()-169+15)</f>
        <v>#REF!</v>
      </c>
      <c r="I648" s="23" t="e">
        <f>_xlfn.XLOOKUP(H648,#REF!,#REF!,"",0,1)</f>
        <v>#REF!</v>
      </c>
      <c r="J648" s="23" t="str">
        <f>IFERROR(I648*#REF!,"")</f>
        <v/>
      </c>
      <c r="K648" s="23" t="e" cm="1">
        <f t="array" ref="K648">INDEX('GLOBAL LOG'!#REF!,ROW()-169+15)</f>
        <v>#REF!</v>
      </c>
      <c r="L648" s="23" t="e">
        <f>_xlfn.XLOOKUP(K648,#REF!,#REF!,"",0,1)</f>
        <v>#REF!</v>
      </c>
      <c r="M648" s="23" t="str">
        <f>IFERROR(L648*#REF!,"")</f>
        <v/>
      </c>
      <c r="N648" s="23">
        <f t="shared" si="44"/>
        <v>-1</v>
      </c>
      <c r="O648" s="23">
        <f t="shared" si="45"/>
        <v>-1</v>
      </c>
      <c r="P648" s="23">
        <f t="shared" si="46"/>
        <v>-1</v>
      </c>
      <c r="Q648" s="24">
        <f t="shared" si="47"/>
        <v>-1</v>
      </c>
      <c r="R648" s="3"/>
      <c r="S648" s="1">
        <v>0</v>
      </c>
      <c r="T648" s="24">
        <v>-1</v>
      </c>
      <c r="U648"/>
      <c r="V648" s="1">
        <v>0</v>
      </c>
      <c r="W648" s="24">
        <v>-1</v>
      </c>
      <c r="X648"/>
      <c r="Y648" s="1">
        <v>0</v>
      </c>
      <c r="Z648" s="24">
        <v>-1</v>
      </c>
      <c r="AA648"/>
      <c r="AB648" s="1">
        <v>0</v>
      </c>
      <c r="AC648" s="24">
        <v>-1</v>
      </c>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c r="CC648"/>
      <c r="CD648"/>
      <c r="CE648"/>
      <c r="CF648"/>
      <c r="CG648"/>
      <c r="CH648"/>
      <c r="CI648"/>
      <c r="CJ648"/>
      <c r="CK648"/>
      <c r="CL648"/>
      <c r="CM648"/>
      <c r="CN648"/>
      <c r="CO648"/>
      <c r="CP648"/>
      <c r="CQ648"/>
      <c r="CR648"/>
      <c r="CS648"/>
    </row>
    <row r="649" spans="2:97">
      <c r="B649"/>
      <c r="C649" s="15"/>
      <c r="D649" s="23"/>
      <c r="E649" s="23"/>
      <c r="F649" s="23"/>
      <c r="G649" s="23">
        <f t="shared" si="43"/>
        <v>0</v>
      </c>
      <c r="H649" s="23" t="e" cm="1">
        <f t="array" ref="H649">INDEX('GLOBAL LOG'!#REF!,ROW()-169+15)</f>
        <v>#REF!</v>
      </c>
      <c r="I649" s="23" t="e">
        <f>_xlfn.XLOOKUP(H649,#REF!,#REF!,"",0,1)</f>
        <v>#REF!</v>
      </c>
      <c r="J649" s="23" t="str">
        <f>IFERROR(I649*#REF!,"")</f>
        <v/>
      </c>
      <c r="K649" s="23" t="e" cm="1">
        <f t="array" ref="K649">INDEX('GLOBAL LOG'!#REF!,ROW()-169+15)</f>
        <v>#REF!</v>
      </c>
      <c r="L649" s="23" t="e">
        <f>_xlfn.XLOOKUP(K649,#REF!,#REF!,"",0,1)</f>
        <v>#REF!</v>
      </c>
      <c r="M649" s="23" t="str">
        <f>IFERROR(L649*#REF!,"")</f>
        <v/>
      </c>
      <c r="N649" s="23">
        <f t="shared" si="44"/>
        <v>-1</v>
      </c>
      <c r="O649" s="23">
        <f t="shared" si="45"/>
        <v>-1</v>
      </c>
      <c r="P649" s="23">
        <f t="shared" si="46"/>
        <v>-1</v>
      </c>
      <c r="Q649" s="24">
        <f t="shared" si="47"/>
        <v>-1</v>
      </c>
      <c r="R649" s="3"/>
      <c r="S649" s="1">
        <v>0</v>
      </c>
      <c r="T649" s="24">
        <v>-1</v>
      </c>
      <c r="U649"/>
      <c r="V649" s="1">
        <v>0</v>
      </c>
      <c r="W649" s="24">
        <v>-1</v>
      </c>
      <c r="X649"/>
      <c r="Y649" s="1">
        <v>0</v>
      </c>
      <c r="Z649" s="24">
        <v>-1</v>
      </c>
      <c r="AA649"/>
      <c r="AB649" s="1">
        <v>0</v>
      </c>
      <c r="AC649" s="24">
        <v>-1</v>
      </c>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c r="CC649"/>
      <c r="CD649"/>
      <c r="CE649"/>
      <c r="CF649"/>
      <c r="CG649"/>
      <c r="CH649"/>
      <c r="CI649"/>
      <c r="CJ649"/>
      <c r="CK649"/>
      <c r="CL649"/>
      <c r="CM649"/>
      <c r="CN649"/>
      <c r="CO649"/>
      <c r="CP649"/>
      <c r="CQ649"/>
      <c r="CR649"/>
      <c r="CS649"/>
    </row>
    <row r="650" spans="2:97">
      <c r="B650"/>
      <c r="C650" s="15"/>
      <c r="D650" s="23"/>
      <c r="E650" s="23"/>
      <c r="F650" s="23"/>
      <c r="G650" s="23">
        <f t="shared" si="43"/>
        <v>0</v>
      </c>
      <c r="H650" s="23" t="e" cm="1">
        <f t="array" ref="H650">INDEX('GLOBAL LOG'!#REF!,ROW()-169+15)</f>
        <v>#REF!</v>
      </c>
      <c r="I650" s="23" t="e">
        <f>_xlfn.XLOOKUP(H650,#REF!,#REF!,"",0,1)</f>
        <v>#REF!</v>
      </c>
      <c r="J650" s="23" t="str">
        <f>IFERROR(I650*#REF!,"")</f>
        <v/>
      </c>
      <c r="K650" s="23" t="e" cm="1">
        <f t="array" ref="K650">INDEX('GLOBAL LOG'!#REF!,ROW()-169+15)</f>
        <v>#REF!</v>
      </c>
      <c r="L650" s="23" t="e">
        <f>_xlfn.XLOOKUP(K650,#REF!,#REF!,"",0,1)</f>
        <v>#REF!</v>
      </c>
      <c r="M650" s="23" t="str">
        <f>IFERROR(L650*#REF!,"")</f>
        <v/>
      </c>
      <c r="N650" s="23">
        <f t="shared" si="44"/>
        <v>-1</v>
      </c>
      <c r="O650" s="23">
        <f t="shared" si="45"/>
        <v>-1</v>
      </c>
      <c r="P650" s="23">
        <f t="shared" si="46"/>
        <v>-1</v>
      </c>
      <c r="Q650" s="24">
        <f t="shared" si="47"/>
        <v>-1</v>
      </c>
      <c r="R650" s="3"/>
      <c r="S650" s="1">
        <v>0</v>
      </c>
      <c r="T650" s="24">
        <v>-1</v>
      </c>
      <c r="U650"/>
      <c r="V650" s="1">
        <v>0</v>
      </c>
      <c r="W650" s="24">
        <v>-1</v>
      </c>
      <c r="X650"/>
      <c r="Y650" s="1">
        <v>0</v>
      </c>
      <c r="Z650" s="24">
        <v>-1</v>
      </c>
      <c r="AA650"/>
      <c r="AB650" s="1">
        <v>0</v>
      </c>
      <c r="AC650" s="24">
        <v>-1</v>
      </c>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c r="CC650"/>
      <c r="CD650"/>
      <c r="CE650"/>
      <c r="CF650"/>
      <c r="CG650"/>
      <c r="CH650"/>
      <c r="CI650"/>
      <c r="CJ650"/>
      <c r="CK650"/>
      <c r="CL650"/>
      <c r="CM650"/>
      <c r="CN650"/>
      <c r="CO650"/>
      <c r="CP650"/>
      <c r="CQ650"/>
      <c r="CR650"/>
      <c r="CS650"/>
    </row>
    <row r="651" spans="2:97">
      <c r="B651"/>
      <c r="C651" s="15"/>
      <c r="D651" s="23"/>
      <c r="E651" s="23"/>
      <c r="F651" s="23"/>
      <c r="G651" s="23">
        <f t="shared" si="43"/>
        <v>0</v>
      </c>
      <c r="H651" s="23" t="e" cm="1">
        <f t="array" ref="H651">INDEX('GLOBAL LOG'!#REF!,ROW()-169+15)</f>
        <v>#REF!</v>
      </c>
      <c r="I651" s="23" t="e">
        <f>_xlfn.XLOOKUP(H651,#REF!,#REF!,"",0,1)</f>
        <v>#REF!</v>
      </c>
      <c r="J651" s="23" t="str">
        <f>IFERROR(I651*#REF!,"")</f>
        <v/>
      </c>
      <c r="K651" s="23" t="e" cm="1">
        <f t="array" ref="K651">INDEX('GLOBAL LOG'!#REF!,ROW()-169+15)</f>
        <v>#REF!</v>
      </c>
      <c r="L651" s="23" t="e">
        <f>_xlfn.XLOOKUP(K651,#REF!,#REF!,"",0,1)</f>
        <v>#REF!</v>
      </c>
      <c r="M651" s="23" t="str">
        <f>IFERROR(L651*#REF!,"")</f>
        <v/>
      </c>
      <c r="N651" s="23">
        <f t="shared" si="44"/>
        <v>-1</v>
      </c>
      <c r="O651" s="23">
        <f t="shared" si="45"/>
        <v>-1</v>
      </c>
      <c r="P651" s="23">
        <f t="shared" si="46"/>
        <v>-1</v>
      </c>
      <c r="Q651" s="24">
        <f t="shared" si="47"/>
        <v>-1</v>
      </c>
      <c r="R651" s="3"/>
      <c r="S651" s="1">
        <v>0</v>
      </c>
      <c r="T651" s="24">
        <v>-1</v>
      </c>
      <c r="U651"/>
      <c r="V651" s="1">
        <v>0</v>
      </c>
      <c r="W651" s="24">
        <v>-1</v>
      </c>
      <c r="X651"/>
      <c r="Y651" s="1">
        <v>0</v>
      </c>
      <c r="Z651" s="24">
        <v>-1</v>
      </c>
      <c r="AA651"/>
      <c r="AB651" s="1">
        <v>0</v>
      </c>
      <c r="AC651" s="24">
        <v>-1</v>
      </c>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c r="CC651"/>
      <c r="CD651"/>
      <c r="CE651"/>
      <c r="CF651"/>
      <c r="CG651"/>
      <c r="CH651"/>
      <c r="CI651"/>
      <c r="CJ651"/>
      <c r="CK651"/>
      <c r="CL651"/>
      <c r="CM651"/>
      <c r="CN651"/>
      <c r="CO651"/>
      <c r="CP651"/>
      <c r="CQ651"/>
      <c r="CR651"/>
      <c r="CS651"/>
    </row>
    <row r="652" spans="2:97">
      <c r="B652"/>
      <c r="C652" s="15"/>
      <c r="D652" s="23"/>
      <c r="E652" s="23"/>
      <c r="F652" s="23"/>
      <c r="G652" s="23">
        <f t="shared" si="43"/>
        <v>0</v>
      </c>
      <c r="H652" s="23" t="e" cm="1">
        <f t="array" ref="H652">INDEX('GLOBAL LOG'!#REF!,ROW()-169+15)</f>
        <v>#REF!</v>
      </c>
      <c r="I652" s="23" t="e">
        <f>_xlfn.XLOOKUP(H652,#REF!,#REF!,"",0,1)</f>
        <v>#REF!</v>
      </c>
      <c r="J652" s="23" t="str">
        <f>IFERROR(I652*#REF!,"")</f>
        <v/>
      </c>
      <c r="K652" s="23" t="e" cm="1">
        <f t="array" ref="K652">INDEX('GLOBAL LOG'!#REF!,ROW()-169+15)</f>
        <v>#REF!</v>
      </c>
      <c r="L652" s="23" t="e">
        <f>_xlfn.XLOOKUP(K652,#REF!,#REF!,"",0,1)</f>
        <v>#REF!</v>
      </c>
      <c r="M652" s="23" t="str">
        <f>IFERROR(L652*#REF!,"")</f>
        <v/>
      </c>
      <c r="N652" s="23">
        <f t="shared" si="44"/>
        <v>-1</v>
      </c>
      <c r="O652" s="23">
        <f t="shared" si="45"/>
        <v>-1</v>
      </c>
      <c r="P652" s="23">
        <f t="shared" si="46"/>
        <v>-1</v>
      </c>
      <c r="Q652" s="24">
        <f t="shared" si="47"/>
        <v>-1</v>
      </c>
      <c r="R652" s="3"/>
      <c r="S652" s="1">
        <v>0</v>
      </c>
      <c r="T652" s="24">
        <v>-1</v>
      </c>
      <c r="U652"/>
      <c r="V652" s="1">
        <v>0</v>
      </c>
      <c r="W652" s="24">
        <v>-1</v>
      </c>
      <c r="X652"/>
      <c r="Y652" s="1">
        <v>0</v>
      </c>
      <c r="Z652" s="24">
        <v>-1</v>
      </c>
      <c r="AA652"/>
      <c r="AB652" s="1">
        <v>0</v>
      </c>
      <c r="AC652" s="24">
        <v>-1</v>
      </c>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c r="CC652"/>
      <c r="CD652"/>
      <c r="CE652"/>
      <c r="CF652"/>
      <c r="CG652"/>
      <c r="CH652"/>
      <c r="CI652"/>
      <c r="CJ652"/>
      <c r="CK652"/>
      <c r="CL652"/>
      <c r="CM652"/>
      <c r="CN652"/>
      <c r="CO652"/>
      <c r="CP652"/>
      <c r="CQ652"/>
      <c r="CR652"/>
      <c r="CS652"/>
    </row>
    <row r="653" spans="2:97">
      <c r="B653"/>
      <c r="C653" s="15"/>
      <c r="D653" s="23"/>
      <c r="E653" s="23"/>
      <c r="F653" s="23"/>
      <c r="G653" s="23">
        <f t="shared" si="43"/>
        <v>0</v>
      </c>
      <c r="H653" s="23" t="e" cm="1">
        <f t="array" ref="H653">INDEX('GLOBAL LOG'!#REF!,ROW()-169+15)</f>
        <v>#REF!</v>
      </c>
      <c r="I653" s="23" t="e">
        <f>_xlfn.XLOOKUP(H653,#REF!,#REF!,"",0,1)</f>
        <v>#REF!</v>
      </c>
      <c r="J653" s="23" t="str">
        <f>IFERROR(I653*#REF!,"")</f>
        <v/>
      </c>
      <c r="K653" s="23" t="e" cm="1">
        <f t="array" ref="K653">INDEX('GLOBAL LOG'!#REF!,ROW()-169+15)</f>
        <v>#REF!</v>
      </c>
      <c r="L653" s="23" t="e">
        <f>_xlfn.XLOOKUP(K653,#REF!,#REF!,"",0,1)</f>
        <v>#REF!</v>
      </c>
      <c r="M653" s="23" t="str">
        <f>IFERROR(L653*#REF!,"")</f>
        <v/>
      </c>
      <c r="N653" s="23">
        <f t="shared" si="44"/>
        <v>-1</v>
      </c>
      <c r="O653" s="23">
        <f t="shared" si="45"/>
        <v>-1</v>
      </c>
      <c r="P653" s="23">
        <f t="shared" si="46"/>
        <v>-1</v>
      </c>
      <c r="Q653" s="24">
        <f t="shared" si="47"/>
        <v>-1</v>
      </c>
      <c r="R653" s="3"/>
      <c r="S653" s="1">
        <v>0</v>
      </c>
      <c r="T653" s="24">
        <v>-1</v>
      </c>
      <c r="U653"/>
      <c r="V653" s="1">
        <v>0</v>
      </c>
      <c r="W653" s="24">
        <v>-1</v>
      </c>
      <c r="X653"/>
      <c r="Y653" s="1">
        <v>0</v>
      </c>
      <c r="Z653" s="24">
        <v>-1</v>
      </c>
      <c r="AA653"/>
      <c r="AB653" s="1">
        <v>0</v>
      </c>
      <c r="AC653" s="24">
        <v>-1</v>
      </c>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c r="CC653"/>
      <c r="CD653"/>
      <c r="CE653"/>
      <c r="CF653"/>
      <c r="CG653"/>
      <c r="CH653"/>
      <c r="CI653"/>
      <c r="CJ653"/>
      <c r="CK653"/>
      <c r="CL653"/>
      <c r="CM653"/>
      <c r="CN653"/>
      <c r="CO653"/>
      <c r="CP653"/>
      <c r="CQ653"/>
      <c r="CR653"/>
      <c r="CS653"/>
    </row>
    <row r="654" spans="2:97">
      <c r="B654"/>
      <c r="C654" s="15"/>
      <c r="D654" s="23"/>
      <c r="E654" s="23"/>
      <c r="F654" s="23"/>
      <c r="G654" s="23">
        <f t="shared" si="43"/>
        <v>0</v>
      </c>
      <c r="H654" s="23" t="e" cm="1">
        <f t="array" ref="H654">INDEX('GLOBAL LOG'!#REF!,ROW()-169+15)</f>
        <v>#REF!</v>
      </c>
      <c r="I654" s="23" t="e">
        <f>_xlfn.XLOOKUP(H654,#REF!,#REF!,"",0,1)</f>
        <v>#REF!</v>
      </c>
      <c r="J654" s="23" t="str">
        <f>IFERROR(I654*#REF!,"")</f>
        <v/>
      </c>
      <c r="K654" s="23" t="e" cm="1">
        <f t="array" ref="K654">INDEX('GLOBAL LOG'!#REF!,ROW()-169+15)</f>
        <v>#REF!</v>
      </c>
      <c r="L654" s="23" t="e">
        <f>_xlfn.XLOOKUP(K654,#REF!,#REF!,"",0,1)</f>
        <v>#REF!</v>
      </c>
      <c r="M654" s="23" t="str">
        <f>IFERROR(L654*#REF!,"")</f>
        <v/>
      </c>
      <c r="N654" s="23">
        <f t="shared" si="44"/>
        <v>-1</v>
      </c>
      <c r="O654" s="23">
        <f t="shared" si="45"/>
        <v>-1</v>
      </c>
      <c r="P654" s="23">
        <f t="shared" si="46"/>
        <v>-1</v>
      </c>
      <c r="Q654" s="24">
        <f t="shared" si="47"/>
        <v>-1</v>
      </c>
      <c r="R654" s="3"/>
      <c r="S654" s="1">
        <v>0</v>
      </c>
      <c r="T654" s="24">
        <v>-1</v>
      </c>
      <c r="U654"/>
      <c r="V654" s="1">
        <v>0</v>
      </c>
      <c r="W654" s="24">
        <v>-1</v>
      </c>
      <c r="X654"/>
      <c r="Y654" s="1">
        <v>0</v>
      </c>
      <c r="Z654" s="24">
        <v>-1</v>
      </c>
      <c r="AA654"/>
      <c r="AB654" s="1">
        <v>0</v>
      </c>
      <c r="AC654" s="24">
        <v>-1</v>
      </c>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c r="CC654"/>
      <c r="CD654"/>
      <c r="CE654"/>
      <c r="CF654"/>
      <c r="CG654"/>
      <c r="CH654"/>
      <c r="CI654"/>
      <c r="CJ654"/>
      <c r="CK654"/>
      <c r="CL654"/>
      <c r="CM654"/>
      <c r="CN654"/>
      <c r="CO654"/>
      <c r="CP654"/>
      <c r="CQ654"/>
      <c r="CR654"/>
      <c r="CS654"/>
    </row>
    <row r="655" spans="2:97">
      <c r="B655"/>
      <c r="C655" s="15"/>
      <c r="D655" s="23"/>
      <c r="E655" s="23"/>
      <c r="F655" s="23"/>
      <c r="G655" s="23">
        <f t="shared" si="43"/>
        <v>0</v>
      </c>
      <c r="H655" s="23" t="e" cm="1">
        <f t="array" ref="H655">INDEX('GLOBAL LOG'!#REF!,ROW()-169+15)</f>
        <v>#REF!</v>
      </c>
      <c r="I655" s="23" t="e">
        <f>_xlfn.XLOOKUP(H655,#REF!,#REF!,"",0,1)</f>
        <v>#REF!</v>
      </c>
      <c r="J655" s="23" t="str">
        <f>IFERROR(I655*#REF!,"")</f>
        <v/>
      </c>
      <c r="K655" s="23" t="e" cm="1">
        <f t="array" ref="K655">INDEX('GLOBAL LOG'!#REF!,ROW()-169+15)</f>
        <v>#REF!</v>
      </c>
      <c r="L655" s="23" t="e">
        <f>_xlfn.XLOOKUP(K655,#REF!,#REF!,"",0,1)</f>
        <v>#REF!</v>
      </c>
      <c r="M655" s="23" t="str">
        <f>IFERROR(L655*#REF!,"")</f>
        <v/>
      </c>
      <c r="N655" s="23">
        <f t="shared" si="44"/>
        <v>-1</v>
      </c>
      <c r="O655" s="23">
        <f t="shared" si="45"/>
        <v>-1</v>
      </c>
      <c r="P655" s="23">
        <f t="shared" si="46"/>
        <v>-1</v>
      </c>
      <c r="Q655" s="24">
        <f t="shared" si="47"/>
        <v>-1</v>
      </c>
      <c r="R655" s="3"/>
      <c r="S655" s="1">
        <v>0</v>
      </c>
      <c r="T655" s="24">
        <v>-1</v>
      </c>
      <c r="U655"/>
      <c r="V655" s="1">
        <v>0</v>
      </c>
      <c r="W655" s="24">
        <v>-1</v>
      </c>
      <c r="X655"/>
      <c r="Y655" s="1">
        <v>0</v>
      </c>
      <c r="Z655" s="24">
        <v>-1</v>
      </c>
      <c r="AA655"/>
      <c r="AB655" s="1">
        <v>0</v>
      </c>
      <c r="AC655" s="24">
        <v>-1</v>
      </c>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c r="CC655"/>
      <c r="CD655"/>
      <c r="CE655"/>
      <c r="CF655"/>
      <c r="CG655"/>
      <c r="CH655"/>
      <c r="CI655"/>
      <c r="CJ655"/>
      <c r="CK655"/>
      <c r="CL655"/>
      <c r="CM655"/>
      <c r="CN655"/>
      <c r="CO655"/>
      <c r="CP655"/>
      <c r="CQ655"/>
      <c r="CR655"/>
      <c r="CS655"/>
    </row>
    <row r="656" spans="2:97">
      <c r="B656"/>
      <c r="C656" s="15"/>
      <c r="D656" s="23"/>
      <c r="E656" s="23"/>
      <c r="F656" s="23"/>
      <c r="G656" s="23">
        <f t="shared" si="43"/>
        <v>0</v>
      </c>
      <c r="H656" s="23" t="e" cm="1">
        <f t="array" ref="H656">INDEX('GLOBAL LOG'!#REF!,ROW()-169+15)</f>
        <v>#REF!</v>
      </c>
      <c r="I656" s="23" t="e">
        <f>_xlfn.XLOOKUP(H656,#REF!,#REF!,"",0,1)</f>
        <v>#REF!</v>
      </c>
      <c r="J656" s="23" t="str">
        <f>IFERROR(I656*#REF!,"")</f>
        <v/>
      </c>
      <c r="K656" s="23" t="e" cm="1">
        <f t="array" ref="K656">INDEX('GLOBAL LOG'!#REF!,ROW()-169+15)</f>
        <v>#REF!</v>
      </c>
      <c r="L656" s="23" t="e">
        <f>_xlfn.XLOOKUP(K656,#REF!,#REF!,"",0,1)</f>
        <v>#REF!</v>
      </c>
      <c r="M656" s="23" t="str">
        <f>IFERROR(L656*#REF!,"")</f>
        <v/>
      </c>
      <c r="N656" s="23">
        <f t="shared" si="44"/>
        <v>-1</v>
      </c>
      <c r="O656" s="23">
        <f t="shared" si="45"/>
        <v>-1</v>
      </c>
      <c r="P656" s="23">
        <f t="shared" si="46"/>
        <v>-1</v>
      </c>
      <c r="Q656" s="24">
        <f t="shared" si="47"/>
        <v>-1</v>
      </c>
      <c r="R656" s="3"/>
      <c r="S656" s="1">
        <v>0</v>
      </c>
      <c r="T656" s="24">
        <v>-1</v>
      </c>
      <c r="U656"/>
      <c r="V656" s="1">
        <v>0</v>
      </c>
      <c r="W656" s="24">
        <v>-1</v>
      </c>
      <c r="X656"/>
      <c r="Y656" s="1">
        <v>0</v>
      </c>
      <c r="Z656" s="24">
        <v>-1</v>
      </c>
      <c r="AA656"/>
      <c r="AB656" s="1">
        <v>0</v>
      </c>
      <c r="AC656" s="24">
        <v>-1</v>
      </c>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c r="CC656"/>
      <c r="CD656"/>
      <c r="CE656"/>
      <c r="CF656"/>
      <c r="CG656"/>
      <c r="CH656"/>
      <c r="CI656"/>
      <c r="CJ656"/>
      <c r="CK656"/>
      <c r="CL656"/>
      <c r="CM656"/>
      <c r="CN656"/>
      <c r="CO656"/>
      <c r="CP656"/>
      <c r="CQ656"/>
      <c r="CR656"/>
      <c r="CS656"/>
    </row>
    <row r="657" spans="2:97">
      <c r="B657"/>
      <c r="C657" s="15"/>
      <c r="D657" s="23"/>
      <c r="E657" s="23"/>
      <c r="F657" s="23"/>
      <c r="G657" s="23">
        <f t="shared" si="43"/>
        <v>0</v>
      </c>
      <c r="H657" s="23" t="e" cm="1">
        <f t="array" ref="H657">INDEX('GLOBAL LOG'!#REF!,ROW()-169+15)</f>
        <v>#REF!</v>
      </c>
      <c r="I657" s="23" t="e">
        <f>_xlfn.XLOOKUP(H657,#REF!,#REF!,"",0,1)</f>
        <v>#REF!</v>
      </c>
      <c r="J657" s="23" t="str">
        <f>IFERROR(I657*#REF!,"")</f>
        <v/>
      </c>
      <c r="K657" s="23" t="e" cm="1">
        <f t="array" ref="K657">INDEX('GLOBAL LOG'!#REF!,ROW()-169+15)</f>
        <v>#REF!</v>
      </c>
      <c r="L657" s="23" t="e">
        <f>_xlfn.XLOOKUP(K657,#REF!,#REF!,"",0,1)</f>
        <v>#REF!</v>
      </c>
      <c r="M657" s="23" t="str">
        <f>IFERROR(L657*#REF!,"")</f>
        <v/>
      </c>
      <c r="N657" s="23">
        <f t="shared" si="44"/>
        <v>-1</v>
      </c>
      <c r="O657" s="23">
        <f t="shared" si="45"/>
        <v>-1</v>
      </c>
      <c r="P657" s="23">
        <f t="shared" si="46"/>
        <v>-1</v>
      </c>
      <c r="Q657" s="24">
        <f t="shared" si="47"/>
        <v>-1</v>
      </c>
      <c r="R657" s="3"/>
      <c r="S657" s="1">
        <v>0</v>
      </c>
      <c r="T657" s="24">
        <v>-1</v>
      </c>
      <c r="U657"/>
      <c r="V657" s="1">
        <v>0</v>
      </c>
      <c r="W657" s="24">
        <v>-1</v>
      </c>
      <c r="X657"/>
      <c r="Y657" s="1">
        <v>0</v>
      </c>
      <c r="Z657" s="24">
        <v>-1</v>
      </c>
      <c r="AA657"/>
      <c r="AB657" s="1">
        <v>0</v>
      </c>
      <c r="AC657" s="24">
        <v>-1</v>
      </c>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c r="CC657"/>
      <c r="CD657"/>
      <c r="CE657"/>
      <c r="CF657"/>
      <c r="CG657"/>
      <c r="CH657"/>
      <c r="CI657"/>
      <c r="CJ657"/>
      <c r="CK657"/>
      <c r="CL657"/>
      <c r="CM657"/>
      <c r="CN657"/>
      <c r="CO657"/>
      <c r="CP657"/>
      <c r="CQ657"/>
      <c r="CR657"/>
      <c r="CS657"/>
    </row>
    <row r="658" spans="2:97">
      <c r="B658"/>
      <c r="C658" s="15"/>
      <c r="D658" s="23"/>
      <c r="E658" s="23"/>
      <c r="F658" s="23"/>
      <c r="G658" s="23">
        <f t="shared" si="43"/>
        <v>0</v>
      </c>
      <c r="H658" s="23" t="e" cm="1">
        <f t="array" ref="H658">INDEX('GLOBAL LOG'!#REF!,ROW()-169+15)</f>
        <v>#REF!</v>
      </c>
      <c r="I658" s="23" t="e">
        <f>_xlfn.XLOOKUP(H658,#REF!,#REF!,"",0,1)</f>
        <v>#REF!</v>
      </c>
      <c r="J658" s="23" t="str">
        <f>IFERROR(I658*#REF!,"")</f>
        <v/>
      </c>
      <c r="K658" s="23" t="e" cm="1">
        <f t="array" ref="K658">INDEX('GLOBAL LOG'!#REF!,ROW()-169+15)</f>
        <v>#REF!</v>
      </c>
      <c r="L658" s="23" t="e">
        <f>_xlfn.XLOOKUP(K658,#REF!,#REF!,"",0,1)</f>
        <v>#REF!</v>
      </c>
      <c r="M658" s="23" t="str">
        <f>IFERROR(L658*#REF!,"")</f>
        <v/>
      </c>
      <c r="N658" s="23">
        <f t="shared" si="44"/>
        <v>-1</v>
      </c>
      <c r="O658" s="23">
        <f t="shared" si="45"/>
        <v>-1</v>
      </c>
      <c r="P658" s="23">
        <f t="shared" si="46"/>
        <v>-1</v>
      </c>
      <c r="Q658" s="24">
        <f t="shared" si="47"/>
        <v>-1</v>
      </c>
      <c r="R658" s="3"/>
      <c r="S658" s="1">
        <v>0</v>
      </c>
      <c r="T658" s="24">
        <v>-1</v>
      </c>
      <c r="U658"/>
      <c r="V658" s="1">
        <v>0</v>
      </c>
      <c r="W658" s="24">
        <v>-1</v>
      </c>
      <c r="X658"/>
      <c r="Y658" s="1">
        <v>0</v>
      </c>
      <c r="Z658" s="24">
        <v>-1</v>
      </c>
      <c r="AA658"/>
      <c r="AB658" s="1">
        <v>0</v>
      </c>
      <c r="AC658" s="24">
        <v>-1</v>
      </c>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c r="CC658"/>
      <c r="CD658"/>
      <c r="CE658"/>
      <c r="CF658"/>
      <c r="CG658"/>
      <c r="CH658"/>
      <c r="CI658"/>
      <c r="CJ658"/>
      <c r="CK658"/>
      <c r="CL658"/>
      <c r="CM658"/>
      <c r="CN658"/>
      <c r="CO658"/>
      <c r="CP658"/>
      <c r="CQ658"/>
      <c r="CR658"/>
      <c r="CS658"/>
    </row>
    <row r="659" spans="2:97">
      <c r="B659"/>
      <c r="C659" s="15"/>
      <c r="D659" s="23"/>
      <c r="E659" s="23"/>
      <c r="F659" s="23"/>
      <c r="G659" s="23">
        <f t="shared" si="43"/>
        <v>0</v>
      </c>
      <c r="H659" s="23" t="e" cm="1">
        <f t="array" ref="H659">INDEX('GLOBAL LOG'!#REF!,ROW()-169+15)</f>
        <v>#REF!</v>
      </c>
      <c r="I659" s="23" t="e">
        <f>_xlfn.XLOOKUP(H659,#REF!,#REF!,"",0,1)</f>
        <v>#REF!</v>
      </c>
      <c r="J659" s="23" t="str">
        <f>IFERROR(I659*#REF!,"")</f>
        <v/>
      </c>
      <c r="K659" s="23" t="e" cm="1">
        <f t="array" ref="K659">INDEX('GLOBAL LOG'!#REF!,ROW()-169+15)</f>
        <v>#REF!</v>
      </c>
      <c r="L659" s="23" t="e">
        <f>_xlfn.XLOOKUP(K659,#REF!,#REF!,"",0,1)</f>
        <v>#REF!</v>
      </c>
      <c r="M659" s="23" t="str">
        <f>IFERROR(L659*#REF!,"")</f>
        <v/>
      </c>
      <c r="N659" s="23">
        <f t="shared" si="44"/>
        <v>-1</v>
      </c>
      <c r="O659" s="23">
        <f t="shared" si="45"/>
        <v>-1</v>
      </c>
      <c r="P659" s="23">
        <f t="shared" si="46"/>
        <v>-1</v>
      </c>
      <c r="Q659" s="24">
        <f t="shared" si="47"/>
        <v>-1</v>
      </c>
      <c r="R659" s="3"/>
      <c r="S659" s="1">
        <v>0</v>
      </c>
      <c r="T659" s="24">
        <v>-1</v>
      </c>
      <c r="U659"/>
      <c r="V659" s="1">
        <v>0</v>
      </c>
      <c r="W659" s="24">
        <v>-1</v>
      </c>
      <c r="X659"/>
      <c r="Y659" s="1">
        <v>0</v>
      </c>
      <c r="Z659" s="24">
        <v>-1</v>
      </c>
      <c r="AA659"/>
      <c r="AB659" s="1">
        <v>0</v>
      </c>
      <c r="AC659" s="24">
        <v>-1</v>
      </c>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c r="CC659"/>
      <c r="CD659"/>
      <c r="CE659"/>
      <c r="CF659"/>
      <c r="CG659"/>
      <c r="CH659"/>
      <c r="CI659"/>
      <c r="CJ659"/>
      <c r="CK659"/>
      <c r="CL659"/>
      <c r="CM659"/>
      <c r="CN659"/>
      <c r="CO659"/>
      <c r="CP659"/>
      <c r="CQ659"/>
      <c r="CR659"/>
      <c r="CS659"/>
    </row>
    <row r="660" spans="2:97">
      <c r="B660"/>
      <c r="C660" s="15"/>
      <c r="D660" s="23"/>
      <c r="E660" s="23"/>
      <c r="F660" s="23"/>
      <c r="G660" s="23">
        <f t="shared" si="43"/>
        <v>0</v>
      </c>
      <c r="H660" s="23" t="e" cm="1">
        <f t="array" ref="H660">INDEX('GLOBAL LOG'!#REF!,ROW()-169+15)</f>
        <v>#REF!</v>
      </c>
      <c r="I660" s="23" t="e">
        <f>_xlfn.XLOOKUP(H660,#REF!,#REF!,"",0,1)</f>
        <v>#REF!</v>
      </c>
      <c r="J660" s="23" t="str">
        <f>IFERROR(I660*#REF!,"")</f>
        <v/>
      </c>
      <c r="K660" s="23" t="e" cm="1">
        <f t="array" ref="K660">INDEX('GLOBAL LOG'!#REF!,ROW()-169+15)</f>
        <v>#REF!</v>
      </c>
      <c r="L660" s="23" t="e">
        <f>_xlfn.XLOOKUP(K660,#REF!,#REF!,"",0,1)</f>
        <v>#REF!</v>
      </c>
      <c r="M660" s="23" t="str">
        <f>IFERROR(L660*#REF!,"")</f>
        <v/>
      </c>
      <c r="N660" s="23">
        <f t="shared" si="44"/>
        <v>-1</v>
      </c>
      <c r="O660" s="23">
        <f t="shared" si="45"/>
        <v>-1</v>
      </c>
      <c r="P660" s="23">
        <f t="shared" si="46"/>
        <v>-1</v>
      </c>
      <c r="Q660" s="24">
        <f t="shared" si="47"/>
        <v>-1</v>
      </c>
      <c r="R660" s="3"/>
      <c r="S660" s="1">
        <v>0</v>
      </c>
      <c r="T660" s="24">
        <v>-1</v>
      </c>
      <c r="U660"/>
      <c r="V660" s="1">
        <v>0</v>
      </c>
      <c r="W660" s="24">
        <v>-1</v>
      </c>
      <c r="X660"/>
      <c r="Y660" s="1">
        <v>0</v>
      </c>
      <c r="Z660" s="24">
        <v>-1</v>
      </c>
      <c r="AA660"/>
      <c r="AB660" s="1">
        <v>0</v>
      </c>
      <c r="AC660" s="24">
        <v>-1</v>
      </c>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c r="CC660"/>
      <c r="CD660"/>
      <c r="CE660"/>
      <c r="CF660"/>
      <c r="CG660"/>
      <c r="CH660"/>
      <c r="CI660"/>
      <c r="CJ660"/>
      <c r="CK660"/>
      <c r="CL660"/>
      <c r="CM660"/>
      <c r="CN660"/>
      <c r="CO660"/>
      <c r="CP660"/>
      <c r="CQ660"/>
      <c r="CR660"/>
      <c r="CS660"/>
    </row>
    <row r="661" spans="2:97">
      <c r="B661"/>
      <c r="C661" s="15"/>
      <c r="D661" s="23"/>
      <c r="E661" s="23"/>
      <c r="F661" s="23"/>
      <c r="G661" s="23">
        <f t="shared" si="43"/>
        <v>0</v>
      </c>
      <c r="H661" s="23" t="e" cm="1">
        <f t="array" ref="H661">INDEX('GLOBAL LOG'!#REF!,ROW()-169+15)</f>
        <v>#REF!</v>
      </c>
      <c r="I661" s="23" t="e">
        <f>_xlfn.XLOOKUP(H661,#REF!,#REF!,"",0,1)</f>
        <v>#REF!</v>
      </c>
      <c r="J661" s="23" t="str">
        <f>IFERROR(I661*#REF!,"")</f>
        <v/>
      </c>
      <c r="K661" s="23" t="e" cm="1">
        <f t="array" ref="K661">INDEX('GLOBAL LOG'!#REF!,ROW()-169+15)</f>
        <v>#REF!</v>
      </c>
      <c r="L661" s="23" t="e">
        <f>_xlfn.XLOOKUP(K661,#REF!,#REF!,"",0,1)</f>
        <v>#REF!</v>
      </c>
      <c r="M661" s="23" t="str">
        <f>IFERROR(L661*#REF!,"")</f>
        <v/>
      </c>
      <c r="N661" s="23">
        <f t="shared" si="44"/>
        <v>-1</v>
      </c>
      <c r="O661" s="23">
        <f t="shared" si="45"/>
        <v>-1</v>
      </c>
      <c r="P661" s="23">
        <f t="shared" si="46"/>
        <v>-1</v>
      </c>
      <c r="Q661" s="24">
        <f t="shared" si="47"/>
        <v>-1</v>
      </c>
      <c r="R661" s="3"/>
      <c r="S661" s="1">
        <v>0</v>
      </c>
      <c r="T661" s="24">
        <v>-1</v>
      </c>
      <c r="U661"/>
      <c r="V661" s="1">
        <v>0</v>
      </c>
      <c r="W661" s="24">
        <v>-1</v>
      </c>
      <c r="X661"/>
      <c r="Y661" s="1">
        <v>0</v>
      </c>
      <c r="Z661" s="24">
        <v>-1</v>
      </c>
      <c r="AA661"/>
      <c r="AB661" s="1">
        <v>0</v>
      </c>
      <c r="AC661" s="24">
        <v>-1</v>
      </c>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c r="CC661"/>
      <c r="CD661"/>
      <c r="CE661"/>
      <c r="CF661"/>
      <c r="CG661"/>
      <c r="CH661"/>
      <c r="CI661"/>
      <c r="CJ661"/>
      <c r="CK661"/>
      <c r="CL661"/>
      <c r="CM661"/>
      <c r="CN661"/>
      <c r="CO661"/>
      <c r="CP661"/>
      <c r="CQ661"/>
      <c r="CR661"/>
      <c r="CS661"/>
    </row>
    <row r="662" spans="2:97">
      <c r="B662"/>
      <c r="C662" s="15"/>
      <c r="D662" s="23"/>
      <c r="E662" s="23"/>
      <c r="F662" s="23"/>
      <c r="G662" s="23">
        <f t="shared" si="43"/>
        <v>0</v>
      </c>
      <c r="H662" s="23" t="e" cm="1">
        <f t="array" ref="H662">INDEX('GLOBAL LOG'!#REF!,ROW()-169+15)</f>
        <v>#REF!</v>
      </c>
      <c r="I662" s="23" t="e">
        <f>_xlfn.XLOOKUP(H662,#REF!,#REF!,"",0,1)</f>
        <v>#REF!</v>
      </c>
      <c r="J662" s="23" t="str">
        <f>IFERROR(I662*#REF!,"")</f>
        <v/>
      </c>
      <c r="K662" s="23" t="e" cm="1">
        <f t="array" ref="K662">INDEX('GLOBAL LOG'!#REF!,ROW()-169+15)</f>
        <v>#REF!</v>
      </c>
      <c r="L662" s="23" t="e">
        <f>_xlfn.XLOOKUP(K662,#REF!,#REF!,"",0,1)</f>
        <v>#REF!</v>
      </c>
      <c r="M662" s="23" t="str">
        <f>IFERROR(L662*#REF!,"")</f>
        <v/>
      </c>
      <c r="N662" s="23">
        <f t="shared" si="44"/>
        <v>-1</v>
      </c>
      <c r="O662" s="23">
        <f t="shared" si="45"/>
        <v>-1</v>
      </c>
      <c r="P662" s="23">
        <f t="shared" si="46"/>
        <v>-1</v>
      </c>
      <c r="Q662" s="24">
        <f t="shared" si="47"/>
        <v>-1</v>
      </c>
      <c r="R662" s="3"/>
      <c r="S662" s="1">
        <v>0</v>
      </c>
      <c r="T662" s="24">
        <v>-1</v>
      </c>
      <c r="U662"/>
      <c r="V662" s="1">
        <v>0</v>
      </c>
      <c r="W662" s="24">
        <v>-1</v>
      </c>
      <c r="X662"/>
      <c r="Y662" s="1">
        <v>0</v>
      </c>
      <c r="Z662" s="24">
        <v>-1</v>
      </c>
      <c r="AA662"/>
      <c r="AB662" s="1">
        <v>0</v>
      </c>
      <c r="AC662" s="24">
        <v>-1</v>
      </c>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c r="CC662"/>
      <c r="CD662"/>
      <c r="CE662"/>
      <c r="CF662"/>
      <c r="CG662"/>
      <c r="CH662"/>
      <c r="CI662"/>
      <c r="CJ662"/>
      <c r="CK662"/>
      <c r="CL662"/>
      <c r="CM662"/>
      <c r="CN662"/>
      <c r="CO662"/>
      <c r="CP662"/>
      <c r="CQ662"/>
      <c r="CR662"/>
      <c r="CS662"/>
    </row>
    <row r="663" spans="2:97">
      <c r="B663"/>
      <c r="C663" s="15"/>
      <c r="D663" s="23"/>
      <c r="E663" s="23"/>
      <c r="F663" s="23"/>
      <c r="G663" s="23">
        <f t="shared" si="43"/>
        <v>0</v>
      </c>
      <c r="H663" s="23" t="e" cm="1">
        <f t="array" ref="H663">INDEX('GLOBAL LOG'!#REF!,ROW()-169+15)</f>
        <v>#REF!</v>
      </c>
      <c r="I663" s="23" t="e">
        <f>_xlfn.XLOOKUP(H663,#REF!,#REF!,"",0,1)</f>
        <v>#REF!</v>
      </c>
      <c r="J663" s="23" t="str">
        <f>IFERROR(I663*#REF!,"")</f>
        <v/>
      </c>
      <c r="K663" s="23" t="e" cm="1">
        <f t="array" ref="K663">INDEX('GLOBAL LOG'!#REF!,ROW()-169+15)</f>
        <v>#REF!</v>
      </c>
      <c r="L663" s="23" t="e">
        <f>_xlfn.XLOOKUP(K663,#REF!,#REF!,"",0,1)</f>
        <v>#REF!</v>
      </c>
      <c r="M663" s="23" t="str">
        <f>IFERROR(L663*#REF!,"")</f>
        <v/>
      </c>
      <c r="N663" s="23">
        <f t="shared" si="44"/>
        <v>-1</v>
      </c>
      <c r="O663" s="23">
        <f t="shared" si="45"/>
        <v>-1</v>
      </c>
      <c r="P663" s="23">
        <f t="shared" si="46"/>
        <v>-1</v>
      </c>
      <c r="Q663" s="24">
        <f t="shared" si="47"/>
        <v>-1</v>
      </c>
      <c r="R663" s="3"/>
      <c r="S663" s="1">
        <v>0</v>
      </c>
      <c r="T663" s="24">
        <v>-1</v>
      </c>
      <c r="U663"/>
      <c r="V663" s="1">
        <v>0</v>
      </c>
      <c r="W663" s="24">
        <v>-1</v>
      </c>
      <c r="X663"/>
      <c r="Y663" s="1">
        <v>0</v>
      </c>
      <c r="Z663" s="24">
        <v>-1</v>
      </c>
      <c r="AA663"/>
      <c r="AB663" s="1">
        <v>0</v>
      </c>
      <c r="AC663" s="24">
        <v>-1</v>
      </c>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c r="CC663"/>
      <c r="CD663"/>
      <c r="CE663"/>
      <c r="CF663"/>
      <c r="CG663"/>
      <c r="CH663"/>
      <c r="CI663"/>
      <c r="CJ663"/>
      <c r="CK663"/>
      <c r="CL663"/>
      <c r="CM663"/>
      <c r="CN663"/>
      <c r="CO663"/>
      <c r="CP663"/>
      <c r="CQ663"/>
      <c r="CR663"/>
      <c r="CS663"/>
    </row>
    <row r="664" spans="2:97">
      <c r="B664"/>
      <c r="C664" s="15"/>
      <c r="D664" s="23"/>
      <c r="E664" s="23"/>
      <c r="F664" s="23"/>
      <c r="G664" s="23">
        <f t="shared" si="43"/>
        <v>0</v>
      </c>
      <c r="H664" s="23" t="e" cm="1">
        <f t="array" ref="H664">INDEX('GLOBAL LOG'!#REF!,ROW()-169+15)</f>
        <v>#REF!</v>
      </c>
      <c r="I664" s="23" t="e">
        <f>_xlfn.XLOOKUP(H664,#REF!,#REF!,"",0,1)</f>
        <v>#REF!</v>
      </c>
      <c r="J664" s="23" t="str">
        <f>IFERROR(I664*#REF!,"")</f>
        <v/>
      </c>
      <c r="K664" s="23" t="e" cm="1">
        <f t="array" ref="K664">INDEX('GLOBAL LOG'!#REF!,ROW()-169+15)</f>
        <v>#REF!</v>
      </c>
      <c r="L664" s="23" t="e">
        <f>_xlfn.XLOOKUP(K664,#REF!,#REF!,"",0,1)</f>
        <v>#REF!</v>
      </c>
      <c r="M664" s="23" t="str">
        <f>IFERROR(L664*#REF!,"")</f>
        <v/>
      </c>
      <c r="N664" s="23">
        <f t="shared" si="44"/>
        <v>-1</v>
      </c>
      <c r="O664" s="23">
        <f t="shared" si="45"/>
        <v>-1</v>
      </c>
      <c r="P664" s="23">
        <f t="shared" si="46"/>
        <v>-1</v>
      </c>
      <c r="Q664" s="24">
        <f t="shared" si="47"/>
        <v>-1</v>
      </c>
      <c r="R664" s="3"/>
      <c r="S664" s="1">
        <v>0</v>
      </c>
      <c r="T664" s="24">
        <v>-1</v>
      </c>
      <c r="U664"/>
      <c r="V664" s="1">
        <v>0</v>
      </c>
      <c r="W664" s="24">
        <v>-1</v>
      </c>
      <c r="X664"/>
      <c r="Y664" s="1">
        <v>0</v>
      </c>
      <c r="Z664" s="24">
        <v>-1</v>
      </c>
      <c r="AA664"/>
      <c r="AB664" s="1">
        <v>0</v>
      </c>
      <c r="AC664" s="24">
        <v>-1</v>
      </c>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c r="CC664"/>
      <c r="CD664"/>
      <c r="CE664"/>
      <c r="CF664"/>
      <c r="CG664"/>
      <c r="CH664"/>
      <c r="CI664"/>
      <c r="CJ664"/>
      <c r="CK664"/>
      <c r="CL664"/>
      <c r="CM664"/>
      <c r="CN664"/>
      <c r="CO664"/>
      <c r="CP664"/>
      <c r="CQ664"/>
      <c r="CR664"/>
      <c r="CS664"/>
    </row>
    <row r="665" spans="2:97">
      <c r="B665"/>
      <c r="C665" s="15"/>
      <c r="D665" s="23"/>
      <c r="E665" s="23"/>
      <c r="F665" s="23"/>
      <c r="G665" s="23">
        <f t="shared" si="43"/>
        <v>0</v>
      </c>
      <c r="H665" s="23" t="e" cm="1">
        <f t="array" ref="H665">INDEX('GLOBAL LOG'!#REF!,ROW()-169+15)</f>
        <v>#REF!</v>
      </c>
      <c r="I665" s="23" t="e">
        <f>_xlfn.XLOOKUP(H665,#REF!,#REF!,"",0,1)</f>
        <v>#REF!</v>
      </c>
      <c r="J665" s="23" t="str">
        <f>IFERROR(I665*#REF!,"")</f>
        <v/>
      </c>
      <c r="K665" s="23" t="e" cm="1">
        <f t="array" ref="K665">INDEX('GLOBAL LOG'!#REF!,ROW()-169+15)</f>
        <v>#REF!</v>
      </c>
      <c r="L665" s="23" t="e">
        <f>_xlfn.XLOOKUP(K665,#REF!,#REF!,"",0,1)</f>
        <v>#REF!</v>
      </c>
      <c r="M665" s="23" t="str">
        <f>IFERROR(L665*#REF!,"")</f>
        <v/>
      </c>
      <c r="N665" s="23">
        <f t="shared" si="44"/>
        <v>-1</v>
      </c>
      <c r="O665" s="23">
        <f t="shared" si="45"/>
        <v>-1</v>
      </c>
      <c r="P665" s="23">
        <f t="shared" si="46"/>
        <v>-1</v>
      </c>
      <c r="Q665" s="24">
        <f t="shared" si="47"/>
        <v>-1</v>
      </c>
      <c r="R665" s="3"/>
      <c r="S665" s="1">
        <v>0</v>
      </c>
      <c r="T665" s="24">
        <v>-1</v>
      </c>
      <c r="U665"/>
      <c r="V665" s="1">
        <v>0</v>
      </c>
      <c r="W665" s="24">
        <v>-1</v>
      </c>
      <c r="X665"/>
      <c r="Y665" s="1">
        <v>0</v>
      </c>
      <c r="Z665" s="24">
        <v>-1</v>
      </c>
      <c r="AA665"/>
      <c r="AB665" s="1">
        <v>0</v>
      </c>
      <c r="AC665" s="24">
        <v>-1</v>
      </c>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c r="CC665"/>
      <c r="CD665"/>
      <c r="CE665"/>
      <c r="CF665"/>
      <c r="CG665"/>
      <c r="CH665"/>
      <c r="CI665"/>
      <c r="CJ665"/>
      <c r="CK665"/>
      <c r="CL665"/>
      <c r="CM665"/>
      <c r="CN665"/>
      <c r="CO665"/>
      <c r="CP665"/>
      <c r="CQ665"/>
      <c r="CR665"/>
      <c r="CS665"/>
    </row>
    <row r="666" spans="2:97">
      <c r="B666"/>
      <c r="C666" s="15"/>
      <c r="D666" s="23"/>
      <c r="E666" s="23"/>
      <c r="F666" s="23"/>
      <c r="G666" s="23">
        <f t="shared" si="43"/>
        <v>0</v>
      </c>
      <c r="H666" s="23" t="e" cm="1">
        <f t="array" ref="H666">INDEX('GLOBAL LOG'!#REF!,ROW()-169+15)</f>
        <v>#REF!</v>
      </c>
      <c r="I666" s="23" t="e">
        <f>_xlfn.XLOOKUP(H666,#REF!,#REF!,"",0,1)</f>
        <v>#REF!</v>
      </c>
      <c r="J666" s="23" t="str">
        <f>IFERROR(I666*#REF!,"")</f>
        <v/>
      </c>
      <c r="K666" s="23" t="e" cm="1">
        <f t="array" ref="K666">INDEX('GLOBAL LOG'!#REF!,ROW()-169+15)</f>
        <v>#REF!</v>
      </c>
      <c r="L666" s="23" t="e">
        <f>_xlfn.XLOOKUP(K666,#REF!,#REF!,"",0,1)</f>
        <v>#REF!</v>
      </c>
      <c r="M666" s="23" t="str">
        <f>IFERROR(L666*#REF!,"")</f>
        <v/>
      </c>
      <c r="N666" s="23">
        <f t="shared" si="44"/>
        <v>-1</v>
      </c>
      <c r="O666" s="23">
        <f t="shared" si="45"/>
        <v>-1</v>
      </c>
      <c r="P666" s="23">
        <f t="shared" si="46"/>
        <v>-1</v>
      </c>
      <c r="Q666" s="24">
        <f t="shared" si="47"/>
        <v>-1</v>
      </c>
      <c r="R666" s="3"/>
      <c r="S666" s="1">
        <v>0</v>
      </c>
      <c r="T666" s="24">
        <v>-1</v>
      </c>
      <c r="U666"/>
      <c r="V666" s="1">
        <v>0</v>
      </c>
      <c r="W666" s="24">
        <v>-1</v>
      </c>
      <c r="X666"/>
      <c r="Y666" s="1">
        <v>0</v>
      </c>
      <c r="Z666" s="24">
        <v>-1</v>
      </c>
      <c r="AA666"/>
      <c r="AB666" s="1">
        <v>0</v>
      </c>
      <c r="AC666" s="24">
        <v>-1</v>
      </c>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c r="CC666"/>
      <c r="CD666"/>
      <c r="CE666"/>
      <c r="CF666"/>
      <c r="CG666"/>
      <c r="CH666"/>
      <c r="CI666"/>
      <c r="CJ666"/>
      <c r="CK666"/>
      <c r="CL666"/>
      <c r="CM666"/>
      <c r="CN666"/>
      <c r="CO666"/>
      <c r="CP666"/>
      <c r="CQ666"/>
      <c r="CR666"/>
      <c r="CS666"/>
    </row>
    <row r="667" spans="2:97">
      <c r="B667"/>
      <c r="C667" s="15"/>
      <c r="D667" s="23"/>
      <c r="E667" s="23"/>
      <c r="F667" s="23"/>
      <c r="G667" s="23">
        <f t="shared" si="43"/>
        <v>0</v>
      </c>
      <c r="H667" s="23" t="e" cm="1">
        <f t="array" ref="H667">INDEX('GLOBAL LOG'!#REF!,ROW()-169+15)</f>
        <v>#REF!</v>
      </c>
      <c r="I667" s="23" t="e">
        <f>_xlfn.XLOOKUP(H667,#REF!,#REF!,"",0,1)</f>
        <v>#REF!</v>
      </c>
      <c r="J667" s="23" t="str">
        <f>IFERROR(I667*#REF!,"")</f>
        <v/>
      </c>
      <c r="K667" s="23" t="e" cm="1">
        <f t="array" ref="K667">INDEX('GLOBAL LOG'!#REF!,ROW()-169+15)</f>
        <v>#REF!</v>
      </c>
      <c r="L667" s="23" t="e">
        <f>_xlfn.XLOOKUP(K667,#REF!,#REF!,"",0,1)</f>
        <v>#REF!</v>
      </c>
      <c r="M667" s="23" t="str">
        <f>IFERROR(L667*#REF!,"")</f>
        <v/>
      </c>
      <c r="N667" s="23">
        <f t="shared" si="44"/>
        <v>-1</v>
      </c>
      <c r="O667" s="23">
        <f t="shared" si="45"/>
        <v>-1</v>
      </c>
      <c r="P667" s="23">
        <f t="shared" si="46"/>
        <v>-1</v>
      </c>
      <c r="Q667" s="24">
        <f t="shared" si="47"/>
        <v>-1</v>
      </c>
      <c r="R667" s="3"/>
      <c r="S667" s="1">
        <v>0</v>
      </c>
      <c r="T667" s="24">
        <v>-1</v>
      </c>
      <c r="U667"/>
      <c r="V667" s="1">
        <v>0</v>
      </c>
      <c r="W667" s="24">
        <v>-1</v>
      </c>
      <c r="X667"/>
      <c r="Y667" s="1">
        <v>0</v>
      </c>
      <c r="Z667" s="24">
        <v>-1</v>
      </c>
      <c r="AA667"/>
      <c r="AB667" s="1">
        <v>0</v>
      </c>
      <c r="AC667" s="24">
        <v>-1</v>
      </c>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c r="CC667"/>
      <c r="CD667"/>
      <c r="CE667"/>
      <c r="CF667"/>
      <c r="CG667"/>
      <c r="CH667"/>
      <c r="CI667"/>
      <c r="CJ667"/>
      <c r="CK667"/>
      <c r="CL667"/>
      <c r="CM667"/>
      <c r="CN667"/>
      <c r="CO667"/>
      <c r="CP667"/>
      <c r="CQ667"/>
      <c r="CR667"/>
      <c r="CS667"/>
    </row>
    <row r="668" spans="2:97">
      <c r="B668"/>
      <c r="C668" s="15"/>
      <c r="D668" s="23"/>
      <c r="E668" s="23"/>
      <c r="F668" s="23"/>
      <c r="G668" s="23">
        <f t="shared" si="43"/>
        <v>0</v>
      </c>
      <c r="H668" s="23" t="e" cm="1">
        <f t="array" ref="H668">INDEX('GLOBAL LOG'!#REF!,ROW()-169+15)</f>
        <v>#REF!</v>
      </c>
      <c r="I668" s="23" t="e">
        <f>_xlfn.XLOOKUP(H668,#REF!,#REF!,"",0,1)</f>
        <v>#REF!</v>
      </c>
      <c r="J668" s="23" t="str">
        <f>IFERROR(I668*#REF!,"")</f>
        <v/>
      </c>
      <c r="K668" s="23" t="e" cm="1">
        <f t="array" ref="K668">INDEX('GLOBAL LOG'!#REF!,ROW()-169+15)</f>
        <v>#REF!</v>
      </c>
      <c r="L668" s="23" t="e">
        <f>_xlfn.XLOOKUP(K668,#REF!,#REF!,"",0,1)</f>
        <v>#REF!</v>
      </c>
      <c r="M668" s="23" t="str">
        <f>IFERROR(L668*#REF!,"")</f>
        <v/>
      </c>
      <c r="N668" s="23">
        <f t="shared" si="44"/>
        <v>-1</v>
      </c>
      <c r="O668" s="23">
        <f t="shared" si="45"/>
        <v>-1</v>
      </c>
      <c r="P668" s="23">
        <f t="shared" si="46"/>
        <v>-1</v>
      </c>
      <c r="Q668" s="24">
        <f t="shared" si="47"/>
        <v>-1</v>
      </c>
      <c r="R668" s="3"/>
      <c r="S668" s="1">
        <v>0</v>
      </c>
      <c r="T668" s="24">
        <v>-1</v>
      </c>
      <c r="U668"/>
      <c r="V668" s="1">
        <v>0</v>
      </c>
      <c r="W668" s="24">
        <v>-1</v>
      </c>
      <c r="X668"/>
      <c r="Y668" s="1">
        <v>0</v>
      </c>
      <c r="Z668" s="24">
        <v>-1</v>
      </c>
      <c r="AA668"/>
      <c r="AB668" s="1">
        <v>0</v>
      </c>
      <c r="AC668" s="24">
        <v>-1</v>
      </c>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c r="CC668"/>
      <c r="CD668"/>
      <c r="CE668"/>
      <c r="CF668"/>
      <c r="CG668"/>
      <c r="CH668"/>
      <c r="CI668"/>
      <c r="CJ668"/>
      <c r="CK668"/>
      <c r="CL668"/>
      <c r="CM668"/>
      <c r="CN668"/>
      <c r="CO668"/>
      <c r="CP668"/>
      <c r="CQ668"/>
      <c r="CR668"/>
      <c r="CS668"/>
    </row>
    <row r="669" spans="2:97">
      <c r="B669"/>
      <c r="C669" s="15"/>
      <c r="D669" s="23"/>
      <c r="E669" s="23"/>
      <c r="F669" s="23"/>
      <c r="G669" s="23">
        <f t="shared" si="43"/>
        <v>0</v>
      </c>
      <c r="H669" s="23" t="e" cm="1">
        <f t="array" ref="H669">INDEX('GLOBAL LOG'!#REF!,ROW()-169+15)</f>
        <v>#REF!</v>
      </c>
      <c r="I669" s="23" t="e">
        <f>_xlfn.XLOOKUP(H669,#REF!,#REF!,"",0,1)</f>
        <v>#REF!</v>
      </c>
      <c r="J669" s="23" t="str">
        <f>IFERROR(I669*#REF!,"")</f>
        <v/>
      </c>
      <c r="K669" s="23" t="e" cm="1">
        <f t="array" ref="K669">INDEX('GLOBAL LOG'!#REF!,ROW()-169+15)</f>
        <v>#REF!</v>
      </c>
      <c r="L669" s="23" t="e">
        <f>_xlfn.XLOOKUP(K669,#REF!,#REF!,"",0,1)</f>
        <v>#REF!</v>
      </c>
      <c r="M669" s="23" t="str">
        <f>IFERROR(L669*#REF!,"")</f>
        <v/>
      </c>
      <c r="N669" s="23">
        <f t="shared" si="44"/>
        <v>-1</v>
      </c>
      <c r="O669" s="23">
        <f t="shared" si="45"/>
        <v>-1</v>
      </c>
      <c r="P669" s="23">
        <f t="shared" si="46"/>
        <v>-1</v>
      </c>
      <c r="Q669" s="24">
        <f t="shared" si="47"/>
        <v>-1</v>
      </c>
      <c r="R669" s="3"/>
      <c r="S669" s="1">
        <v>0</v>
      </c>
      <c r="T669" s="24">
        <v>-1</v>
      </c>
      <c r="U669"/>
      <c r="V669" s="1">
        <v>0</v>
      </c>
      <c r="W669" s="24">
        <v>-1</v>
      </c>
      <c r="X669"/>
      <c r="Y669" s="1">
        <v>0</v>
      </c>
      <c r="Z669" s="24">
        <v>-1</v>
      </c>
      <c r="AA669"/>
      <c r="AB669" s="1">
        <v>0</v>
      </c>
      <c r="AC669" s="24">
        <v>-1</v>
      </c>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c r="CC669"/>
      <c r="CD669"/>
      <c r="CE669"/>
      <c r="CF669"/>
      <c r="CG669"/>
      <c r="CH669"/>
      <c r="CI669"/>
      <c r="CJ669"/>
      <c r="CK669"/>
      <c r="CL669"/>
      <c r="CM669"/>
      <c r="CN669"/>
      <c r="CO669"/>
      <c r="CP669"/>
      <c r="CQ669"/>
      <c r="CR669"/>
      <c r="CS669"/>
    </row>
    <row r="670" spans="2:97">
      <c r="B670"/>
      <c r="C670" s="15"/>
      <c r="D670" s="23"/>
      <c r="E670" s="23"/>
      <c r="F670" s="23"/>
      <c r="G670" s="23">
        <f t="shared" si="43"/>
        <v>0</v>
      </c>
      <c r="H670" s="23" t="e" cm="1">
        <f t="array" ref="H670">INDEX('GLOBAL LOG'!#REF!,ROW()-169+15)</f>
        <v>#REF!</v>
      </c>
      <c r="I670" s="23" t="e">
        <f>_xlfn.XLOOKUP(H670,#REF!,#REF!,"",0,1)</f>
        <v>#REF!</v>
      </c>
      <c r="J670" s="23" t="str">
        <f>IFERROR(I670*#REF!,"")</f>
        <v/>
      </c>
      <c r="K670" s="23" t="e" cm="1">
        <f t="array" ref="K670">INDEX('GLOBAL LOG'!#REF!,ROW()-169+15)</f>
        <v>#REF!</v>
      </c>
      <c r="L670" s="23" t="e">
        <f>_xlfn.XLOOKUP(K670,#REF!,#REF!,"",0,1)</f>
        <v>#REF!</v>
      </c>
      <c r="M670" s="23" t="str">
        <f>IFERROR(L670*#REF!,"")</f>
        <v/>
      </c>
      <c r="N670" s="23">
        <f t="shared" si="44"/>
        <v>-1</v>
      </c>
      <c r="O670" s="23">
        <f t="shared" si="45"/>
        <v>-1</v>
      </c>
      <c r="P670" s="23">
        <f t="shared" si="46"/>
        <v>-1</v>
      </c>
      <c r="Q670" s="24">
        <f t="shared" si="47"/>
        <v>-1</v>
      </c>
      <c r="R670" s="3"/>
      <c r="S670" s="1">
        <v>0</v>
      </c>
      <c r="T670" s="24">
        <v>-1</v>
      </c>
      <c r="U670"/>
      <c r="V670" s="1">
        <v>0</v>
      </c>
      <c r="W670" s="24">
        <v>-1</v>
      </c>
      <c r="X670"/>
      <c r="Y670" s="1">
        <v>0</v>
      </c>
      <c r="Z670" s="24">
        <v>-1</v>
      </c>
      <c r="AA670"/>
      <c r="AB670" s="1">
        <v>0</v>
      </c>
      <c r="AC670" s="24">
        <v>-1</v>
      </c>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c r="CC670"/>
      <c r="CD670"/>
      <c r="CE670"/>
      <c r="CF670"/>
      <c r="CG670"/>
      <c r="CH670"/>
      <c r="CI670"/>
      <c r="CJ670"/>
      <c r="CK670"/>
      <c r="CL670"/>
      <c r="CM670"/>
      <c r="CN670"/>
      <c r="CO670"/>
      <c r="CP670"/>
      <c r="CQ670"/>
      <c r="CR670"/>
      <c r="CS670"/>
    </row>
    <row r="671" spans="2:97">
      <c r="B671"/>
      <c r="C671" s="15"/>
      <c r="D671" s="23"/>
      <c r="E671" s="23"/>
      <c r="F671" s="23"/>
      <c r="G671" s="23">
        <f t="shared" si="43"/>
        <v>0</v>
      </c>
      <c r="H671" s="23" t="e" cm="1">
        <f t="array" ref="H671">INDEX('GLOBAL LOG'!#REF!,ROW()-169+15)</f>
        <v>#REF!</v>
      </c>
      <c r="I671" s="23" t="e">
        <f>_xlfn.XLOOKUP(H671,#REF!,#REF!,"",0,1)</f>
        <v>#REF!</v>
      </c>
      <c r="J671" s="23" t="str">
        <f>IFERROR(I671*#REF!,"")</f>
        <v/>
      </c>
      <c r="K671" s="23" t="e" cm="1">
        <f t="array" ref="K671">INDEX('GLOBAL LOG'!#REF!,ROW()-169+15)</f>
        <v>#REF!</v>
      </c>
      <c r="L671" s="23" t="e">
        <f>_xlfn.XLOOKUP(K671,#REF!,#REF!,"",0,1)</f>
        <v>#REF!</v>
      </c>
      <c r="M671" s="23" t="str">
        <f>IFERROR(L671*#REF!,"")</f>
        <v/>
      </c>
      <c r="N671" s="23">
        <f t="shared" si="44"/>
        <v>-1</v>
      </c>
      <c r="O671" s="23">
        <f t="shared" si="45"/>
        <v>-1</v>
      </c>
      <c r="P671" s="23">
        <f t="shared" si="46"/>
        <v>-1</v>
      </c>
      <c r="Q671" s="24">
        <f t="shared" si="47"/>
        <v>-1</v>
      </c>
      <c r="R671" s="3"/>
      <c r="S671" s="1">
        <v>0</v>
      </c>
      <c r="T671" s="24">
        <v>-1</v>
      </c>
      <c r="U671"/>
      <c r="V671" s="1">
        <v>0</v>
      </c>
      <c r="W671" s="24">
        <v>-1</v>
      </c>
      <c r="X671"/>
      <c r="Y671" s="1">
        <v>0</v>
      </c>
      <c r="Z671" s="24">
        <v>-1</v>
      </c>
      <c r="AA671"/>
      <c r="AB671" s="1">
        <v>0</v>
      </c>
      <c r="AC671" s="24">
        <v>-1</v>
      </c>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c r="CC671"/>
      <c r="CD671"/>
      <c r="CE671"/>
      <c r="CF671"/>
      <c r="CG671"/>
      <c r="CH671"/>
      <c r="CI671"/>
      <c r="CJ671"/>
      <c r="CK671"/>
      <c r="CL671"/>
      <c r="CM671"/>
      <c r="CN671"/>
      <c r="CO671"/>
      <c r="CP671"/>
      <c r="CQ671"/>
      <c r="CR671"/>
      <c r="CS671"/>
    </row>
    <row r="672" spans="2:97">
      <c r="B672"/>
      <c r="C672" s="15"/>
      <c r="D672" s="23"/>
      <c r="E672" s="23"/>
      <c r="F672" s="23"/>
      <c r="G672" s="23">
        <f t="shared" si="43"/>
        <v>0</v>
      </c>
      <c r="H672" s="23" t="e" cm="1">
        <f t="array" ref="H672">INDEX('GLOBAL LOG'!#REF!,ROW()-169+15)</f>
        <v>#REF!</v>
      </c>
      <c r="I672" s="23" t="e">
        <f>_xlfn.XLOOKUP(H672,#REF!,#REF!,"",0,1)</f>
        <v>#REF!</v>
      </c>
      <c r="J672" s="23" t="str">
        <f>IFERROR(I672*#REF!,"")</f>
        <v/>
      </c>
      <c r="K672" s="23" t="e" cm="1">
        <f t="array" ref="K672">INDEX('GLOBAL LOG'!#REF!,ROW()-169+15)</f>
        <v>#REF!</v>
      </c>
      <c r="L672" s="23" t="e">
        <f>_xlfn.XLOOKUP(K672,#REF!,#REF!,"",0,1)</f>
        <v>#REF!</v>
      </c>
      <c r="M672" s="23" t="str">
        <f>IFERROR(L672*#REF!,"")</f>
        <v/>
      </c>
      <c r="N672" s="23">
        <f t="shared" si="44"/>
        <v>-1</v>
      </c>
      <c r="O672" s="23">
        <f t="shared" si="45"/>
        <v>-1</v>
      </c>
      <c r="P672" s="23">
        <f t="shared" si="46"/>
        <v>-1</v>
      </c>
      <c r="Q672" s="24">
        <f t="shared" si="47"/>
        <v>-1</v>
      </c>
      <c r="R672" s="3"/>
      <c r="S672" s="1">
        <v>0</v>
      </c>
      <c r="T672" s="24">
        <v>-1</v>
      </c>
      <c r="U672"/>
      <c r="V672" s="1">
        <v>0</v>
      </c>
      <c r="W672" s="24">
        <v>-1</v>
      </c>
      <c r="X672"/>
      <c r="Y672" s="1">
        <v>0</v>
      </c>
      <c r="Z672" s="24">
        <v>-1</v>
      </c>
      <c r="AA672"/>
      <c r="AB672" s="1">
        <v>0</v>
      </c>
      <c r="AC672" s="24">
        <v>-1</v>
      </c>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c r="CC672"/>
      <c r="CD672"/>
      <c r="CE672"/>
      <c r="CF672"/>
      <c r="CG672"/>
      <c r="CH672"/>
      <c r="CI672"/>
      <c r="CJ672"/>
      <c r="CK672"/>
      <c r="CL672"/>
      <c r="CM672"/>
      <c r="CN672"/>
      <c r="CO672"/>
      <c r="CP672"/>
      <c r="CQ672"/>
      <c r="CR672"/>
      <c r="CS672"/>
    </row>
    <row r="673" spans="2:97">
      <c r="B673"/>
      <c r="C673" s="15"/>
      <c r="D673" s="23"/>
      <c r="E673" s="23"/>
      <c r="F673" s="23"/>
      <c r="G673" s="23">
        <f t="shared" si="43"/>
        <v>0</v>
      </c>
      <c r="H673" s="23" t="e" cm="1">
        <f t="array" ref="H673">INDEX('GLOBAL LOG'!#REF!,ROW()-169+15)</f>
        <v>#REF!</v>
      </c>
      <c r="I673" s="23" t="e">
        <f>_xlfn.XLOOKUP(H673,#REF!,#REF!,"",0,1)</f>
        <v>#REF!</v>
      </c>
      <c r="J673" s="23" t="str">
        <f>IFERROR(I673*#REF!,"")</f>
        <v/>
      </c>
      <c r="K673" s="23" t="e" cm="1">
        <f t="array" ref="K673">INDEX('GLOBAL LOG'!#REF!,ROW()-169+15)</f>
        <v>#REF!</v>
      </c>
      <c r="L673" s="23" t="e">
        <f>_xlfn.XLOOKUP(K673,#REF!,#REF!,"",0,1)</f>
        <v>#REF!</v>
      </c>
      <c r="M673" s="23" t="str">
        <f>IFERROR(L673*#REF!,"")</f>
        <v/>
      </c>
      <c r="N673" s="23">
        <f t="shared" si="44"/>
        <v>-1</v>
      </c>
      <c r="O673" s="23">
        <f t="shared" si="45"/>
        <v>-1</v>
      </c>
      <c r="P673" s="23">
        <f t="shared" si="46"/>
        <v>-1</v>
      </c>
      <c r="Q673" s="24">
        <f t="shared" si="47"/>
        <v>-1</v>
      </c>
      <c r="R673" s="3"/>
      <c r="S673" s="1">
        <v>0</v>
      </c>
      <c r="T673" s="24">
        <v>-1</v>
      </c>
      <c r="U673"/>
      <c r="V673" s="1">
        <v>0</v>
      </c>
      <c r="W673" s="24">
        <v>-1</v>
      </c>
      <c r="X673"/>
      <c r="Y673" s="1">
        <v>0</v>
      </c>
      <c r="Z673" s="24">
        <v>-1</v>
      </c>
      <c r="AA673"/>
      <c r="AB673" s="1">
        <v>0</v>
      </c>
      <c r="AC673" s="24">
        <v>-1</v>
      </c>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c r="CC673"/>
      <c r="CD673"/>
      <c r="CE673"/>
      <c r="CF673"/>
      <c r="CG673"/>
      <c r="CH673"/>
      <c r="CI673"/>
      <c r="CJ673"/>
      <c r="CK673"/>
      <c r="CL673"/>
      <c r="CM673"/>
      <c r="CN673"/>
      <c r="CO673"/>
      <c r="CP673"/>
      <c r="CQ673"/>
      <c r="CR673"/>
      <c r="CS673"/>
    </row>
    <row r="674" spans="2:97">
      <c r="B674"/>
      <c r="C674" s="15"/>
      <c r="D674" s="23"/>
      <c r="E674" s="23"/>
      <c r="F674" s="23"/>
      <c r="G674" s="23">
        <f t="shared" si="43"/>
        <v>0</v>
      </c>
      <c r="H674" s="23" t="e" cm="1">
        <f t="array" ref="H674">INDEX('GLOBAL LOG'!#REF!,ROW()-169+15)</f>
        <v>#REF!</v>
      </c>
      <c r="I674" s="23" t="e">
        <f>_xlfn.XLOOKUP(H674,#REF!,#REF!,"",0,1)</f>
        <v>#REF!</v>
      </c>
      <c r="J674" s="23" t="str">
        <f>IFERROR(I674*#REF!,"")</f>
        <v/>
      </c>
      <c r="K674" s="23" t="e" cm="1">
        <f t="array" ref="K674">INDEX('GLOBAL LOG'!#REF!,ROW()-169+15)</f>
        <v>#REF!</v>
      </c>
      <c r="L674" s="23" t="e">
        <f>_xlfn.XLOOKUP(K674,#REF!,#REF!,"",0,1)</f>
        <v>#REF!</v>
      </c>
      <c r="M674" s="23" t="str">
        <f>IFERROR(L674*#REF!,"")</f>
        <v/>
      </c>
      <c r="N674" s="23">
        <f t="shared" si="44"/>
        <v>-1</v>
      </c>
      <c r="O674" s="23">
        <f t="shared" si="45"/>
        <v>-1</v>
      </c>
      <c r="P674" s="23">
        <f t="shared" si="46"/>
        <v>-1</v>
      </c>
      <c r="Q674" s="24">
        <f t="shared" si="47"/>
        <v>-1</v>
      </c>
      <c r="R674" s="3"/>
      <c r="S674" s="1">
        <v>0</v>
      </c>
      <c r="T674" s="24">
        <v>-1</v>
      </c>
      <c r="U674"/>
      <c r="V674" s="1">
        <v>0</v>
      </c>
      <c r="W674" s="24">
        <v>-1</v>
      </c>
      <c r="X674"/>
      <c r="Y674" s="1">
        <v>0</v>
      </c>
      <c r="Z674" s="24">
        <v>-1</v>
      </c>
      <c r="AA674"/>
      <c r="AB674" s="1">
        <v>0</v>
      </c>
      <c r="AC674" s="24">
        <v>-1</v>
      </c>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c r="CC674"/>
      <c r="CD674"/>
      <c r="CE674"/>
      <c r="CF674"/>
      <c r="CG674"/>
      <c r="CH674"/>
      <c r="CI674"/>
      <c r="CJ674"/>
      <c r="CK674"/>
      <c r="CL674"/>
      <c r="CM674"/>
      <c r="CN674"/>
      <c r="CO674"/>
      <c r="CP674"/>
      <c r="CQ674"/>
      <c r="CR674"/>
      <c r="CS674"/>
    </row>
    <row r="675" spans="2:97">
      <c r="B675"/>
      <c r="C675" s="15"/>
      <c r="D675" s="23"/>
      <c r="E675" s="23"/>
      <c r="F675" s="23"/>
      <c r="G675" s="23">
        <f t="shared" si="43"/>
        <v>0</v>
      </c>
      <c r="H675" s="23" t="e" cm="1">
        <f t="array" ref="H675">INDEX('GLOBAL LOG'!#REF!,ROW()-169+15)</f>
        <v>#REF!</v>
      </c>
      <c r="I675" s="23" t="e">
        <f>_xlfn.XLOOKUP(H675,#REF!,#REF!,"",0,1)</f>
        <v>#REF!</v>
      </c>
      <c r="J675" s="23" t="str">
        <f>IFERROR(I675*#REF!,"")</f>
        <v/>
      </c>
      <c r="K675" s="23" t="e" cm="1">
        <f t="array" ref="K675">INDEX('GLOBAL LOG'!#REF!,ROW()-169+15)</f>
        <v>#REF!</v>
      </c>
      <c r="L675" s="23" t="e">
        <f>_xlfn.XLOOKUP(K675,#REF!,#REF!,"",0,1)</f>
        <v>#REF!</v>
      </c>
      <c r="M675" s="23" t="str">
        <f>IFERROR(L675*#REF!,"")</f>
        <v/>
      </c>
      <c r="N675" s="23">
        <f t="shared" si="44"/>
        <v>-1</v>
      </c>
      <c r="O675" s="23">
        <f t="shared" si="45"/>
        <v>-1</v>
      </c>
      <c r="P675" s="23">
        <f t="shared" si="46"/>
        <v>-1</v>
      </c>
      <c r="Q675" s="24">
        <f t="shared" si="47"/>
        <v>-1</v>
      </c>
      <c r="R675" s="3"/>
      <c r="S675" s="1">
        <v>0</v>
      </c>
      <c r="T675" s="24">
        <v>-1</v>
      </c>
      <c r="U675"/>
      <c r="V675" s="1">
        <v>0</v>
      </c>
      <c r="W675" s="24">
        <v>-1</v>
      </c>
      <c r="X675"/>
      <c r="Y675" s="1">
        <v>0</v>
      </c>
      <c r="Z675" s="24">
        <v>-1</v>
      </c>
      <c r="AA675"/>
      <c r="AB675" s="1">
        <v>0</v>
      </c>
      <c r="AC675" s="24">
        <v>-1</v>
      </c>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c r="CC675"/>
      <c r="CD675"/>
      <c r="CE675"/>
      <c r="CF675"/>
      <c r="CG675"/>
      <c r="CH675"/>
      <c r="CI675"/>
      <c r="CJ675"/>
      <c r="CK675"/>
      <c r="CL675"/>
      <c r="CM675"/>
      <c r="CN675"/>
      <c r="CO675"/>
      <c r="CP675"/>
      <c r="CQ675"/>
      <c r="CR675"/>
      <c r="CS675"/>
    </row>
    <row r="676" spans="2:97">
      <c r="B676"/>
      <c r="C676" s="15"/>
      <c r="D676" s="23"/>
      <c r="E676" s="23"/>
      <c r="F676" s="23"/>
      <c r="G676" s="23">
        <f t="shared" si="43"/>
        <v>0</v>
      </c>
      <c r="H676" s="23" t="e" cm="1">
        <f t="array" ref="H676">INDEX('GLOBAL LOG'!#REF!,ROW()-169+15)</f>
        <v>#REF!</v>
      </c>
      <c r="I676" s="23" t="e">
        <f>_xlfn.XLOOKUP(H676,#REF!,#REF!,"",0,1)</f>
        <v>#REF!</v>
      </c>
      <c r="J676" s="23" t="str">
        <f>IFERROR(I676*#REF!,"")</f>
        <v/>
      </c>
      <c r="K676" s="23" t="e" cm="1">
        <f t="array" ref="K676">INDEX('GLOBAL LOG'!#REF!,ROW()-169+15)</f>
        <v>#REF!</v>
      </c>
      <c r="L676" s="23" t="e">
        <f>_xlfn.XLOOKUP(K676,#REF!,#REF!,"",0,1)</f>
        <v>#REF!</v>
      </c>
      <c r="M676" s="23" t="str">
        <f>IFERROR(L676*#REF!,"")</f>
        <v/>
      </c>
      <c r="N676" s="23">
        <f t="shared" si="44"/>
        <v>-1</v>
      </c>
      <c r="O676" s="23">
        <f t="shared" si="45"/>
        <v>-1</v>
      </c>
      <c r="P676" s="23">
        <f t="shared" si="46"/>
        <v>-1</v>
      </c>
      <c r="Q676" s="24">
        <f t="shared" si="47"/>
        <v>-1</v>
      </c>
      <c r="R676" s="3"/>
      <c r="S676" s="1">
        <v>0</v>
      </c>
      <c r="T676" s="24">
        <v>-1</v>
      </c>
      <c r="U676"/>
      <c r="V676" s="1">
        <v>0</v>
      </c>
      <c r="W676" s="24">
        <v>-1</v>
      </c>
      <c r="X676"/>
      <c r="Y676" s="1">
        <v>0</v>
      </c>
      <c r="Z676" s="24">
        <v>-1</v>
      </c>
      <c r="AA676"/>
      <c r="AB676" s="1">
        <v>0</v>
      </c>
      <c r="AC676" s="24">
        <v>-1</v>
      </c>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c r="CC676"/>
      <c r="CD676"/>
      <c r="CE676"/>
      <c r="CF676"/>
      <c r="CG676"/>
      <c r="CH676"/>
      <c r="CI676"/>
      <c r="CJ676"/>
      <c r="CK676"/>
      <c r="CL676"/>
      <c r="CM676"/>
      <c r="CN676"/>
      <c r="CO676"/>
      <c r="CP676"/>
      <c r="CQ676"/>
      <c r="CR676"/>
      <c r="CS676"/>
    </row>
    <row r="677" spans="2:97">
      <c r="B677"/>
      <c r="C677" s="15"/>
      <c r="D677" s="23"/>
      <c r="E677" s="23"/>
      <c r="F677" s="23"/>
      <c r="G677" s="23">
        <f t="shared" si="43"/>
        <v>0</v>
      </c>
      <c r="H677" s="23" t="e" cm="1">
        <f t="array" ref="H677">INDEX('GLOBAL LOG'!#REF!,ROW()-169+15)</f>
        <v>#REF!</v>
      </c>
      <c r="I677" s="23" t="e">
        <f>_xlfn.XLOOKUP(H677,#REF!,#REF!,"",0,1)</f>
        <v>#REF!</v>
      </c>
      <c r="J677" s="23" t="str">
        <f>IFERROR(I677*#REF!,"")</f>
        <v/>
      </c>
      <c r="K677" s="23" t="e" cm="1">
        <f t="array" ref="K677">INDEX('GLOBAL LOG'!#REF!,ROW()-169+15)</f>
        <v>#REF!</v>
      </c>
      <c r="L677" s="23" t="e">
        <f>_xlfn.XLOOKUP(K677,#REF!,#REF!,"",0,1)</f>
        <v>#REF!</v>
      </c>
      <c r="M677" s="23" t="str">
        <f>IFERROR(L677*#REF!,"")</f>
        <v/>
      </c>
      <c r="N677" s="23">
        <f t="shared" si="44"/>
        <v>-1</v>
      </c>
      <c r="O677" s="23">
        <f t="shared" si="45"/>
        <v>-1</v>
      </c>
      <c r="P677" s="23">
        <f t="shared" si="46"/>
        <v>-1</v>
      </c>
      <c r="Q677" s="24">
        <f t="shared" si="47"/>
        <v>-1</v>
      </c>
      <c r="R677" s="3"/>
      <c r="S677" s="1">
        <v>0</v>
      </c>
      <c r="T677" s="24">
        <v>-1</v>
      </c>
      <c r="U677"/>
      <c r="V677" s="1">
        <v>0</v>
      </c>
      <c r="W677" s="24">
        <v>-1</v>
      </c>
      <c r="X677"/>
      <c r="Y677" s="1">
        <v>0</v>
      </c>
      <c r="Z677" s="24">
        <v>-1</v>
      </c>
      <c r="AA677"/>
      <c r="AB677" s="1">
        <v>0</v>
      </c>
      <c r="AC677" s="24">
        <v>-1</v>
      </c>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c r="CC677"/>
      <c r="CD677"/>
      <c r="CE677"/>
      <c r="CF677"/>
      <c r="CG677"/>
      <c r="CH677"/>
      <c r="CI677"/>
      <c r="CJ677"/>
      <c r="CK677"/>
      <c r="CL677"/>
      <c r="CM677"/>
      <c r="CN677"/>
      <c r="CO677"/>
      <c r="CP677"/>
      <c r="CQ677"/>
      <c r="CR677"/>
      <c r="CS677"/>
    </row>
    <row r="678" spans="2:97">
      <c r="B678"/>
      <c r="C678" s="15"/>
      <c r="D678" s="23"/>
      <c r="E678" s="23"/>
      <c r="F678" s="23"/>
      <c r="G678" s="23">
        <f t="shared" si="43"/>
        <v>0</v>
      </c>
      <c r="H678" s="23" t="e" cm="1">
        <f t="array" ref="H678">INDEX('GLOBAL LOG'!#REF!,ROW()-169+15)</f>
        <v>#REF!</v>
      </c>
      <c r="I678" s="23" t="e">
        <f>_xlfn.XLOOKUP(H678,#REF!,#REF!,"",0,1)</f>
        <v>#REF!</v>
      </c>
      <c r="J678" s="23" t="str">
        <f>IFERROR(I678*#REF!,"")</f>
        <v/>
      </c>
      <c r="K678" s="23" t="e" cm="1">
        <f t="array" ref="K678">INDEX('GLOBAL LOG'!#REF!,ROW()-169+15)</f>
        <v>#REF!</v>
      </c>
      <c r="L678" s="23" t="e">
        <f>_xlfn.XLOOKUP(K678,#REF!,#REF!,"",0,1)</f>
        <v>#REF!</v>
      </c>
      <c r="M678" s="23" t="str">
        <f>IFERROR(L678*#REF!,"")</f>
        <v/>
      </c>
      <c r="N678" s="23">
        <f t="shared" si="44"/>
        <v>-1</v>
      </c>
      <c r="O678" s="23">
        <f t="shared" si="45"/>
        <v>-1</v>
      </c>
      <c r="P678" s="23">
        <f t="shared" si="46"/>
        <v>-1</v>
      </c>
      <c r="Q678" s="24">
        <f t="shared" si="47"/>
        <v>-1</v>
      </c>
      <c r="R678" s="3"/>
      <c r="S678" s="1">
        <v>0</v>
      </c>
      <c r="T678" s="24">
        <v>-1</v>
      </c>
      <c r="U678"/>
      <c r="V678" s="1">
        <v>0</v>
      </c>
      <c r="W678" s="24">
        <v>-1</v>
      </c>
      <c r="X678"/>
      <c r="Y678" s="1">
        <v>0</v>
      </c>
      <c r="Z678" s="24">
        <v>-1</v>
      </c>
      <c r="AA678"/>
      <c r="AB678" s="1">
        <v>0</v>
      </c>
      <c r="AC678" s="24">
        <v>-1</v>
      </c>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c r="CC678"/>
      <c r="CD678"/>
      <c r="CE678"/>
      <c r="CF678"/>
      <c r="CG678"/>
      <c r="CH678"/>
      <c r="CI678"/>
      <c r="CJ678"/>
      <c r="CK678"/>
      <c r="CL678"/>
      <c r="CM678"/>
      <c r="CN678"/>
      <c r="CO678"/>
      <c r="CP678"/>
      <c r="CQ678"/>
      <c r="CR678"/>
      <c r="CS678"/>
    </row>
    <row r="679" spans="2:97">
      <c r="B679"/>
      <c r="C679" s="15"/>
      <c r="D679" s="23"/>
      <c r="E679" s="23"/>
      <c r="F679" s="23"/>
      <c r="G679" s="23">
        <f t="shared" si="43"/>
        <v>0</v>
      </c>
      <c r="H679" s="23" t="e" cm="1">
        <f t="array" ref="H679">INDEX('GLOBAL LOG'!#REF!,ROW()-169+15)</f>
        <v>#REF!</v>
      </c>
      <c r="I679" s="23" t="e">
        <f>_xlfn.XLOOKUP(H679,#REF!,#REF!,"",0,1)</f>
        <v>#REF!</v>
      </c>
      <c r="J679" s="23" t="str">
        <f>IFERROR(I679*#REF!,"")</f>
        <v/>
      </c>
      <c r="K679" s="23" t="e" cm="1">
        <f t="array" ref="K679">INDEX('GLOBAL LOG'!#REF!,ROW()-169+15)</f>
        <v>#REF!</v>
      </c>
      <c r="L679" s="23" t="e">
        <f>_xlfn.XLOOKUP(K679,#REF!,#REF!,"",0,1)</f>
        <v>#REF!</v>
      </c>
      <c r="M679" s="23" t="str">
        <f>IFERROR(L679*#REF!,"")</f>
        <v/>
      </c>
      <c r="N679" s="23">
        <f t="shared" si="44"/>
        <v>-1</v>
      </c>
      <c r="O679" s="23">
        <f t="shared" si="45"/>
        <v>-1</v>
      </c>
      <c r="P679" s="23">
        <f t="shared" si="46"/>
        <v>-1</v>
      </c>
      <c r="Q679" s="24">
        <f t="shared" si="47"/>
        <v>-1</v>
      </c>
      <c r="R679" s="3"/>
      <c r="S679" s="1">
        <v>0</v>
      </c>
      <c r="T679" s="24">
        <v>-1</v>
      </c>
      <c r="U679"/>
      <c r="V679" s="1">
        <v>0</v>
      </c>
      <c r="W679" s="24">
        <v>-1</v>
      </c>
      <c r="X679"/>
      <c r="Y679" s="1">
        <v>0</v>
      </c>
      <c r="Z679" s="24">
        <v>-1</v>
      </c>
      <c r="AA679"/>
      <c r="AB679" s="1">
        <v>0</v>
      </c>
      <c r="AC679" s="24">
        <v>-1</v>
      </c>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c r="CC679"/>
      <c r="CD679"/>
      <c r="CE679"/>
      <c r="CF679"/>
      <c r="CG679"/>
      <c r="CH679"/>
      <c r="CI679"/>
      <c r="CJ679"/>
      <c r="CK679"/>
      <c r="CL679"/>
      <c r="CM679"/>
      <c r="CN679"/>
      <c r="CO679"/>
      <c r="CP679"/>
      <c r="CQ679"/>
      <c r="CR679"/>
      <c r="CS679"/>
    </row>
    <row r="680" spans="2:97">
      <c r="B680"/>
      <c r="C680" s="15"/>
      <c r="D680" s="23"/>
      <c r="E680" s="23"/>
      <c r="F680" s="23"/>
      <c r="G680" s="23">
        <f t="shared" si="43"/>
        <v>0</v>
      </c>
      <c r="H680" s="23" t="e" cm="1">
        <f t="array" ref="H680">INDEX('GLOBAL LOG'!#REF!,ROW()-169+15)</f>
        <v>#REF!</v>
      </c>
      <c r="I680" s="23" t="e">
        <f>_xlfn.XLOOKUP(H680,#REF!,#REF!,"",0,1)</f>
        <v>#REF!</v>
      </c>
      <c r="J680" s="23" t="str">
        <f>IFERROR(I680*#REF!,"")</f>
        <v/>
      </c>
      <c r="K680" s="23" t="e" cm="1">
        <f t="array" ref="K680">INDEX('GLOBAL LOG'!#REF!,ROW()-169+15)</f>
        <v>#REF!</v>
      </c>
      <c r="L680" s="23" t="e">
        <f>_xlfn.XLOOKUP(K680,#REF!,#REF!,"",0,1)</f>
        <v>#REF!</v>
      </c>
      <c r="M680" s="23" t="str">
        <f>IFERROR(L680*#REF!,"")</f>
        <v/>
      </c>
      <c r="N680" s="23">
        <f t="shared" si="44"/>
        <v>-1</v>
      </c>
      <c r="O680" s="23">
        <f t="shared" si="45"/>
        <v>-1</v>
      </c>
      <c r="P680" s="23">
        <f t="shared" si="46"/>
        <v>-1</v>
      </c>
      <c r="Q680" s="24">
        <f t="shared" si="47"/>
        <v>-1</v>
      </c>
      <c r="R680" s="3"/>
      <c r="S680" s="1">
        <v>0</v>
      </c>
      <c r="T680" s="24">
        <v>-1</v>
      </c>
      <c r="U680"/>
      <c r="V680" s="1">
        <v>0</v>
      </c>
      <c r="W680" s="24">
        <v>-1</v>
      </c>
      <c r="X680"/>
      <c r="Y680" s="1">
        <v>0</v>
      </c>
      <c r="Z680" s="24">
        <v>-1</v>
      </c>
      <c r="AA680"/>
      <c r="AB680" s="1">
        <v>0</v>
      </c>
      <c r="AC680" s="24">
        <v>-1</v>
      </c>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c r="CC680"/>
      <c r="CD680"/>
      <c r="CE680"/>
      <c r="CF680"/>
      <c r="CG680"/>
      <c r="CH680"/>
      <c r="CI680"/>
      <c r="CJ680"/>
      <c r="CK680"/>
      <c r="CL680"/>
      <c r="CM680"/>
      <c r="CN680"/>
      <c r="CO680"/>
      <c r="CP680"/>
      <c r="CQ680"/>
      <c r="CR680"/>
      <c r="CS680"/>
    </row>
    <row r="681" spans="2:97">
      <c r="B681"/>
      <c r="C681" s="15"/>
      <c r="D681" s="23"/>
      <c r="E681" s="23"/>
      <c r="F681" s="23"/>
      <c r="G681" s="23">
        <f t="shared" si="43"/>
        <v>0</v>
      </c>
      <c r="H681" s="23" t="e" cm="1">
        <f t="array" ref="H681">INDEX('GLOBAL LOG'!#REF!,ROW()-169+15)</f>
        <v>#REF!</v>
      </c>
      <c r="I681" s="23" t="e">
        <f>_xlfn.XLOOKUP(H681,#REF!,#REF!,"",0,1)</f>
        <v>#REF!</v>
      </c>
      <c r="J681" s="23" t="str">
        <f>IFERROR(I681*#REF!,"")</f>
        <v/>
      </c>
      <c r="K681" s="23" t="e" cm="1">
        <f t="array" ref="K681">INDEX('GLOBAL LOG'!#REF!,ROW()-169+15)</f>
        <v>#REF!</v>
      </c>
      <c r="L681" s="23" t="e">
        <f>_xlfn.XLOOKUP(K681,#REF!,#REF!,"",0,1)</f>
        <v>#REF!</v>
      </c>
      <c r="M681" s="23" t="str">
        <f>IFERROR(L681*#REF!,"")</f>
        <v/>
      </c>
      <c r="N681" s="23">
        <f t="shared" si="44"/>
        <v>-1</v>
      </c>
      <c r="O681" s="23">
        <f t="shared" si="45"/>
        <v>-1</v>
      </c>
      <c r="P681" s="23">
        <f t="shared" si="46"/>
        <v>-1</v>
      </c>
      <c r="Q681" s="24">
        <f t="shared" si="47"/>
        <v>-1</v>
      </c>
      <c r="R681" s="3"/>
      <c r="S681" s="1">
        <v>0</v>
      </c>
      <c r="T681" s="24">
        <v>-1</v>
      </c>
      <c r="U681"/>
      <c r="V681" s="1">
        <v>0</v>
      </c>
      <c r="W681" s="24">
        <v>-1</v>
      </c>
      <c r="X681"/>
      <c r="Y681" s="1">
        <v>0</v>
      </c>
      <c r="Z681" s="24">
        <v>-1</v>
      </c>
      <c r="AA681"/>
      <c r="AB681" s="1">
        <v>0</v>
      </c>
      <c r="AC681" s="24">
        <v>-1</v>
      </c>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c r="CC681"/>
      <c r="CD681"/>
      <c r="CE681"/>
      <c r="CF681"/>
      <c r="CG681"/>
      <c r="CH681"/>
      <c r="CI681"/>
      <c r="CJ681"/>
      <c r="CK681"/>
      <c r="CL681"/>
      <c r="CM681"/>
      <c r="CN681"/>
      <c r="CO681"/>
      <c r="CP681"/>
      <c r="CQ681"/>
      <c r="CR681"/>
      <c r="CS681"/>
    </row>
    <row r="682" spans="2:97">
      <c r="B682"/>
      <c r="C682" s="15"/>
      <c r="D682" s="23"/>
      <c r="E682" s="23"/>
      <c r="F682" s="23"/>
      <c r="G682" s="23">
        <f t="shared" ref="G682:G745" si="48">E682+F682</f>
        <v>0</v>
      </c>
      <c r="H682" s="23" t="e" cm="1">
        <f t="array" ref="H682">INDEX('GLOBAL LOG'!#REF!,ROW()-169+15)</f>
        <v>#REF!</v>
      </c>
      <c r="I682" s="23" t="e">
        <f>_xlfn.XLOOKUP(H682,#REF!,#REF!,"",0,1)</f>
        <v>#REF!</v>
      </c>
      <c r="J682" s="23" t="str">
        <f>IFERROR(I682*#REF!,"")</f>
        <v/>
      </c>
      <c r="K682" s="23" t="e" cm="1">
        <f t="array" ref="K682">INDEX('GLOBAL LOG'!#REF!,ROW()-169+15)</f>
        <v>#REF!</v>
      </c>
      <c r="L682" s="23" t="e">
        <f>_xlfn.XLOOKUP(K682,#REF!,#REF!,"",0,1)</f>
        <v>#REF!</v>
      </c>
      <c r="M682" s="23" t="str">
        <f>IFERROR(L682*#REF!,"")</f>
        <v/>
      </c>
      <c r="N682" s="23">
        <f t="shared" ref="N682:N745" si="49">IFERROR(D682*J682*M682,-1)</f>
        <v>-1</v>
      </c>
      <c r="O682" s="23">
        <f t="shared" ref="O682:O745" si="50">IFERROR(E682*J682*M682,-1)</f>
        <v>-1</v>
      </c>
      <c r="P682" s="23">
        <f t="shared" ref="P682:P745" si="51">IFERROR(F682*J682*M682,-1)</f>
        <v>-1</v>
      </c>
      <c r="Q682" s="24">
        <f t="shared" ref="Q682:Q745" si="52">IFERROR(G682*J682*M682,-1)</f>
        <v>-1</v>
      </c>
      <c r="R682" s="3"/>
      <c r="S682" s="1">
        <v>0</v>
      </c>
      <c r="T682" s="24">
        <v>-1</v>
      </c>
      <c r="U682"/>
      <c r="V682" s="1">
        <v>0</v>
      </c>
      <c r="W682" s="24">
        <v>-1</v>
      </c>
      <c r="X682"/>
      <c r="Y682" s="1">
        <v>0</v>
      </c>
      <c r="Z682" s="24">
        <v>-1</v>
      </c>
      <c r="AA682"/>
      <c r="AB682" s="1">
        <v>0</v>
      </c>
      <c r="AC682" s="24">
        <v>-1</v>
      </c>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c r="CC682"/>
      <c r="CD682"/>
      <c r="CE682"/>
      <c r="CF682"/>
      <c r="CG682"/>
      <c r="CH682"/>
      <c r="CI682"/>
      <c r="CJ682"/>
      <c r="CK682"/>
      <c r="CL682"/>
      <c r="CM682"/>
      <c r="CN682"/>
      <c r="CO682"/>
      <c r="CP682"/>
      <c r="CQ682"/>
      <c r="CR682"/>
      <c r="CS682"/>
    </row>
    <row r="683" spans="2:97">
      <c r="B683"/>
      <c r="C683" s="15"/>
      <c r="D683" s="23"/>
      <c r="E683" s="23"/>
      <c r="F683" s="23"/>
      <c r="G683" s="23">
        <f t="shared" si="48"/>
        <v>0</v>
      </c>
      <c r="H683" s="23" t="e" cm="1">
        <f t="array" ref="H683">INDEX('GLOBAL LOG'!#REF!,ROW()-169+15)</f>
        <v>#REF!</v>
      </c>
      <c r="I683" s="23" t="e">
        <f>_xlfn.XLOOKUP(H683,#REF!,#REF!,"",0,1)</f>
        <v>#REF!</v>
      </c>
      <c r="J683" s="23" t="str">
        <f>IFERROR(I683*#REF!,"")</f>
        <v/>
      </c>
      <c r="K683" s="23" t="e" cm="1">
        <f t="array" ref="K683">INDEX('GLOBAL LOG'!#REF!,ROW()-169+15)</f>
        <v>#REF!</v>
      </c>
      <c r="L683" s="23" t="e">
        <f>_xlfn.XLOOKUP(K683,#REF!,#REF!,"",0,1)</f>
        <v>#REF!</v>
      </c>
      <c r="M683" s="23" t="str">
        <f>IFERROR(L683*#REF!,"")</f>
        <v/>
      </c>
      <c r="N683" s="23">
        <f t="shared" si="49"/>
        <v>-1</v>
      </c>
      <c r="O683" s="23">
        <f t="shared" si="50"/>
        <v>-1</v>
      </c>
      <c r="P683" s="23">
        <f t="shared" si="51"/>
        <v>-1</v>
      </c>
      <c r="Q683" s="24">
        <f t="shared" si="52"/>
        <v>-1</v>
      </c>
      <c r="R683" s="3"/>
      <c r="S683" s="1">
        <v>0</v>
      </c>
      <c r="T683" s="24">
        <v>-1</v>
      </c>
      <c r="U683"/>
      <c r="V683" s="1">
        <v>0</v>
      </c>
      <c r="W683" s="24">
        <v>-1</v>
      </c>
      <c r="X683"/>
      <c r="Y683" s="1">
        <v>0</v>
      </c>
      <c r="Z683" s="24">
        <v>-1</v>
      </c>
      <c r="AA683"/>
      <c r="AB683" s="1">
        <v>0</v>
      </c>
      <c r="AC683" s="24">
        <v>-1</v>
      </c>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c r="CC683"/>
      <c r="CD683"/>
      <c r="CE683"/>
      <c r="CF683"/>
      <c r="CG683"/>
      <c r="CH683"/>
      <c r="CI683"/>
      <c r="CJ683"/>
      <c r="CK683"/>
      <c r="CL683"/>
      <c r="CM683"/>
      <c r="CN683"/>
      <c r="CO683"/>
      <c r="CP683"/>
      <c r="CQ683"/>
      <c r="CR683"/>
      <c r="CS683"/>
    </row>
    <row r="684" spans="2:97">
      <c r="B684"/>
      <c r="C684" s="15"/>
      <c r="D684" s="23"/>
      <c r="E684" s="23"/>
      <c r="F684" s="23"/>
      <c r="G684" s="23">
        <f t="shared" si="48"/>
        <v>0</v>
      </c>
      <c r="H684" s="23" t="e" cm="1">
        <f t="array" ref="H684">INDEX('GLOBAL LOG'!#REF!,ROW()-169+15)</f>
        <v>#REF!</v>
      </c>
      <c r="I684" s="23" t="e">
        <f>_xlfn.XLOOKUP(H684,#REF!,#REF!,"",0,1)</f>
        <v>#REF!</v>
      </c>
      <c r="J684" s="23" t="str">
        <f>IFERROR(I684*#REF!,"")</f>
        <v/>
      </c>
      <c r="K684" s="23" t="e" cm="1">
        <f t="array" ref="K684">INDEX('GLOBAL LOG'!#REF!,ROW()-169+15)</f>
        <v>#REF!</v>
      </c>
      <c r="L684" s="23" t="e">
        <f>_xlfn.XLOOKUP(K684,#REF!,#REF!,"",0,1)</f>
        <v>#REF!</v>
      </c>
      <c r="M684" s="23" t="str">
        <f>IFERROR(L684*#REF!,"")</f>
        <v/>
      </c>
      <c r="N684" s="23">
        <f t="shared" si="49"/>
        <v>-1</v>
      </c>
      <c r="O684" s="23">
        <f t="shared" si="50"/>
        <v>-1</v>
      </c>
      <c r="P684" s="23">
        <f t="shared" si="51"/>
        <v>-1</v>
      </c>
      <c r="Q684" s="24">
        <f t="shared" si="52"/>
        <v>-1</v>
      </c>
      <c r="R684" s="3"/>
      <c r="S684" s="1">
        <v>0</v>
      </c>
      <c r="T684" s="24">
        <v>-1</v>
      </c>
      <c r="U684"/>
      <c r="V684" s="1">
        <v>0</v>
      </c>
      <c r="W684" s="24">
        <v>-1</v>
      </c>
      <c r="X684"/>
      <c r="Y684" s="1">
        <v>0</v>
      </c>
      <c r="Z684" s="24">
        <v>-1</v>
      </c>
      <c r="AA684"/>
      <c r="AB684" s="1">
        <v>0</v>
      </c>
      <c r="AC684" s="24">
        <v>-1</v>
      </c>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c r="CC684"/>
      <c r="CD684"/>
      <c r="CE684"/>
      <c r="CF684"/>
      <c r="CG684"/>
      <c r="CH684"/>
      <c r="CI684"/>
      <c r="CJ684"/>
      <c r="CK684"/>
      <c r="CL684"/>
      <c r="CM684"/>
      <c r="CN684"/>
      <c r="CO684"/>
      <c r="CP684"/>
      <c r="CQ684"/>
      <c r="CR684"/>
      <c r="CS684"/>
    </row>
    <row r="685" spans="2:97">
      <c r="B685"/>
      <c r="C685" s="15"/>
      <c r="D685" s="23"/>
      <c r="E685" s="23"/>
      <c r="F685" s="23"/>
      <c r="G685" s="23">
        <f t="shared" si="48"/>
        <v>0</v>
      </c>
      <c r="H685" s="23" t="e" cm="1">
        <f t="array" ref="H685">INDEX('GLOBAL LOG'!#REF!,ROW()-169+15)</f>
        <v>#REF!</v>
      </c>
      <c r="I685" s="23" t="e">
        <f>_xlfn.XLOOKUP(H685,#REF!,#REF!,"",0,1)</f>
        <v>#REF!</v>
      </c>
      <c r="J685" s="23" t="str">
        <f>IFERROR(I685*#REF!,"")</f>
        <v/>
      </c>
      <c r="K685" s="23" t="e" cm="1">
        <f t="array" ref="K685">INDEX('GLOBAL LOG'!#REF!,ROW()-169+15)</f>
        <v>#REF!</v>
      </c>
      <c r="L685" s="23" t="e">
        <f>_xlfn.XLOOKUP(K685,#REF!,#REF!,"",0,1)</f>
        <v>#REF!</v>
      </c>
      <c r="M685" s="23" t="str">
        <f>IFERROR(L685*#REF!,"")</f>
        <v/>
      </c>
      <c r="N685" s="23">
        <f t="shared" si="49"/>
        <v>-1</v>
      </c>
      <c r="O685" s="23">
        <f t="shared" si="50"/>
        <v>-1</v>
      </c>
      <c r="P685" s="23">
        <f t="shared" si="51"/>
        <v>-1</v>
      </c>
      <c r="Q685" s="24">
        <f t="shared" si="52"/>
        <v>-1</v>
      </c>
      <c r="R685" s="3"/>
      <c r="S685" s="1">
        <v>0</v>
      </c>
      <c r="T685" s="24">
        <v>-1</v>
      </c>
      <c r="U685"/>
      <c r="V685" s="1">
        <v>0</v>
      </c>
      <c r="W685" s="24">
        <v>-1</v>
      </c>
      <c r="X685"/>
      <c r="Y685" s="1">
        <v>0</v>
      </c>
      <c r="Z685" s="24">
        <v>-1</v>
      </c>
      <c r="AA685"/>
      <c r="AB685" s="1">
        <v>0</v>
      </c>
      <c r="AC685" s="24">
        <v>-1</v>
      </c>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c r="CC685"/>
      <c r="CD685"/>
      <c r="CE685"/>
      <c r="CF685"/>
      <c r="CG685"/>
      <c r="CH685"/>
      <c r="CI685"/>
      <c r="CJ685"/>
      <c r="CK685"/>
      <c r="CL685"/>
      <c r="CM685"/>
      <c r="CN685"/>
      <c r="CO685"/>
      <c r="CP685"/>
      <c r="CQ685"/>
      <c r="CR685"/>
      <c r="CS685"/>
    </row>
    <row r="686" spans="2:97">
      <c r="B686"/>
      <c r="C686" s="15"/>
      <c r="D686" s="23"/>
      <c r="E686" s="23"/>
      <c r="F686" s="23"/>
      <c r="G686" s="23">
        <f t="shared" si="48"/>
        <v>0</v>
      </c>
      <c r="H686" s="23" t="e" cm="1">
        <f t="array" ref="H686">INDEX('GLOBAL LOG'!#REF!,ROW()-169+15)</f>
        <v>#REF!</v>
      </c>
      <c r="I686" s="23" t="e">
        <f>_xlfn.XLOOKUP(H686,#REF!,#REF!,"",0,1)</f>
        <v>#REF!</v>
      </c>
      <c r="J686" s="23" t="str">
        <f>IFERROR(I686*#REF!,"")</f>
        <v/>
      </c>
      <c r="K686" s="23" t="e" cm="1">
        <f t="array" ref="K686">INDEX('GLOBAL LOG'!#REF!,ROW()-169+15)</f>
        <v>#REF!</v>
      </c>
      <c r="L686" s="23" t="e">
        <f>_xlfn.XLOOKUP(K686,#REF!,#REF!,"",0,1)</f>
        <v>#REF!</v>
      </c>
      <c r="M686" s="23" t="str">
        <f>IFERROR(L686*#REF!,"")</f>
        <v/>
      </c>
      <c r="N686" s="23">
        <f t="shared" si="49"/>
        <v>-1</v>
      </c>
      <c r="O686" s="23">
        <f t="shared" si="50"/>
        <v>-1</v>
      </c>
      <c r="P686" s="23">
        <f t="shared" si="51"/>
        <v>-1</v>
      </c>
      <c r="Q686" s="24">
        <f t="shared" si="52"/>
        <v>-1</v>
      </c>
      <c r="R686" s="3"/>
      <c r="S686" s="1">
        <v>0</v>
      </c>
      <c r="T686" s="24">
        <v>-1</v>
      </c>
      <c r="U686"/>
      <c r="V686" s="1">
        <v>0</v>
      </c>
      <c r="W686" s="24">
        <v>-1</v>
      </c>
      <c r="X686"/>
      <c r="Y686" s="1">
        <v>0</v>
      </c>
      <c r="Z686" s="24">
        <v>-1</v>
      </c>
      <c r="AA686"/>
      <c r="AB686" s="1">
        <v>0</v>
      </c>
      <c r="AC686" s="24">
        <v>-1</v>
      </c>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c r="CC686"/>
      <c r="CD686"/>
      <c r="CE686"/>
      <c r="CF686"/>
      <c r="CG686"/>
      <c r="CH686"/>
      <c r="CI686"/>
      <c r="CJ686"/>
      <c r="CK686"/>
      <c r="CL686"/>
      <c r="CM686"/>
      <c r="CN686"/>
      <c r="CO686"/>
      <c r="CP686"/>
      <c r="CQ686"/>
      <c r="CR686"/>
      <c r="CS686"/>
    </row>
    <row r="687" spans="2:97">
      <c r="B687"/>
      <c r="C687" s="15"/>
      <c r="D687" s="23"/>
      <c r="E687" s="23"/>
      <c r="F687" s="23"/>
      <c r="G687" s="23">
        <f t="shared" si="48"/>
        <v>0</v>
      </c>
      <c r="H687" s="23" t="e" cm="1">
        <f t="array" ref="H687">INDEX('GLOBAL LOG'!#REF!,ROW()-169+15)</f>
        <v>#REF!</v>
      </c>
      <c r="I687" s="23" t="e">
        <f>_xlfn.XLOOKUP(H687,#REF!,#REF!,"",0,1)</f>
        <v>#REF!</v>
      </c>
      <c r="J687" s="23" t="str">
        <f>IFERROR(I687*#REF!,"")</f>
        <v/>
      </c>
      <c r="K687" s="23" t="e" cm="1">
        <f t="array" ref="K687">INDEX('GLOBAL LOG'!#REF!,ROW()-169+15)</f>
        <v>#REF!</v>
      </c>
      <c r="L687" s="23" t="e">
        <f>_xlfn.XLOOKUP(K687,#REF!,#REF!,"",0,1)</f>
        <v>#REF!</v>
      </c>
      <c r="M687" s="23" t="str">
        <f>IFERROR(L687*#REF!,"")</f>
        <v/>
      </c>
      <c r="N687" s="23">
        <f t="shared" si="49"/>
        <v>-1</v>
      </c>
      <c r="O687" s="23">
        <f t="shared" si="50"/>
        <v>-1</v>
      </c>
      <c r="P687" s="23">
        <f t="shared" si="51"/>
        <v>-1</v>
      </c>
      <c r="Q687" s="24">
        <f t="shared" si="52"/>
        <v>-1</v>
      </c>
      <c r="R687" s="3"/>
      <c r="S687" s="1">
        <v>0</v>
      </c>
      <c r="T687" s="24">
        <v>-1</v>
      </c>
      <c r="U687"/>
      <c r="V687" s="1">
        <v>0</v>
      </c>
      <c r="W687" s="24">
        <v>-1</v>
      </c>
      <c r="X687"/>
      <c r="Y687" s="1">
        <v>0</v>
      </c>
      <c r="Z687" s="24">
        <v>-1</v>
      </c>
      <c r="AA687"/>
      <c r="AB687" s="1">
        <v>0</v>
      </c>
      <c r="AC687" s="24">
        <v>-1</v>
      </c>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c r="CC687"/>
      <c r="CD687"/>
      <c r="CE687"/>
      <c r="CF687"/>
      <c r="CG687"/>
      <c r="CH687"/>
      <c r="CI687"/>
      <c r="CJ687"/>
      <c r="CK687"/>
      <c r="CL687"/>
      <c r="CM687"/>
      <c r="CN687"/>
      <c r="CO687"/>
      <c r="CP687"/>
      <c r="CQ687"/>
      <c r="CR687"/>
      <c r="CS687"/>
    </row>
    <row r="688" spans="2:97">
      <c r="B688"/>
      <c r="C688" s="15"/>
      <c r="D688" s="23"/>
      <c r="E688" s="23"/>
      <c r="F688" s="23"/>
      <c r="G688" s="23">
        <f t="shared" si="48"/>
        <v>0</v>
      </c>
      <c r="H688" s="23" t="e" cm="1">
        <f t="array" ref="H688">INDEX('GLOBAL LOG'!#REF!,ROW()-169+15)</f>
        <v>#REF!</v>
      </c>
      <c r="I688" s="23" t="e">
        <f>_xlfn.XLOOKUP(H688,#REF!,#REF!,"",0,1)</f>
        <v>#REF!</v>
      </c>
      <c r="J688" s="23" t="str">
        <f>IFERROR(I688*#REF!,"")</f>
        <v/>
      </c>
      <c r="K688" s="23" t="e" cm="1">
        <f t="array" ref="K688">INDEX('GLOBAL LOG'!#REF!,ROW()-169+15)</f>
        <v>#REF!</v>
      </c>
      <c r="L688" s="23" t="e">
        <f>_xlfn.XLOOKUP(K688,#REF!,#REF!,"",0,1)</f>
        <v>#REF!</v>
      </c>
      <c r="M688" s="23" t="str">
        <f>IFERROR(L688*#REF!,"")</f>
        <v/>
      </c>
      <c r="N688" s="23">
        <f t="shared" si="49"/>
        <v>-1</v>
      </c>
      <c r="O688" s="23">
        <f t="shared" si="50"/>
        <v>-1</v>
      </c>
      <c r="P688" s="23">
        <f t="shared" si="51"/>
        <v>-1</v>
      </c>
      <c r="Q688" s="24">
        <f t="shared" si="52"/>
        <v>-1</v>
      </c>
      <c r="R688" s="3"/>
      <c r="S688" s="1">
        <v>0</v>
      </c>
      <c r="T688" s="24">
        <v>-1</v>
      </c>
      <c r="U688"/>
      <c r="V688" s="1">
        <v>0</v>
      </c>
      <c r="W688" s="24">
        <v>-1</v>
      </c>
      <c r="X688"/>
      <c r="Y688" s="1">
        <v>0</v>
      </c>
      <c r="Z688" s="24">
        <v>-1</v>
      </c>
      <c r="AA688"/>
      <c r="AB688" s="1">
        <v>0</v>
      </c>
      <c r="AC688" s="24">
        <v>-1</v>
      </c>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c r="CC688"/>
      <c r="CD688"/>
      <c r="CE688"/>
      <c r="CF688"/>
      <c r="CG688"/>
      <c r="CH688"/>
      <c r="CI688"/>
      <c r="CJ688"/>
      <c r="CK688"/>
      <c r="CL688"/>
      <c r="CM688"/>
      <c r="CN688"/>
      <c r="CO688"/>
      <c r="CP688"/>
      <c r="CQ688"/>
      <c r="CR688"/>
      <c r="CS688"/>
    </row>
    <row r="689" spans="2:97">
      <c r="B689"/>
      <c r="C689" s="15"/>
      <c r="D689" s="23"/>
      <c r="E689" s="23"/>
      <c r="F689" s="23"/>
      <c r="G689" s="23">
        <f t="shared" si="48"/>
        <v>0</v>
      </c>
      <c r="H689" s="23" t="e" cm="1">
        <f t="array" ref="H689">INDEX('GLOBAL LOG'!#REF!,ROW()-169+15)</f>
        <v>#REF!</v>
      </c>
      <c r="I689" s="23" t="e">
        <f>_xlfn.XLOOKUP(H689,#REF!,#REF!,"",0,1)</f>
        <v>#REF!</v>
      </c>
      <c r="J689" s="23" t="str">
        <f>IFERROR(I689*#REF!,"")</f>
        <v/>
      </c>
      <c r="K689" s="23" t="e" cm="1">
        <f t="array" ref="K689">INDEX('GLOBAL LOG'!#REF!,ROW()-169+15)</f>
        <v>#REF!</v>
      </c>
      <c r="L689" s="23" t="e">
        <f>_xlfn.XLOOKUP(K689,#REF!,#REF!,"",0,1)</f>
        <v>#REF!</v>
      </c>
      <c r="M689" s="23" t="str">
        <f>IFERROR(L689*#REF!,"")</f>
        <v/>
      </c>
      <c r="N689" s="23">
        <f t="shared" si="49"/>
        <v>-1</v>
      </c>
      <c r="O689" s="23">
        <f t="shared" si="50"/>
        <v>-1</v>
      </c>
      <c r="P689" s="23">
        <f t="shared" si="51"/>
        <v>-1</v>
      </c>
      <c r="Q689" s="24">
        <f t="shared" si="52"/>
        <v>-1</v>
      </c>
      <c r="R689" s="3"/>
      <c r="S689" s="1">
        <v>0</v>
      </c>
      <c r="T689" s="24">
        <v>-1</v>
      </c>
      <c r="U689"/>
      <c r="V689" s="1">
        <v>0</v>
      </c>
      <c r="W689" s="24">
        <v>-1</v>
      </c>
      <c r="X689"/>
      <c r="Y689" s="1">
        <v>0</v>
      </c>
      <c r="Z689" s="24">
        <v>-1</v>
      </c>
      <c r="AA689"/>
      <c r="AB689" s="1">
        <v>0</v>
      </c>
      <c r="AC689" s="24">
        <v>-1</v>
      </c>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c r="CC689"/>
      <c r="CD689"/>
      <c r="CE689"/>
      <c r="CF689"/>
      <c r="CG689"/>
      <c r="CH689"/>
      <c r="CI689"/>
      <c r="CJ689"/>
      <c r="CK689"/>
      <c r="CL689"/>
      <c r="CM689"/>
      <c r="CN689"/>
      <c r="CO689"/>
      <c r="CP689"/>
      <c r="CQ689"/>
      <c r="CR689"/>
      <c r="CS689"/>
    </row>
    <row r="690" spans="2:97">
      <c r="B690"/>
      <c r="C690" s="15"/>
      <c r="D690" s="23"/>
      <c r="E690" s="23"/>
      <c r="F690" s="23"/>
      <c r="G690" s="23">
        <f t="shared" si="48"/>
        <v>0</v>
      </c>
      <c r="H690" s="23" t="e" cm="1">
        <f t="array" ref="H690">INDEX('GLOBAL LOG'!#REF!,ROW()-169+15)</f>
        <v>#REF!</v>
      </c>
      <c r="I690" s="23" t="e">
        <f>_xlfn.XLOOKUP(H690,#REF!,#REF!,"",0,1)</f>
        <v>#REF!</v>
      </c>
      <c r="J690" s="23" t="str">
        <f>IFERROR(I690*#REF!,"")</f>
        <v/>
      </c>
      <c r="K690" s="23" t="e" cm="1">
        <f t="array" ref="K690">INDEX('GLOBAL LOG'!#REF!,ROW()-169+15)</f>
        <v>#REF!</v>
      </c>
      <c r="L690" s="23" t="e">
        <f>_xlfn.XLOOKUP(K690,#REF!,#REF!,"",0,1)</f>
        <v>#REF!</v>
      </c>
      <c r="M690" s="23" t="str">
        <f>IFERROR(L690*#REF!,"")</f>
        <v/>
      </c>
      <c r="N690" s="23">
        <f t="shared" si="49"/>
        <v>-1</v>
      </c>
      <c r="O690" s="23">
        <f t="shared" si="50"/>
        <v>-1</v>
      </c>
      <c r="P690" s="23">
        <f t="shared" si="51"/>
        <v>-1</v>
      </c>
      <c r="Q690" s="24">
        <f t="shared" si="52"/>
        <v>-1</v>
      </c>
      <c r="R690" s="3"/>
      <c r="S690" s="1">
        <v>0</v>
      </c>
      <c r="T690" s="24">
        <v>-1</v>
      </c>
      <c r="U690"/>
      <c r="V690" s="1">
        <v>0</v>
      </c>
      <c r="W690" s="24">
        <v>-1</v>
      </c>
      <c r="X690"/>
      <c r="Y690" s="1">
        <v>0</v>
      </c>
      <c r="Z690" s="24">
        <v>-1</v>
      </c>
      <c r="AA690"/>
      <c r="AB690" s="1">
        <v>0</v>
      </c>
      <c r="AC690" s="24">
        <v>-1</v>
      </c>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c r="CC690"/>
      <c r="CD690"/>
      <c r="CE690"/>
      <c r="CF690"/>
      <c r="CG690"/>
      <c r="CH690"/>
      <c r="CI690"/>
      <c r="CJ690"/>
      <c r="CK690"/>
      <c r="CL690"/>
      <c r="CM690"/>
      <c r="CN690"/>
      <c r="CO690"/>
      <c r="CP690"/>
      <c r="CQ690"/>
      <c r="CR690"/>
      <c r="CS690"/>
    </row>
    <row r="691" spans="2:97">
      <c r="B691"/>
      <c r="C691" s="15"/>
      <c r="D691" s="23"/>
      <c r="E691" s="23"/>
      <c r="F691" s="23"/>
      <c r="G691" s="23">
        <f t="shared" si="48"/>
        <v>0</v>
      </c>
      <c r="H691" s="23" t="e" cm="1">
        <f t="array" ref="H691">INDEX('GLOBAL LOG'!#REF!,ROW()-169+15)</f>
        <v>#REF!</v>
      </c>
      <c r="I691" s="23" t="e">
        <f>_xlfn.XLOOKUP(H691,#REF!,#REF!,"",0,1)</f>
        <v>#REF!</v>
      </c>
      <c r="J691" s="23" t="str">
        <f>IFERROR(I691*#REF!,"")</f>
        <v/>
      </c>
      <c r="K691" s="23" t="e" cm="1">
        <f t="array" ref="K691">INDEX('GLOBAL LOG'!#REF!,ROW()-169+15)</f>
        <v>#REF!</v>
      </c>
      <c r="L691" s="23" t="e">
        <f>_xlfn.XLOOKUP(K691,#REF!,#REF!,"",0,1)</f>
        <v>#REF!</v>
      </c>
      <c r="M691" s="23" t="str">
        <f>IFERROR(L691*#REF!,"")</f>
        <v/>
      </c>
      <c r="N691" s="23">
        <f t="shared" si="49"/>
        <v>-1</v>
      </c>
      <c r="O691" s="23">
        <f t="shared" si="50"/>
        <v>-1</v>
      </c>
      <c r="P691" s="23">
        <f t="shared" si="51"/>
        <v>-1</v>
      </c>
      <c r="Q691" s="24">
        <f t="shared" si="52"/>
        <v>-1</v>
      </c>
      <c r="R691" s="3"/>
      <c r="S691" s="1">
        <v>0</v>
      </c>
      <c r="T691" s="24">
        <v>-1</v>
      </c>
      <c r="U691"/>
      <c r="V691" s="1">
        <v>0</v>
      </c>
      <c r="W691" s="24">
        <v>-1</v>
      </c>
      <c r="X691"/>
      <c r="Y691" s="1">
        <v>0</v>
      </c>
      <c r="Z691" s="24">
        <v>-1</v>
      </c>
      <c r="AA691"/>
      <c r="AB691" s="1">
        <v>0</v>
      </c>
      <c r="AC691" s="24">
        <v>-1</v>
      </c>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c r="CC691"/>
      <c r="CD691"/>
      <c r="CE691"/>
      <c r="CF691"/>
      <c r="CG691"/>
      <c r="CH691"/>
      <c r="CI691"/>
      <c r="CJ691"/>
      <c r="CK691"/>
      <c r="CL691"/>
      <c r="CM691"/>
      <c r="CN691"/>
      <c r="CO691"/>
      <c r="CP691"/>
      <c r="CQ691"/>
      <c r="CR691"/>
      <c r="CS691"/>
    </row>
    <row r="692" spans="2:97">
      <c r="B692"/>
      <c r="C692" s="15"/>
      <c r="D692" s="23"/>
      <c r="E692" s="23"/>
      <c r="F692" s="23"/>
      <c r="G692" s="23">
        <f t="shared" si="48"/>
        <v>0</v>
      </c>
      <c r="H692" s="23" t="e" cm="1">
        <f t="array" ref="H692">INDEX('GLOBAL LOG'!#REF!,ROW()-169+15)</f>
        <v>#REF!</v>
      </c>
      <c r="I692" s="23" t="e">
        <f>_xlfn.XLOOKUP(H692,#REF!,#REF!,"",0,1)</f>
        <v>#REF!</v>
      </c>
      <c r="J692" s="23" t="str">
        <f>IFERROR(I692*#REF!,"")</f>
        <v/>
      </c>
      <c r="K692" s="23" t="e" cm="1">
        <f t="array" ref="K692">INDEX('GLOBAL LOG'!#REF!,ROW()-169+15)</f>
        <v>#REF!</v>
      </c>
      <c r="L692" s="23" t="e">
        <f>_xlfn.XLOOKUP(K692,#REF!,#REF!,"",0,1)</f>
        <v>#REF!</v>
      </c>
      <c r="M692" s="23" t="str">
        <f>IFERROR(L692*#REF!,"")</f>
        <v/>
      </c>
      <c r="N692" s="23">
        <f t="shared" si="49"/>
        <v>-1</v>
      </c>
      <c r="O692" s="23">
        <f t="shared" si="50"/>
        <v>-1</v>
      </c>
      <c r="P692" s="23">
        <f t="shared" si="51"/>
        <v>-1</v>
      </c>
      <c r="Q692" s="24">
        <f t="shared" si="52"/>
        <v>-1</v>
      </c>
      <c r="R692" s="3"/>
      <c r="S692" s="1">
        <v>0</v>
      </c>
      <c r="T692" s="24">
        <v>-1</v>
      </c>
      <c r="U692"/>
      <c r="V692" s="1">
        <v>0</v>
      </c>
      <c r="W692" s="24">
        <v>-1</v>
      </c>
      <c r="X692"/>
      <c r="Y692" s="1">
        <v>0</v>
      </c>
      <c r="Z692" s="24">
        <v>-1</v>
      </c>
      <c r="AA692"/>
      <c r="AB692" s="1">
        <v>0</v>
      </c>
      <c r="AC692" s="24">
        <v>-1</v>
      </c>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c r="CC692"/>
      <c r="CD692"/>
      <c r="CE692"/>
      <c r="CF692"/>
      <c r="CG692"/>
      <c r="CH692"/>
      <c r="CI692"/>
      <c r="CJ692"/>
      <c r="CK692"/>
      <c r="CL692"/>
      <c r="CM692"/>
      <c r="CN692"/>
      <c r="CO692"/>
      <c r="CP692"/>
      <c r="CQ692"/>
      <c r="CR692"/>
      <c r="CS692"/>
    </row>
    <row r="693" spans="2:97">
      <c r="B693"/>
      <c r="C693" s="15"/>
      <c r="D693" s="23"/>
      <c r="E693" s="23"/>
      <c r="F693" s="23"/>
      <c r="G693" s="23">
        <f t="shared" si="48"/>
        <v>0</v>
      </c>
      <c r="H693" s="23" t="e" cm="1">
        <f t="array" ref="H693">INDEX('GLOBAL LOG'!#REF!,ROW()-169+15)</f>
        <v>#REF!</v>
      </c>
      <c r="I693" s="23" t="e">
        <f>_xlfn.XLOOKUP(H693,#REF!,#REF!,"",0,1)</f>
        <v>#REF!</v>
      </c>
      <c r="J693" s="23" t="str">
        <f>IFERROR(I693*#REF!,"")</f>
        <v/>
      </c>
      <c r="K693" s="23" t="e" cm="1">
        <f t="array" ref="K693">INDEX('GLOBAL LOG'!#REF!,ROW()-169+15)</f>
        <v>#REF!</v>
      </c>
      <c r="L693" s="23" t="e">
        <f>_xlfn.XLOOKUP(K693,#REF!,#REF!,"",0,1)</f>
        <v>#REF!</v>
      </c>
      <c r="M693" s="23" t="str">
        <f>IFERROR(L693*#REF!,"")</f>
        <v/>
      </c>
      <c r="N693" s="23">
        <f t="shared" si="49"/>
        <v>-1</v>
      </c>
      <c r="O693" s="23">
        <f t="shared" si="50"/>
        <v>-1</v>
      </c>
      <c r="P693" s="23">
        <f t="shared" si="51"/>
        <v>-1</v>
      </c>
      <c r="Q693" s="24">
        <f t="shared" si="52"/>
        <v>-1</v>
      </c>
      <c r="R693" s="3"/>
      <c r="S693" s="1">
        <v>0</v>
      </c>
      <c r="T693" s="24">
        <v>-1</v>
      </c>
      <c r="U693"/>
      <c r="V693" s="1">
        <v>0</v>
      </c>
      <c r="W693" s="24">
        <v>-1</v>
      </c>
      <c r="X693"/>
      <c r="Y693" s="1">
        <v>0</v>
      </c>
      <c r="Z693" s="24">
        <v>-1</v>
      </c>
      <c r="AA693"/>
      <c r="AB693" s="1">
        <v>0</v>
      </c>
      <c r="AC693" s="24">
        <v>-1</v>
      </c>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c r="CC693"/>
      <c r="CD693"/>
      <c r="CE693"/>
      <c r="CF693"/>
      <c r="CG693"/>
      <c r="CH693"/>
      <c r="CI693"/>
      <c r="CJ693"/>
      <c r="CK693"/>
      <c r="CL693"/>
      <c r="CM693"/>
      <c r="CN693"/>
      <c r="CO693"/>
      <c r="CP693"/>
      <c r="CQ693"/>
      <c r="CR693"/>
      <c r="CS693"/>
    </row>
    <row r="694" spans="2:97">
      <c r="B694"/>
      <c r="C694" s="15"/>
      <c r="D694" s="23"/>
      <c r="E694" s="23"/>
      <c r="F694" s="23"/>
      <c r="G694" s="23">
        <f t="shared" si="48"/>
        <v>0</v>
      </c>
      <c r="H694" s="23" t="e" cm="1">
        <f t="array" ref="H694">INDEX('GLOBAL LOG'!#REF!,ROW()-169+15)</f>
        <v>#REF!</v>
      </c>
      <c r="I694" s="23" t="e">
        <f>_xlfn.XLOOKUP(H694,#REF!,#REF!,"",0,1)</f>
        <v>#REF!</v>
      </c>
      <c r="J694" s="23" t="str">
        <f>IFERROR(I694*#REF!,"")</f>
        <v/>
      </c>
      <c r="K694" s="23" t="e" cm="1">
        <f t="array" ref="K694">INDEX('GLOBAL LOG'!#REF!,ROW()-169+15)</f>
        <v>#REF!</v>
      </c>
      <c r="L694" s="23" t="e">
        <f>_xlfn.XLOOKUP(K694,#REF!,#REF!,"",0,1)</f>
        <v>#REF!</v>
      </c>
      <c r="M694" s="23" t="str">
        <f>IFERROR(L694*#REF!,"")</f>
        <v/>
      </c>
      <c r="N694" s="23">
        <f t="shared" si="49"/>
        <v>-1</v>
      </c>
      <c r="O694" s="23">
        <f t="shared" si="50"/>
        <v>-1</v>
      </c>
      <c r="P694" s="23">
        <f t="shared" si="51"/>
        <v>-1</v>
      </c>
      <c r="Q694" s="24">
        <f t="shared" si="52"/>
        <v>-1</v>
      </c>
      <c r="R694" s="3"/>
      <c r="S694" s="1">
        <v>0</v>
      </c>
      <c r="T694" s="24">
        <v>-1</v>
      </c>
      <c r="U694"/>
      <c r="V694" s="1">
        <v>0</v>
      </c>
      <c r="W694" s="24">
        <v>-1</v>
      </c>
      <c r="X694"/>
      <c r="Y694" s="1">
        <v>0</v>
      </c>
      <c r="Z694" s="24">
        <v>-1</v>
      </c>
      <c r="AA694"/>
      <c r="AB694" s="1">
        <v>0</v>
      </c>
      <c r="AC694" s="24">
        <v>-1</v>
      </c>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c r="CC694"/>
      <c r="CD694"/>
      <c r="CE694"/>
      <c r="CF694"/>
      <c r="CG694"/>
      <c r="CH694"/>
      <c r="CI694"/>
      <c r="CJ694"/>
      <c r="CK694"/>
      <c r="CL694"/>
      <c r="CM694"/>
      <c r="CN694"/>
      <c r="CO694"/>
      <c r="CP694"/>
      <c r="CQ694"/>
      <c r="CR694"/>
      <c r="CS694"/>
    </row>
    <row r="695" spans="2:97">
      <c r="B695"/>
      <c r="C695" s="15"/>
      <c r="D695" s="23"/>
      <c r="E695" s="23"/>
      <c r="F695" s="23"/>
      <c r="G695" s="23">
        <f t="shared" si="48"/>
        <v>0</v>
      </c>
      <c r="H695" s="23" t="e" cm="1">
        <f t="array" ref="H695">INDEX('GLOBAL LOG'!#REF!,ROW()-169+15)</f>
        <v>#REF!</v>
      </c>
      <c r="I695" s="23" t="e">
        <f>_xlfn.XLOOKUP(H695,#REF!,#REF!,"",0,1)</f>
        <v>#REF!</v>
      </c>
      <c r="J695" s="23" t="str">
        <f>IFERROR(I695*#REF!,"")</f>
        <v/>
      </c>
      <c r="K695" s="23" t="e" cm="1">
        <f t="array" ref="K695">INDEX('GLOBAL LOG'!#REF!,ROW()-169+15)</f>
        <v>#REF!</v>
      </c>
      <c r="L695" s="23" t="e">
        <f>_xlfn.XLOOKUP(K695,#REF!,#REF!,"",0,1)</f>
        <v>#REF!</v>
      </c>
      <c r="M695" s="23" t="str">
        <f>IFERROR(L695*#REF!,"")</f>
        <v/>
      </c>
      <c r="N695" s="23">
        <f t="shared" si="49"/>
        <v>-1</v>
      </c>
      <c r="O695" s="23">
        <f t="shared" si="50"/>
        <v>-1</v>
      </c>
      <c r="P695" s="23">
        <f t="shared" si="51"/>
        <v>-1</v>
      </c>
      <c r="Q695" s="24">
        <f t="shared" si="52"/>
        <v>-1</v>
      </c>
      <c r="R695" s="3"/>
      <c r="S695" s="1">
        <v>0</v>
      </c>
      <c r="T695" s="24">
        <v>-1</v>
      </c>
      <c r="U695"/>
      <c r="V695" s="1">
        <v>0</v>
      </c>
      <c r="W695" s="24">
        <v>-1</v>
      </c>
      <c r="X695"/>
      <c r="Y695" s="1">
        <v>0</v>
      </c>
      <c r="Z695" s="24">
        <v>-1</v>
      </c>
      <c r="AA695"/>
      <c r="AB695" s="1">
        <v>0</v>
      </c>
      <c r="AC695" s="24">
        <v>-1</v>
      </c>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c r="CC695"/>
      <c r="CD695"/>
      <c r="CE695"/>
      <c r="CF695"/>
      <c r="CG695"/>
      <c r="CH695"/>
      <c r="CI695"/>
      <c r="CJ695"/>
      <c r="CK695"/>
      <c r="CL695"/>
      <c r="CM695"/>
      <c r="CN695"/>
      <c r="CO695"/>
      <c r="CP695"/>
      <c r="CQ695"/>
      <c r="CR695"/>
      <c r="CS695"/>
    </row>
    <row r="696" spans="2:97">
      <c r="B696"/>
      <c r="C696" s="15"/>
      <c r="D696" s="23"/>
      <c r="E696" s="23"/>
      <c r="F696" s="23"/>
      <c r="G696" s="23">
        <f t="shared" si="48"/>
        <v>0</v>
      </c>
      <c r="H696" s="23" t="e" cm="1">
        <f t="array" ref="H696">INDEX('GLOBAL LOG'!#REF!,ROW()-169+15)</f>
        <v>#REF!</v>
      </c>
      <c r="I696" s="23" t="e">
        <f>_xlfn.XLOOKUP(H696,#REF!,#REF!,"",0,1)</f>
        <v>#REF!</v>
      </c>
      <c r="J696" s="23" t="str">
        <f>IFERROR(I696*#REF!,"")</f>
        <v/>
      </c>
      <c r="K696" s="23" t="e" cm="1">
        <f t="array" ref="K696">INDEX('GLOBAL LOG'!#REF!,ROW()-169+15)</f>
        <v>#REF!</v>
      </c>
      <c r="L696" s="23" t="e">
        <f>_xlfn.XLOOKUP(K696,#REF!,#REF!,"",0,1)</f>
        <v>#REF!</v>
      </c>
      <c r="M696" s="23" t="str">
        <f>IFERROR(L696*#REF!,"")</f>
        <v/>
      </c>
      <c r="N696" s="23">
        <f t="shared" si="49"/>
        <v>-1</v>
      </c>
      <c r="O696" s="23">
        <f t="shared" si="50"/>
        <v>-1</v>
      </c>
      <c r="P696" s="23">
        <f t="shared" si="51"/>
        <v>-1</v>
      </c>
      <c r="Q696" s="24">
        <f t="shared" si="52"/>
        <v>-1</v>
      </c>
      <c r="R696" s="3"/>
      <c r="S696" s="1">
        <v>0</v>
      </c>
      <c r="T696" s="24">
        <v>-1</v>
      </c>
      <c r="U696"/>
      <c r="V696" s="1">
        <v>0</v>
      </c>
      <c r="W696" s="24">
        <v>-1</v>
      </c>
      <c r="X696"/>
      <c r="Y696" s="1">
        <v>0</v>
      </c>
      <c r="Z696" s="24">
        <v>-1</v>
      </c>
      <c r="AA696"/>
      <c r="AB696" s="1">
        <v>0</v>
      </c>
      <c r="AC696" s="24">
        <v>-1</v>
      </c>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c r="CC696"/>
      <c r="CD696"/>
      <c r="CE696"/>
      <c r="CF696"/>
      <c r="CG696"/>
      <c r="CH696"/>
      <c r="CI696"/>
      <c r="CJ696"/>
      <c r="CK696"/>
      <c r="CL696"/>
      <c r="CM696"/>
      <c r="CN696"/>
      <c r="CO696"/>
      <c r="CP696"/>
      <c r="CQ696"/>
      <c r="CR696"/>
      <c r="CS696"/>
    </row>
    <row r="697" spans="2:97">
      <c r="B697"/>
      <c r="C697" s="15"/>
      <c r="D697" s="23"/>
      <c r="E697" s="23"/>
      <c r="F697" s="23"/>
      <c r="G697" s="23">
        <f t="shared" si="48"/>
        <v>0</v>
      </c>
      <c r="H697" s="23" t="e" cm="1">
        <f t="array" ref="H697">INDEX('GLOBAL LOG'!#REF!,ROW()-169+15)</f>
        <v>#REF!</v>
      </c>
      <c r="I697" s="23" t="e">
        <f>_xlfn.XLOOKUP(H697,#REF!,#REF!,"",0,1)</f>
        <v>#REF!</v>
      </c>
      <c r="J697" s="23" t="str">
        <f>IFERROR(I697*#REF!,"")</f>
        <v/>
      </c>
      <c r="K697" s="23" t="e" cm="1">
        <f t="array" ref="K697">INDEX('GLOBAL LOG'!#REF!,ROW()-169+15)</f>
        <v>#REF!</v>
      </c>
      <c r="L697" s="23" t="e">
        <f>_xlfn.XLOOKUP(K697,#REF!,#REF!,"",0,1)</f>
        <v>#REF!</v>
      </c>
      <c r="M697" s="23" t="str">
        <f>IFERROR(L697*#REF!,"")</f>
        <v/>
      </c>
      <c r="N697" s="23">
        <f t="shared" si="49"/>
        <v>-1</v>
      </c>
      <c r="O697" s="23">
        <f t="shared" si="50"/>
        <v>-1</v>
      </c>
      <c r="P697" s="23">
        <f t="shared" si="51"/>
        <v>-1</v>
      </c>
      <c r="Q697" s="24">
        <f t="shared" si="52"/>
        <v>-1</v>
      </c>
      <c r="R697" s="3"/>
      <c r="S697" s="1">
        <v>0</v>
      </c>
      <c r="T697" s="24">
        <v>-1</v>
      </c>
      <c r="U697"/>
      <c r="V697" s="1">
        <v>0</v>
      </c>
      <c r="W697" s="24">
        <v>-1</v>
      </c>
      <c r="X697"/>
      <c r="Y697" s="1">
        <v>0</v>
      </c>
      <c r="Z697" s="24">
        <v>-1</v>
      </c>
      <c r="AA697"/>
      <c r="AB697" s="1">
        <v>0</v>
      </c>
      <c r="AC697" s="24">
        <v>-1</v>
      </c>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c r="CC697"/>
      <c r="CD697"/>
      <c r="CE697"/>
      <c r="CF697"/>
      <c r="CG697"/>
      <c r="CH697"/>
      <c r="CI697"/>
      <c r="CJ697"/>
      <c r="CK697"/>
      <c r="CL697"/>
      <c r="CM697"/>
      <c r="CN697"/>
      <c r="CO697"/>
      <c r="CP697"/>
      <c r="CQ697"/>
      <c r="CR697"/>
      <c r="CS697"/>
    </row>
    <row r="698" spans="2:97">
      <c r="B698"/>
      <c r="C698" s="15"/>
      <c r="D698" s="23"/>
      <c r="E698" s="23"/>
      <c r="F698" s="23"/>
      <c r="G698" s="23">
        <f t="shared" si="48"/>
        <v>0</v>
      </c>
      <c r="H698" s="23" t="e" cm="1">
        <f t="array" ref="H698">INDEX('GLOBAL LOG'!#REF!,ROW()-169+15)</f>
        <v>#REF!</v>
      </c>
      <c r="I698" s="23" t="e">
        <f>_xlfn.XLOOKUP(H698,#REF!,#REF!,"",0,1)</f>
        <v>#REF!</v>
      </c>
      <c r="J698" s="23" t="str">
        <f>IFERROR(I698*#REF!,"")</f>
        <v/>
      </c>
      <c r="K698" s="23" t="e" cm="1">
        <f t="array" ref="K698">INDEX('GLOBAL LOG'!#REF!,ROW()-169+15)</f>
        <v>#REF!</v>
      </c>
      <c r="L698" s="23" t="e">
        <f>_xlfn.XLOOKUP(K698,#REF!,#REF!,"",0,1)</f>
        <v>#REF!</v>
      </c>
      <c r="M698" s="23" t="str">
        <f>IFERROR(L698*#REF!,"")</f>
        <v/>
      </c>
      <c r="N698" s="23">
        <f t="shared" si="49"/>
        <v>-1</v>
      </c>
      <c r="O698" s="23">
        <f t="shared" si="50"/>
        <v>-1</v>
      </c>
      <c r="P698" s="23">
        <f t="shared" si="51"/>
        <v>-1</v>
      </c>
      <c r="Q698" s="24">
        <f t="shared" si="52"/>
        <v>-1</v>
      </c>
      <c r="R698" s="3"/>
      <c r="S698" s="1">
        <v>0</v>
      </c>
      <c r="T698" s="24">
        <v>-1</v>
      </c>
      <c r="U698"/>
      <c r="V698" s="1">
        <v>0</v>
      </c>
      <c r="W698" s="24">
        <v>-1</v>
      </c>
      <c r="X698"/>
      <c r="Y698" s="1">
        <v>0</v>
      </c>
      <c r="Z698" s="24">
        <v>-1</v>
      </c>
      <c r="AA698"/>
      <c r="AB698" s="1">
        <v>0</v>
      </c>
      <c r="AC698" s="24">
        <v>-1</v>
      </c>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c r="CA698"/>
      <c r="CB698"/>
      <c r="CC698"/>
      <c r="CD698"/>
      <c r="CE698"/>
      <c r="CF698"/>
      <c r="CG698"/>
      <c r="CH698"/>
      <c r="CI698"/>
      <c r="CJ698"/>
      <c r="CK698"/>
      <c r="CL698"/>
      <c r="CM698"/>
      <c r="CN698"/>
      <c r="CO698"/>
      <c r="CP698"/>
      <c r="CQ698"/>
      <c r="CR698"/>
      <c r="CS698"/>
    </row>
    <row r="699" spans="2:97">
      <c r="B699"/>
      <c r="C699" s="15"/>
      <c r="D699" s="23"/>
      <c r="E699" s="23"/>
      <c r="F699" s="23"/>
      <c r="G699" s="23">
        <f t="shared" si="48"/>
        <v>0</v>
      </c>
      <c r="H699" s="23" t="e" cm="1">
        <f t="array" ref="H699">INDEX('GLOBAL LOG'!#REF!,ROW()-169+15)</f>
        <v>#REF!</v>
      </c>
      <c r="I699" s="23" t="e">
        <f>_xlfn.XLOOKUP(H699,#REF!,#REF!,"",0,1)</f>
        <v>#REF!</v>
      </c>
      <c r="J699" s="23" t="str">
        <f>IFERROR(I699*#REF!,"")</f>
        <v/>
      </c>
      <c r="K699" s="23" t="e" cm="1">
        <f t="array" ref="K699">INDEX('GLOBAL LOG'!#REF!,ROW()-169+15)</f>
        <v>#REF!</v>
      </c>
      <c r="L699" s="23" t="e">
        <f>_xlfn.XLOOKUP(K699,#REF!,#REF!,"",0,1)</f>
        <v>#REF!</v>
      </c>
      <c r="M699" s="23" t="str">
        <f>IFERROR(L699*#REF!,"")</f>
        <v/>
      </c>
      <c r="N699" s="23">
        <f t="shared" si="49"/>
        <v>-1</v>
      </c>
      <c r="O699" s="23">
        <f t="shared" si="50"/>
        <v>-1</v>
      </c>
      <c r="P699" s="23">
        <f t="shared" si="51"/>
        <v>-1</v>
      </c>
      <c r="Q699" s="24">
        <f t="shared" si="52"/>
        <v>-1</v>
      </c>
      <c r="R699" s="3"/>
      <c r="S699" s="1">
        <v>0</v>
      </c>
      <c r="T699" s="24">
        <v>-1</v>
      </c>
      <c r="U699"/>
      <c r="V699" s="1">
        <v>0</v>
      </c>
      <c r="W699" s="24">
        <v>-1</v>
      </c>
      <c r="X699"/>
      <c r="Y699" s="1">
        <v>0</v>
      </c>
      <c r="Z699" s="24">
        <v>-1</v>
      </c>
      <c r="AA699"/>
      <c r="AB699" s="1">
        <v>0</v>
      </c>
      <c r="AC699" s="24">
        <v>-1</v>
      </c>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c r="CA699"/>
      <c r="CB699"/>
      <c r="CC699"/>
      <c r="CD699"/>
      <c r="CE699"/>
      <c r="CF699"/>
      <c r="CG699"/>
      <c r="CH699"/>
      <c r="CI699"/>
      <c r="CJ699"/>
      <c r="CK699"/>
      <c r="CL699"/>
      <c r="CM699"/>
      <c r="CN699"/>
      <c r="CO699"/>
      <c r="CP699"/>
      <c r="CQ699"/>
      <c r="CR699"/>
      <c r="CS699"/>
    </row>
    <row r="700" spans="2:97">
      <c r="B700"/>
      <c r="C700" s="15"/>
      <c r="D700" s="23"/>
      <c r="E700" s="23"/>
      <c r="F700" s="23"/>
      <c r="G700" s="23">
        <f t="shared" si="48"/>
        <v>0</v>
      </c>
      <c r="H700" s="23" t="e" cm="1">
        <f t="array" ref="H700">INDEX('GLOBAL LOG'!#REF!,ROW()-169+15)</f>
        <v>#REF!</v>
      </c>
      <c r="I700" s="23" t="e">
        <f>_xlfn.XLOOKUP(H700,#REF!,#REF!,"",0,1)</f>
        <v>#REF!</v>
      </c>
      <c r="J700" s="23" t="str">
        <f>IFERROR(I700*#REF!,"")</f>
        <v/>
      </c>
      <c r="K700" s="23" t="e" cm="1">
        <f t="array" ref="K700">INDEX('GLOBAL LOG'!#REF!,ROW()-169+15)</f>
        <v>#REF!</v>
      </c>
      <c r="L700" s="23" t="e">
        <f>_xlfn.XLOOKUP(K700,#REF!,#REF!,"",0,1)</f>
        <v>#REF!</v>
      </c>
      <c r="M700" s="23" t="str">
        <f>IFERROR(L700*#REF!,"")</f>
        <v/>
      </c>
      <c r="N700" s="23">
        <f t="shared" si="49"/>
        <v>-1</v>
      </c>
      <c r="O700" s="23">
        <f t="shared" si="50"/>
        <v>-1</v>
      </c>
      <c r="P700" s="23">
        <f t="shared" si="51"/>
        <v>-1</v>
      </c>
      <c r="Q700" s="24">
        <f t="shared" si="52"/>
        <v>-1</v>
      </c>
      <c r="R700" s="3"/>
      <c r="S700" s="1">
        <v>0</v>
      </c>
      <c r="T700" s="24">
        <v>-1</v>
      </c>
      <c r="U700"/>
      <c r="V700" s="1">
        <v>0</v>
      </c>
      <c r="W700" s="24">
        <v>-1</v>
      </c>
      <c r="X700"/>
      <c r="Y700" s="1">
        <v>0</v>
      </c>
      <c r="Z700" s="24">
        <v>-1</v>
      </c>
      <c r="AA700"/>
      <c r="AB700" s="1">
        <v>0</v>
      </c>
      <c r="AC700" s="24">
        <v>-1</v>
      </c>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c r="CC700"/>
      <c r="CD700"/>
      <c r="CE700"/>
      <c r="CF700"/>
      <c r="CG700"/>
      <c r="CH700"/>
      <c r="CI700"/>
      <c r="CJ700"/>
      <c r="CK700"/>
      <c r="CL700"/>
      <c r="CM700"/>
      <c r="CN700"/>
      <c r="CO700"/>
      <c r="CP700"/>
      <c r="CQ700"/>
      <c r="CR700"/>
      <c r="CS700"/>
    </row>
    <row r="701" spans="2:97">
      <c r="B701"/>
      <c r="C701" s="15"/>
      <c r="D701" s="23"/>
      <c r="E701" s="23"/>
      <c r="F701" s="23"/>
      <c r="G701" s="23">
        <f t="shared" si="48"/>
        <v>0</v>
      </c>
      <c r="H701" s="23" t="e" cm="1">
        <f t="array" ref="H701">INDEX('GLOBAL LOG'!#REF!,ROW()-169+15)</f>
        <v>#REF!</v>
      </c>
      <c r="I701" s="23" t="e">
        <f>_xlfn.XLOOKUP(H701,#REF!,#REF!,"",0,1)</f>
        <v>#REF!</v>
      </c>
      <c r="J701" s="23" t="str">
        <f>IFERROR(I701*#REF!,"")</f>
        <v/>
      </c>
      <c r="K701" s="23" t="e" cm="1">
        <f t="array" ref="K701">INDEX('GLOBAL LOG'!#REF!,ROW()-169+15)</f>
        <v>#REF!</v>
      </c>
      <c r="L701" s="23" t="e">
        <f>_xlfn.XLOOKUP(K701,#REF!,#REF!,"",0,1)</f>
        <v>#REF!</v>
      </c>
      <c r="M701" s="23" t="str">
        <f>IFERROR(L701*#REF!,"")</f>
        <v/>
      </c>
      <c r="N701" s="23">
        <f t="shared" si="49"/>
        <v>-1</v>
      </c>
      <c r="O701" s="23">
        <f t="shared" si="50"/>
        <v>-1</v>
      </c>
      <c r="P701" s="23">
        <f t="shared" si="51"/>
        <v>-1</v>
      </c>
      <c r="Q701" s="24">
        <f t="shared" si="52"/>
        <v>-1</v>
      </c>
      <c r="R701" s="3"/>
      <c r="S701" s="1">
        <v>0</v>
      </c>
      <c r="T701" s="24">
        <v>-1</v>
      </c>
      <c r="U701"/>
      <c r="V701" s="1">
        <v>0</v>
      </c>
      <c r="W701" s="24">
        <v>-1</v>
      </c>
      <c r="X701"/>
      <c r="Y701" s="1">
        <v>0</v>
      </c>
      <c r="Z701" s="24">
        <v>-1</v>
      </c>
      <c r="AA701"/>
      <c r="AB701" s="1">
        <v>0</v>
      </c>
      <c r="AC701" s="24">
        <v>-1</v>
      </c>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c r="CC701"/>
      <c r="CD701"/>
      <c r="CE701"/>
      <c r="CF701"/>
      <c r="CG701"/>
      <c r="CH701"/>
      <c r="CI701"/>
      <c r="CJ701"/>
      <c r="CK701"/>
      <c r="CL701"/>
      <c r="CM701"/>
      <c r="CN701"/>
      <c r="CO701"/>
      <c r="CP701"/>
      <c r="CQ701"/>
      <c r="CR701"/>
      <c r="CS701"/>
    </row>
    <row r="702" spans="2:97">
      <c r="B702"/>
      <c r="C702" s="15"/>
      <c r="D702" s="23"/>
      <c r="E702" s="23"/>
      <c r="F702" s="23"/>
      <c r="G702" s="23">
        <f t="shared" si="48"/>
        <v>0</v>
      </c>
      <c r="H702" s="23" t="e" cm="1">
        <f t="array" ref="H702">INDEX('GLOBAL LOG'!#REF!,ROW()-169+15)</f>
        <v>#REF!</v>
      </c>
      <c r="I702" s="23" t="e">
        <f>_xlfn.XLOOKUP(H702,#REF!,#REF!,"",0,1)</f>
        <v>#REF!</v>
      </c>
      <c r="J702" s="23" t="str">
        <f>IFERROR(I702*#REF!,"")</f>
        <v/>
      </c>
      <c r="K702" s="23" t="e" cm="1">
        <f t="array" ref="K702">INDEX('GLOBAL LOG'!#REF!,ROW()-169+15)</f>
        <v>#REF!</v>
      </c>
      <c r="L702" s="23" t="e">
        <f>_xlfn.XLOOKUP(K702,#REF!,#REF!,"",0,1)</f>
        <v>#REF!</v>
      </c>
      <c r="M702" s="23" t="str">
        <f>IFERROR(L702*#REF!,"")</f>
        <v/>
      </c>
      <c r="N702" s="23">
        <f t="shared" si="49"/>
        <v>-1</v>
      </c>
      <c r="O702" s="23">
        <f t="shared" si="50"/>
        <v>-1</v>
      </c>
      <c r="P702" s="23">
        <f t="shared" si="51"/>
        <v>-1</v>
      </c>
      <c r="Q702" s="24">
        <f t="shared" si="52"/>
        <v>-1</v>
      </c>
      <c r="R702" s="3"/>
      <c r="S702" s="1">
        <v>0</v>
      </c>
      <c r="T702" s="24">
        <v>-1</v>
      </c>
      <c r="U702"/>
      <c r="V702" s="1">
        <v>0</v>
      </c>
      <c r="W702" s="24">
        <v>-1</v>
      </c>
      <c r="X702"/>
      <c r="Y702" s="1">
        <v>0</v>
      </c>
      <c r="Z702" s="24">
        <v>-1</v>
      </c>
      <c r="AA702"/>
      <c r="AB702" s="1">
        <v>0</v>
      </c>
      <c r="AC702" s="24">
        <v>-1</v>
      </c>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c r="CA702"/>
      <c r="CB702"/>
      <c r="CC702"/>
      <c r="CD702"/>
      <c r="CE702"/>
      <c r="CF702"/>
      <c r="CG702"/>
      <c r="CH702"/>
      <c r="CI702"/>
      <c r="CJ702"/>
      <c r="CK702"/>
      <c r="CL702"/>
      <c r="CM702"/>
      <c r="CN702"/>
      <c r="CO702"/>
      <c r="CP702"/>
      <c r="CQ702"/>
      <c r="CR702"/>
      <c r="CS702"/>
    </row>
    <row r="703" spans="2:97">
      <c r="B703"/>
      <c r="C703" s="15"/>
      <c r="D703" s="23"/>
      <c r="E703" s="23"/>
      <c r="F703" s="23"/>
      <c r="G703" s="23">
        <f t="shared" si="48"/>
        <v>0</v>
      </c>
      <c r="H703" s="23" t="e" cm="1">
        <f t="array" ref="H703">INDEX('GLOBAL LOG'!#REF!,ROW()-169+15)</f>
        <v>#REF!</v>
      </c>
      <c r="I703" s="23" t="e">
        <f>_xlfn.XLOOKUP(H703,#REF!,#REF!,"",0,1)</f>
        <v>#REF!</v>
      </c>
      <c r="J703" s="23" t="str">
        <f>IFERROR(I703*#REF!,"")</f>
        <v/>
      </c>
      <c r="K703" s="23" t="e" cm="1">
        <f t="array" ref="K703">INDEX('GLOBAL LOG'!#REF!,ROW()-169+15)</f>
        <v>#REF!</v>
      </c>
      <c r="L703" s="23" t="e">
        <f>_xlfn.XLOOKUP(K703,#REF!,#REF!,"",0,1)</f>
        <v>#REF!</v>
      </c>
      <c r="M703" s="23" t="str">
        <f>IFERROR(L703*#REF!,"")</f>
        <v/>
      </c>
      <c r="N703" s="23">
        <f t="shared" si="49"/>
        <v>-1</v>
      </c>
      <c r="O703" s="23">
        <f t="shared" si="50"/>
        <v>-1</v>
      </c>
      <c r="P703" s="23">
        <f t="shared" si="51"/>
        <v>-1</v>
      </c>
      <c r="Q703" s="24">
        <f t="shared" si="52"/>
        <v>-1</v>
      </c>
      <c r="R703" s="3"/>
      <c r="S703" s="1">
        <v>0</v>
      </c>
      <c r="T703" s="24">
        <v>-1</v>
      </c>
      <c r="U703"/>
      <c r="V703" s="1">
        <v>0</v>
      </c>
      <c r="W703" s="24">
        <v>-1</v>
      </c>
      <c r="X703"/>
      <c r="Y703" s="1">
        <v>0</v>
      </c>
      <c r="Z703" s="24">
        <v>-1</v>
      </c>
      <c r="AA703"/>
      <c r="AB703" s="1">
        <v>0</v>
      </c>
      <c r="AC703" s="24">
        <v>-1</v>
      </c>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c r="CA703"/>
      <c r="CB703"/>
      <c r="CC703"/>
      <c r="CD703"/>
      <c r="CE703"/>
      <c r="CF703"/>
      <c r="CG703"/>
      <c r="CH703"/>
      <c r="CI703"/>
      <c r="CJ703"/>
      <c r="CK703"/>
      <c r="CL703"/>
      <c r="CM703"/>
      <c r="CN703"/>
      <c r="CO703"/>
      <c r="CP703"/>
      <c r="CQ703"/>
      <c r="CR703"/>
      <c r="CS703"/>
    </row>
    <row r="704" spans="2:97">
      <c r="B704"/>
      <c r="C704" s="15"/>
      <c r="D704" s="23"/>
      <c r="E704" s="23"/>
      <c r="F704" s="23"/>
      <c r="G704" s="23">
        <f t="shared" si="48"/>
        <v>0</v>
      </c>
      <c r="H704" s="23" t="e" cm="1">
        <f t="array" ref="H704">INDEX('GLOBAL LOG'!#REF!,ROW()-169+15)</f>
        <v>#REF!</v>
      </c>
      <c r="I704" s="23" t="e">
        <f>_xlfn.XLOOKUP(H704,#REF!,#REF!,"",0,1)</f>
        <v>#REF!</v>
      </c>
      <c r="J704" s="23" t="str">
        <f>IFERROR(I704*#REF!,"")</f>
        <v/>
      </c>
      <c r="K704" s="23" t="e" cm="1">
        <f t="array" ref="K704">INDEX('GLOBAL LOG'!#REF!,ROW()-169+15)</f>
        <v>#REF!</v>
      </c>
      <c r="L704" s="23" t="e">
        <f>_xlfn.XLOOKUP(K704,#REF!,#REF!,"",0,1)</f>
        <v>#REF!</v>
      </c>
      <c r="M704" s="23" t="str">
        <f>IFERROR(L704*#REF!,"")</f>
        <v/>
      </c>
      <c r="N704" s="23">
        <f t="shared" si="49"/>
        <v>-1</v>
      </c>
      <c r="O704" s="23">
        <f t="shared" si="50"/>
        <v>-1</v>
      </c>
      <c r="P704" s="23">
        <f t="shared" si="51"/>
        <v>-1</v>
      </c>
      <c r="Q704" s="24">
        <f t="shared" si="52"/>
        <v>-1</v>
      </c>
      <c r="R704" s="3"/>
      <c r="S704" s="1">
        <v>0</v>
      </c>
      <c r="T704" s="24">
        <v>-1</v>
      </c>
      <c r="U704"/>
      <c r="V704" s="1">
        <v>0</v>
      </c>
      <c r="W704" s="24">
        <v>-1</v>
      </c>
      <c r="X704"/>
      <c r="Y704" s="1">
        <v>0</v>
      </c>
      <c r="Z704" s="24">
        <v>-1</v>
      </c>
      <c r="AA704"/>
      <c r="AB704" s="1">
        <v>0</v>
      </c>
      <c r="AC704" s="24">
        <v>-1</v>
      </c>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c r="CA704"/>
      <c r="CB704"/>
      <c r="CC704"/>
      <c r="CD704"/>
      <c r="CE704"/>
      <c r="CF704"/>
      <c r="CG704"/>
      <c r="CH704"/>
      <c r="CI704"/>
      <c r="CJ704"/>
      <c r="CK704"/>
      <c r="CL704"/>
      <c r="CM704"/>
      <c r="CN704"/>
      <c r="CO704"/>
      <c r="CP704"/>
      <c r="CQ704"/>
      <c r="CR704"/>
      <c r="CS704"/>
    </row>
    <row r="705" spans="2:97">
      <c r="B705"/>
      <c r="C705" s="15"/>
      <c r="D705" s="23"/>
      <c r="E705" s="23"/>
      <c r="F705" s="23"/>
      <c r="G705" s="23">
        <f t="shared" si="48"/>
        <v>0</v>
      </c>
      <c r="H705" s="23" t="e" cm="1">
        <f t="array" ref="H705">INDEX('GLOBAL LOG'!#REF!,ROW()-169+15)</f>
        <v>#REF!</v>
      </c>
      <c r="I705" s="23" t="e">
        <f>_xlfn.XLOOKUP(H705,#REF!,#REF!,"",0,1)</f>
        <v>#REF!</v>
      </c>
      <c r="J705" s="23" t="str">
        <f>IFERROR(I705*#REF!,"")</f>
        <v/>
      </c>
      <c r="K705" s="23" t="e" cm="1">
        <f t="array" ref="K705">INDEX('GLOBAL LOG'!#REF!,ROW()-169+15)</f>
        <v>#REF!</v>
      </c>
      <c r="L705" s="23" t="e">
        <f>_xlfn.XLOOKUP(K705,#REF!,#REF!,"",0,1)</f>
        <v>#REF!</v>
      </c>
      <c r="M705" s="23" t="str">
        <f>IFERROR(L705*#REF!,"")</f>
        <v/>
      </c>
      <c r="N705" s="23">
        <f t="shared" si="49"/>
        <v>-1</v>
      </c>
      <c r="O705" s="23">
        <f t="shared" si="50"/>
        <v>-1</v>
      </c>
      <c r="P705" s="23">
        <f t="shared" si="51"/>
        <v>-1</v>
      </c>
      <c r="Q705" s="24">
        <f t="shared" si="52"/>
        <v>-1</v>
      </c>
      <c r="R705" s="3"/>
      <c r="S705" s="1">
        <v>0</v>
      </c>
      <c r="T705" s="24">
        <v>-1</v>
      </c>
      <c r="U705"/>
      <c r="V705" s="1">
        <v>0</v>
      </c>
      <c r="W705" s="24">
        <v>-1</v>
      </c>
      <c r="X705"/>
      <c r="Y705" s="1">
        <v>0</v>
      </c>
      <c r="Z705" s="24">
        <v>-1</v>
      </c>
      <c r="AA705"/>
      <c r="AB705" s="1">
        <v>0</v>
      </c>
      <c r="AC705" s="24">
        <v>-1</v>
      </c>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c r="CA705"/>
      <c r="CB705"/>
      <c r="CC705"/>
      <c r="CD705"/>
      <c r="CE705"/>
      <c r="CF705"/>
      <c r="CG705"/>
      <c r="CH705"/>
      <c r="CI705"/>
      <c r="CJ705"/>
      <c r="CK705"/>
      <c r="CL705"/>
      <c r="CM705"/>
      <c r="CN705"/>
      <c r="CO705"/>
      <c r="CP705"/>
      <c r="CQ705"/>
      <c r="CR705"/>
      <c r="CS705"/>
    </row>
    <row r="706" spans="2:97">
      <c r="B706"/>
      <c r="C706" s="15"/>
      <c r="D706" s="23"/>
      <c r="E706" s="23"/>
      <c r="F706" s="23"/>
      <c r="G706" s="23">
        <f t="shared" si="48"/>
        <v>0</v>
      </c>
      <c r="H706" s="23" t="e" cm="1">
        <f t="array" ref="H706">INDEX('GLOBAL LOG'!#REF!,ROW()-169+15)</f>
        <v>#REF!</v>
      </c>
      <c r="I706" s="23" t="e">
        <f>_xlfn.XLOOKUP(H706,#REF!,#REF!,"",0,1)</f>
        <v>#REF!</v>
      </c>
      <c r="J706" s="23" t="str">
        <f>IFERROR(I706*#REF!,"")</f>
        <v/>
      </c>
      <c r="K706" s="23" t="e" cm="1">
        <f t="array" ref="K706">INDEX('GLOBAL LOG'!#REF!,ROW()-169+15)</f>
        <v>#REF!</v>
      </c>
      <c r="L706" s="23" t="e">
        <f>_xlfn.XLOOKUP(K706,#REF!,#REF!,"",0,1)</f>
        <v>#REF!</v>
      </c>
      <c r="M706" s="23" t="str">
        <f>IFERROR(L706*#REF!,"")</f>
        <v/>
      </c>
      <c r="N706" s="23">
        <f t="shared" si="49"/>
        <v>-1</v>
      </c>
      <c r="O706" s="23">
        <f t="shared" si="50"/>
        <v>-1</v>
      </c>
      <c r="P706" s="23">
        <f t="shared" si="51"/>
        <v>-1</v>
      </c>
      <c r="Q706" s="24">
        <f t="shared" si="52"/>
        <v>-1</v>
      </c>
      <c r="R706" s="3"/>
      <c r="S706" s="1">
        <v>0</v>
      </c>
      <c r="T706" s="24">
        <v>-1</v>
      </c>
      <c r="U706"/>
      <c r="V706" s="1">
        <v>0</v>
      </c>
      <c r="W706" s="24">
        <v>-1</v>
      </c>
      <c r="X706"/>
      <c r="Y706" s="1">
        <v>0</v>
      </c>
      <c r="Z706" s="24">
        <v>-1</v>
      </c>
      <c r="AA706"/>
      <c r="AB706" s="1">
        <v>0</v>
      </c>
      <c r="AC706" s="24">
        <v>-1</v>
      </c>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c r="CC706"/>
      <c r="CD706"/>
      <c r="CE706"/>
      <c r="CF706"/>
      <c r="CG706"/>
      <c r="CH706"/>
      <c r="CI706"/>
      <c r="CJ706"/>
      <c r="CK706"/>
      <c r="CL706"/>
      <c r="CM706"/>
      <c r="CN706"/>
      <c r="CO706"/>
      <c r="CP706"/>
      <c r="CQ706"/>
      <c r="CR706"/>
      <c r="CS706"/>
    </row>
    <row r="707" spans="2:97">
      <c r="B707"/>
      <c r="C707" s="15"/>
      <c r="D707" s="23"/>
      <c r="E707" s="23"/>
      <c r="F707" s="23"/>
      <c r="G707" s="23">
        <f t="shared" si="48"/>
        <v>0</v>
      </c>
      <c r="H707" s="23" t="e" cm="1">
        <f t="array" ref="H707">INDEX('GLOBAL LOG'!#REF!,ROW()-169+15)</f>
        <v>#REF!</v>
      </c>
      <c r="I707" s="23" t="e">
        <f>_xlfn.XLOOKUP(H707,#REF!,#REF!,"",0,1)</f>
        <v>#REF!</v>
      </c>
      <c r="J707" s="23" t="str">
        <f>IFERROR(I707*#REF!,"")</f>
        <v/>
      </c>
      <c r="K707" s="23" t="e" cm="1">
        <f t="array" ref="K707">INDEX('GLOBAL LOG'!#REF!,ROW()-169+15)</f>
        <v>#REF!</v>
      </c>
      <c r="L707" s="23" t="e">
        <f>_xlfn.XLOOKUP(K707,#REF!,#REF!,"",0,1)</f>
        <v>#REF!</v>
      </c>
      <c r="M707" s="23" t="str">
        <f>IFERROR(L707*#REF!,"")</f>
        <v/>
      </c>
      <c r="N707" s="23">
        <f t="shared" si="49"/>
        <v>-1</v>
      </c>
      <c r="O707" s="23">
        <f t="shared" si="50"/>
        <v>-1</v>
      </c>
      <c r="P707" s="23">
        <f t="shared" si="51"/>
        <v>-1</v>
      </c>
      <c r="Q707" s="24">
        <f t="shared" si="52"/>
        <v>-1</v>
      </c>
      <c r="R707" s="3"/>
      <c r="S707" s="1">
        <v>0</v>
      </c>
      <c r="T707" s="24">
        <v>-1</v>
      </c>
      <c r="U707"/>
      <c r="V707" s="1">
        <v>0</v>
      </c>
      <c r="W707" s="24">
        <v>-1</v>
      </c>
      <c r="X707"/>
      <c r="Y707" s="1">
        <v>0</v>
      </c>
      <c r="Z707" s="24">
        <v>-1</v>
      </c>
      <c r="AA707"/>
      <c r="AB707" s="1">
        <v>0</v>
      </c>
      <c r="AC707" s="24">
        <v>-1</v>
      </c>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c r="CC707"/>
      <c r="CD707"/>
      <c r="CE707"/>
      <c r="CF707"/>
      <c r="CG707"/>
      <c r="CH707"/>
      <c r="CI707"/>
      <c r="CJ707"/>
      <c r="CK707"/>
      <c r="CL707"/>
      <c r="CM707"/>
      <c r="CN707"/>
      <c r="CO707"/>
      <c r="CP707"/>
      <c r="CQ707"/>
      <c r="CR707"/>
      <c r="CS707"/>
    </row>
    <row r="708" spans="2:97">
      <c r="B708"/>
      <c r="C708" s="15"/>
      <c r="D708" s="23"/>
      <c r="E708" s="23"/>
      <c r="F708" s="23"/>
      <c r="G708" s="23">
        <f t="shared" si="48"/>
        <v>0</v>
      </c>
      <c r="H708" s="23" t="e" cm="1">
        <f t="array" ref="H708">INDEX('GLOBAL LOG'!#REF!,ROW()-169+15)</f>
        <v>#REF!</v>
      </c>
      <c r="I708" s="23" t="e">
        <f>_xlfn.XLOOKUP(H708,#REF!,#REF!,"",0,1)</f>
        <v>#REF!</v>
      </c>
      <c r="J708" s="23" t="str">
        <f>IFERROR(I708*#REF!,"")</f>
        <v/>
      </c>
      <c r="K708" s="23" t="e" cm="1">
        <f t="array" ref="K708">INDEX('GLOBAL LOG'!#REF!,ROW()-169+15)</f>
        <v>#REF!</v>
      </c>
      <c r="L708" s="23" t="e">
        <f>_xlfn.XLOOKUP(K708,#REF!,#REF!,"",0,1)</f>
        <v>#REF!</v>
      </c>
      <c r="M708" s="23" t="str">
        <f>IFERROR(L708*#REF!,"")</f>
        <v/>
      </c>
      <c r="N708" s="23">
        <f t="shared" si="49"/>
        <v>-1</v>
      </c>
      <c r="O708" s="23">
        <f t="shared" si="50"/>
        <v>-1</v>
      </c>
      <c r="P708" s="23">
        <f t="shared" si="51"/>
        <v>-1</v>
      </c>
      <c r="Q708" s="24">
        <f t="shared" si="52"/>
        <v>-1</v>
      </c>
      <c r="R708" s="3"/>
      <c r="S708" s="1">
        <v>0</v>
      </c>
      <c r="T708" s="24">
        <v>-1</v>
      </c>
      <c r="U708"/>
      <c r="V708" s="1">
        <v>0</v>
      </c>
      <c r="W708" s="24">
        <v>-1</v>
      </c>
      <c r="X708"/>
      <c r="Y708" s="1">
        <v>0</v>
      </c>
      <c r="Z708" s="24">
        <v>-1</v>
      </c>
      <c r="AA708"/>
      <c r="AB708" s="1">
        <v>0</v>
      </c>
      <c r="AC708" s="24">
        <v>-1</v>
      </c>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c r="CA708"/>
      <c r="CB708"/>
      <c r="CC708"/>
      <c r="CD708"/>
      <c r="CE708"/>
      <c r="CF708"/>
      <c r="CG708"/>
      <c r="CH708"/>
      <c r="CI708"/>
      <c r="CJ708"/>
      <c r="CK708"/>
      <c r="CL708"/>
      <c r="CM708"/>
      <c r="CN708"/>
      <c r="CO708"/>
      <c r="CP708"/>
      <c r="CQ708"/>
      <c r="CR708"/>
      <c r="CS708"/>
    </row>
    <row r="709" spans="2:97">
      <c r="B709"/>
      <c r="C709" s="15"/>
      <c r="D709" s="23"/>
      <c r="E709" s="23"/>
      <c r="F709" s="23"/>
      <c r="G709" s="23">
        <f t="shared" si="48"/>
        <v>0</v>
      </c>
      <c r="H709" s="23" t="e" cm="1">
        <f t="array" ref="H709">INDEX('GLOBAL LOG'!#REF!,ROW()-169+15)</f>
        <v>#REF!</v>
      </c>
      <c r="I709" s="23" t="e">
        <f>_xlfn.XLOOKUP(H709,#REF!,#REF!,"",0,1)</f>
        <v>#REF!</v>
      </c>
      <c r="J709" s="23" t="str">
        <f>IFERROR(I709*#REF!,"")</f>
        <v/>
      </c>
      <c r="K709" s="23" t="e" cm="1">
        <f t="array" ref="K709">INDEX('GLOBAL LOG'!#REF!,ROW()-169+15)</f>
        <v>#REF!</v>
      </c>
      <c r="L709" s="23" t="e">
        <f>_xlfn.XLOOKUP(K709,#REF!,#REF!,"",0,1)</f>
        <v>#REF!</v>
      </c>
      <c r="M709" s="23" t="str">
        <f>IFERROR(L709*#REF!,"")</f>
        <v/>
      </c>
      <c r="N709" s="23">
        <f t="shared" si="49"/>
        <v>-1</v>
      </c>
      <c r="O709" s="23">
        <f t="shared" si="50"/>
        <v>-1</v>
      </c>
      <c r="P709" s="23">
        <f t="shared" si="51"/>
        <v>-1</v>
      </c>
      <c r="Q709" s="24">
        <f t="shared" si="52"/>
        <v>-1</v>
      </c>
      <c r="R709" s="3"/>
      <c r="S709" s="1">
        <v>0</v>
      </c>
      <c r="T709" s="24">
        <v>-1</v>
      </c>
      <c r="U709"/>
      <c r="V709" s="1">
        <v>0</v>
      </c>
      <c r="W709" s="24">
        <v>-1</v>
      </c>
      <c r="X709"/>
      <c r="Y709" s="1">
        <v>0</v>
      </c>
      <c r="Z709" s="24">
        <v>-1</v>
      </c>
      <c r="AA709"/>
      <c r="AB709" s="1">
        <v>0</v>
      </c>
      <c r="AC709" s="24">
        <v>-1</v>
      </c>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c r="CA709"/>
      <c r="CB709"/>
      <c r="CC709"/>
      <c r="CD709"/>
      <c r="CE709"/>
      <c r="CF709"/>
      <c r="CG709"/>
      <c r="CH709"/>
      <c r="CI709"/>
      <c r="CJ709"/>
      <c r="CK709"/>
      <c r="CL709"/>
      <c r="CM709"/>
      <c r="CN709"/>
      <c r="CO709"/>
      <c r="CP709"/>
      <c r="CQ709"/>
      <c r="CR709"/>
      <c r="CS709"/>
    </row>
    <row r="710" spans="2:97">
      <c r="B710"/>
      <c r="C710" s="15"/>
      <c r="D710" s="23"/>
      <c r="E710" s="23"/>
      <c r="F710" s="23"/>
      <c r="G710" s="23">
        <f t="shared" si="48"/>
        <v>0</v>
      </c>
      <c r="H710" s="23" t="e" cm="1">
        <f t="array" ref="H710">INDEX('GLOBAL LOG'!#REF!,ROW()-169+15)</f>
        <v>#REF!</v>
      </c>
      <c r="I710" s="23" t="e">
        <f>_xlfn.XLOOKUP(H710,#REF!,#REF!,"",0,1)</f>
        <v>#REF!</v>
      </c>
      <c r="J710" s="23" t="str">
        <f>IFERROR(I710*#REF!,"")</f>
        <v/>
      </c>
      <c r="K710" s="23" t="e" cm="1">
        <f t="array" ref="K710">INDEX('GLOBAL LOG'!#REF!,ROW()-169+15)</f>
        <v>#REF!</v>
      </c>
      <c r="L710" s="23" t="e">
        <f>_xlfn.XLOOKUP(K710,#REF!,#REF!,"",0,1)</f>
        <v>#REF!</v>
      </c>
      <c r="M710" s="23" t="str">
        <f>IFERROR(L710*#REF!,"")</f>
        <v/>
      </c>
      <c r="N710" s="23">
        <f t="shared" si="49"/>
        <v>-1</v>
      </c>
      <c r="O710" s="23">
        <f t="shared" si="50"/>
        <v>-1</v>
      </c>
      <c r="P710" s="23">
        <f t="shared" si="51"/>
        <v>-1</v>
      </c>
      <c r="Q710" s="24">
        <f t="shared" si="52"/>
        <v>-1</v>
      </c>
      <c r="R710" s="3"/>
      <c r="S710" s="1">
        <v>0</v>
      </c>
      <c r="T710" s="24">
        <v>-1</v>
      </c>
      <c r="U710"/>
      <c r="V710" s="1">
        <v>0</v>
      </c>
      <c r="W710" s="24">
        <v>-1</v>
      </c>
      <c r="X710"/>
      <c r="Y710" s="1">
        <v>0</v>
      </c>
      <c r="Z710" s="24">
        <v>-1</v>
      </c>
      <c r="AA710"/>
      <c r="AB710" s="1">
        <v>0</v>
      </c>
      <c r="AC710" s="24">
        <v>-1</v>
      </c>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c r="CA710"/>
      <c r="CB710"/>
      <c r="CC710"/>
      <c r="CD710"/>
      <c r="CE710"/>
      <c r="CF710"/>
      <c r="CG710"/>
      <c r="CH710"/>
      <c r="CI710"/>
      <c r="CJ710"/>
      <c r="CK710"/>
      <c r="CL710"/>
      <c r="CM710"/>
      <c r="CN710"/>
      <c r="CO710"/>
      <c r="CP710"/>
      <c r="CQ710"/>
      <c r="CR710"/>
      <c r="CS710"/>
    </row>
    <row r="711" spans="2:97">
      <c r="B711"/>
      <c r="C711" s="15"/>
      <c r="D711" s="23"/>
      <c r="E711" s="23"/>
      <c r="F711" s="23"/>
      <c r="G711" s="23">
        <f t="shared" si="48"/>
        <v>0</v>
      </c>
      <c r="H711" s="23" t="e" cm="1">
        <f t="array" ref="H711">INDEX('GLOBAL LOG'!#REF!,ROW()-169+15)</f>
        <v>#REF!</v>
      </c>
      <c r="I711" s="23" t="e">
        <f>_xlfn.XLOOKUP(H711,#REF!,#REF!,"",0,1)</f>
        <v>#REF!</v>
      </c>
      <c r="J711" s="23" t="str">
        <f>IFERROR(I711*#REF!,"")</f>
        <v/>
      </c>
      <c r="K711" s="23" t="e" cm="1">
        <f t="array" ref="K711">INDEX('GLOBAL LOG'!#REF!,ROW()-169+15)</f>
        <v>#REF!</v>
      </c>
      <c r="L711" s="23" t="e">
        <f>_xlfn.XLOOKUP(K711,#REF!,#REF!,"",0,1)</f>
        <v>#REF!</v>
      </c>
      <c r="M711" s="23" t="str">
        <f>IFERROR(L711*#REF!,"")</f>
        <v/>
      </c>
      <c r="N711" s="23">
        <f t="shared" si="49"/>
        <v>-1</v>
      </c>
      <c r="O711" s="23">
        <f t="shared" si="50"/>
        <v>-1</v>
      </c>
      <c r="P711" s="23">
        <f t="shared" si="51"/>
        <v>-1</v>
      </c>
      <c r="Q711" s="24">
        <f t="shared" si="52"/>
        <v>-1</v>
      </c>
      <c r="R711" s="3"/>
      <c r="S711" s="1">
        <v>0</v>
      </c>
      <c r="T711" s="24">
        <v>-1</v>
      </c>
      <c r="U711"/>
      <c r="V711" s="1">
        <v>0</v>
      </c>
      <c r="W711" s="24">
        <v>-1</v>
      </c>
      <c r="X711"/>
      <c r="Y711" s="1">
        <v>0</v>
      </c>
      <c r="Z711" s="24">
        <v>-1</v>
      </c>
      <c r="AA711"/>
      <c r="AB711" s="1">
        <v>0</v>
      </c>
      <c r="AC711" s="24">
        <v>-1</v>
      </c>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c r="CA711"/>
      <c r="CB711"/>
      <c r="CC711"/>
      <c r="CD711"/>
      <c r="CE711"/>
      <c r="CF711"/>
      <c r="CG711"/>
      <c r="CH711"/>
      <c r="CI711"/>
      <c r="CJ711"/>
      <c r="CK711"/>
      <c r="CL711"/>
      <c r="CM711"/>
      <c r="CN711"/>
      <c r="CO711"/>
      <c r="CP711"/>
      <c r="CQ711"/>
      <c r="CR711"/>
      <c r="CS711"/>
    </row>
    <row r="712" spans="2:97">
      <c r="B712"/>
      <c r="C712" s="15"/>
      <c r="D712" s="23"/>
      <c r="E712" s="23"/>
      <c r="F712" s="23"/>
      <c r="G712" s="23">
        <f t="shared" si="48"/>
        <v>0</v>
      </c>
      <c r="H712" s="23" t="e" cm="1">
        <f t="array" ref="H712">INDEX('GLOBAL LOG'!#REF!,ROW()-169+15)</f>
        <v>#REF!</v>
      </c>
      <c r="I712" s="23" t="e">
        <f>_xlfn.XLOOKUP(H712,#REF!,#REF!,"",0,1)</f>
        <v>#REF!</v>
      </c>
      <c r="J712" s="23" t="str">
        <f>IFERROR(I712*#REF!,"")</f>
        <v/>
      </c>
      <c r="K712" s="23" t="e" cm="1">
        <f t="array" ref="K712">INDEX('GLOBAL LOG'!#REF!,ROW()-169+15)</f>
        <v>#REF!</v>
      </c>
      <c r="L712" s="23" t="e">
        <f>_xlfn.XLOOKUP(K712,#REF!,#REF!,"",0,1)</f>
        <v>#REF!</v>
      </c>
      <c r="M712" s="23" t="str">
        <f>IFERROR(L712*#REF!,"")</f>
        <v/>
      </c>
      <c r="N712" s="23">
        <f t="shared" si="49"/>
        <v>-1</v>
      </c>
      <c r="O712" s="23">
        <f t="shared" si="50"/>
        <v>-1</v>
      </c>
      <c r="P712" s="23">
        <f t="shared" si="51"/>
        <v>-1</v>
      </c>
      <c r="Q712" s="24">
        <f t="shared" si="52"/>
        <v>-1</v>
      </c>
      <c r="R712" s="3"/>
      <c r="S712" s="1">
        <v>0</v>
      </c>
      <c r="T712" s="24">
        <v>-1</v>
      </c>
      <c r="U712"/>
      <c r="V712" s="1">
        <v>0</v>
      </c>
      <c r="W712" s="24">
        <v>-1</v>
      </c>
      <c r="X712"/>
      <c r="Y712" s="1">
        <v>0</v>
      </c>
      <c r="Z712" s="24">
        <v>-1</v>
      </c>
      <c r="AA712"/>
      <c r="AB712" s="1">
        <v>0</v>
      </c>
      <c r="AC712" s="24">
        <v>-1</v>
      </c>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c r="CA712"/>
      <c r="CB712"/>
      <c r="CC712"/>
      <c r="CD712"/>
      <c r="CE712"/>
      <c r="CF712"/>
      <c r="CG712"/>
      <c r="CH712"/>
      <c r="CI712"/>
      <c r="CJ712"/>
      <c r="CK712"/>
      <c r="CL712"/>
      <c r="CM712"/>
      <c r="CN712"/>
      <c r="CO712"/>
      <c r="CP712"/>
      <c r="CQ712"/>
      <c r="CR712"/>
      <c r="CS712"/>
    </row>
    <row r="713" spans="2:97">
      <c r="B713"/>
      <c r="C713" s="15"/>
      <c r="D713" s="23"/>
      <c r="E713" s="23"/>
      <c r="F713" s="23"/>
      <c r="G713" s="23">
        <f t="shared" si="48"/>
        <v>0</v>
      </c>
      <c r="H713" s="23" t="e" cm="1">
        <f t="array" ref="H713">INDEX('GLOBAL LOG'!#REF!,ROW()-169+15)</f>
        <v>#REF!</v>
      </c>
      <c r="I713" s="23" t="e">
        <f>_xlfn.XLOOKUP(H713,#REF!,#REF!,"",0,1)</f>
        <v>#REF!</v>
      </c>
      <c r="J713" s="23" t="str">
        <f>IFERROR(I713*#REF!,"")</f>
        <v/>
      </c>
      <c r="K713" s="23" t="e" cm="1">
        <f t="array" ref="K713">INDEX('GLOBAL LOG'!#REF!,ROW()-169+15)</f>
        <v>#REF!</v>
      </c>
      <c r="L713" s="23" t="e">
        <f>_xlfn.XLOOKUP(K713,#REF!,#REF!,"",0,1)</f>
        <v>#REF!</v>
      </c>
      <c r="M713" s="23" t="str">
        <f>IFERROR(L713*#REF!,"")</f>
        <v/>
      </c>
      <c r="N713" s="23">
        <f t="shared" si="49"/>
        <v>-1</v>
      </c>
      <c r="O713" s="23">
        <f t="shared" si="50"/>
        <v>-1</v>
      </c>
      <c r="P713" s="23">
        <f t="shared" si="51"/>
        <v>-1</v>
      </c>
      <c r="Q713" s="24">
        <f t="shared" si="52"/>
        <v>-1</v>
      </c>
      <c r="R713" s="3"/>
      <c r="S713" s="1">
        <v>0</v>
      </c>
      <c r="T713" s="24">
        <v>-1</v>
      </c>
      <c r="U713"/>
      <c r="V713" s="1">
        <v>0</v>
      </c>
      <c r="W713" s="24">
        <v>-1</v>
      </c>
      <c r="X713"/>
      <c r="Y713" s="1">
        <v>0</v>
      </c>
      <c r="Z713" s="24">
        <v>-1</v>
      </c>
      <c r="AA713"/>
      <c r="AB713" s="1">
        <v>0</v>
      </c>
      <c r="AC713" s="24">
        <v>-1</v>
      </c>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c r="CA713"/>
      <c r="CB713"/>
      <c r="CC713"/>
      <c r="CD713"/>
      <c r="CE713"/>
      <c r="CF713"/>
      <c r="CG713"/>
      <c r="CH713"/>
      <c r="CI713"/>
      <c r="CJ713"/>
      <c r="CK713"/>
      <c r="CL713"/>
      <c r="CM713"/>
      <c r="CN713"/>
      <c r="CO713"/>
      <c r="CP713"/>
      <c r="CQ713"/>
      <c r="CR713"/>
      <c r="CS713"/>
    </row>
    <row r="714" spans="2:97">
      <c r="B714"/>
      <c r="C714" s="15"/>
      <c r="D714" s="23"/>
      <c r="E714" s="23"/>
      <c r="F714" s="23"/>
      <c r="G714" s="23">
        <f t="shared" si="48"/>
        <v>0</v>
      </c>
      <c r="H714" s="23" t="e" cm="1">
        <f t="array" ref="H714">INDEX('GLOBAL LOG'!#REF!,ROW()-169+15)</f>
        <v>#REF!</v>
      </c>
      <c r="I714" s="23" t="e">
        <f>_xlfn.XLOOKUP(H714,#REF!,#REF!,"",0,1)</f>
        <v>#REF!</v>
      </c>
      <c r="J714" s="23" t="str">
        <f>IFERROR(I714*#REF!,"")</f>
        <v/>
      </c>
      <c r="K714" s="23" t="e" cm="1">
        <f t="array" ref="K714">INDEX('GLOBAL LOG'!#REF!,ROW()-169+15)</f>
        <v>#REF!</v>
      </c>
      <c r="L714" s="23" t="e">
        <f>_xlfn.XLOOKUP(K714,#REF!,#REF!,"",0,1)</f>
        <v>#REF!</v>
      </c>
      <c r="M714" s="23" t="str">
        <f>IFERROR(L714*#REF!,"")</f>
        <v/>
      </c>
      <c r="N714" s="23">
        <f t="shared" si="49"/>
        <v>-1</v>
      </c>
      <c r="O714" s="23">
        <f t="shared" si="50"/>
        <v>-1</v>
      </c>
      <c r="P714" s="23">
        <f t="shared" si="51"/>
        <v>-1</v>
      </c>
      <c r="Q714" s="24">
        <f t="shared" si="52"/>
        <v>-1</v>
      </c>
      <c r="R714" s="3"/>
      <c r="S714" s="1">
        <v>0</v>
      </c>
      <c r="T714" s="24">
        <v>-1</v>
      </c>
      <c r="U714"/>
      <c r="V714" s="1">
        <v>0</v>
      </c>
      <c r="W714" s="24">
        <v>-1</v>
      </c>
      <c r="X714"/>
      <c r="Y714" s="1">
        <v>0</v>
      </c>
      <c r="Z714" s="24">
        <v>-1</v>
      </c>
      <c r="AA714"/>
      <c r="AB714" s="1">
        <v>0</v>
      </c>
      <c r="AC714" s="24">
        <v>-1</v>
      </c>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c r="CA714"/>
      <c r="CB714"/>
      <c r="CC714"/>
      <c r="CD714"/>
      <c r="CE714"/>
      <c r="CF714"/>
      <c r="CG714"/>
      <c r="CH714"/>
      <c r="CI714"/>
      <c r="CJ714"/>
      <c r="CK714"/>
      <c r="CL714"/>
      <c r="CM714"/>
      <c r="CN714"/>
      <c r="CO714"/>
      <c r="CP714"/>
      <c r="CQ714"/>
      <c r="CR714"/>
      <c r="CS714"/>
    </row>
    <row r="715" spans="2:97">
      <c r="B715"/>
      <c r="C715" s="15"/>
      <c r="D715" s="23"/>
      <c r="E715" s="23"/>
      <c r="F715" s="23"/>
      <c r="G715" s="23">
        <f t="shared" si="48"/>
        <v>0</v>
      </c>
      <c r="H715" s="23" t="e" cm="1">
        <f t="array" ref="H715">INDEX('GLOBAL LOG'!#REF!,ROW()-169+15)</f>
        <v>#REF!</v>
      </c>
      <c r="I715" s="23" t="e">
        <f>_xlfn.XLOOKUP(H715,#REF!,#REF!,"",0,1)</f>
        <v>#REF!</v>
      </c>
      <c r="J715" s="23" t="str">
        <f>IFERROR(I715*#REF!,"")</f>
        <v/>
      </c>
      <c r="K715" s="23" t="e" cm="1">
        <f t="array" ref="K715">INDEX('GLOBAL LOG'!#REF!,ROW()-169+15)</f>
        <v>#REF!</v>
      </c>
      <c r="L715" s="23" t="e">
        <f>_xlfn.XLOOKUP(K715,#REF!,#REF!,"",0,1)</f>
        <v>#REF!</v>
      </c>
      <c r="M715" s="23" t="str">
        <f>IFERROR(L715*#REF!,"")</f>
        <v/>
      </c>
      <c r="N715" s="23">
        <f t="shared" si="49"/>
        <v>-1</v>
      </c>
      <c r="O715" s="23">
        <f t="shared" si="50"/>
        <v>-1</v>
      </c>
      <c r="P715" s="23">
        <f t="shared" si="51"/>
        <v>-1</v>
      </c>
      <c r="Q715" s="24">
        <f t="shared" si="52"/>
        <v>-1</v>
      </c>
      <c r="R715" s="3"/>
      <c r="S715" s="1">
        <v>0</v>
      </c>
      <c r="T715" s="24">
        <v>-1</v>
      </c>
      <c r="U715"/>
      <c r="V715" s="1">
        <v>0</v>
      </c>
      <c r="W715" s="24">
        <v>-1</v>
      </c>
      <c r="X715"/>
      <c r="Y715" s="1">
        <v>0</v>
      </c>
      <c r="Z715" s="24">
        <v>-1</v>
      </c>
      <c r="AA715"/>
      <c r="AB715" s="1">
        <v>0</v>
      </c>
      <c r="AC715" s="24">
        <v>-1</v>
      </c>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c r="CA715"/>
      <c r="CB715"/>
      <c r="CC715"/>
      <c r="CD715"/>
      <c r="CE715"/>
      <c r="CF715"/>
      <c r="CG715"/>
      <c r="CH715"/>
      <c r="CI715"/>
      <c r="CJ715"/>
      <c r="CK715"/>
      <c r="CL715"/>
      <c r="CM715"/>
      <c r="CN715"/>
      <c r="CO715"/>
      <c r="CP715"/>
      <c r="CQ715"/>
      <c r="CR715"/>
      <c r="CS715"/>
    </row>
    <row r="716" spans="2:97">
      <c r="B716"/>
      <c r="C716" s="15"/>
      <c r="D716" s="23"/>
      <c r="E716" s="23"/>
      <c r="F716" s="23"/>
      <c r="G716" s="23">
        <f t="shared" si="48"/>
        <v>0</v>
      </c>
      <c r="H716" s="23" t="e" cm="1">
        <f t="array" ref="H716">INDEX('GLOBAL LOG'!#REF!,ROW()-169+15)</f>
        <v>#REF!</v>
      </c>
      <c r="I716" s="23" t="e">
        <f>_xlfn.XLOOKUP(H716,#REF!,#REF!,"",0,1)</f>
        <v>#REF!</v>
      </c>
      <c r="J716" s="23" t="str">
        <f>IFERROR(I716*#REF!,"")</f>
        <v/>
      </c>
      <c r="K716" s="23" t="e" cm="1">
        <f t="array" ref="K716">INDEX('GLOBAL LOG'!#REF!,ROW()-169+15)</f>
        <v>#REF!</v>
      </c>
      <c r="L716" s="23" t="e">
        <f>_xlfn.XLOOKUP(K716,#REF!,#REF!,"",0,1)</f>
        <v>#REF!</v>
      </c>
      <c r="M716" s="23" t="str">
        <f>IFERROR(L716*#REF!,"")</f>
        <v/>
      </c>
      <c r="N716" s="23">
        <f t="shared" si="49"/>
        <v>-1</v>
      </c>
      <c r="O716" s="23">
        <f t="shared" si="50"/>
        <v>-1</v>
      </c>
      <c r="P716" s="23">
        <f t="shared" si="51"/>
        <v>-1</v>
      </c>
      <c r="Q716" s="24">
        <f t="shared" si="52"/>
        <v>-1</v>
      </c>
      <c r="R716" s="3"/>
      <c r="S716" s="1">
        <v>0</v>
      </c>
      <c r="T716" s="24">
        <v>-1</v>
      </c>
      <c r="U716"/>
      <c r="V716" s="1">
        <v>0</v>
      </c>
      <c r="W716" s="24">
        <v>-1</v>
      </c>
      <c r="X716"/>
      <c r="Y716" s="1">
        <v>0</v>
      </c>
      <c r="Z716" s="24">
        <v>-1</v>
      </c>
      <c r="AA716"/>
      <c r="AB716" s="1">
        <v>0</v>
      </c>
      <c r="AC716" s="24">
        <v>-1</v>
      </c>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c r="CA716"/>
      <c r="CB716"/>
      <c r="CC716"/>
      <c r="CD716"/>
      <c r="CE716"/>
      <c r="CF716"/>
      <c r="CG716"/>
      <c r="CH716"/>
      <c r="CI716"/>
      <c r="CJ716"/>
      <c r="CK716"/>
      <c r="CL716"/>
      <c r="CM716"/>
      <c r="CN716"/>
      <c r="CO716"/>
      <c r="CP716"/>
      <c r="CQ716"/>
      <c r="CR716"/>
      <c r="CS716"/>
    </row>
    <row r="717" spans="2:97">
      <c r="B717"/>
      <c r="C717" s="15"/>
      <c r="D717" s="23"/>
      <c r="E717" s="23"/>
      <c r="F717" s="23"/>
      <c r="G717" s="23">
        <f t="shared" si="48"/>
        <v>0</v>
      </c>
      <c r="H717" s="23" t="e" cm="1">
        <f t="array" ref="H717">INDEX('GLOBAL LOG'!#REF!,ROW()-169+15)</f>
        <v>#REF!</v>
      </c>
      <c r="I717" s="23" t="e">
        <f>_xlfn.XLOOKUP(H717,#REF!,#REF!,"",0,1)</f>
        <v>#REF!</v>
      </c>
      <c r="J717" s="23" t="str">
        <f>IFERROR(I717*#REF!,"")</f>
        <v/>
      </c>
      <c r="K717" s="23" t="e" cm="1">
        <f t="array" ref="K717">INDEX('GLOBAL LOG'!#REF!,ROW()-169+15)</f>
        <v>#REF!</v>
      </c>
      <c r="L717" s="23" t="e">
        <f>_xlfn.XLOOKUP(K717,#REF!,#REF!,"",0,1)</f>
        <v>#REF!</v>
      </c>
      <c r="M717" s="23" t="str">
        <f>IFERROR(L717*#REF!,"")</f>
        <v/>
      </c>
      <c r="N717" s="23">
        <f t="shared" si="49"/>
        <v>-1</v>
      </c>
      <c r="O717" s="23">
        <f t="shared" si="50"/>
        <v>-1</v>
      </c>
      <c r="P717" s="23">
        <f t="shared" si="51"/>
        <v>-1</v>
      </c>
      <c r="Q717" s="24">
        <f t="shared" si="52"/>
        <v>-1</v>
      </c>
      <c r="R717" s="3"/>
      <c r="S717" s="1">
        <v>0</v>
      </c>
      <c r="T717" s="24">
        <v>-1</v>
      </c>
      <c r="U717"/>
      <c r="V717" s="1">
        <v>0</v>
      </c>
      <c r="W717" s="24">
        <v>-1</v>
      </c>
      <c r="X717"/>
      <c r="Y717" s="1">
        <v>0</v>
      </c>
      <c r="Z717" s="24">
        <v>-1</v>
      </c>
      <c r="AA717"/>
      <c r="AB717" s="1">
        <v>0</v>
      </c>
      <c r="AC717" s="24">
        <v>-1</v>
      </c>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c r="CA717"/>
      <c r="CB717"/>
      <c r="CC717"/>
      <c r="CD717"/>
      <c r="CE717"/>
      <c r="CF717"/>
      <c r="CG717"/>
      <c r="CH717"/>
      <c r="CI717"/>
      <c r="CJ717"/>
      <c r="CK717"/>
      <c r="CL717"/>
      <c r="CM717"/>
      <c r="CN717"/>
      <c r="CO717"/>
      <c r="CP717"/>
      <c r="CQ717"/>
      <c r="CR717"/>
      <c r="CS717"/>
    </row>
    <row r="718" spans="2:97">
      <c r="B718"/>
      <c r="C718" s="15"/>
      <c r="D718" s="23"/>
      <c r="E718" s="23"/>
      <c r="F718" s="23"/>
      <c r="G718" s="23">
        <f t="shared" si="48"/>
        <v>0</v>
      </c>
      <c r="H718" s="23" t="e" cm="1">
        <f t="array" ref="H718">INDEX('GLOBAL LOG'!#REF!,ROW()-169+15)</f>
        <v>#REF!</v>
      </c>
      <c r="I718" s="23" t="e">
        <f>_xlfn.XLOOKUP(H718,#REF!,#REF!,"",0,1)</f>
        <v>#REF!</v>
      </c>
      <c r="J718" s="23" t="str">
        <f>IFERROR(I718*#REF!,"")</f>
        <v/>
      </c>
      <c r="K718" s="23" t="e" cm="1">
        <f t="array" ref="K718">INDEX('GLOBAL LOG'!#REF!,ROW()-169+15)</f>
        <v>#REF!</v>
      </c>
      <c r="L718" s="23" t="e">
        <f>_xlfn.XLOOKUP(K718,#REF!,#REF!,"",0,1)</f>
        <v>#REF!</v>
      </c>
      <c r="M718" s="23" t="str">
        <f>IFERROR(L718*#REF!,"")</f>
        <v/>
      </c>
      <c r="N718" s="23">
        <f t="shared" si="49"/>
        <v>-1</v>
      </c>
      <c r="O718" s="23">
        <f t="shared" si="50"/>
        <v>-1</v>
      </c>
      <c r="P718" s="23">
        <f t="shared" si="51"/>
        <v>-1</v>
      </c>
      <c r="Q718" s="24">
        <f t="shared" si="52"/>
        <v>-1</v>
      </c>
      <c r="R718" s="3"/>
      <c r="S718" s="1">
        <v>0</v>
      </c>
      <c r="T718" s="24">
        <v>-1</v>
      </c>
      <c r="U718"/>
      <c r="V718" s="1">
        <v>0</v>
      </c>
      <c r="W718" s="24">
        <v>-1</v>
      </c>
      <c r="X718"/>
      <c r="Y718" s="1">
        <v>0</v>
      </c>
      <c r="Z718" s="24">
        <v>-1</v>
      </c>
      <c r="AA718"/>
      <c r="AB718" s="1">
        <v>0</v>
      </c>
      <c r="AC718" s="24">
        <v>-1</v>
      </c>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c r="CA718"/>
      <c r="CB718"/>
      <c r="CC718"/>
      <c r="CD718"/>
      <c r="CE718"/>
      <c r="CF718"/>
      <c r="CG718"/>
      <c r="CH718"/>
      <c r="CI718"/>
      <c r="CJ718"/>
      <c r="CK718"/>
      <c r="CL718"/>
      <c r="CM718"/>
      <c r="CN718"/>
      <c r="CO718"/>
      <c r="CP718"/>
      <c r="CQ718"/>
      <c r="CR718"/>
      <c r="CS718"/>
    </row>
    <row r="719" spans="2:97">
      <c r="B719"/>
      <c r="C719" s="15"/>
      <c r="D719" s="23"/>
      <c r="E719" s="23"/>
      <c r="F719" s="23"/>
      <c r="G719" s="23">
        <f t="shared" si="48"/>
        <v>0</v>
      </c>
      <c r="H719" s="23" t="e" cm="1">
        <f t="array" ref="H719">INDEX('GLOBAL LOG'!#REF!,ROW()-169+15)</f>
        <v>#REF!</v>
      </c>
      <c r="I719" s="23" t="e">
        <f>_xlfn.XLOOKUP(H719,#REF!,#REF!,"",0,1)</f>
        <v>#REF!</v>
      </c>
      <c r="J719" s="23" t="str">
        <f>IFERROR(I719*#REF!,"")</f>
        <v/>
      </c>
      <c r="K719" s="23" t="e" cm="1">
        <f t="array" ref="K719">INDEX('GLOBAL LOG'!#REF!,ROW()-169+15)</f>
        <v>#REF!</v>
      </c>
      <c r="L719" s="23" t="e">
        <f>_xlfn.XLOOKUP(K719,#REF!,#REF!,"",0,1)</f>
        <v>#REF!</v>
      </c>
      <c r="M719" s="23" t="str">
        <f>IFERROR(L719*#REF!,"")</f>
        <v/>
      </c>
      <c r="N719" s="23">
        <f t="shared" si="49"/>
        <v>-1</v>
      </c>
      <c r="O719" s="23">
        <f t="shared" si="50"/>
        <v>-1</v>
      </c>
      <c r="P719" s="23">
        <f t="shared" si="51"/>
        <v>-1</v>
      </c>
      <c r="Q719" s="24">
        <f t="shared" si="52"/>
        <v>-1</v>
      </c>
      <c r="R719" s="3"/>
      <c r="S719" s="1">
        <v>0</v>
      </c>
      <c r="T719" s="24">
        <v>-1</v>
      </c>
      <c r="U719"/>
      <c r="V719" s="1">
        <v>0</v>
      </c>
      <c r="W719" s="24">
        <v>-1</v>
      </c>
      <c r="X719"/>
      <c r="Y719" s="1">
        <v>0</v>
      </c>
      <c r="Z719" s="24">
        <v>-1</v>
      </c>
      <c r="AA719"/>
      <c r="AB719" s="1">
        <v>0</v>
      </c>
      <c r="AC719" s="24">
        <v>-1</v>
      </c>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c r="CA719"/>
      <c r="CB719"/>
      <c r="CC719"/>
      <c r="CD719"/>
      <c r="CE719"/>
      <c r="CF719"/>
      <c r="CG719"/>
      <c r="CH719"/>
      <c r="CI719"/>
      <c r="CJ719"/>
      <c r="CK719"/>
      <c r="CL719"/>
      <c r="CM719"/>
      <c r="CN719"/>
      <c r="CO719"/>
      <c r="CP719"/>
      <c r="CQ719"/>
      <c r="CR719"/>
      <c r="CS719"/>
    </row>
    <row r="720" spans="2:97">
      <c r="B720"/>
      <c r="C720" s="15"/>
      <c r="D720" s="23"/>
      <c r="E720" s="23"/>
      <c r="F720" s="23"/>
      <c r="G720" s="23">
        <f t="shared" si="48"/>
        <v>0</v>
      </c>
      <c r="H720" s="23" t="e" cm="1">
        <f t="array" ref="H720">INDEX('GLOBAL LOG'!#REF!,ROW()-169+15)</f>
        <v>#REF!</v>
      </c>
      <c r="I720" s="23" t="e">
        <f>_xlfn.XLOOKUP(H720,#REF!,#REF!,"",0,1)</f>
        <v>#REF!</v>
      </c>
      <c r="J720" s="23" t="str">
        <f>IFERROR(I720*#REF!,"")</f>
        <v/>
      </c>
      <c r="K720" s="23" t="e" cm="1">
        <f t="array" ref="K720">INDEX('GLOBAL LOG'!#REF!,ROW()-169+15)</f>
        <v>#REF!</v>
      </c>
      <c r="L720" s="23" t="e">
        <f>_xlfn.XLOOKUP(K720,#REF!,#REF!,"",0,1)</f>
        <v>#REF!</v>
      </c>
      <c r="M720" s="23" t="str">
        <f>IFERROR(L720*#REF!,"")</f>
        <v/>
      </c>
      <c r="N720" s="23">
        <f t="shared" si="49"/>
        <v>-1</v>
      </c>
      <c r="O720" s="23">
        <f t="shared" si="50"/>
        <v>-1</v>
      </c>
      <c r="P720" s="23">
        <f t="shared" si="51"/>
        <v>-1</v>
      </c>
      <c r="Q720" s="24">
        <f t="shared" si="52"/>
        <v>-1</v>
      </c>
      <c r="R720" s="3"/>
      <c r="S720" s="1">
        <v>0</v>
      </c>
      <c r="T720" s="24">
        <v>-1</v>
      </c>
      <c r="U720"/>
      <c r="V720" s="1">
        <v>0</v>
      </c>
      <c r="W720" s="24">
        <v>-1</v>
      </c>
      <c r="X720"/>
      <c r="Y720" s="1">
        <v>0</v>
      </c>
      <c r="Z720" s="24">
        <v>-1</v>
      </c>
      <c r="AA720"/>
      <c r="AB720" s="1">
        <v>0</v>
      </c>
      <c r="AC720" s="24">
        <v>-1</v>
      </c>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c r="CA720"/>
      <c r="CB720"/>
      <c r="CC720"/>
      <c r="CD720"/>
      <c r="CE720"/>
      <c r="CF720"/>
      <c r="CG720"/>
      <c r="CH720"/>
      <c r="CI720"/>
      <c r="CJ720"/>
      <c r="CK720"/>
      <c r="CL720"/>
      <c r="CM720"/>
      <c r="CN720"/>
      <c r="CO720"/>
      <c r="CP720"/>
      <c r="CQ720"/>
      <c r="CR720"/>
      <c r="CS720"/>
    </row>
    <row r="721" spans="2:97">
      <c r="B721"/>
      <c r="C721" s="15"/>
      <c r="D721" s="23"/>
      <c r="E721" s="23"/>
      <c r="F721" s="23"/>
      <c r="G721" s="23">
        <f t="shared" si="48"/>
        <v>0</v>
      </c>
      <c r="H721" s="23" t="e" cm="1">
        <f t="array" ref="H721">INDEX('GLOBAL LOG'!#REF!,ROW()-169+15)</f>
        <v>#REF!</v>
      </c>
      <c r="I721" s="23" t="e">
        <f>_xlfn.XLOOKUP(H721,#REF!,#REF!,"",0,1)</f>
        <v>#REF!</v>
      </c>
      <c r="J721" s="23" t="str">
        <f>IFERROR(I721*#REF!,"")</f>
        <v/>
      </c>
      <c r="K721" s="23" t="e" cm="1">
        <f t="array" ref="K721">INDEX('GLOBAL LOG'!#REF!,ROW()-169+15)</f>
        <v>#REF!</v>
      </c>
      <c r="L721" s="23" t="e">
        <f>_xlfn.XLOOKUP(K721,#REF!,#REF!,"",0,1)</f>
        <v>#REF!</v>
      </c>
      <c r="M721" s="23" t="str">
        <f>IFERROR(L721*#REF!,"")</f>
        <v/>
      </c>
      <c r="N721" s="23">
        <f t="shared" si="49"/>
        <v>-1</v>
      </c>
      <c r="O721" s="23">
        <f t="shared" si="50"/>
        <v>-1</v>
      </c>
      <c r="P721" s="23">
        <f t="shared" si="51"/>
        <v>-1</v>
      </c>
      <c r="Q721" s="24">
        <f t="shared" si="52"/>
        <v>-1</v>
      </c>
      <c r="R721" s="3"/>
      <c r="S721" s="1">
        <v>0</v>
      </c>
      <c r="T721" s="24">
        <v>-1</v>
      </c>
      <c r="U721"/>
      <c r="V721" s="1">
        <v>0</v>
      </c>
      <c r="W721" s="24">
        <v>-1</v>
      </c>
      <c r="X721"/>
      <c r="Y721" s="1">
        <v>0</v>
      </c>
      <c r="Z721" s="24">
        <v>-1</v>
      </c>
      <c r="AA721"/>
      <c r="AB721" s="1">
        <v>0</v>
      </c>
      <c r="AC721" s="24">
        <v>-1</v>
      </c>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c r="CA721"/>
      <c r="CB721"/>
      <c r="CC721"/>
      <c r="CD721"/>
      <c r="CE721"/>
      <c r="CF721"/>
      <c r="CG721"/>
      <c r="CH721"/>
      <c r="CI721"/>
      <c r="CJ721"/>
      <c r="CK721"/>
      <c r="CL721"/>
      <c r="CM721"/>
      <c r="CN721"/>
      <c r="CO721"/>
      <c r="CP721"/>
      <c r="CQ721"/>
      <c r="CR721"/>
      <c r="CS721"/>
    </row>
    <row r="722" spans="2:97">
      <c r="B722"/>
      <c r="C722" s="15"/>
      <c r="D722" s="23"/>
      <c r="E722" s="23"/>
      <c r="F722" s="23"/>
      <c r="G722" s="23">
        <f t="shared" si="48"/>
        <v>0</v>
      </c>
      <c r="H722" s="23" t="e" cm="1">
        <f t="array" ref="H722">INDEX('GLOBAL LOG'!#REF!,ROW()-169+15)</f>
        <v>#REF!</v>
      </c>
      <c r="I722" s="23" t="e">
        <f>_xlfn.XLOOKUP(H722,#REF!,#REF!,"",0,1)</f>
        <v>#REF!</v>
      </c>
      <c r="J722" s="23" t="str">
        <f>IFERROR(I722*#REF!,"")</f>
        <v/>
      </c>
      <c r="K722" s="23" t="e" cm="1">
        <f t="array" ref="K722">INDEX('GLOBAL LOG'!#REF!,ROW()-169+15)</f>
        <v>#REF!</v>
      </c>
      <c r="L722" s="23" t="e">
        <f>_xlfn.XLOOKUP(K722,#REF!,#REF!,"",0,1)</f>
        <v>#REF!</v>
      </c>
      <c r="M722" s="23" t="str">
        <f>IFERROR(L722*#REF!,"")</f>
        <v/>
      </c>
      <c r="N722" s="23">
        <f t="shared" si="49"/>
        <v>-1</v>
      </c>
      <c r="O722" s="23">
        <f t="shared" si="50"/>
        <v>-1</v>
      </c>
      <c r="P722" s="23">
        <f t="shared" si="51"/>
        <v>-1</v>
      </c>
      <c r="Q722" s="24">
        <f t="shared" si="52"/>
        <v>-1</v>
      </c>
      <c r="R722" s="3"/>
      <c r="S722" s="1">
        <v>0</v>
      </c>
      <c r="T722" s="24">
        <v>-1</v>
      </c>
      <c r="U722"/>
      <c r="V722" s="1">
        <v>0</v>
      </c>
      <c r="W722" s="24">
        <v>-1</v>
      </c>
      <c r="X722"/>
      <c r="Y722" s="1">
        <v>0</v>
      </c>
      <c r="Z722" s="24">
        <v>-1</v>
      </c>
      <c r="AA722"/>
      <c r="AB722" s="1">
        <v>0</v>
      </c>
      <c r="AC722" s="24">
        <v>-1</v>
      </c>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c r="CA722"/>
      <c r="CB722"/>
      <c r="CC722"/>
      <c r="CD722"/>
      <c r="CE722"/>
      <c r="CF722"/>
      <c r="CG722"/>
      <c r="CH722"/>
      <c r="CI722"/>
      <c r="CJ722"/>
      <c r="CK722"/>
      <c r="CL722"/>
      <c r="CM722"/>
      <c r="CN722"/>
      <c r="CO722"/>
      <c r="CP722"/>
      <c r="CQ722"/>
      <c r="CR722"/>
      <c r="CS722"/>
    </row>
    <row r="723" spans="2:97">
      <c r="B723"/>
      <c r="C723" s="15"/>
      <c r="D723" s="23"/>
      <c r="E723" s="23"/>
      <c r="F723" s="23"/>
      <c r="G723" s="23">
        <f t="shared" si="48"/>
        <v>0</v>
      </c>
      <c r="H723" s="23" t="e" cm="1">
        <f t="array" ref="H723">INDEX('GLOBAL LOG'!#REF!,ROW()-169+15)</f>
        <v>#REF!</v>
      </c>
      <c r="I723" s="23" t="e">
        <f>_xlfn.XLOOKUP(H723,#REF!,#REF!,"",0,1)</f>
        <v>#REF!</v>
      </c>
      <c r="J723" s="23" t="str">
        <f>IFERROR(I723*#REF!,"")</f>
        <v/>
      </c>
      <c r="K723" s="23" t="e" cm="1">
        <f t="array" ref="K723">INDEX('GLOBAL LOG'!#REF!,ROW()-169+15)</f>
        <v>#REF!</v>
      </c>
      <c r="L723" s="23" t="e">
        <f>_xlfn.XLOOKUP(K723,#REF!,#REF!,"",0,1)</f>
        <v>#REF!</v>
      </c>
      <c r="M723" s="23" t="str">
        <f>IFERROR(L723*#REF!,"")</f>
        <v/>
      </c>
      <c r="N723" s="23">
        <f t="shared" si="49"/>
        <v>-1</v>
      </c>
      <c r="O723" s="23">
        <f t="shared" si="50"/>
        <v>-1</v>
      </c>
      <c r="P723" s="23">
        <f t="shared" si="51"/>
        <v>-1</v>
      </c>
      <c r="Q723" s="24">
        <f t="shared" si="52"/>
        <v>-1</v>
      </c>
      <c r="R723" s="3"/>
      <c r="S723" s="1">
        <v>0</v>
      </c>
      <c r="T723" s="24">
        <v>-1</v>
      </c>
      <c r="U723"/>
      <c r="V723" s="1">
        <v>0</v>
      </c>
      <c r="W723" s="24">
        <v>-1</v>
      </c>
      <c r="X723"/>
      <c r="Y723" s="1">
        <v>0</v>
      </c>
      <c r="Z723" s="24">
        <v>-1</v>
      </c>
      <c r="AA723"/>
      <c r="AB723" s="1">
        <v>0</v>
      </c>
      <c r="AC723" s="24">
        <v>-1</v>
      </c>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c r="CA723"/>
      <c r="CB723"/>
      <c r="CC723"/>
      <c r="CD723"/>
      <c r="CE723"/>
      <c r="CF723"/>
      <c r="CG723"/>
      <c r="CH723"/>
      <c r="CI723"/>
      <c r="CJ723"/>
      <c r="CK723"/>
      <c r="CL723"/>
      <c r="CM723"/>
      <c r="CN723"/>
      <c r="CO723"/>
      <c r="CP723"/>
      <c r="CQ723"/>
      <c r="CR723"/>
      <c r="CS723"/>
    </row>
    <row r="724" spans="2:97">
      <c r="B724"/>
      <c r="C724" s="15"/>
      <c r="D724" s="23"/>
      <c r="E724" s="23"/>
      <c r="F724" s="23"/>
      <c r="G724" s="23">
        <f t="shared" si="48"/>
        <v>0</v>
      </c>
      <c r="H724" s="23" t="e" cm="1">
        <f t="array" ref="H724">INDEX('GLOBAL LOG'!#REF!,ROW()-169+15)</f>
        <v>#REF!</v>
      </c>
      <c r="I724" s="23" t="e">
        <f>_xlfn.XLOOKUP(H724,#REF!,#REF!,"",0,1)</f>
        <v>#REF!</v>
      </c>
      <c r="J724" s="23" t="str">
        <f>IFERROR(I724*#REF!,"")</f>
        <v/>
      </c>
      <c r="K724" s="23" t="e" cm="1">
        <f t="array" ref="K724">INDEX('GLOBAL LOG'!#REF!,ROW()-169+15)</f>
        <v>#REF!</v>
      </c>
      <c r="L724" s="23" t="e">
        <f>_xlfn.XLOOKUP(K724,#REF!,#REF!,"",0,1)</f>
        <v>#REF!</v>
      </c>
      <c r="M724" s="23" t="str">
        <f>IFERROR(L724*#REF!,"")</f>
        <v/>
      </c>
      <c r="N724" s="23">
        <f t="shared" si="49"/>
        <v>-1</v>
      </c>
      <c r="O724" s="23">
        <f t="shared" si="50"/>
        <v>-1</v>
      </c>
      <c r="P724" s="23">
        <f t="shared" si="51"/>
        <v>-1</v>
      </c>
      <c r="Q724" s="24">
        <f t="shared" si="52"/>
        <v>-1</v>
      </c>
      <c r="R724" s="3"/>
      <c r="S724" s="1">
        <v>0</v>
      </c>
      <c r="T724" s="24">
        <v>-1</v>
      </c>
      <c r="U724"/>
      <c r="V724" s="1">
        <v>0</v>
      </c>
      <c r="W724" s="24">
        <v>-1</v>
      </c>
      <c r="X724"/>
      <c r="Y724" s="1">
        <v>0</v>
      </c>
      <c r="Z724" s="24">
        <v>-1</v>
      </c>
      <c r="AA724"/>
      <c r="AB724" s="1">
        <v>0</v>
      </c>
      <c r="AC724" s="24">
        <v>-1</v>
      </c>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c r="CA724"/>
      <c r="CB724"/>
      <c r="CC724"/>
      <c r="CD724"/>
      <c r="CE724"/>
      <c r="CF724"/>
      <c r="CG724"/>
      <c r="CH724"/>
      <c r="CI724"/>
      <c r="CJ724"/>
      <c r="CK724"/>
      <c r="CL724"/>
      <c r="CM724"/>
      <c r="CN724"/>
      <c r="CO724"/>
      <c r="CP724"/>
      <c r="CQ724"/>
      <c r="CR724"/>
      <c r="CS724"/>
    </row>
    <row r="725" spans="2:97">
      <c r="B725"/>
      <c r="C725" s="15"/>
      <c r="D725" s="23"/>
      <c r="E725" s="23"/>
      <c r="F725" s="23"/>
      <c r="G725" s="23">
        <f t="shared" si="48"/>
        <v>0</v>
      </c>
      <c r="H725" s="23" t="e" cm="1">
        <f t="array" ref="H725">INDEX('GLOBAL LOG'!#REF!,ROW()-169+15)</f>
        <v>#REF!</v>
      </c>
      <c r="I725" s="23" t="e">
        <f>_xlfn.XLOOKUP(H725,#REF!,#REF!,"",0,1)</f>
        <v>#REF!</v>
      </c>
      <c r="J725" s="23" t="str">
        <f>IFERROR(I725*#REF!,"")</f>
        <v/>
      </c>
      <c r="K725" s="23" t="e" cm="1">
        <f t="array" ref="K725">INDEX('GLOBAL LOG'!#REF!,ROW()-169+15)</f>
        <v>#REF!</v>
      </c>
      <c r="L725" s="23" t="e">
        <f>_xlfn.XLOOKUP(K725,#REF!,#REF!,"",0,1)</f>
        <v>#REF!</v>
      </c>
      <c r="M725" s="23" t="str">
        <f>IFERROR(L725*#REF!,"")</f>
        <v/>
      </c>
      <c r="N725" s="23">
        <f t="shared" si="49"/>
        <v>-1</v>
      </c>
      <c r="O725" s="23">
        <f t="shared" si="50"/>
        <v>-1</v>
      </c>
      <c r="P725" s="23">
        <f t="shared" si="51"/>
        <v>-1</v>
      </c>
      <c r="Q725" s="24">
        <f t="shared" si="52"/>
        <v>-1</v>
      </c>
      <c r="R725" s="3"/>
      <c r="S725" s="1">
        <v>0</v>
      </c>
      <c r="T725" s="24">
        <v>-1</v>
      </c>
      <c r="U725"/>
      <c r="V725" s="1">
        <v>0</v>
      </c>
      <c r="W725" s="24">
        <v>-1</v>
      </c>
      <c r="X725"/>
      <c r="Y725" s="1">
        <v>0</v>
      </c>
      <c r="Z725" s="24">
        <v>-1</v>
      </c>
      <c r="AA725"/>
      <c r="AB725" s="1">
        <v>0</v>
      </c>
      <c r="AC725" s="24">
        <v>-1</v>
      </c>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c r="CA725"/>
      <c r="CB725"/>
      <c r="CC725"/>
      <c r="CD725"/>
      <c r="CE725"/>
      <c r="CF725"/>
      <c r="CG725"/>
      <c r="CH725"/>
      <c r="CI725"/>
      <c r="CJ725"/>
      <c r="CK725"/>
      <c r="CL725"/>
      <c r="CM725"/>
      <c r="CN725"/>
      <c r="CO725"/>
      <c r="CP725"/>
      <c r="CQ725"/>
      <c r="CR725"/>
      <c r="CS725"/>
    </row>
    <row r="726" spans="2:97">
      <c r="B726"/>
      <c r="C726" s="15"/>
      <c r="D726" s="23"/>
      <c r="E726" s="23"/>
      <c r="F726" s="23"/>
      <c r="G726" s="23">
        <f t="shared" si="48"/>
        <v>0</v>
      </c>
      <c r="H726" s="23" t="e" cm="1">
        <f t="array" ref="H726">INDEX('GLOBAL LOG'!#REF!,ROW()-169+15)</f>
        <v>#REF!</v>
      </c>
      <c r="I726" s="23" t="e">
        <f>_xlfn.XLOOKUP(H726,#REF!,#REF!,"",0,1)</f>
        <v>#REF!</v>
      </c>
      <c r="J726" s="23" t="str">
        <f>IFERROR(I726*#REF!,"")</f>
        <v/>
      </c>
      <c r="K726" s="23" t="e" cm="1">
        <f t="array" ref="K726">INDEX('GLOBAL LOG'!#REF!,ROW()-169+15)</f>
        <v>#REF!</v>
      </c>
      <c r="L726" s="23" t="e">
        <f>_xlfn.XLOOKUP(K726,#REF!,#REF!,"",0,1)</f>
        <v>#REF!</v>
      </c>
      <c r="M726" s="23" t="str">
        <f>IFERROR(L726*#REF!,"")</f>
        <v/>
      </c>
      <c r="N726" s="23">
        <f t="shared" si="49"/>
        <v>-1</v>
      </c>
      <c r="O726" s="23">
        <f t="shared" si="50"/>
        <v>-1</v>
      </c>
      <c r="P726" s="23">
        <f t="shared" si="51"/>
        <v>-1</v>
      </c>
      <c r="Q726" s="24">
        <f t="shared" si="52"/>
        <v>-1</v>
      </c>
      <c r="R726" s="3"/>
      <c r="S726" s="1">
        <v>0</v>
      </c>
      <c r="T726" s="24">
        <v>-1</v>
      </c>
      <c r="U726"/>
      <c r="V726" s="1">
        <v>0</v>
      </c>
      <c r="W726" s="24">
        <v>-1</v>
      </c>
      <c r="X726"/>
      <c r="Y726" s="1">
        <v>0</v>
      </c>
      <c r="Z726" s="24">
        <v>-1</v>
      </c>
      <c r="AA726"/>
      <c r="AB726" s="1">
        <v>0</v>
      </c>
      <c r="AC726" s="24">
        <v>-1</v>
      </c>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c r="CA726"/>
      <c r="CB726"/>
      <c r="CC726"/>
      <c r="CD726"/>
      <c r="CE726"/>
      <c r="CF726"/>
      <c r="CG726"/>
      <c r="CH726"/>
      <c r="CI726"/>
      <c r="CJ726"/>
      <c r="CK726"/>
      <c r="CL726"/>
      <c r="CM726"/>
      <c r="CN726"/>
      <c r="CO726"/>
      <c r="CP726"/>
      <c r="CQ726"/>
      <c r="CR726"/>
      <c r="CS726"/>
    </row>
    <row r="727" spans="2:97">
      <c r="B727"/>
      <c r="C727" s="15"/>
      <c r="D727" s="23"/>
      <c r="E727" s="23"/>
      <c r="F727" s="23"/>
      <c r="G727" s="23">
        <f t="shared" si="48"/>
        <v>0</v>
      </c>
      <c r="H727" s="23" t="e" cm="1">
        <f t="array" ref="H727">INDEX('GLOBAL LOG'!#REF!,ROW()-169+15)</f>
        <v>#REF!</v>
      </c>
      <c r="I727" s="23" t="e">
        <f>_xlfn.XLOOKUP(H727,#REF!,#REF!,"",0,1)</f>
        <v>#REF!</v>
      </c>
      <c r="J727" s="23" t="str">
        <f>IFERROR(I727*#REF!,"")</f>
        <v/>
      </c>
      <c r="K727" s="23" t="e" cm="1">
        <f t="array" ref="K727">INDEX('GLOBAL LOG'!#REF!,ROW()-169+15)</f>
        <v>#REF!</v>
      </c>
      <c r="L727" s="23" t="e">
        <f>_xlfn.XLOOKUP(K727,#REF!,#REF!,"",0,1)</f>
        <v>#REF!</v>
      </c>
      <c r="M727" s="23" t="str">
        <f>IFERROR(L727*#REF!,"")</f>
        <v/>
      </c>
      <c r="N727" s="23">
        <f t="shared" si="49"/>
        <v>-1</v>
      </c>
      <c r="O727" s="23">
        <f t="shared" si="50"/>
        <v>-1</v>
      </c>
      <c r="P727" s="23">
        <f t="shared" si="51"/>
        <v>-1</v>
      </c>
      <c r="Q727" s="24">
        <f t="shared" si="52"/>
        <v>-1</v>
      </c>
      <c r="R727" s="3"/>
      <c r="S727" s="1">
        <v>0</v>
      </c>
      <c r="T727" s="24">
        <v>-1</v>
      </c>
      <c r="U727"/>
      <c r="V727" s="1">
        <v>0</v>
      </c>
      <c r="W727" s="24">
        <v>-1</v>
      </c>
      <c r="X727"/>
      <c r="Y727" s="1">
        <v>0</v>
      </c>
      <c r="Z727" s="24">
        <v>-1</v>
      </c>
      <c r="AA727"/>
      <c r="AB727" s="1">
        <v>0</v>
      </c>
      <c r="AC727" s="24">
        <v>-1</v>
      </c>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c r="CA727"/>
      <c r="CB727"/>
      <c r="CC727"/>
      <c r="CD727"/>
      <c r="CE727"/>
      <c r="CF727"/>
      <c r="CG727"/>
      <c r="CH727"/>
      <c r="CI727"/>
      <c r="CJ727"/>
      <c r="CK727"/>
      <c r="CL727"/>
      <c r="CM727"/>
      <c r="CN727"/>
      <c r="CO727"/>
      <c r="CP727"/>
      <c r="CQ727"/>
      <c r="CR727"/>
      <c r="CS727"/>
    </row>
    <row r="728" spans="2:97">
      <c r="B728"/>
      <c r="C728" s="15"/>
      <c r="D728" s="23"/>
      <c r="E728" s="23"/>
      <c r="F728" s="23"/>
      <c r="G728" s="23">
        <f t="shared" si="48"/>
        <v>0</v>
      </c>
      <c r="H728" s="23" t="e" cm="1">
        <f t="array" ref="H728">INDEX('GLOBAL LOG'!#REF!,ROW()-169+15)</f>
        <v>#REF!</v>
      </c>
      <c r="I728" s="23" t="e">
        <f>_xlfn.XLOOKUP(H728,#REF!,#REF!,"",0,1)</f>
        <v>#REF!</v>
      </c>
      <c r="J728" s="23" t="str">
        <f>IFERROR(I728*#REF!,"")</f>
        <v/>
      </c>
      <c r="K728" s="23" t="e" cm="1">
        <f t="array" ref="K728">INDEX('GLOBAL LOG'!#REF!,ROW()-169+15)</f>
        <v>#REF!</v>
      </c>
      <c r="L728" s="23" t="e">
        <f>_xlfn.XLOOKUP(K728,#REF!,#REF!,"",0,1)</f>
        <v>#REF!</v>
      </c>
      <c r="M728" s="23" t="str">
        <f>IFERROR(L728*#REF!,"")</f>
        <v/>
      </c>
      <c r="N728" s="23">
        <f t="shared" si="49"/>
        <v>-1</v>
      </c>
      <c r="O728" s="23">
        <f t="shared" si="50"/>
        <v>-1</v>
      </c>
      <c r="P728" s="23">
        <f t="shared" si="51"/>
        <v>-1</v>
      </c>
      <c r="Q728" s="24">
        <f t="shared" si="52"/>
        <v>-1</v>
      </c>
      <c r="R728" s="3"/>
      <c r="S728" s="1">
        <v>0</v>
      </c>
      <c r="T728" s="24">
        <v>-1</v>
      </c>
      <c r="U728"/>
      <c r="V728" s="1">
        <v>0</v>
      </c>
      <c r="W728" s="24">
        <v>-1</v>
      </c>
      <c r="X728"/>
      <c r="Y728" s="1">
        <v>0</v>
      </c>
      <c r="Z728" s="24">
        <v>-1</v>
      </c>
      <c r="AA728"/>
      <c r="AB728" s="1">
        <v>0</v>
      </c>
      <c r="AC728" s="24">
        <v>-1</v>
      </c>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c r="CC728"/>
      <c r="CD728"/>
      <c r="CE728"/>
      <c r="CF728"/>
      <c r="CG728"/>
      <c r="CH728"/>
      <c r="CI728"/>
      <c r="CJ728"/>
      <c r="CK728"/>
      <c r="CL728"/>
      <c r="CM728"/>
      <c r="CN728"/>
      <c r="CO728"/>
      <c r="CP728"/>
      <c r="CQ728"/>
      <c r="CR728"/>
      <c r="CS728"/>
    </row>
    <row r="729" spans="2:97">
      <c r="B729"/>
      <c r="C729" s="15"/>
      <c r="D729" s="23"/>
      <c r="E729" s="23"/>
      <c r="F729" s="23"/>
      <c r="G729" s="23">
        <f t="shared" si="48"/>
        <v>0</v>
      </c>
      <c r="H729" s="23" t="e" cm="1">
        <f t="array" ref="H729">INDEX('GLOBAL LOG'!#REF!,ROW()-169+15)</f>
        <v>#REF!</v>
      </c>
      <c r="I729" s="23" t="e">
        <f>_xlfn.XLOOKUP(H729,#REF!,#REF!,"",0,1)</f>
        <v>#REF!</v>
      </c>
      <c r="J729" s="23" t="str">
        <f>IFERROR(I729*#REF!,"")</f>
        <v/>
      </c>
      <c r="K729" s="23" t="e" cm="1">
        <f t="array" ref="K729">INDEX('GLOBAL LOG'!#REF!,ROW()-169+15)</f>
        <v>#REF!</v>
      </c>
      <c r="L729" s="23" t="e">
        <f>_xlfn.XLOOKUP(K729,#REF!,#REF!,"",0,1)</f>
        <v>#REF!</v>
      </c>
      <c r="M729" s="23" t="str">
        <f>IFERROR(L729*#REF!,"")</f>
        <v/>
      </c>
      <c r="N729" s="23">
        <f t="shared" si="49"/>
        <v>-1</v>
      </c>
      <c r="O729" s="23">
        <f t="shared" si="50"/>
        <v>-1</v>
      </c>
      <c r="P729" s="23">
        <f t="shared" si="51"/>
        <v>-1</v>
      </c>
      <c r="Q729" s="24">
        <f t="shared" si="52"/>
        <v>-1</v>
      </c>
      <c r="R729" s="3"/>
      <c r="S729" s="1">
        <v>0</v>
      </c>
      <c r="T729" s="24">
        <v>-1</v>
      </c>
      <c r="U729"/>
      <c r="V729" s="1">
        <v>0</v>
      </c>
      <c r="W729" s="24">
        <v>-1</v>
      </c>
      <c r="X729"/>
      <c r="Y729" s="1">
        <v>0</v>
      </c>
      <c r="Z729" s="24">
        <v>-1</v>
      </c>
      <c r="AA729"/>
      <c r="AB729" s="1">
        <v>0</v>
      </c>
      <c r="AC729" s="24">
        <v>-1</v>
      </c>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c r="CA729"/>
      <c r="CB729"/>
      <c r="CC729"/>
      <c r="CD729"/>
      <c r="CE729"/>
      <c r="CF729"/>
      <c r="CG729"/>
      <c r="CH729"/>
      <c r="CI729"/>
      <c r="CJ729"/>
      <c r="CK729"/>
      <c r="CL729"/>
      <c r="CM729"/>
      <c r="CN729"/>
      <c r="CO729"/>
      <c r="CP729"/>
      <c r="CQ729"/>
      <c r="CR729"/>
      <c r="CS729"/>
    </row>
    <row r="730" spans="2:97">
      <c r="B730"/>
      <c r="C730" s="15"/>
      <c r="D730" s="23"/>
      <c r="E730" s="23"/>
      <c r="F730" s="23"/>
      <c r="G730" s="23">
        <f t="shared" si="48"/>
        <v>0</v>
      </c>
      <c r="H730" s="23" t="e" cm="1">
        <f t="array" ref="H730">INDEX('GLOBAL LOG'!#REF!,ROW()-169+15)</f>
        <v>#REF!</v>
      </c>
      <c r="I730" s="23" t="e">
        <f>_xlfn.XLOOKUP(H730,#REF!,#REF!,"",0,1)</f>
        <v>#REF!</v>
      </c>
      <c r="J730" s="23" t="str">
        <f>IFERROR(I730*#REF!,"")</f>
        <v/>
      </c>
      <c r="K730" s="23" t="e" cm="1">
        <f t="array" ref="K730">INDEX('GLOBAL LOG'!#REF!,ROW()-169+15)</f>
        <v>#REF!</v>
      </c>
      <c r="L730" s="23" t="e">
        <f>_xlfn.XLOOKUP(K730,#REF!,#REF!,"",0,1)</f>
        <v>#REF!</v>
      </c>
      <c r="M730" s="23" t="str">
        <f>IFERROR(L730*#REF!,"")</f>
        <v/>
      </c>
      <c r="N730" s="23">
        <f t="shared" si="49"/>
        <v>-1</v>
      </c>
      <c r="O730" s="23">
        <f t="shared" si="50"/>
        <v>-1</v>
      </c>
      <c r="P730" s="23">
        <f t="shared" si="51"/>
        <v>-1</v>
      </c>
      <c r="Q730" s="24">
        <f t="shared" si="52"/>
        <v>-1</v>
      </c>
      <c r="R730" s="3"/>
      <c r="S730" s="1">
        <v>0</v>
      </c>
      <c r="T730" s="24">
        <v>-1</v>
      </c>
      <c r="U730"/>
      <c r="V730" s="1">
        <v>0</v>
      </c>
      <c r="W730" s="24">
        <v>-1</v>
      </c>
      <c r="X730"/>
      <c r="Y730" s="1">
        <v>0</v>
      </c>
      <c r="Z730" s="24">
        <v>-1</v>
      </c>
      <c r="AA730"/>
      <c r="AB730" s="1">
        <v>0</v>
      </c>
      <c r="AC730" s="24">
        <v>-1</v>
      </c>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c r="CA730"/>
      <c r="CB730"/>
      <c r="CC730"/>
      <c r="CD730"/>
      <c r="CE730"/>
      <c r="CF730"/>
      <c r="CG730"/>
      <c r="CH730"/>
      <c r="CI730"/>
      <c r="CJ730"/>
      <c r="CK730"/>
      <c r="CL730"/>
      <c r="CM730"/>
      <c r="CN730"/>
      <c r="CO730"/>
      <c r="CP730"/>
      <c r="CQ730"/>
      <c r="CR730"/>
      <c r="CS730"/>
    </row>
    <row r="731" spans="2:97">
      <c r="B731"/>
      <c r="C731" s="15"/>
      <c r="D731" s="23"/>
      <c r="E731" s="23"/>
      <c r="F731" s="23"/>
      <c r="G731" s="23">
        <f t="shared" si="48"/>
        <v>0</v>
      </c>
      <c r="H731" s="23" t="e" cm="1">
        <f t="array" ref="H731">INDEX('GLOBAL LOG'!#REF!,ROW()-169+15)</f>
        <v>#REF!</v>
      </c>
      <c r="I731" s="23" t="e">
        <f>_xlfn.XLOOKUP(H731,#REF!,#REF!,"",0,1)</f>
        <v>#REF!</v>
      </c>
      <c r="J731" s="23" t="str">
        <f>IFERROR(I731*#REF!,"")</f>
        <v/>
      </c>
      <c r="K731" s="23" t="e" cm="1">
        <f t="array" ref="K731">INDEX('GLOBAL LOG'!#REF!,ROW()-169+15)</f>
        <v>#REF!</v>
      </c>
      <c r="L731" s="23" t="e">
        <f>_xlfn.XLOOKUP(K731,#REF!,#REF!,"",0,1)</f>
        <v>#REF!</v>
      </c>
      <c r="M731" s="23" t="str">
        <f>IFERROR(L731*#REF!,"")</f>
        <v/>
      </c>
      <c r="N731" s="23">
        <f t="shared" si="49"/>
        <v>-1</v>
      </c>
      <c r="O731" s="23">
        <f t="shared" si="50"/>
        <v>-1</v>
      </c>
      <c r="P731" s="23">
        <f t="shared" si="51"/>
        <v>-1</v>
      </c>
      <c r="Q731" s="24">
        <f t="shared" si="52"/>
        <v>-1</v>
      </c>
      <c r="R731" s="3"/>
      <c r="S731" s="1">
        <v>0</v>
      </c>
      <c r="T731" s="24">
        <v>-1</v>
      </c>
      <c r="U731"/>
      <c r="V731" s="1">
        <v>0</v>
      </c>
      <c r="W731" s="24">
        <v>-1</v>
      </c>
      <c r="X731"/>
      <c r="Y731" s="1">
        <v>0</v>
      </c>
      <c r="Z731" s="24">
        <v>-1</v>
      </c>
      <c r="AA731"/>
      <c r="AB731" s="1">
        <v>0</v>
      </c>
      <c r="AC731" s="24">
        <v>-1</v>
      </c>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c r="CA731"/>
      <c r="CB731"/>
      <c r="CC731"/>
      <c r="CD731"/>
      <c r="CE731"/>
      <c r="CF731"/>
      <c r="CG731"/>
      <c r="CH731"/>
      <c r="CI731"/>
      <c r="CJ731"/>
      <c r="CK731"/>
      <c r="CL731"/>
      <c r="CM731"/>
      <c r="CN731"/>
      <c r="CO731"/>
      <c r="CP731"/>
      <c r="CQ731"/>
      <c r="CR731"/>
      <c r="CS731"/>
    </row>
    <row r="732" spans="2:97">
      <c r="B732"/>
      <c r="C732" s="15"/>
      <c r="D732" s="23"/>
      <c r="E732" s="23"/>
      <c r="F732" s="23"/>
      <c r="G732" s="23">
        <f t="shared" si="48"/>
        <v>0</v>
      </c>
      <c r="H732" s="23" t="e" cm="1">
        <f t="array" ref="H732">INDEX('GLOBAL LOG'!#REF!,ROW()-169+15)</f>
        <v>#REF!</v>
      </c>
      <c r="I732" s="23" t="e">
        <f>_xlfn.XLOOKUP(H732,#REF!,#REF!,"",0,1)</f>
        <v>#REF!</v>
      </c>
      <c r="J732" s="23" t="str">
        <f>IFERROR(I732*#REF!,"")</f>
        <v/>
      </c>
      <c r="K732" s="23" t="e" cm="1">
        <f t="array" ref="K732">INDEX('GLOBAL LOG'!#REF!,ROW()-169+15)</f>
        <v>#REF!</v>
      </c>
      <c r="L732" s="23" t="e">
        <f>_xlfn.XLOOKUP(K732,#REF!,#REF!,"",0,1)</f>
        <v>#REF!</v>
      </c>
      <c r="M732" s="23" t="str">
        <f>IFERROR(L732*#REF!,"")</f>
        <v/>
      </c>
      <c r="N732" s="23">
        <f t="shared" si="49"/>
        <v>-1</v>
      </c>
      <c r="O732" s="23">
        <f t="shared" si="50"/>
        <v>-1</v>
      </c>
      <c r="P732" s="23">
        <f t="shared" si="51"/>
        <v>-1</v>
      </c>
      <c r="Q732" s="24">
        <f t="shared" si="52"/>
        <v>-1</v>
      </c>
      <c r="R732" s="3"/>
      <c r="S732" s="1">
        <v>0</v>
      </c>
      <c r="T732" s="24">
        <v>-1</v>
      </c>
      <c r="U732"/>
      <c r="V732" s="1">
        <v>0</v>
      </c>
      <c r="W732" s="24">
        <v>-1</v>
      </c>
      <c r="X732"/>
      <c r="Y732" s="1">
        <v>0</v>
      </c>
      <c r="Z732" s="24">
        <v>-1</v>
      </c>
      <c r="AA732"/>
      <c r="AB732" s="1">
        <v>0</v>
      </c>
      <c r="AC732" s="24">
        <v>-1</v>
      </c>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c r="CA732"/>
      <c r="CB732"/>
      <c r="CC732"/>
      <c r="CD732"/>
      <c r="CE732"/>
      <c r="CF732"/>
      <c r="CG732"/>
      <c r="CH732"/>
      <c r="CI732"/>
      <c r="CJ732"/>
      <c r="CK732"/>
      <c r="CL732"/>
      <c r="CM732"/>
      <c r="CN732"/>
      <c r="CO732"/>
      <c r="CP732"/>
      <c r="CQ732"/>
      <c r="CR732"/>
      <c r="CS732"/>
    </row>
    <row r="733" spans="2:97">
      <c r="B733"/>
      <c r="C733" s="15"/>
      <c r="D733" s="23"/>
      <c r="E733" s="23"/>
      <c r="F733" s="23"/>
      <c r="G733" s="23">
        <f t="shared" si="48"/>
        <v>0</v>
      </c>
      <c r="H733" s="23" t="e" cm="1">
        <f t="array" ref="H733">INDEX('GLOBAL LOG'!#REF!,ROW()-169+15)</f>
        <v>#REF!</v>
      </c>
      <c r="I733" s="23" t="e">
        <f>_xlfn.XLOOKUP(H733,#REF!,#REF!,"",0,1)</f>
        <v>#REF!</v>
      </c>
      <c r="J733" s="23" t="str">
        <f>IFERROR(I733*#REF!,"")</f>
        <v/>
      </c>
      <c r="K733" s="23" t="e" cm="1">
        <f t="array" ref="K733">INDEX('GLOBAL LOG'!#REF!,ROW()-169+15)</f>
        <v>#REF!</v>
      </c>
      <c r="L733" s="23" t="e">
        <f>_xlfn.XLOOKUP(K733,#REF!,#REF!,"",0,1)</f>
        <v>#REF!</v>
      </c>
      <c r="M733" s="23" t="str">
        <f>IFERROR(L733*#REF!,"")</f>
        <v/>
      </c>
      <c r="N733" s="23">
        <f t="shared" si="49"/>
        <v>-1</v>
      </c>
      <c r="O733" s="23">
        <f t="shared" si="50"/>
        <v>-1</v>
      </c>
      <c r="P733" s="23">
        <f t="shared" si="51"/>
        <v>-1</v>
      </c>
      <c r="Q733" s="24">
        <f t="shared" si="52"/>
        <v>-1</v>
      </c>
      <c r="R733" s="3"/>
      <c r="S733" s="1">
        <v>0</v>
      </c>
      <c r="T733" s="24">
        <v>-1</v>
      </c>
      <c r="U733"/>
      <c r="V733" s="1">
        <v>0</v>
      </c>
      <c r="W733" s="24">
        <v>-1</v>
      </c>
      <c r="X733"/>
      <c r="Y733" s="1">
        <v>0</v>
      </c>
      <c r="Z733" s="24">
        <v>-1</v>
      </c>
      <c r="AA733"/>
      <c r="AB733" s="1">
        <v>0</v>
      </c>
      <c r="AC733" s="24">
        <v>-1</v>
      </c>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c r="CC733"/>
      <c r="CD733"/>
      <c r="CE733"/>
      <c r="CF733"/>
      <c r="CG733"/>
      <c r="CH733"/>
      <c r="CI733"/>
      <c r="CJ733"/>
      <c r="CK733"/>
      <c r="CL733"/>
      <c r="CM733"/>
      <c r="CN733"/>
      <c r="CO733"/>
      <c r="CP733"/>
      <c r="CQ733"/>
      <c r="CR733"/>
      <c r="CS733"/>
    </row>
    <row r="734" spans="2:97">
      <c r="B734"/>
      <c r="C734" s="15"/>
      <c r="D734" s="23"/>
      <c r="E734" s="23"/>
      <c r="F734" s="23"/>
      <c r="G734" s="23">
        <f t="shared" si="48"/>
        <v>0</v>
      </c>
      <c r="H734" s="23" t="e" cm="1">
        <f t="array" ref="H734">INDEX('GLOBAL LOG'!#REF!,ROW()-169+15)</f>
        <v>#REF!</v>
      </c>
      <c r="I734" s="23" t="e">
        <f>_xlfn.XLOOKUP(H734,#REF!,#REF!,"",0,1)</f>
        <v>#REF!</v>
      </c>
      <c r="J734" s="23" t="str">
        <f>IFERROR(I734*#REF!,"")</f>
        <v/>
      </c>
      <c r="K734" s="23" t="e" cm="1">
        <f t="array" ref="K734">INDEX('GLOBAL LOG'!#REF!,ROW()-169+15)</f>
        <v>#REF!</v>
      </c>
      <c r="L734" s="23" t="e">
        <f>_xlfn.XLOOKUP(K734,#REF!,#REF!,"",0,1)</f>
        <v>#REF!</v>
      </c>
      <c r="M734" s="23" t="str">
        <f>IFERROR(L734*#REF!,"")</f>
        <v/>
      </c>
      <c r="N734" s="23">
        <f t="shared" si="49"/>
        <v>-1</v>
      </c>
      <c r="O734" s="23">
        <f t="shared" si="50"/>
        <v>-1</v>
      </c>
      <c r="P734" s="23">
        <f t="shared" si="51"/>
        <v>-1</v>
      </c>
      <c r="Q734" s="24">
        <f t="shared" si="52"/>
        <v>-1</v>
      </c>
      <c r="R734" s="3"/>
      <c r="S734" s="1">
        <v>0</v>
      </c>
      <c r="T734" s="24">
        <v>-1</v>
      </c>
      <c r="U734"/>
      <c r="V734" s="1">
        <v>0</v>
      </c>
      <c r="W734" s="24">
        <v>-1</v>
      </c>
      <c r="X734"/>
      <c r="Y734" s="1">
        <v>0</v>
      </c>
      <c r="Z734" s="24">
        <v>-1</v>
      </c>
      <c r="AA734"/>
      <c r="AB734" s="1">
        <v>0</v>
      </c>
      <c r="AC734" s="24">
        <v>-1</v>
      </c>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c r="CC734"/>
      <c r="CD734"/>
      <c r="CE734"/>
      <c r="CF734"/>
      <c r="CG734"/>
      <c r="CH734"/>
      <c r="CI734"/>
      <c r="CJ734"/>
      <c r="CK734"/>
      <c r="CL734"/>
      <c r="CM734"/>
      <c r="CN734"/>
      <c r="CO734"/>
      <c r="CP734"/>
      <c r="CQ734"/>
      <c r="CR734"/>
      <c r="CS734"/>
    </row>
    <row r="735" spans="2:97">
      <c r="B735"/>
      <c r="C735" s="15"/>
      <c r="D735" s="23"/>
      <c r="E735" s="23"/>
      <c r="F735" s="23"/>
      <c r="G735" s="23">
        <f t="shared" si="48"/>
        <v>0</v>
      </c>
      <c r="H735" s="23" t="e" cm="1">
        <f t="array" ref="H735">INDEX('GLOBAL LOG'!#REF!,ROW()-169+15)</f>
        <v>#REF!</v>
      </c>
      <c r="I735" s="23" t="e">
        <f>_xlfn.XLOOKUP(H735,#REF!,#REF!,"",0,1)</f>
        <v>#REF!</v>
      </c>
      <c r="J735" s="23" t="str">
        <f>IFERROR(I735*#REF!,"")</f>
        <v/>
      </c>
      <c r="K735" s="23" t="e" cm="1">
        <f t="array" ref="K735">INDEX('GLOBAL LOG'!#REF!,ROW()-169+15)</f>
        <v>#REF!</v>
      </c>
      <c r="L735" s="23" t="e">
        <f>_xlfn.XLOOKUP(K735,#REF!,#REF!,"",0,1)</f>
        <v>#REF!</v>
      </c>
      <c r="M735" s="23" t="str">
        <f>IFERROR(L735*#REF!,"")</f>
        <v/>
      </c>
      <c r="N735" s="23">
        <f t="shared" si="49"/>
        <v>-1</v>
      </c>
      <c r="O735" s="23">
        <f t="shared" si="50"/>
        <v>-1</v>
      </c>
      <c r="P735" s="23">
        <f t="shared" si="51"/>
        <v>-1</v>
      </c>
      <c r="Q735" s="24">
        <f t="shared" si="52"/>
        <v>-1</v>
      </c>
      <c r="R735" s="3"/>
      <c r="S735" s="1">
        <v>0</v>
      </c>
      <c r="T735" s="24">
        <v>-1</v>
      </c>
      <c r="U735"/>
      <c r="V735" s="1">
        <v>0</v>
      </c>
      <c r="W735" s="24">
        <v>-1</v>
      </c>
      <c r="X735"/>
      <c r="Y735" s="1">
        <v>0</v>
      </c>
      <c r="Z735" s="24">
        <v>-1</v>
      </c>
      <c r="AA735"/>
      <c r="AB735" s="1">
        <v>0</v>
      </c>
      <c r="AC735" s="24">
        <v>-1</v>
      </c>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c r="CC735"/>
      <c r="CD735"/>
      <c r="CE735"/>
      <c r="CF735"/>
      <c r="CG735"/>
      <c r="CH735"/>
      <c r="CI735"/>
      <c r="CJ735"/>
      <c r="CK735"/>
      <c r="CL735"/>
      <c r="CM735"/>
      <c r="CN735"/>
      <c r="CO735"/>
      <c r="CP735"/>
      <c r="CQ735"/>
      <c r="CR735"/>
      <c r="CS735"/>
    </row>
    <row r="736" spans="2:97">
      <c r="B736"/>
      <c r="C736" s="15"/>
      <c r="D736" s="23"/>
      <c r="E736" s="23"/>
      <c r="F736" s="23"/>
      <c r="G736" s="23">
        <f t="shared" si="48"/>
        <v>0</v>
      </c>
      <c r="H736" s="23" t="e" cm="1">
        <f t="array" ref="H736">INDEX('GLOBAL LOG'!#REF!,ROW()-169+15)</f>
        <v>#REF!</v>
      </c>
      <c r="I736" s="23" t="e">
        <f>_xlfn.XLOOKUP(H736,#REF!,#REF!,"",0,1)</f>
        <v>#REF!</v>
      </c>
      <c r="J736" s="23" t="str">
        <f>IFERROR(I736*#REF!,"")</f>
        <v/>
      </c>
      <c r="K736" s="23" t="e" cm="1">
        <f t="array" ref="K736">INDEX('GLOBAL LOG'!#REF!,ROW()-169+15)</f>
        <v>#REF!</v>
      </c>
      <c r="L736" s="23" t="e">
        <f>_xlfn.XLOOKUP(K736,#REF!,#REF!,"",0,1)</f>
        <v>#REF!</v>
      </c>
      <c r="M736" s="23" t="str">
        <f>IFERROR(L736*#REF!,"")</f>
        <v/>
      </c>
      <c r="N736" s="23">
        <f t="shared" si="49"/>
        <v>-1</v>
      </c>
      <c r="O736" s="23">
        <f t="shared" si="50"/>
        <v>-1</v>
      </c>
      <c r="P736" s="23">
        <f t="shared" si="51"/>
        <v>-1</v>
      </c>
      <c r="Q736" s="24">
        <f t="shared" si="52"/>
        <v>-1</v>
      </c>
      <c r="R736" s="3"/>
      <c r="S736" s="1">
        <v>0</v>
      </c>
      <c r="T736" s="24">
        <v>-1</v>
      </c>
      <c r="U736"/>
      <c r="V736" s="1">
        <v>0</v>
      </c>
      <c r="W736" s="24">
        <v>-1</v>
      </c>
      <c r="X736"/>
      <c r="Y736" s="1">
        <v>0</v>
      </c>
      <c r="Z736" s="24">
        <v>-1</v>
      </c>
      <c r="AA736"/>
      <c r="AB736" s="1">
        <v>0</v>
      </c>
      <c r="AC736" s="24">
        <v>-1</v>
      </c>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c r="CC736"/>
      <c r="CD736"/>
      <c r="CE736"/>
      <c r="CF736"/>
      <c r="CG736"/>
      <c r="CH736"/>
      <c r="CI736"/>
      <c r="CJ736"/>
      <c r="CK736"/>
      <c r="CL736"/>
      <c r="CM736"/>
      <c r="CN736"/>
      <c r="CO736"/>
      <c r="CP736"/>
      <c r="CQ736"/>
      <c r="CR736"/>
      <c r="CS736"/>
    </row>
    <row r="737" spans="2:97">
      <c r="B737"/>
      <c r="C737" s="15"/>
      <c r="D737" s="23"/>
      <c r="E737" s="23"/>
      <c r="F737" s="23"/>
      <c r="G737" s="23">
        <f t="shared" si="48"/>
        <v>0</v>
      </c>
      <c r="H737" s="23" t="e" cm="1">
        <f t="array" ref="H737">INDEX('GLOBAL LOG'!#REF!,ROW()-169+15)</f>
        <v>#REF!</v>
      </c>
      <c r="I737" s="23" t="e">
        <f>_xlfn.XLOOKUP(H737,#REF!,#REF!,"",0,1)</f>
        <v>#REF!</v>
      </c>
      <c r="J737" s="23" t="str">
        <f>IFERROR(I737*#REF!,"")</f>
        <v/>
      </c>
      <c r="K737" s="23" t="e" cm="1">
        <f t="array" ref="K737">INDEX('GLOBAL LOG'!#REF!,ROW()-169+15)</f>
        <v>#REF!</v>
      </c>
      <c r="L737" s="23" t="e">
        <f>_xlfn.XLOOKUP(K737,#REF!,#REF!,"",0,1)</f>
        <v>#REF!</v>
      </c>
      <c r="M737" s="23" t="str">
        <f>IFERROR(L737*#REF!,"")</f>
        <v/>
      </c>
      <c r="N737" s="23">
        <f t="shared" si="49"/>
        <v>-1</v>
      </c>
      <c r="O737" s="23">
        <f t="shared" si="50"/>
        <v>-1</v>
      </c>
      <c r="P737" s="23">
        <f t="shared" si="51"/>
        <v>-1</v>
      </c>
      <c r="Q737" s="24">
        <f t="shared" si="52"/>
        <v>-1</v>
      </c>
      <c r="R737" s="3"/>
      <c r="S737" s="1">
        <v>0</v>
      </c>
      <c r="T737" s="24">
        <v>-1</v>
      </c>
      <c r="U737"/>
      <c r="V737" s="1">
        <v>0</v>
      </c>
      <c r="W737" s="24">
        <v>-1</v>
      </c>
      <c r="X737"/>
      <c r="Y737" s="1">
        <v>0</v>
      </c>
      <c r="Z737" s="24">
        <v>-1</v>
      </c>
      <c r="AA737"/>
      <c r="AB737" s="1">
        <v>0</v>
      </c>
      <c r="AC737" s="24">
        <v>-1</v>
      </c>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c r="CA737"/>
      <c r="CB737"/>
      <c r="CC737"/>
      <c r="CD737"/>
      <c r="CE737"/>
      <c r="CF737"/>
      <c r="CG737"/>
      <c r="CH737"/>
      <c r="CI737"/>
      <c r="CJ737"/>
      <c r="CK737"/>
      <c r="CL737"/>
      <c r="CM737"/>
      <c r="CN737"/>
      <c r="CO737"/>
      <c r="CP737"/>
      <c r="CQ737"/>
      <c r="CR737"/>
      <c r="CS737"/>
    </row>
    <row r="738" spans="2:97">
      <c r="B738"/>
      <c r="C738" s="15"/>
      <c r="D738" s="23"/>
      <c r="E738" s="23"/>
      <c r="F738" s="23"/>
      <c r="G738" s="23">
        <f t="shared" si="48"/>
        <v>0</v>
      </c>
      <c r="H738" s="23" t="e" cm="1">
        <f t="array" ref="H738">INDEX('GLOBAL LOG'!#REF!,ROW()-169+15)</f>
        <v>#REF!</v>
      </c>
      <c r="I738" s="23" t="e">
        <f>_xlfn.XLOOKUP(H738,#REF!,#REF!,"",0,1)</f>
        <v>#REF!</v>
      </c>
      <c r="J738" s="23" t="str">
        <f>IFERROR(I738*#REF!,"")</f>
        <v/>
      </c>
      <c r="K738" s="23" t="e" cm="1">
        <f t="array" ref="K738">INDEX('GLOBAL LOG'!#REF!,ROW()-169+15)</f>
        <v>#REF!</v>
      </c>
      <c r="L738" s="23" t="e">
        <f>_xlfn.XLOOKUP(K738,#REF!,#REF!,"",0,1)</f>
        <v>#REF!</v>
      </c>
      <c r="M738" s="23" t="str">
        <f>IFERROR(L738*#REF!,"")</f>
        <v/>
      </c>
      <c r="N738" s="23">
        <f t="shared" si="49"/>
        <v>-1</v>
      </c>
      <c r="O738" s="23">
        <f t="shared" si="50"/>
        <v>-1</v>
      </c>
      <c r="P738" s="23">
        <f t="shared" si="51"/>
        <v>-1</v>
      </c>
      <c r="Q738" s="24">
        <f t="shared" si="52"/>
        <v>-1</v>
      </c>
      <c r="R738" s="3"/>
      <c r="S738" s="1">
        <v>0</v>
      </c>
      <c r="T738" s="24">
        <v>-1</v>
      </c>
      <c r="U738"/>
      <c r="V738" s="1">
        <v>0</v>
      </c>
      <c r="W738" s="24">
        <v>-1</v>
      </c>
      <c r="X738"/>
      <c r="Y738" s="1">
        <v>0</v>
      </c>
      <c r="Z738" s="24">
        <v>-1</v>
      </c>
      <c r="AA738"/>
      <c r="AB738" s="1">
        <v>0</v>
      </c>
      <c r="AC738" s="24">
        <v>-1</v>
      </c>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c r="CA738"/>
      <c r="CB738"/>
      <c r="CC738"/>
      <c r="CD738"/>
      <c r="CE738"/>
      <c r="CF738"/>
      <c r="CG738"/>
      <c r="CH738"/>
      <c r="CI738"/>
      <c r="CJ738"/>
      <c r="CK738"/>
      <c r="CL738"/>
      <c r="CM738"/>
      <c r="CN738"/>
      <c r="CO738"/>
      <c r="CP738"/>
      <c r="CQ738"/>
      <c r="CR738"/>
      <c r="CS738"/>
    </row>
    <row r="739" spans="2:97">
      <c r="B739"/>
      <c r="C739" s="15"/>
      <c r="D739" s="23"/>
      <c r="E739" s="23"/>
      <c r="F739" s="23"/>
      <c r="G739" s="23">
        <f t="shared" si="48"/>
        <v>0</v>
      </c>
      <c r="H739" s="23" t="e" cm="1">
        <f t="array" ref="H739">INDEX('GLOBAL LOG'!#REF!,ROW()-169+15)</f>
        <v>#REF!</v>
      </c>
      <c r="I739" s="23" t="e">
        <f>_xlfn.XLOOKUP(H739,#REF!,#REF!,"",0,1)</f>
        <v>#REF!</v>
      </c>
      <c r="J739" s="23" t="str">
        <f>IFERROR(I739*#REF!,"")</f>
        <v/>
      </c>
      <c r="K739" s="23" t="e" cm="1">
        <f t="array" ref="K739">INDEX('GLOBAL LOG'!#REF!,ROW()-169+15)</f>
        <v>#REF!</v>
      </c>
      <c r="L739" s="23" t="e">
        <f>_xlfn.XLOOKUP(K739,#REF!,#REF!,"",0,1)</f>
        <v>#REF!</v>
      </c>
      <c r="M739" s="23" t="str">
        <f>IFERROR(L739*#REF!,"")</f>
        <v/>
      </c>
      <c r="N739" s="23">
        <f t="shared" si="49"/>
        <v>-1</v>
      </c>
      <c r="O739" s="23">
        <f t="shared" si="50"/>
        <v>-1</v>
      </c>
      <c r="P739" s="23">
        <f t="shared" si="51"/>
        <v>-1</v>
      </c>
      <c r="Q739" s="24">
        <f t="shared" si="52"/>
        <v>-1</v>
      </c>
      <c r="R739" s="3"/>
      <c r="S739" s="1">
        <v>0</v>
      </c>
      <c r="T739" s="24">
        <v>-1</v>
      </c>
      <c r="U739"/>
      <c r="V739" s="1">
        <v>0</v>
      </c>
      <c r="W739" s="24">
        <v>-1</v>
      </c>
      <c r="X739"/>
      <c r="Y739" s="1">
        <v>0</v>
      </c>
      <c r="Z739" s="24">
        <v>-1</v>
      </c>
      <c r="AA739"/>
      <c r="AB739" s="1">
        <v>0</v>
      </c>
      <c r="AC739" s="24">
        <v>-1</v>
      </c>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c r="CA739"/>
      <c r="CB739"/>
      <c r="CC739"/>
      <c r="CD739"/>
      <c r="CE739"/>
      <c r="CF739"/>
      <c r="CG739"/>
      <c r="CH739"/>
      <c r="CI739"/>
      <c r="CJ739"/>
      <c r="CK739"/>
      <c r="CL739"/>
      <c r="CM739"/>
      <c r="CN739"/>
      <c r="CO739"/>
      <c r="CP739"/>
      <c r="CQ739"/>
      <c r="CR739"/>
      <c r="CS739"/>
    </row>
    <row r="740" spans="2:97">
      <c r="B740"/>
      <c r="C740" s="15"/>
      <c r="D740" s="23"/>
      <c r="E740" s="23"/>
      <c r="F740" s="23"/>
      <c r="G740" s="23">
        <f t="shared" si="48"/>
        <v>0</v>
      </c>
      <c r="H740" s="23" t="e" cm="1">
        <f t="array" ref="H740">INDEX('GLOBAL LOG'!#REF!,ROW()-169+15)</f>
        <v>#REF!</v>
      </c>
      <c r="I740" s="23" t="e">
        <f>_xlfn.XLOOKUP(H740,#REF!,#REF!,"",0,1)</f>
        <v>#REF!</v>
      </c>
      <c r="J740" s="23" t="str">
        <f>IFERROR(I740*#REF!,"")</f>
        <v/>
      </c>
      <c r="K740" s="23" t="e" cm="1">
        <f t="array" ref="K740">INDEX('GLOBAL LOG'!#REF!,ROW()-169+15)</f>
        <v>#REF!</v>
      </c>
      <c r="L740" s="23" t="e">
        <f>_xlfn.XLOOKUP(K740,#REF!,#REF!,"",0,1)</f>
        <v>#REF!</v>
      </c>
      <c r="M740" s="23" t="str">
        <f>IFERROR(L740*#REF!,"")</f>
        <v/>
      </c>
      <c r="N740" s="23">
        <f t="shared" si="49"/>
        <v>-1</v>
      </c>
      <c r="O740" s="23">
        <f t="shared" si="50"/>
        <v>-1</v>
      </c>
      <c r="P740" s="23">
        <f t="shared" si="51"/>
        <v>-1</v>
      </c>
      <c r="Q740" s="24">
        <f t="shared" si="52"/>
        <v>-1</v>
      </c>
      <c r="R740" s="3"/>
      <c r="S740" s="1">
        <v>0</v>
      </c>
      <c r="T740" s="24">
        <v>-1</v>
      </c>
      <c r="U740"/>
      <c r="V740" s="1">
        <v>0</v>
      </c>
      <c r="W740" s="24">
        <v>-1</v>
      </c>
      <c r="X740"/>
      <c r="Y740" s="1">
        <v>0</v>
      </c>
      <c r="Z740" s="24">
        <v>-1</v>
      </c>
      <c r="AA740"/>
      <c r="AB740" s="1">
        <v>0</v>
      </c>
      <c r="AC740" s="24">
        <v>-1</v>
      </c>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c r="CC740"/>
      <c r="CD740"/>
      <c r="CE740"/>
      <c r="CF740"/>
      <c r="CG740"/>
      <c r="CH740"/>
      <c r="CI740"/>
      <c r="CJ740"/>
      <c r="CK740"/>
      <c r="CL740"/>
      <c r="CM740"/>
      <c r="CN740"/>
      <c r="CO740"/>
      <c r="CP740"/>
      <c r="CQ740"/>
      <c r="CR740"/>
      <c r="CS740"/>
    </row>
    <row r="741" spans="2:97">
      <c r="B741"/>
      <c r="C741" s="15"/>
      <c r="D741" s="23"/>
      <c r="E741" s="23"/>
      <c r="F741" s="23"/>
      <c r="G741" s="23">
        <f t="shared" si="48"/>
        <v>0</v>
      </c>
      <c r="H741" s="23" t="e" cm="1">
        <f t="array" ref="H741">INDEX('GLOBAL LOG'!#REF!,ROW()-169+15)</f>
        <v>#REF!</v>
      </c>
      <c r="I741" s="23" t="e">
        <f>_xlfn.XLOOKUP(H741,#REF!,#REF!,"",0,1)</f>
        <v>#REF!</v>
      </c>
      <c r="J741" s="23" t="str">
        <f>IFERROR(I741*#REF!,"")</f>
        <v/>
      </c>
      <c r="K741" s="23" t="e" cm="1">
        <f t="array" ref="K741">INDEX('GLOBAL LOG'!#REF!,ROW()-169+15)</f>
        <v>#REF!</v>
      </c>
      <c r="L741" s="23" t="e">
        <f>_xlfn.XLOOKUP(K741,#REF!,#REF!,"",0,1)</f>
        <v>#REF!</v>
      </c>
      <c r="M741" s="23" t="str">
        <f>IFERROR(L741*#REF!,"")</f>
        <v/>
      </c>
      <c r="N741" s="23">
        <f t="shared" si="49"/>
        <v>-1</v>
      </c>
      <c r="O741" s="23">
        <f t="shared" si="50"/>
        <v>-1</v>
      </c>
      <c r="P741" s="23">
        <f t="shared" si="51"/>
        <v>-1</v>
      </c>
      <c r="Q741" s="24">
        <f t="shared" si="52"/>
        <v>-1</v>
      </c>
      <c r="R741" s="3"/>
      <c r="S741" s="1">
        <v>0</v>
      </c>
      <c r="T741" s="24">
        <v>-1</v>
      </c>
      <c r="U741"/>
      <c r="V741" s="1">
        <v>0</v>
      </c>
      <c r="W741" s="24">
        <v>-1</v>
      </c>
      <c r="X741"/>
      <c r="Y741" s="1">
        <v>0</v>
      </c>
      <c r="Z741" s="24">
        <v>-1</v>
      </c>
      <c r="AA741"/>
      <c r="AB741" s="1">
        <v>0</v>
      </c>
      <c r="AC741" s="24">
        <v>-1</v>
      </c>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c r="CA741"/>
      <c r="CB741"/>
      <c r="CC741"/>
      <c r="CD741"/>
      <c r="CE741"/>
      <c r="CF741"/>
      <c r="CG741"/>
      <c r="CH741"/>
      <c r="CI741"/>
      <c r="CJ741"/>
      <c r="CK741"/>
      <c r="CL741"/>
      <c r="CM741"/>
      <c r="CN741"/>
      <c r="CO741"/>
      <c r="CP741"/>
      <c r="CQ741"/>
      <c r="CR741"/>
      <c r="CS741"/>
    </row>
    <row r="742" spans="2:97">
      <c r="B742"/>
      <c r="C742" s="15"/>
      <c r="D742" s="23"/>
      <c r="E742" s="23"/>
      <c r="F742" s="23"/>
      <c r="G742" s="23">
        <f t="shared" si="48"/>
        <v>0</v>
      </c>
      <c r="H742" s="23" t="e" cm="1">
        <f t="array" ref="H742">INDEX('GLOBAL LOG'!#REF!,ROW()-169+15)</f>
        <v>#REF!</v>
      </c>
      <c r="I742" s="23" t="e">
        <f>_xlfn.XLOOKUP(H742,#REF!,#REF!,"",0,1)</f>
        <v>#REF!</v>
      </c>
      <c r="J742" s="23" t="str">
        <f>IFERROR(I742*#REF!,"")</f>
        <v/>
      </c>
      <c r="K742" s="23" t="e" cm="1">
        <f t="array" ref="K742">INDEX('GLOBAL LOG'!#REF!,ROW()-169+15)</f>
        <v>#REF!</v>
      </c>
      <c r="L742" s="23" t="e">
        <f>_xlfn.XLOOKUP(K742,#REF!,#REF!,"",0,1)</f>
        <v>#REF!</v>
      </c>
      <c r="M742" s="23" t="str">
        <f>IFERROR(L742*#REF!,"")</f>
        <v/>
      </c>
      <c r="N742" s="23">
        <f t="shared" si="49"/>
        <v>-1</v>
      </c>
      <c r="O742" s="23">
        <f t="shared" si="50"/>
        <v>-1</v>
      </c>
      <c r="P742" s="23">
        <f t="shared" si="51"/>
        <v>-1</v>
      </c>
      <c r="Q742" s="24">
        <f t="shared" si="52"/>
        <v>-1</v>
      </c>
      <c r="R742" s="3"/>
      <c r="S742" s="1">
        <v>0</v>
      </c>
      <c r="T742" s="24">
        <v>-1</v>
      </c>
      <c r="U742"/>
      <c r="V742" s="1">
        <v>0</v>
      </c>
      <c r="W742" s="24">
        <v>-1</v>
      </c>
      <c r="X742"/>
      <c r="Y742" s="1">
        <v>0</v>
      </c>
      <c r="Z742" s="24">
        <v>-1</v>
      </c>
      <c r="AA742"/>
      <c r="AB742" s="1">
        <v>0</v>
      </c>
      <c r="AC742" s="24">
        <v>-1</v>
      </c>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c r="CA742"/>
      <c r="CB742"/>
      <c r="CC742"/>
      <c r="CD742"/>
      <c r="CE742"/>
      <c r="CF742"/>
      <c r="CG742"/>
      <c r="CH742"/>
      <c r="CI742"/>
      <c r="CJ742"/>
      <c r="CK742"/>
      <c r="CL742"/>
      <c r="CM742"/>
      <c r="CN742"/>
      <c r="CO742"/>
      <c r="CP742"/>
      <c r="CQ742"/>
      <c r="CR742"/>
      <c r="CS742"/>
    </row>
    <row r="743" spans="2:97">
      <c r="B743"/>
      <c r="C743" s="15"/>
      <c r="D743" s="23"/>
      <c r="E743" s="23"/>
      <c r="F743" s="23"/>
      <c r="G743" s="23">
        <f t="shared" si="48"/>
        <v>0</v>
      </c>
      <c r="H743" s="23" t="e" cm="1">
        <f t="array" ref="H743">INDEX('GLOBAL LOG'!#REF!,ROW()-169+15)</f>
        <v>#REF!</v>
      </c>
      <c r="I743" s="23" t="e">
        <f>_xlfn.XLOOKUP(H743,#REF!,#REF!,"",0,1)</f>
        <v>#REF!</v>
      </c>
      <c r="J743" s="23" t="str">
        <f>IFERROR(I743*#REF!,"")</f>
        <v/>
      </c>
      <c r="K743" s="23" t="e" cm="1">
        <f t="array" ref="K743">INDEX('GLOBAL LOG'!#REF!,ROW()-169+15)</f>
        <v>#REF!</v>
      </c>
      <c r="L743" s="23" t="e">
        <f>_xlfn.XLOOKUP(K743,#REF!,#REF!,"",0,1)</f>
        <v>#REF!</v>
      </c>
      <c r="M743" s="23" t="str">
        <f>IFERROR(L743*#REF!,"")</f>
        <v/>
      </c>
      <c r="N743" s="23">
        <f t="shared" si="49"/>
        <v>-1</v>
      </c>
      <c r="O743" s="23">
        <f t="shared" si="50"/>
        <v>-1</v>
      </c>
      <c r="P743" s="23">
        <f t="shared" si="51"/>
        <v>-1</v>
      </c>
      <c r="Q743" s="24">
        <f t="shared" si="52"/>
        <v>-1</v>
      </c>
      <c r="R743" s="3"/>
      <c r="S743" s="1">
        <v>0</v>
      </c>
      <c r="T743" s="24">
        <v>-1</v>
      </c>
      <c r="U743"/>
      <c r="V743" s="1">
        <v>0</v>
      </c>
      <c r="W743" s="24">
        <v>-1</v>
      </c>
      <c r="X743"/>
      <c r="Y743" s="1">
        <v>0</v>
      </c>
      <c r="Z743" s="24">
        <v>-1</v>
      </c>
      <c r="AA743"/>
      <c r="AB743" s="1">
        <v>0</v>
      </c>
      <c r="AC743" s="24">
        <v>-1</v>
      </c>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c r="CA743"/>
      <c r="CB743"/>
      <c r="CC743"/>
      <c r="CD743"/>
      <c r="CE743"/>
      <c r="CF743"/>
      <c r="CG743"/>
      <c r="CH743"/>
      <c r="CI743"/>
      <c r="CJ743"/>
      <c r="CK743"/>
      <c r="CL743"/>
      <c r="CM743"/>
      <c r="CN743"/>
      <c r="CO743"/>
      <c r="CP743"/>
      <c r="CQ743"/>
      <c r="CR743"/>
      <c r="CS743"/>
    </row>
    <row r="744" spans="2:97">
      <c r="B744"/>
      <c r="C744" s="15"/>
      <c r="D744" s="23"/>
      <c r="E744" s="23"/>
      <c r="F744" s="23"/>
      <c r="G744" s="23">
        <f t="shared" si="48"/>
        <v>0</v>
      </c>
      <c r="H744" s="23" t="e" cm="1">
        <f t="array" ref="H744">INDEX('GLOBAL LOG'!#REF!,ROW()-169+15)</f>
        <v>#REF!</v>
      </c>
      <c r="I744" s="23" t="e">
        <f>_xlfn.XLOOKUP(H744,#REF!,#REF!,"",0,1)</f>
        <v>#REF!</v>
      </c>
      <c r="J744" s="23" t="str">
        <f>IFERROR(I744*#REF!,"")</f>
        <v/>
      </c>
      <c r="K744" s="23" t="e" cm="1">
        <f t="array" ref="K744">INDEX('GLOBAL LOG'!#REF!,ROW()-169+15)</f>
        <v>#REF!</v>
      </c>
      <c r="L744" s="23" t="e">
        <f>_xlfn.XLOOKUP(K744,#REF!,#REF!,"",0,1)</f>
        <v>#REF!</v>
      </c>
      <c r="M744" s="23" t="str">
        <f>IFERROR(L744*#REF!,"")</f>
        <v/>
      </c>
      <c r="N744" s="23">
        <f t="shared" si="49"/>
        <v>-1</v>
      </c>
      <c r="O744" s="23">
        <f t="shared" si="50"/>
        <v>-1</v>
      </c>
      <c r="P744" s="23">
        <f t="shared" si="51"/>
        <v>-1</v>
      </c>
      <c r="Q744" s="24">
        <f t="shared" si="52"/>
        <v>-1</v>
      </c>
      <c r="R744" s="3"/>
      <c r="S744" s="1">
        <v>0</v>
      </c>
      <c r="T744" s="24">
        <v>-1</v>
      </c>
      <c r="U744"/>
      <c r="V744" s="1">
        <v>0</v>
      </c>
      <c r="W744" s="24">
        <v>-1</v>
      </c>
      <c r="X744"/>
      <c r="Y744" s="1">
        <v>0</v>
      </c>
      <c r="Z744" s="24">
        <v>-1</v>
      </c>
      <c r="AA744"/>
      <c r="AB744" s="1">
        <v>0</v>
      </c>
      <c r="AC744" s="24">
        <v>-1</v>
      </c>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c r="CC744"/>
      <c r="CD744"/>
      <c r="CE744"/>
      <c r="CF744"/>
      <c r="CG744"/>
      <c r="CH744"/>
      <c r="CI744"/>
      <c r="CJ744"/>
      <c r="CK744"/>
      <c r="CL744"/>
      <c r="CM744"/>
      <c r="CN744"/>
      <c r="CO744"/>
      <c r="CP744"/>
      <c r="CQ744"/>
      <c r="CR744"/>
      <c r="CS744"/>
    </row>
    <row r="745" spans="2:97">
      <c r="B745"/>
      <c r="C745" s="15"/>
      <c r="D745" s="23"/>
      <c r="E745" s="23"/>
      <c r="F745" s="23"/>
      <c r="G745" s="23">
        <f t="shared" si="48"/>
        <v>0</v>
      </c>
      <c r="H745" s="23" t="e" cm="1">
        <f t="array" ref="H745">INDEX('GLOBAL LOG'!#REF!,ROW()-169+15)</f>
        <v>#REF!</v>
      </c>
      <c r="I745" s="23" t="e">
        <f>_xlfn.XLOOKUP(H745,#REF!,#REF!,"",0,1)</f>
        <v>#REF!</v>
      </c>
      <c r="J745" s="23" t="str">
        <f>IFERROR(I745*#REF!,"")</f>
        <v/>
      </c>
      <c r="K745" s="23" t="e" cm="1">
        <f t="array" ref="K745">INDEX('GLOBAL LOG'!#REF!,ROW()-169+15)</f>
        <v>#REF!</v>
      </c>
      <c r="L745" s="23" t="e">
        <f>_xlfn.XLOOKUP(K745,#REF!,#REF!,"",0,1)</f>
        <v>#REF!</v>
      </c>
      <c r="M745" s="23" t="str">
        <f>IFERROR(L745*#REF!,"")</f>
        <v/>
      </c>
      <c r="N745" s="23">
        <f t="shared" si="49"/>
        <v>-1</v>
      </c>
      <c r="O745" s="23">
        <f t="shared" si="50"/>
        <v>-1</v>
      </c>
      <c r="P745" s="23">
        <f t="shared" si="51"/>
        <v>-1</v>
      </c>
      <c r="Q745" s="24">
        <f t="shared" si="52"/>
        <v>-1</v>
      </c>
      <c r="R745" s="3"/>
      <c r="S745" s="1">
        <v>0</v>
      </c>
      <c r="T745" s="24">
        <v>-1</v>
      </c>
      <c r="U745"/>
      <c r="V745" s="1">
        <v>0</v>
      </c>
      <c r="W745" s="24">
        <v>-1</v>
      </c>
      <c r="X745"/>
      <c r="Y745" s="1">
        <v>0</v>
      </c>
      <c r="Z745" s="24">
        <v>-1</v>
      </c>
      <c r="AA745"/>
      <c r="AB745" s="1">
        <v>0</v>
      </c>
      <c r="AC745" s="24">
        <v>-1</v>
      </c>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c r="CA745"/>
      <c r="CB745"/>
      <c r="CC745"/>
      <c r="CD745"/>
      <c r="CE745"/>
      <c r="CF745"/>
      <c r="CG745"/>
      <c r="CH745"/>
      <c r="CI745"/>
      <c r="CJ745"/>
      <c r="CK745"/>
      <c r="CL745"/>
      <c r="CM745"/>
      <c r="CN745"/>
      <c r="CO745"/>
      <c r="CP745"/>
      <c r="CQ745"/>
      <c r="CR745"/>
      <c r="CS745"/>
    </row>
    <row r="746" spans="2:97">
      <c r="B746"/>
      <c r="C746" s="15"/>
      <c r="D746" s="23"/>
      <c r="E746" s="23"/>
      <c r="F746" s="23"/>
      <c r="G746" s="23">
        <f t="shared" ref="G746:G809" si="53">E746+F746</f>
        <v>0</v>
      </c>
      <c r="H746" s="23" t="e" cm="1">
        <f t="array" ref="H746">INDEX('GLOBAL LOG'!#REF!,ROW()-169+15)</f>
        <v>#REF!</v>
      </c>
      <c r="I746" s="23" t="e">
        <f>_xlfn.XLOOKUP(H746,#REF!,#REF!,"",0,1)</f>
        <v>#REF!</v>
      </c>
      <c r="J746" s="23" t="str">
        <f>IFERROR(I746*#REF!,"")</f>
        <v/>
      </c>
      <c r="K746" s="23" t="e" cm="1">
        <f t="array" ref="K746">INDEX('GLOBAL LOG'!#REF!,ROW()-169+15)</f>
        <v>#REF!</v>
      </c>
      <c r="L746" s="23" t="e">
        <f>_xlfn.XLOOKUP(K746,#REF!,#REF!,"",0,1)</f>
        <v>#REF!</v>
      </c>
      <c r="M746" s="23" t="str">
        <f>IFERROR(L746*#REF!,"")</f>
        <v/>
      </c>
      <c r="N746" s="23">
        <f t="shared" ref="N746:N809" si="54">IFERROR(D746*J746*M746,-1)</f>
        <v>-1</v>
      </c>
      <c r="O746" s="23">
        <f t="shared" ref="O746:O809" si="55">IFERROR(E746*J746*M746,-1)</f>
        <v>-1</v>
      </c>
      <c r="P746" s="23">
        <f t="shared" ref="P746:P809" si="56">IFERROR(F746*J746*M746,-1)</f>
        <v>-1</v>
      </c>
      <c r="Q746" s="24">
        <f t="shared" ref="Q746:Q809" si="57">IFERROR(G746*J746*M746,-1)</f>
        <v>-1</v>
      </c>
      <c r="R746" s="3"/>
      <c r="S746" s="1">
        <v>0</v>
      </c>
      <c r="T746" s="24">
        <v>-1</v>
      </c>
      <c r="U746"/>
      <c r="V746" s="1">
        <v>0</v>
      </c>
      <c r="W746" s="24">
        <v>-1</v>
      </c>
      <c r="X746"/>
      <c r="Y746" s="1">
        <v>0</v>
      </c>
      <c r="Z746" s="24">
        <v>-1</v>
      </c>
      <c r="AA746"/>
      <c r="AB746" s="1">
        <v>0</v>
      </c>
      <c r="AC746" s="24">
        <v>-1</v>
      </c>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c r="CA746"/>
      <c r="CB746"/>
      <c r="CC746"/>
      <c r="CD746"/>
      <c r="CE746"/>
      <c r="CF746"/>
      <c r="CG746"/>
      <c r="CH746"/>
      <c r="CI746"/>
      <c r="CJ746"/>
      <c r="CK746"/>
      <c r="CL746"/>
      <c r="CM746"/>
      <c r="CN746"/>
      <c r="CO746"/>
      <c r="CP746"/>
      <c r="CQ746"/>
      <c r="CR746"/>
      <c r="CS746"/>
    </row>
    <row r="747" spans="2:97">
      <c r="B747"/>
      <c r="C747" s="15"/>
      <c r="D747" s="23"/>
      <c r="E747" s="23"/>
      <c r="F747" s="23"/>
      <c r="G747" s="23">
        <f t="shared" si="53"/>
        <v>0</v>
      </c>
      <c r="H747" s="23" t="e" cm="1">
        <f t="array" ref="H747">INDEX('GLOBAL LOG'!#REF!,ROW()-169+15)</f>
        <v>#REF!</v>
      </c>
      <c r="I747" s="23" t="e">
        <f>_xlfn.XLOOKUP(H747,#REF!,#REF!,"",0,1)</f>
        <v>#REF!</v>
      </c>
      <c r="J747" s="23" t="str">
        <f>IFERROR(I747*#REF!,"")</f>
        <v/>
      </c>
      <c r="K747" s="23" t="e" cm="1">
        <f t="array" ref="K747">INDEX('GLOBAL LOG'!#REF!,ROW()-169+15)</f>
        <v>#REF!</v>
      </c>
      <c r="L747" s="23" t="e">
        <f>_xlfn.XLOOKUP(K747,#REF!,#REF!,"",0,1)</f>
        <v>#REF!</v>
      </c>
      <c r="M747" s="23" t="str">
        <f>IFERROR(L747*#REF!,"")</f>
        <v/>
      </c>
      <c r="N747" s="23">
        <f t="shared" si="54"/>
        <v>-1</v>
      </c>
      <c r="O747" s="23">
        <f t="shared" si="55"/>
        <v>-1</v>
      </c>
      <c r="P747" s="23">
        <f t="shared" si="56"/>
        <v>-1</v>
      </c>
      <c r="Q747" s="24">
        <f t="shared" si="57"/>
        <v>-1</v>
      </c>
      <c r="R747" s="3"/>
      <c r="S747" s="1">
        <v>0</v>
      </c>
      <c r="T747" s="24">
        <v>-1</v>
      </c>
      <c r="U747"/>
      <c r="V747" s="1">
        <v>0</v>
      </c>
      <c r="W747" s="24">
        <v>-1</v>
      </c>
      <c r="X747"/>
      <c r="Y747" s="1">
        <v>0</v>
      </c>
      <c r="Z747" s="24">
        <v>-1</v>
      </c>
      <c r="AA747"/>
      <c r="AB747" s="1">
        <v>0</v>
      </c>
      <c r="AC747" s="24">
        <v>-1</v>
      </c>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c r="CA747"/>
      <c r="CB747"/>
      <c r="CC747"/>
      <c r="CD747"/>
      <c r="CE747"/>
      <c r="CF747"/>
      <c r="CG747"/>
      <c r="CH747"/>
      <c r="CI747"/>
      <c r="CJ747"/>
      <c r="CK747"/>
      <c r="CL747"/>
      <c r="CM747"/>
      <c r="CN747"/>
      <c r="CO747"/>
      <c r="CP747"/>
      <c r="CQ747"/>
      <c r="CR747"/>
      <c r="CS747"/>
    </row>
    <row r="748" spans="2:97">
      <c r="B748"/>
      <c r="C748" s="15"/>
      <c r="D748" s="23"/>
      <c r="E748" s="23"/>
      <c r="F748" s="23"/>
      <c r="G748" s="23">
        <f t="shared" si="53"/>
        <v>0</v>
      </c>
      <c r="H748" s="23" t="e" cm="1">
        <f t="array" ref="H748">INDEX('GLOBAL LOG'!#REF!,ROW()-169+15)</f>
        <v>#REF!</v>
      </c>
      <c r="I748" s="23" t="e">
        <f>_xlfn.XLOOKUP(H748,#REF!,#REF!,"",0,1)</f>
        <v>#REF!</v>
      </c>
      <c r="J748" s="23" t="str">
        <f>IFERROR(I748*#REF!,"")</f>
        <v/>
      </c>
      <c r="K748" s="23" t="e" cm="1">
        <f t="array" ref="K748">INDEX('GLOBAL LOG'!#REF!,ROW()-169+15)</f>
        <v>#REF!</v>
      </c>
      <c r="L748" s="23" t="e">
        <f>_xlfn.XLOOKUP(K748,#REF!,#REF!,"",0,1)</f>
        <v>#REF!</v>
      </c>
      <c r="M748" s="23" t="str">
        <f>IFERROR(L748*#REF!,"")</f>
        <v/>
      </c>
      <c r="N748" s="23">
        <f t="shared" si="54"/>
        <v>-1</v>
      </c>
      <c r="O748" s="23">
        <f t="shared" si="55"/>
        <v>-1</v>
      </c>
      <c r="P748" s="23">
        <f t="shared" si="56"/>
        <v>-1</v>
      </c>
      <c r="Q748" s="24">
        <f t="shared" si="57"/>
        <v>-1</v>
      </c>
      <c r="R748" s="3"/>
      <c r="S748" s="1">
        <v>0</v>
      </c>
      <c r="T748" s="24">
        <v>-1</v>
      </c>
      <c r="U748"/>
      <c r="V748" s="1">
        <v>0</v>
      </c>
      <c r="W748" s="24">
        <v>-1</v>
      </c>
      <c r="X748"/>
      <c r="Y748" s="1">
        <v>0</v>
      </c>
      <c r="Z748" s="24">
        <v>-1</v>
      </c>
      <c r="AA748"/>
      <c r="AB748" s="1">
        <v>0</v>
      </c>
      <c r="AC748" s="24">
        <v>-1</v>
      </c>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c r="CA748"/>
      <c r="CB748"/>
      <c r="CC748"/>
      <c r="CD748"/>
      <c r="CE748"/>
      <c r="CF748"/>
      <c r="CG748"/>
      <c r="CH748"/>
      <c r="CI748"/>
      <c r="CJ748"/>
      <c r="CK748"/>
      <c r="CL748"/>
      <c r="CM748"/>
      <c r="CN748"/>
      <c r="CO748"/>
      <c r="CP748"/>
      <c r="CQ748"/>
      <c r="CR748"/>
      <c r="CS748"/>
    </row>
    <row r="749" spans="2:97">
      <c r="B749"/>
      <c r="C749" s="15"/>
      <c r="D749" s="23"/>
      <c r="E749" s="23"/>
      <c r="F749" s="23"/>
      <c r="G749" s="23">
        <f t="shared" si="53"/>
        <v>0</v>
      </c>
      <c r="H749" s="23" t="e" cm="1">
        <f t="array" ref="H749">INDEX('GLOBAL LOG'!#REF!,ROW()-169+15)</f>
        <v>#REF!</v>
      </c>
      <c r="I749" s="23" t="e">
        <f>_xlfn.XLOOKUP(H749,#REF!,#REF!,"",0,1)</f>
        <v>#REF!</v>
      </c>
      <c r="J749" s="23" t="str">
        <f>IFERROR(I749*#REF!,"")</f>
        <v/>
      </c>
      <c r="K749" s="23" t="e" cm="1">
        <f t="array" ref="K749">INDEX('GLOBAL LOG'!#REF!,ROW()-169+15)</f>
        <v>#REF!</v>
      </c>
      <c r="L749" s="23" t="e">
        <f>_xlfn.XLOOKUP(K749,#REF!,#REF!,"",0,1)</f>
        <v>#REF!</v>
      </c>
      <c r="M749" s="23" t="str">
        <f>IFERROR(L749*#REF!,"")</f>
        <v/>
      </c>
      <c r="N749" s="23">
        <f t="shared" si="54"/>
        <v>-1</v>
      </c>
      <c r="O749" s="23">
        <f t="shared" si="55"/>
        <v>-1</v>
      </c>
      <c r="P749" s="23">
        <f t="shared" si="56"/>
        <v>-1</v>
      </c>
      <c r="Q749" s="24">
        <f t="shared" si="57"/>
        <v>-1</v>
      </c>
      <c r="R749" s="3"/>
      <c r="S749" s="1">
        <v>0</v>
      </c>
      <c r="T749" s="24">
        <v>-1</v>
      </c>
      <c r="U749"/>
      <c r="V749" s="1">
        <v>0</v>
      </c>
      <c r="W749" s="24">
        <v>-1</v>
      </c>
      <c r="X749"/>
      <c r="Y749" s="1">
        <v>0</v>
      </c>
      <c r="Z749" s="24">
        <v>-1</v>
      </c>
      <c r="AA749"/>
      <c r="AB749" s="1">
        <v>0</v>
      </c>
      <c r="AC749" s="24">
        <v>-1</v>
      </c>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c r="CA749"/>
      <c r="CB749"/>
      <c r="CC749"/>
      <c r="CD749"/>
      <c r="CE749"/>
      <c r="CF749"/>
      <c r="CG749"/>
      <c r="CH749"/>
      <c r="CI749"/>
      <c r="CJ749"/>
      <c r="CK749"/>
      <c r="CL749"/>
      <c r="CM749"/>
      <c r="CN749"/>
      <c r="CO749"/>
      <c r="CP749"/>
      <c r="CQ749"/>
      <c r="CR749"/>
      <c r="CS749"/>
    </row>
    <row r="750" spans="2:97">
      <c r="B750"/>
      <c r="C750" s="15"/>
      <c r="D750" s="23"/>
      <c r="E750" s="23"/>
      <c r="F750" s="23"/>
      <c r="G750" s="23">
        <f t="shared" si="53"/>
        <v>0</v>
      </c>
      <c r="H750" s="23" t="e" cm="1">
        <f t="array" ref="H750">INDEX('GLOBAL LOG'!#REF!,ROW()-169+15)</f>
        <v>#REF!</v>
      </c>
      <c r="I750" s="23" t="e">
        <f>_xlfn.XLOOKUP(H750,#REF!,#REF!,"",0,1)</f>
        <v>#REF!</v>
      </c>
      <c r="J750" s="23" t="str">
        <f>IFERROR(I750*#REF!,"")</f>
        <v/>
      </c>
      <c r="K750" s="23" t="e" cm="1">
        <f t="array" ref="K750">INDEX('GLOBAL LOG'!#REF!,ROW()-169+15)</f>
        <v>#REF!</v>
      </c>
      <c r="L750" s="23" t="e">
        <f>_xlfn.XLOOKUP(K750,#REF!,#REF!,"",0,1)</f>
        <v>#REF!</v>
      </c>
      <c r="M750" s="23" t="str">
        <f>IFERROR(L750*#REF!,"")</f>
        <v/>
      </c>
      <c r="N750" s="23">
        <f t="shared" si="54"/>
        <v>-1</v>
      </c>
      <c r="O750" s="23">
        <f t="shared" si="55"/>
        <v>-1</v>
      </c>
      <c r="P750" s="23">
        <f t="shared" si="56"/>
        <v>-1</v>
      </c>
      <c r="Q750" s="24">
        <f t="shared" si="57"/>
        <v>-1</v>
      </c>
      <c r="R750" s="3"/>
      <c r="S750" s="1">
        <v>0</v>
      </c>
      <c r="T750" s="24">
        <v>-1</v>
      </c>
      <c r="U750"/>
      <c r="V750" s="1">
        <v>0</v>
      </c>
      <c r="W750" s="24">
        <v>-1</v>
      </c>
      <c r="X750"/>
      <c r="Y750" s="1">
        <v>0</v>
      </c>
      <c r="Z750" s="24">
        <v>-1</v>
      </c>
      <c r="AA750"/>
      <c r="AB750" s="1">
        <v>0</v>
      </c>
      <c r="AC750" s="24">
        <v>-1</v>
      </c>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c r="CA750"/>
      <c r="CB750"/>
      <c r="CC750"/>
      <c r="CD750"/>
      <c r="CE750"/>
      <c r="CF750"/>
      <c r="CG750"/>
      <c r="CH750"/>
      <c r="CI750"/>
      <c r="CJ750"/>
      <c r="CK750"/>
      <c r="CL750"/>
      <c r="CM750"/>
      <c r="CN750"/>
      <c r="CO750"/>
      <c r="CP750"/>
      <c r="CQ750"/>
      <c r="CR750"/>
      <c r="CS750"/>
    </row>
    <row r="751" spans="2:97">
      <c r="B751"/>
      <c r="C751" s="15"/>
      <c r="D751" s="23"/>
      <c r="E751" s="23"/>
      <c r="F751" s="23"/>
      <c r="G751" s="23">
        <f t="shared" si="53"/>
        <v>0</v>
      </c>
      <c r="H751" s="23" t="e" cm="1">
        <f t="array" ref="H751">INDEX('GLOBAL LOG'!#REF!,ROW()-169+15)</f>
        <v>#REF!</v>
      </c>
      <c r="I751" s="23" t="e">
        <f>_xlfn.XLOOKUP(H751,#REF!,#REF!,"",0,1)</f>
        <v>#REF!</v>
      </c>
      <c r="J751" s="23" t="str">
        <f>IFERROR(I751*#REF!,"")</f>
        <v/>
      </c>
      <c r="K751" s="23" t="e" cm="1">
        <f t="array" ref="K751">INDEX('GLOBAL LOG'!#REF!,ROW()-169+15)</f>
        <v>#REF!</v>
      </c>
      <c r="L751" s="23" t="e">
        <f>_xlfn.XLOOKUP(K751,#REF!,#REF!,"",0,1)</f>
        <v>#REF!</v>
      </c>
      <c r="M751" s="23" t="str">
        <f>IFERROR(L751*#REF!,"")</f>
        <v/>
      </c>
      <c r="N751" s="23">
        <f t="shared" si="54"/>
        <v>-1</v>
      </c>
      <c r="O751" s="23">
        <f t="shared" si="55"/>
        <v>-1</v>
      </c>
      <c r="P751" s="23">
        <f t="shared" si="56"/>
        <v>-1</v>
      </c>
      <c r="Q751" s="24">
        <f t="shared" si="57"/>
        <v>-1</v>
      </c>
      <c r="R751" s="3"/>
      <c r="S751" s="1">
        <v>0</v>
      </c>
      <c r="T751" s="24">
        <v>-1</v>
      </c>
      <c r="U751"/>
      <c r="V751" s="1">
        <v>0</v>
      </c>
      <c r="W751" s="24">
        <v>-1</v>
      </c>
      <c r="X751"/>
      <c r="Y751" s="1">
        <v>0</v>
      </c>
      <c r="Z751" s="24">
        <v>-1</v>
      </c>
      <c r="AA751"/>
      <c r="AB751" s="1">
        <v>0</v>
      </c>
      <c r="AC751" s="24">
        <v>-1</v>
      </c>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c r="CC751"/>
      <c r="CD751"/>
      <c r="CE751"/>
      <c r="CF751"/>
      <c r="CG751"/>
      <c r="CH751"/>
      <c r="CI751"/>
      <c r="CJ751"/>
      <c r="CK751"/>
      <c r="CL751"/>
      <c r="CM751"/>
      <c r="CN751"/>
      <c r="CO751"/>
      <c r="CP751"/>
      <c r="CQ751"/>
      <c r="CR751"/>
      <c r="CS751"/>
    </row>
    <row r="752" spans="2:97">
      <c r="B752"/>
      <c r="C752" s="15"/>
      <c r="D752" s="23"/>
      <c r="E752" s="23"/>
      <c r="F752" s="23"/>
      <c r="G752" s="23">
        <f t="shared" si="53"/>
        <v>0</v>
      </c>
      <c r="H752" s="23" t="e" cm="1">
        <f t="array" ref="H752">INDEX('GLOBAL LOG'!#REF!,ROW()-169+15)</f>
        <v>#REF!</v>
      </c>
      <c r="I752" s="23" t="e">
        <f>_xlfn.XLOOKUP(H752,#REF!,#REF!,"",0,1)</f>
        <v>#REF!</v>
      </c>
      <c r="J752" s="23" t="str">
        <f>IFERROR(I752*#REF!,"")</f>
        <v/>
      </c>
      <c r="K752" s="23" t="e" cm="1">
        <f t="array" ref="K752">INDEX('GLOBAL LOG'!#REF!,ROW()-169+15)</f>
        <v>#REF!</v>
      </c>
      <c r="L752" s="23" t="e">
        <f>_xlfn.XLOOKUP(K752,#REF!,#REF!,"",0,1)</f>
        <v>#REF!</v>
      </c>
      <c r="M752" s="23" t="str">
        <f>IFERROR(L752*#REF!,"")</f>
        <v/>
      </c>
      <c r="N752" s="23">
        <f t="shared" si="54"/>
        <v>-1</v>
      </c>
      <c r="O752" s="23">
        <f t="shared" si="55"/>
        <v>-1</v>
      </c>
      <c r="P752" s="23">
        <f t="shared" si="56"/>
        <v>-1</v>
      </c>
      <c r="Q752" s="24">
        <f t="shared" si="57"/>
        <v>-1</v>
      </c>
      <c r="R752" s="3"/>
      <c r="S752" s="1">
        <v>0</v>
      </c>
      <c r="T752" s="24">
        <v>-1</v>
      </c>
      <c r="U752"/>
      <c r="V752" s="1">
        <v>0</v>
      </c>
      <c r="W752" s="24">
        <v>-1</v>
      </c>
      <c r="X752"/>
      <c r="Y752" s="1">
        <v>0</v>
      </c>
      <c r="Z752" s="24">
        <v>-1</v>
      </c>
      <c r="AA752"/>
      <c r="AB752" s="1">
        <v>0</v>
      </c>
      <c r="AC752" s="24">
        <v>-1</v>
      </c>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c r="CA752"/>
      <c r="CB752"/>
      <c r="CC752"/>
      <c r="CD752"/>
      <c r="CE752"/>
      <c r="CF752"/>
      <c r="CG752"/>
      <c r="CH752"/>
      <c r="CI752"/>
      <c r="CJ752"/>
      <c r="CK752"/>
      <c r="CL752"/>
      <c r="CM752"/>
      <c r="CN752"/>
      <c r="CO752"/>
      <c r="CP752"/>
      <c r="CQ752"/>
      <c r="CR752"/>
      <c r="CS752"/>
    </row>
    <row r="753" spans="2:97">
      <c r="B753"/>
      <c r="C753" s="15"/>
      <c r="D753" s="23"/>
      <c r="E753" s="23"/>
      <c r="F753" s="23"/>
      <c r="G753" s="23">
        <f t="shared" si="53"/>
        <v>0</v>
      </c>
      <c r="H753" s="23" t="e" cm="1">
        <f t="array" ref="H753">INDEX('GLOBAL LOG'!#REF!,ROW()-169+15)</f>
        <v>#REF!</v>
      </c>
      <c r="I753" s="23" t="e">
        <f>_xlfn.XLOOKUP(H753,#REF!,#REF!,"",0,1)</f>
        <v>#REF!</v>
      </c>
      <c r="J753" s="23" t="str">
        <f>IFERROR(I753*#REF!,"")</f>
        <v/>
      </c>
      <c r="K753" s="23" t="e" cm="1">
        <f t="array" ref="K753">INDEX('GLOBAL LOG'!#REF!,ROW()-169+15)</f>
        <v>#REF!</v>
      </c>
      <c r="L753" s="23" t="e">
        <f>_xlfn.XLOOKUP(K753,#REF!,#REF!,"",0,1)</f>
        <v>#REF!</v>
      </c>
      <c r="M753" s="23" t="str">
        <f>IFERROR(L753*#REF!,"")</f>
        <v/>
      </c>
      <c r="N753" s="23">
        <f t="shared" si="54"/>
        <v>-1</v>
      </c>
      <c r="O753" s="23">
        <f t="shared" si="55"/>
        <v>-1</v>
      </c>
      <c r="P753" s="23">
        <f t="shared" si="56"/>
        <v>-1</v>
      </c>
      <c r="Q753" s="24">
        <f t="shared" si="57"/>
        <v>-1</v>
      </c>
      <c r="R753" s="3"/>
      <c r="S753" s="1">
        <v>0</v>
      </c>
      <c r="T753" s="24">
        <v>-1</v>
      </c>
      <c r="U753"/>
      <c r="V753" s="1">
        <v>0</v>
      </c>
      <c r="W753" s="24">
        <v>-1</v>
      </c>
      <c r="X753"/>
      <c r="Y753" s="1">
        <v>0</v>
      </c>
      <c r="Z753" s="24">
        <v>-1</v>
      </c>
      <c r="AA753"/>
      <c r="AB753" s="1">
        <v>0</v>
      </c>
      <c r="AC753" s="24">
        <v>-1</v>
      </c>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c r="CA753"/>
      <c r="CB753"/>
      <c r="CC753"/>
      <c r="CD753"/>
      <c r="CE753"/>
      <c r="CF753"/>
      <c r="CG753"/>
      <c r="CH753"/>
      <c r="CI753"/>
      <c r="CJ753"/>
      <c r="CK753"/>
      <c r="CL753"/>
      <c r="CM753"/>
      <c r="CN753"/>
      <c r="CO753"/>
      <c r="CP753"/>
      <c r="CQ753"/>
      <c r="CR753"/>
      <c r="CS753"/>
    </row>
    <row r="754" spans="2:97">
      <c r="B754"/>
      <c r="C754" s="15"/>
      <c r="D754" s="23"/>
      <c r="E754" s="23"/>
      <c r="F754" s="23"/>
      <c r="G754" s="23">
        <f t="shared" si="53"/>
        <v>0</v>
      </c>
      <c r="H754" s="23" t="e" cm="1">
        <f t="array" ref="H754">INDEX('GLOBAL LOG'!#REF!,ROW()-169+15)</f>
        <v>#REF!</v>
      </c>
      <c r="I754" s="23" t="e">
        <f>_xlfn.XLOOKUP(H754,#REF!,#REF!,"",0,1)</f>
        <v>#REF!</v>
      </c>
      <c r="J754" s="23" t="str">
        <f>IFERROR(I754*#REF!,"")</f>
        <v/>
      </c>
      <c r="K754" s="23" t="e" cm="1">
        <f t="array" ref="K754">INDEX('GLOBAL LOG'!#REF!,ROW()-169+15)</f>
        <v>#REF!</v>
      </c>
      <c r="L754" s="23" t="e">
        <f>_xlfn.XLOOKUP(K754,#REF!,#REF!,"",0,1)</f>
        <v>#REF!</v>
      </c>
      <c r="M754" s="23" t="str">
        <f>IFERROR(L754*#REF!,"")</f>
        <v/>
      </c>
      <c r="N754" s="23">
        <f t="shared" si="54"/>
        <v>-1</v>
      </c>
      <c r="O754" s="23">
        <f t="shared" si="55"/>
        <v>-1</v>
      </c>
      <c r="P754" s="23">
        <f t="shared" si="56"/>
        <v>-1</v>
      </c>
      <c r="Q754" s="24">
        <f t="shared" si="57"/>
        <v>-1</v>
      </c>
      <c r="R754" s="3"/>
      <c r="S754" s="1">
        <v>0</v>
      </c>
      <c r="T754" s="24">
        <v>-1</v>
      </c>
      <c r="U754"/>
      <c r="V754" s="1">
        <v>0</v>
      </c>
      <c r="W754" s="24">
        <v>-1</v>
      </c>
      <c r="X754"/>
      <c r="Y754" s="1">
        <v>0</v>
      </c>
      <c r="Z754" s="24">
        <v>-1</v>
      </c>
      <c r="AA754"/>
      <c r="AB754" s="1">
        <v>0</v>
      </c>
      <c r="AC754" s="24">
        <v>-1</v>
      </c>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c r="CA754"/>
      <c r="CB754"/>
      <c r="CC754"/>
      <c r="CD754"/>
      <c r="CE754"/>
      <c r="CF754"/>
      <c r="CG754"/>
      <c r="CH754"/>
      <c r="CI754"/>
      <c r="CJ754"/>
      <c r="CK754"/>
      <c r="CL754"/>
      <c r="CM754"/>
      <c r="CN754"/>
      <c r="CO754"/>
      <c r="CP754"/>
      <c r="CQ754"/>
      <c r="CR754"/>
      <c r="CS754"/>
    </row>
    <row r="755" spans="2:97">
      <c r="B755"/>
      <c r="C755" s="15"/>
      <c r="D755" s="23"/>
      <c r="E755" s="23"/>
      <c r="F755" s="23"/>
      <c r="G755" s="23">
        <f t="shared" si="53"/>
        <v>0</v>
      </c>
      <c r="H755" s="23" t="e" cm="1">
        <f t="array" ref="H755">INDEX('GLOBAL LOG'!#REF!,ROW()-169+15)</f>
        <v>#REF!</v>
      </c>
      <c r="I755" s="23" t="e">
        <f>_xlfn.XLOOKUP(H755,#REF!,#REF!,"",0,1)</f>
        <v>#REF!</v>
      </c>
      <c r="J755" s="23" t="str">
        <f>IFERROR(I755*#REF!,"")</f>
        <v/>
      </c>
      <c r="K755" s="23" t="e" cm="1">
        <f t="array" ref="K755">INDEX('GLOBAL LOG'!#REF!,ROW()-169+15)</f>
        <v>#REF!</v>
      </c>
      <c r="L755" s="23" t="e">
        <f>_xlfn.XLOOKUP(K755,#REF!,#REF!,"",0,1)</f>
        <v>#REF!</v>
      </c>
      <c r="M755" s="23" t="str">
        <f>IFERROR(L755*#REF!,"")</f>
        <v/>
      </c>
      <c r="N755" s="23">
        <f t="shared" si="54"/>
        <v>-1</v>
      </c>
      <c r="O755" s="23">
        <f t="shared" si="55"/>
        <v>-1</v>
      </c>
      <c r="P755" s="23">
        <f t="shared" si="56"/>
        <v>-1</v>
      </c>
      <c r="Q755" s="24">
        <f t="shared" si="57"/>
        <v>-1</v>
      </c>
      <c r="R755" s="3"/>
      <c r="S755" s="1">
        <v>0</v>
      </c>
      <c r="T755" s="24">
        <v>-1</v>
      </c>
      <c r="U755"/>
      <c r="V755" s="1">
        <v>0</v>
      </c>
      <c r="W755" s="24">
        <v>-1</v>
      </c>
      <c r="X755"/>
      <c r="Y755" s="1">
        <v>0</v>
      </c>
      <c r="Z755" s="24">
        <v>-1</v>
      </c>
      <c r="AA755"/>
      <c r="AB755" s="1">
        <v>0</v>
      </c>
      <c r="AC755" s="24">
        <v>-1</v>
      </c>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c r="CA755"/>
      <c r="CB755"/>
      <c r="CC755"/>
      <c r="CD755"/>
      <c r="CE755"/>
      <c r="CF755"/>
      <c r="CG755"/>
      <c r="CH755"/>
      <c r="CI755"/>
      <c r="CJ755"/>
      <c r="CK755"/>
      <c r="CL755"/>
      <c r="CM755"/>
      <c r="CN755"/>
      <c r="CO755"/>
      <c r="CP755"/>
      <c r="CQ755"/>
      <c r="CR755"/>
      <c r="CS755"/>
    </row>
    <row r="756" spans="2:97">
      <c r="B756"/>
      <c r="C756" s="15"/>
      <c r="D756" s="23"/>
      <c r="E756" s="23"/>
      <c r="F756" s="23"/>
      <c r="G756" s="23">
        <f t="shared" si="53"/>
        <v>0</v>
      </c>
      <c r="H756" s="23" t="e" cm="1">
        <f t="array" ref="H756">INDEX('GLOBAL LOG'!#REF!,ROW()-169+15)</f>
        <v>#REF!</v>
      </c>
      <c r="I756" s="23" t="e">
        <f>_xlfn.XLOOKUP(H756,#REF!,#REF!,"",0,1)</f>
        <v>#REF!</v>
      </c>
      <c r="J756" s="23" t="str">
        <f>IFERROR(I756*#REF!,"")</f>
        <v/>
      </c>
      <c r="K756" s="23" t="e" cm="1">
        <f t="array" ref="K756">INDEX('GLOBAL LOG'!#REF!,ROW()-169+15)</f>
        <v>#REF!</v>
      </c>
      <c r="L756" s="23" t="e">
        <f>_xlfn.XLOOKUP(K756,#REF!,#REF!,"",0,1)</f>
        <v>#REF!</v>
      </c>
      <c r="M756" s="23" t="str">
        <f>IFERROR(L756*#REF!,"")</f>
        <v/>
      </c>
      <c r="N756" s="23">
        <f t="shared" si="54"/>
        <v>-1</v>
      </c>
      <c r="O756" s="23">
        <f t="shared" si="55"/>
        <v>-1</v>
      </c>
      <c r="P756" s="23">
        <f t="shared" si="56"/>
        <v>-1</v>
      </c>
      <c r="Q756" s="24">
        <f t="shared" si="57"/>
        <v>-1</v>
      </c>
      <c r="R756" s="3"/>
      <c r="S756" s="1">
        <v>0</v>
      </c>
      <c r="T756" s="24">
        <v>-1</v>
      </c>
      <c r="U756"/>
      <c r="V756" s="1">
        <v>0</v>
      </c>
      <c r="W756" s="24">
        <v>-1</v>
      </c>
      <c r="X756"/>
      <c r="Y756" s="1">
        <v>0</v>
      </c>
      <c r="Z756" s="24">
        <v>-1</v>
      </c>
      <c r="AA756"/>
      <c r="AB756" s="1">
        <v>0</v>
      </c>
      <c r="AC756" s="24">
        <v>-1</v>
      </c>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c r="CC756"/>
      <c r="CD756"/>
      <c r="CE756"/>
      <c r="CF756"/>
      <c r="CG756"/>
      <c r="CH756"/>
      <c r="CI756"/>
      <c r="CJ756"/>
      <c r="CK756"/>
      <c r="CL756"/>
      <c r="CM756"/>
      <c r="CN756"/>
      <c r="CO756"/>
      <c r="CP756"/>
      <c r="CQ756"/>
      <c r="CR756"/>
      <c r="CS756"/>
    </row>
    <row r="757" spans="2:97">
      <c r="B757"/>
      <c r="C757" s="15"/>
      <c r="D757" s="23"/>
      <c r="E757" s="23"/>
      <c r="F757" s="23"/>
      <c r="G757" s="23">
        <f t="shared" si="53"/>
        <v>0</v>
      </c>
      <c r="H757" s="23" t="e" cm="1">
        <f t="array" ref="H757">INDEX('GLOBAL LOG'!#REF!,ROW()-169+15)</f>
        <v>#REF!</v>
      </c>
      <c r="I757" s="23" t="e">
        <f>_xlfn.XLOOKUP(H757,#REF!,#REF!,"",0,1)</f>
        <v>#REF!</v>
      </c>
      <c r="J757" s="23" t="str">
        <f>IFERROR(I757*#REF!,"")</f>
        <v/>
      </c>
      <c r="K757" s="23" t="e" cm="1">
        <f t="array" ref="K757">INDEX('GLOBAL LOG'!#REF!,ROW()-169+15)</f>
        <v>#REF!</v>
      </c>
      <c r="L757" s="23" t="e">
        <f>_xlfn.XLOOKUP(K757,#REF!,#REF!,"",0,1)</f>
        <v>#REF!</v>
      </c>
      <c r="M757" s="23" t="str">
        <f>IFERROR(L757*#REF!,"")</f>
        <v/>
      </c>
      <c r="N757" s="23">
        <f t="shared" si="54"/>
        <v>-1</v>
      </c>
      <c r="O757" s="23">
        <f t="shared" si="55"/>
        <v>-1</v>
      </c>
      <c r="P757" s="23">
        <f t="shared" si="56"/>
        <v>-1</v>
      </c>
      <c r="Q757" s="24">
        <f t="shared" si="57"/>
        <v>-1</v>
      </c>
      <c r="R757" s="3"/>
      <c r="S757" s="1">
        <v>0</v>
      </c>
      <c r="T757" s="24">
        <v>-1</v>
      </c>
      <c r="U757"/>
      <c r="V757" s="1">
        <v>0</v>
      </c>
      <c r="W757" s="24">
        <v>-1</v>
      </c>
      <c r="X757"/>
      <c r="Y757" s="1">
        <v>0</v>
      </c>
      <c r="Z757" s="24">
        <v>-1</v>
      </c>
      <c r="AA757"/>
      <c r="AB757" s="1">
        <v>0</v>
      </c>
      <c r="AC757" s="24">
        <v>-1</v>
      </c>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c r="CA757"/>
      <c r="CB757"/>
      <c r="CC757"/>
      <c r="CD757"/>
      <c r="CE757"/>
      <c r="CF757"/>
      <c r="CG757"/>
      <c r="CH757"/>
      <c r="CI757"/>
      <c r="CJ757"/>
      <c r="CK757"/>
      <c r="CL757"/>
      <c r="CM757"/>
      <c r="CN757"/>
      <c r="CO757"/>
      <c r="CP757"/>
      <c r="CQ757"/>
      <c r="CR757"/>
      <c r="CS757"/>
    </row>
    <row r="758" spans="2:97">
      <c r="B758"/>
      <c r="C758" s="15"/>
      <c r="D758" s="23"/>
      <c r="E758" s="23"/>
      <c r="F758" s="23"/>
      <c r="G758" s="23">
        <f t="shared" si="53"/>
        <v>0</v>
      </c>
      <c r="H758" s="23" t="e" cm="1">
        <f t="array" ref="H758">INDEX('GLOBAL LOG'!#REF!,ROW()-169+15)</f>
        <v>#REF!</v>
      </c>
      <c r="I758" s="23" t="e">
        <f>_xlfn.XLOOKUP(H758,#REF!,#REF!,"",0,1)</f>
        <v>#REF!</v>
      </c>
      <c r="J758" s="23" t="str">
        <f>IFERROR(I758*#REF!,"")</f>
        <v/>
      </c>
      <c r="K758" s="23" t="e" cm="1">
        <f t="array" ref="K758">INDEX('GLOBAL LOG'!#REF!,ROW()-169+15)</f>
        <v>#REF!</v>
      </c>
      <c r="L758" s="23" t="e">
        <f>_xlfn.XLOOKUP(K758,#REF!,#REF!,"",0,1)</f>
        <v>#REF!</v>
      </c>
      <c r="M758" s="23" t="str">
        <f>IFERROR(L758*#REF!,"")</f>
        <v/>
      </c>
      <c r="N758" s="23">
        <f t="shared" si="54"/>
        <v>-1</v>
      </c>
      <c r="O758" s="23">
        <f t="shared" si="55"/>
        <v>-1</v>
      </c>
      <c r="P758" s="23">
        <f t="shared" si="56"/>
        <v>-1</v>
      </c>
      <c r="Q758" s="24">
        <f t="shared" si="57"/>
        <v>-1</v>
      </c>
      <c r="R758" s="3"/>
      <c r="S758" s="1">
        <v>0</v>
      </c>
      <c r="T758" s="24">
        <v>-1</v>
      </c>
      <c r="U758"/>
      <c r="V758" s="1">
        <v>0</v>
      </c>
      <c r="W758" s="24">
        <v>-1</v>
      </c>
      <c r="X758"/>
      <c r="Y758" s="1">
        <v>0</v>
      </c>
      <c r="Z758" s="24">
        <v>-1</v>
      </c>
      <c r="AA758"/>
      <c r="AB758" s="1">
        <v>0</v>
      </c>
      <c r="AC758" s="24">
        <v>-1</v>
      </c>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c r="CA758"/>
      <c r="CB758"/>
      <c r="CC758"/>
      <c r="CD758"/>
      <c r="CE758"/>
      <c r="CF758"/>
      <c r="CG758"/>
      <c r="CH758"/>
      <c r="CI758"/>
      <c r="CJ758"/>
      <c r="CK758"/>
      <c r="CL758"/>
      <c r="CM758"/>
      <c r="CN758"/>
      <c r="CO758"/>
      <c r="CP758"/>
      <c r="CQ758"/>
      <c r="CR758"/>
      <c r="CS758"/>
    </row>
    <row r="759" spans="2:97">
      <c r="B759"/>
      <c r="C759" s="15"/>
      <c r="D759" s="23"/>
      <c r="E759" s="23"/>
      <c r="F759" s="23"/>
      <c r="G759" s="23">
        <f t="shared" si="53"/>
        <v>0</v>
      </c>
      <c r="H759" s="23" t="e" cm="1">
        <f t="array" ref="H759">INDEX('GLOBAL LOG'!#REF!,ROW()-169+15)</f>
        <v>#REF!</v>
      </c>
      <c r="I759" s="23" t="e">
        <f>_xlfn.XLOOKUP(H759,#REF!,#REF!,"",0,1)</f>
        <v>#REF!</v>
      </c>
      <c r="J759" s="23" t="str">
        <f>IFERROR(I759*#REF!,"")</f>
        <v/>
      </c>
      <c r="K759" s="23" t="e" cm="1">
        <f t="array" ref="K759">INDEX('GLOBAL LOG'!#REF!,ROW()-169+15)</f>
        <v>#REF!</v>
      </c>
      <c r="L759" s="23" t="e">
        <f>_xlfn.XLOOKUP(K759,#REF!,#REF!,"",0,1)</f>
        <v>#REF!</v>
      </c>
      <c r="M759" s="23" t="str">
        <f>IFERROR(L759*#REF!,"")</f>
        <v/>
      </c>
      <c r="N759" s="23">
        <f t="shared" si="54"/>
        <v>-1</v>
      </c>
      <c r="O759" s="23">
        <f t="shared" si="55"/>
        <v>-1</v>
      </c>
      <c r="P759" s="23">
        <f t="shared" si="56"/>
        <v>-1</v>
      </c>
      <c r="Q759" s="24">
        <f t="shared" si="57"/>
        <v>-1</v>
      </c>
      <c r="R759" s="3"/>
      <c r="S759" s="1">
        <v>0</v>
      </c>
      <c r="T759" s="24">
        <v>-1</v>
      </c>
      <c r="U759"/>
      <c r="V759" s="1">
        <v>0</v>
      </c>
      <c r="W759" s="24">
        <v>-1</v>
      </c>
      <c r="X759"/>
      <c r="Y759" s="1">
        <v>0</v>
      </c>
      <c r="Z759" s="24">
        <v>-1</v>
      </c>
      <c r="AA759"/>
      <c r="AB759" s="1">
        <v>0</v>
      </c>
      <c r="AC759" s="24">
        <v>-1</v>
      </c>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c r="CA759"/>
      <c r="CB759"/>
      <c r="CC759"/>
      <c r="CD759"/>
      <c r="CE759"/>
      <c r="CF759"/>
      <c r="CG759"/>
      <c r="CH759"/>
      <c r="CI759"/>
      <c r="CJ759"/>
      <c r="CK759"/>
      <c r="CL759"/>
      <c r="CM759"/>
      <c r="CN759"/>
      <c r="CO759"/>
      <c r="CP759"/>
      <c r="CQ759"/>
      <c r="CR759"/>
      <c r="CS759"/>
    </row>
    <row r="760" spans="2:97">
      <c r="B760"/>
      <c r="C760" s="15"/>
      <c r="D760" s="23"/>
      <c r="E760" s="23"/>
      <c r="F760" s="23"/>
      <c r="G760" s="23">
        <f t="shared" si="53"/>
        <v>0</v>
      </c>
      <c r="H760" s="23" t="e" cm="1">
        <f t="array" ref="H760">INDEX('GLOBAL LOG'!#REF!,ROW()-169+15)</f>
        <v>#REF!</v>
      </c>
      <c r="I760" s="23" t="e">
        <f>_xlfn.XLOOKUP(H760,#REF!,#REF!,"",0,1)</f>
        <v>#REF!</v>
      </c>
      <c r="J760" s="23" t="str">
        <f>IFERROR(I760*#REF!,"")</f>
        <v/>
      </c>
      <c r="K760" s="23" t="e" cm="1">
        <f t="array" ref="K760">INDEX('GLOBAL LOG'!#REF!,ROW()-169+15)</f>
        <v>#REF!</v>
      </c>
      <c r="L760" s="23" t="e">
        <f>_xlfn.XLOOKUP(K760,#REF!,#REF!,"",0,1)</f>
        <v>#REF!</v>
      </c>
      <c r="M760" s="23" t="str">
        <f>IFERROR(L760*#REF!,"")</f>
        <v/>
      </c>
      <c r="N760" s="23">
        <f t="shared" si="54"/>
        <v>-1</v>
      </c>
      <c r="O760" s="23">
        <f t="shared" si="55"/>
        <v>-1</v>
      </c>
      <c r="P760" s="23">
        <f t="shared" si="56"/>
        <v>-1</v>
      </c>
      <c r="Q760" s="24">
        <f t="shared" si="57"/>
        <v>-1</v>
      </c>
      <c r="R760" s="3"/>
      <c r="S760" s="1">
        <v>0</v>
      </c>
      <c r="T760" s="24">
        <v>-1</v>
      </c>
      <c r="U760"/>
      <c r="V760" s="1">
        <v>0</v>
      </c>
      <c r="W760" s="24">
        <v>-1</v>
      </c>
      <c r="X760"/>
      <c r="Y760" s="1">
        <v>0</v>
      </c>
      <c r="Z760" s="24">
        <v>-1</v>
      </c>
      <c r="AA760"/>
      <c r="AB760" s="1">
        <v>0</v>
      </c>
      <c r="AC760" s="24">
        <v>-1</v>
      </c>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c r="CA760"/>
      <c r="CB760"/>
      <c r="CC760"/>
      <c r="CD760"/>
      <c r="CE760"/>
      <c r="CF760"/>
      <c r="CG760"/>
      <c r="CH760"/>
      <c r="CI760"/>
      <c r="CJ760"/>
      <c r="CK760"/>
      <c r="CL760"/>
      <c r="CM760"/>
      <c r="CN760"/>
      <c r="CO760"/>
      <c r="CP760"/>
      <c r="CQ760"/>
      <c r="CR760"/>
      <c r="CS760"/>
    </row>
    <row r="761" spans="2:97">
      <c r="B761"/>
      <c r="C761" s="15"/>
      <c r="D761" s="23"/>
      <c r="E761" s="23"/>
      <c r="F761" s="23"/>
      <c r="G761" s="23">
        <f t="shared" si="53"/>
        <v>0</v>
      </c>
      <c r="H761" s="23" t="e" cm="1">
        <f t="array" ref="H761">INDEX('GLOBAL LOG'!#REF!,ROW()-169+15)</f>
        <v>#REF!</v>
      </c>
      <c r="I761" s="23" t="e">
        <f>_xlfn.XLOOKUP(H761,#REF!,#REF!,"",0,1)</f>
        <v>#REF!</v>
      </c>
      <c r="J761" s="23" t="str">
        <f>IFERROR(I761*#REF!,"")</f>
        <v/>
      </c>
      <c r="K761" s="23" t="e" cm="1">
        <f t="array" ref="K761">INDEX('GLOBAL LOG'!#REF!,ROW()-169+15)</f>
        <v>#REF!</v>
      </c>
      <c r="L761" s="23" t="e">
        <f>_xlfn.XLOOKUP(K761,#REF!,#REF!,"",0,1)</f>
        <v>#REF!</v>
      </c>
      <c r="M761" s="23" t="str">
        <f>IFERROR(L761*#REF!,"")</f>
        <v/>
      </c>
      <c r="N761" s="23">
        <f t="shared" si="54"/>
        <v>-1</v>
      </c>
      <c r="O761" s="23">
        <f t="shared" si="55"/>
        <v>-1</v>
      </c>
      <c r="P761" s="23">
        <f t="shared" si="56"/>
        <v>-1</v>
      </c>
      <c r="Q761" s="24">
        <f t="shared" si="57"/>
        <v>-1</v>
      </c>
      <c r="R761" s="3"/>
      <c r="S761" s="1">
        <v>0</v>
      </c>
      <c r="T761" s="24">
        <v>-1</v>
      </c>
      <c r="U761"/>
      <c r="V761" s="1">
        <v>0</v>
      </c>
      <c r="W761" s="24">
        <v>-1</v>
      </c>
      <c r="X761"/>
      <c r="Y761" s="1">
        <v>0</v>
      </c>
      <c r="Z761" s="24">
        <v>-1</v>
      </c>
      <c r="AA761"/>
      <c r="AB761" s="1">
        <v>0</v>
      </c>
      <c r="AC761" s="24">
        <v>-1</v>
      </c>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c r="CA761"/>
      <c r="CB761"/>
      <c r="CC761"/>
      <c r="CD761"/>
      <c r="CE761"/>
      <c r="CF761"/>
      <c r="CG761"/>
      <c r="CH761"/>
      <c r="CI761"/>
      <c r="CJ761"/>
      <c r="CK761"/>
      <c r="CL761"/>
      <c r="CM761"/>
      <c r="CN761"/>
      <c r="CO761"/>
      <c r="CP761"/>
      <c r="CQ761"/>
      <c r="CR761"/>
      <c r="CS761"/>
    </row>
    <row r="762" spans="2:97">
      <c r="B762"/>
      <c r="C762" s="15"/>
      <c r="D762" s="23"/>
      <c r="E762" s="23"/>
      <c r="F762" s="23"/>
      <c r="G762" s="23">
        <f t="shared" si="53"/>
        <v>0</v>
      </c>
      <c r="H762" s="23" t="e" cm="1">
        <f t="array" ref="H762">INDEX('GLOBAL LOG'!#REF!,ROW()-169+15)</f>
        <v>#REF!</v>
      </c>
      <c r="I762" s="23" t="e">
        <f>_xlfn.XLOOKUP(H762,#REF!,#REF!,"",0,1)</f>
        <v>#REF!</v>
      </c>
      <c r="J762" s="23" t="str">
        <f>IFERROR(I762*#REF!,"")</f>
        <v/>
      </c>
      <c r="K762" s="23" t="e" cm="1">
        <f t="array" ref="K762">INDEX('GLOBAL LOG'!#REF!,ROW()-169+15)</f>
        <v>#REF!</v>
      </c>
      <c r="L762" s="23" t="e">
        <f>_xlfn.XLOOKUP(K762,#REF!,#REF!,"",0,1)</f>
        <v>#REF!</v>
      </c>
      <c r="M762" s="23" t="str">
        <f>IFERROR(L762*#REF!,"")</f>
        <v/>
      </c>
      <c r="N762" s="23">
        <f t="shared" si="54"/>
        <v>-1</v>
      </c>
      <c r="O762" s="23">
        <f t="shared" si="55"/>
        <v>-1</v>
      </c>
      <c r="P762" s="23">
        <f t="shared" si="56"/>
        <v>-1</v>
      </c>
      <c r="Q762" s="24">
        <f t="shared" si="57"/>
        <v>-1</v>
      </c>
      <c r="R762" s="3"/>
      <c r="S762" s="1">
        <v>0</v>
      </c>
      <c r="T762" s="24">
        <v>-1</v>
      </c>
      <c r="U762"/>
      <c r="V762" s="1">
        <v>0</v>
      </c>
      <c r="W762" s="24">
        <v>-1</v>
      </c>
      <c r="X762"/>
      <c r="Y762" s="1">
        <v>0</v>
      </c>
      <c r="Z762" s="24">
        <v>-1</v>
      </c>
      <c r="AA762"/>
      <c r="AB762" s="1">
        <v>0</v>
      </c>
      <c r="AC762" s="24">
        <v>-1</v>
      </c>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c r="CA762"/>
      <c r="CB762"/>
      <c r="CC762"/>
      <c r="CD762"/>
      <c r="CE762"/>
      <c r="CF762"/>
      <c r="CG762"/>
      <c r="CH762"/>
      <c r="CI762"/>
      <c r="CJ762"/>
      <c r="CK762"/>
      <c r="CL762"/>
      <c r="CM762"/>
      <c r="CN762"/>
      <c r="CO762"/>
      <c r="CP762"/>
      <c r="CQ762"/>
      <c r="CR762"/>
      <c r="CS762"/>
    </row>
    <row r="763" spans="2:97">
      <c r="B763"/>
      <c r="C763" s="15"/>
      <c r="D763" s="23"/>
      <c r="E763" s="23"/>
      <c r="F763" s="23"/>
      <c r="G763" s="23">
        <f t="shared" si="53"/>
        <v>0</v>
      </c>
      <c r="H763" s="23" t="e" cm="1">
        <f t="array" ref="H763">INDEX('GLOBAL LOG'!#REF!,ROW()-169+15)</f>
        <v>#REF!</v>
      </c>
      <c r="I763" s="23" t="e">
        <f>_xlfn.XLOOKUP(H763,#REF!,#REF!,"",0,1)</f>
        <v>#REF!</v>
      </c>
      <c r="J763" s="23" t="str">
        <f>IFERROR(I763*#REF!,"")</f>
        <v/>
      </c>
      <c r="K763" s="23" t="e" cm="1">
        <f t="array" ref="K763">INDEX('GLOBAL LOG'!#REF!,ROW()-169+15)</f>
        <v>#REF!</v>
      </c>
      <c r="L763" s="23" t="e">
        <f>_xlfn.XLOOKUP(K763,#REF!,#REF!,"",0,1)</f>
        <v>#REF!</v>
      </c>
      <c r="M763" s="23" t="str">
        <f>IFERROR(L763*#REF!,"")</f>
        <v/>
      </c>
      <c r="N763" s="23">
        <f t="shared" si="54"/>
        <v>-1</v>
      </c>
      <c r="O763" s="23">
        <f t="shared" si="55"/>
        <v>-1</v>
      </c>
      <c r="P763" s="23">
        <f t="shared" si="56"/>
        <v>-1</v>
      </c>
      <c r="Q763" s="24">
        <f t="shared" si="57"/>
        <v>-1</v>
      </c>
      <c r="R763" s="3"/>
      <c r="S763" s="1">
        <v>0</v>
      </c>
      <c r="T763" s="24">
        <v>-1</v>
      </c>
      <c r="U763"/>
      <c r="V763" s="1">
        <v>0</v>
      </c>
      <c r="W763" s="24">
        <v>-1</v>
      </c>
      <c r="X763"/>
      <c r="Y763" s="1">
        <v>0</v>
      </c>
      <c r="Z763" s="24">
        <v>-1</v>
      </c>
      <c r="AA763"/>
      <c r="AB763" s="1">
        <v>0</v>
      </c>
      <c r="AC763" s="24">
        <v>-1</v>
      </c>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c r="CA763"/>
      <c r="CB763"/>
      <c r="CC763"/>
      <c r="CD763"/>
      <c r="CE763"/>
      <c r="CF763"/>
      <c r="CG763"/>
      <c r="CH763"/>
      <c r="CI763"/>
      <c r="CJ763"/>
      <c r="CK763"/>
      <c r="CL763"/>
      <c r="CM763"/>
      <c r="CN763"/>
      <c r="CO763"/>
      <c r="CP763"/>
      <c r="CQ763"/>
      <c r="CR763"/>
      <c r="CS763"/>
    </row>
    <row r="764" spans="2:97">
      <c r="B764"/>
      <c r="C764" s="15"/>
      <c r="D764" s="23"/>
      <c r="E764" s="23"/>
      <c r="F764" s="23"/>
      <c r="G764" s="23">
        <f t="shared" si="53"/>
        <v>0</v>
      </c>
      <c r="H764" s="23" t="e" cm="1">
        <f t="array" ref="H764">INDEX('GLOBAL LOG'!#REF!,ROW()-169+15)</f>
        <v>#REF!</v>
      </c>
      <c r="I764" s="23" t="e">
        <f>_xlfn.XLOOKUP(H764,#REF!,#REF!,"",0,1)</f>
        <v>#REF!</v>
      </c>
      <c r="J764" s="23" t="str">
        <f>IFERROR(I764*#REF!,"")</f>
        <v/>
      </c>
      <c r="K764" s="23" t="e" cm="1">
        <f t="array" ref="K764">INDEX('GLOBAL LOG'!#REF!,ROW()-169+15)</f>
        <v>#REF!</v>
      </c>
      <c r="L764" s="23" t="e">
        <f>_xlfn.XLOOKUP(K764,#REF!,#REF!,"",0,1)</f>
        <v>#REF!</v>
      </c>
      <c r="M764" s="23" t="str">
        <f>IFERROR(L764*#REF!,"")</f>
        <v/>
      </c>
      <c r="N764" s="23">
        <f t="shared" si="54"/>
        <v>-1</v>
      </c>
      <c r="O764" s="23">
        <f t="shared" si="55"/>
        <v>-1</v>
      </c>
      <c r="P764" s="23">
        <f t="shared" si="56"/>
        <v>-1</v>
      </c>
      <c r="Q764" s="24">
        <f t="shared" si="57"/>
        <v>-1</v>
      </c>
      <c r="R764" s="3"/>
      <c r="S764" s="1">
        <v>0</v>
      </c>
      <c r="T764" s="24">
        <v>-1</v>
      </c>
      <c r="U764"/>
      <c r="V764" s="1">
        <v>0</v>
      </c>
      <c r="W764" s="24">
        <v>-1</v>
      </c>
      <c r="X764"/>
      <c r="Y764" s="1">
        <v>0</v>
      </c>
      <c r="Z764" s="24">
        <v>-1</v>
      </c>
      <c r="AA764"/>
      <c r="AB764" s="1">
        <v>0</v>
      </c>
      <c r="AC764" s="24">
        <v>-1</v>
      </c>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c r="CA764"/>
      <c r="CB764"/>
      <c r="CC764"/>
      <c r="CD764"/>
      <c r="CE764"/>
      <c r="CF764"/>
      <c r="CG764"/>
      <c r="CH764"/>
      <c r="CI764"/>
      <c r="CJ764"/>
      <c r="CK764"/>
      <c r="CL764"/>
      <c r="CM764"/>
      <c r="CN764"/>
      <c r="CO764"/>
      <c r="CP764"/>
      <c r="CQ764"/>
      <c r="CR764"/>
      <c r="CS764"/>
    </row>
    <row r="765" spans="2:97">
      <c r="B765"/>
      <c r="C765" s="15"/>
      <c r="D765" s="23"/>
      <c r="E765" s="23"/>
      <c r="F765" s="23"/>
      <c r="G765" s="23">
        <f t="shared" si="53"/>
        <v>0</v>
      </c>
      <c r="H765" s="23" t="e" cm="1">
        <f t="array" ref="H765">INDEX('GLOBAL LOG'!#REF!,ROW()-169+15)</f>
        <v>#REF!</v>
      </c>
      <c r="I765" s="23" t="e">
        <f>_xlfn.XLOOKUP(H765,#REF!,#REF!,"",0,1)</f>
        <v>#REF!</v>
      </c>
      <c r="J765" s="23" t="str">
        <f>IFERROR(I765*#REF!,"")</f>
        <v/>
      </c>
      <c r="K765" s="23" t="e" cm="1">
        <f t="array" ref="K765">INDEX('GLOBAL LOG'!#REF!,ROW()-169+15)</f>
        <v>#REF!</v>
      </c>
      <c r="L765" s="23" t="e">
        <f>_xlfn.XLOOKUP(K765,#REF!,#REF!,"",0,1)</f>
        <v>#REF!</v>
      </c>
      <c r="M765" s="23" t="str">
        <f>IFERROR(L765*#REF!,"")</f>
        <v/>
      </c>
      <c r="N765" s="23">
        <f t="shared" si="54"/>
        <v>-1</v>
      </c>
      <c r="O765" s="23">
        <f t="shared" si="55"/>
        <v>-1</v>
      </c>
      <c r="P765" s="23">
        <f t="shared" si="56"/>
        <v>-1</v>
      </c>
      <c r="Q765" s="24">
        <f t="shared" si="57"/>
        <v>-1</v>
      </c>
      <c r="R765" s="3"/>
      <c r="S765" s="1">
        <v>0</v>
      </c>
      <c r="T765" s="24">
        <v>-1</v>
      </c>
      <c r="U765"/>
      <c r="V765" s="1">
        <v>0</v>
      </c>
      <c r="W765" s="24">
        <v>-1</v>
      </c>
      <c r="X765"/>
      <c r="Y765" s="1">
        <v>0</v>
      </c>
      <c r="Z765" s="24">
        <v>-1</v>
      </c>
      <c r="AA765"/>
      <c r="AB765" s="1">
        <v>0</v>
      </c>
      <c r="AC765" s="24">
        <v>-1</v>
      </c>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c r="CA765"/>
      <c r="CB765"/>
      <c r="CC765"/>
      <c r="CD765"/>
      <c r="CE765"/>
      <c r="CF765"/>
      <c r="CG765"/>
      <c r="CH765"/>
      <c r="CI765"/>
      <c r="CJ765"/>
      <c r="CK765"/>
      <c r="CL765"/>
      <c r="CM765"/>
      <c r="CN765"/>
      <c r="CO765"/>
      <c r="CP765"/>
      <c r="CQ765"/>
      <c r="CR765"/>
      <c r="CS765"/>
    </row>
    <row r="766" spans="2:97">
      <c r="B766"/>
      <c r="C766" s="15"/>
      <c r="D766" s="23"/>
      <c r="E766" s="23"/>
      <c r="F766" s="23"/>
      <c r="G766" s="23">
        <f t="shared" si="53"/>
        <v>0</v>
      </c>
      <c r="H766" s="23" t="e" cm="1">
        <f t="array" ref="H766">INDEX('GLOBAL LOG'!#REF!,ROW()-169+15)</f>
        <v>#REF!</v>
      </c>
      <c r="I766" s="23" t="e">
        <f>_xlfn.XLOOKUP(H766,#REF!,#REF!,"",0,1)</f>
        <v>#REF!</v>
      </c>
      <c r="J766" s="23" t="str">
        <f>IFERROR(I766*#REF!,"")</f>
        <v/>
      </c>
      <c r="K766" s="23" t="e" cm="1">
        <f t="array" ref="K766">INDEX('GLOBAL LOG'!#REF!,ROW()-169+15)</f>
        <v>#REF!</v>
      </c>
      <c r="L766" s="23" t="e">
        <f>_xlfn.XLOOKUP(K766,#REF!,#REF!,"",0,1)</f>
        <v>#REF!</v>
      </c>
      <c r="M766" s="23" t="str">
        <f>IFERROR(L766*#REF!,"")</f>
        <v/>
      </c>
      <c r="N766" s="23">
        <f t="shared" si="54"/>
        <v>-1</v>
      </c>
      <c r="O766" s="23">
        <f t="shared" si="55"/>
        <v>-1</v>
      </c>
      <c r="P766" s="23">
        <f t="shared" si="56"/>
        <v>-1</v>
      </c>
      <c r="Q766" s="24">
        <f t="shared" si="57"/>
        <v>-1</v>
      </c>
      <c r="R766" s="3"/>
      <c r="S766" s="1">
        <v>0</v>
      </c>
      <c r="T766" s="24">
        <v>-1</v>
      </c>
      <c r="U766"/>
      <c r="V766" s="1">
        <v>0</v>
      </c>
      <c r="W766" s="24">
        <v>-1</v>
      </c>
      <c r="X766"/>
      <c r="Y766" s="1">
        <v>0</v>
      </c>
      <c r="Z766" s="24">
        <v>-1</v>
      </c>
      <c r="AA766"/>
      <c r="AB766" s="1">
        <v>0</v>
      </c>
      <c r="AC766" s="24">
        <v>-1</v>
      </c>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c r="CA766"/>
      <c r="CB766"/>
      <c r="CC766"/>
      <c r="CD766"/>
      <c r="CE766"/>
      <c r="CF766"/>
      <c r="CG766"/>
      <c r="CH766"/>
      <c r="CI766"/>
      <c r="CJ766"/>
      <c r="CK766"/>
      <c r="CL766"/>
      <c r="CM766"/>
      <c r="CN766"/>
      <c r="CO766"/>
      <c r="CP766"/>
      <c r="CQ766"/>
      <c r="CR766"/>
      <c r="CS766"/>
    </row>
    <row r="767" spans="2:97">
      <c r="B767"/>
      <c r="C767" s="15"/>
      <c r="D767" s="23"/>
      <c r="E767" s="23"/>
      <c r="F767" s="23"/>
      <c r="G767" s="23">
        <f t="shared" si="53"/>
        <v>0</v>
      </c>
      <c r="H767" s="23" t="e" cm="1">
        <f t="array" ref="H767">INDEX('GLOBAL LOG'!#REF!,ROW()-169+15)</f>
        <v>#REF!</v>
      </c>
      <c r="I767" s="23" t="e">
        <f>_xlfn.XLOOKUP(H767,#REF!,#REF!,"",0,1)</f>
        <v>#REF!</v>
      </c>
      <c r="J767" s="23" t="str">
        <f>IFERROR(I767*#REF!,"")</f>
        <v/>
      </c>
      <c r="K767" s="23" t="e" cm="1">
        <f t="array" ref="K767">INDEX('GLOBAL LOG'!#REF!,ROW()-169+15)</f>
        <v>#REF!</v>
      </c>
      <c r="L767" s="23" t="e">
        <f>_xlfn.XLOOKUP(K767,#REF!,#REF!,"",0,1)</f>
        <v>#REF!</v>
      </c>
      <c r="M767" s="23" t="str">
        <f>IFERROR(L767*#REF!,"")</f>
        <v/>
      </c>
      <c r="N767" s="23">
        <f t="shared" si="54"/>
        <v>-1</v>
      </c>
      <c r="O767" s="23">
        <f t="shared" si="55"/>
        <v>-1</v>
      </c>
      <c r="P767" s="23">
        <f t="shared" si="56"/>
        <v>-1</v>
      </c>
      <c r="Q767" s="24">
        <f t="shared" si="57"/>
        <v>-1</v>
      </c>
      <c r="R767" s="3"/>
      <c r="S767" s="1">
        <v>0</v>
      </c>
      <c r="T767" s="24">
        <v>-1</v>
      </c>
      <c r="U767"/>
      <c r="V767" s="1">
        <v>0</v>
      </c>
      <c r="W767" s="24">
        <v>-1</v>
      </c>
      <c r="X767"/>
      <c r="Y767" s="1">
        <v>0</v>
      </c>
      <c r="Z767" s="24">
        <v>-1</v>
      </c>
      <c r="AA767"/>
      <c r="AB767" s="1">
        <v>0</v>
      </c>
      <c r="AC767" s="24">
        <v>-1</v>
      </c>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c r="CA767"/>
      <c r="CB767"/>
      <c r="CC767"/>
      <c r="CD767"/>
      <c r="CE767"/>
      <c r="CF767"/>
      <c r="CG767"/>
      <c r="CH767"/>
      <c r="CI767"/>
      <c r="CJ767"/>
      <c r="CK767"/>
      <c r="CL767"/>
      <c r="CM767"/>
      <c r="CN767"/>
      <c r="CO767"/>
      <c r="CP767"/>
      <c r="CQ767"/>
      <c r="CR767"/>
      <c r="CS767"/>
    </row>
    <row r="768" spans="2:97">
      <c r="B768"/>
      <c r="C768" s="15"/>
      <c r="D768" s="23"/>
      <c r="E768" s="23"/>
      <c r="F768" s="23"/>
      <c r="G768" s="23">
        <f t="shared" si="53"/>
        <v>0</v>
      </c>
      <c r="H768" s="23" t="e" cm="1">
        <f t="array" ref="H768">INDEX('GLOBAL LOG'!#REF!,ROW()-169+15)</f>
        <v>#REF!</v>
      </c>
      <c r="I768" s="23" t="e">
        <f>_xlfn.XLOOKUP(H768,#REF!,#REF!,"",0,1)</f>
        <v>#REF!</v>
      </c>
      <c r="J768" s="23" t="str">
        <f>IFERROR(I768*#REF!,"")</f>
        <v/>
      </c>
      <c r="K768" s="23" t="e" cm="1">
        <f t="array" ref="K768">INDEX('GLOBAL LOG'!#REF!,ROW()-169+15)</f>
        <v>#REF!</v>
      </c>
      <c r="L768" s="23" t="e">
        <f>_xlfn.XLOOKUP(K768,#REF!,#REF!,"",0,1)</f>
        <v>#REF!</v>
      </c>
      <c r="M768" s="23" t="str">
        <f>IFERROR(L768*#REF!,"")</f>
        <v/>
      </c>
      <c r="N768" s="23">
        <f t="shared" si="54"/>
        <v>-1</v>
      </c>
      <c r="O768" s="23">
        <f t="shared" si="55"/>
        <v>-1</v>
      </c>
      <c r="P768" s="23">
        <f t="shared" si="56"/>
        <v>-1</v>
      </c>
      <c r="Q768" s="24">
        <f t="shared" si="57"/>
        <v>-1</v>
      </c>
      <c r="R768" s="3"/>
      <c r="S768" s="1">
        <v>0</v>
      </c>
      <c r="T768" s="24">
        <v>-1</v>
      </c>
      <c r="U768"/>
      <c r="V768" s="1">
        <v>0</v>
      </c>
      <c r="W768" s="24">
        <v>-1</v>
      </c>
      <c r="X768"/>
      <c r="Y768" s="1">
        <v>0</v>
      </c>
      <c r="Z768" s="24">
        <v>-1</v>
      </c>
      <c r="AA768"/>
      <c r="AB768" s="1">
        <v>0</v>
      </c>
      <c r="AC768" s="24">
        <v>-1</v>
      </c>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c r="CA768"/>
      <c r="CB768"/>
      <c r="CC768"/>
      <c r="CD768"/>
      <c r="CE768"/>
      <c r="CF768"/>
      <c r="CG768"/>
      <c r="CH768"/>
      <c r="CI768"/>
      <c r="CJ768"/>
      <c r="CK768"/>
      <c r="CL768"/>
      <c r="CM768"/>
      <c r="CN768"/>
      <c r="CO768"/>
      <c r="CP768"/>
      <c r="CQ768"/>
      <c r="CR768"/>
      <c r="CS768"/>
    </row>
    <row r="769" spans="2:97">
      <c r="B769"/>
      <c r="C769" s="15"/>
      <c r="D769" s="23"/>
      <c r="E769" s="23"/>
      <c r="F769" s="23"/>
      <c r="G769" s="23">
        <f t="shared" si="53"/>
        <v>0</v>
      </c>
      <c r="H769" s="23" t="e" cm="1">
        <f t="array" ref="H769">INDEX('GLOBAL LOG'!#REF!,ROW()-169+15)</f>
        <v>#REF!</v>
      </c>
      <c r="I769" s="23" t="e">
        <f>_xlfn.XLOOKUP(H769,#REF!,#REF!,"",0,1)</f>
        <v>#REF!</v>
      </c>
      <c r="J769" s="23" t="str">
        <f>IFERROR(I769*#REF!,"")</f>
        <v/>
      </c>
      <c r="K769" s="23" t="e" cm="1">
        <f t="array" ref="K769">INDEX('GLOBAL LOG'!#REF!,ROW()-169+15)</f>
        <v>#REF!</v>
      </c>
      <c r="L769" s="23" t="e">
        <f>_xlfn.XLOOKUP(K769,#REF!,#REF!,"",0,1)</f>
        <v>#REF!</v>
      </c>
      <c r="M769" s="23" t="str">
        <f>IFERROR(L769*#REF!,"")</f>
        <v/>
      </c>
      <c r="N769" s="23">
        <f t="shared" si="54"/>
        <v>-1</v>
      </c>
      <c r="O769" s="23">
        <f t="shared" si="55"/>
        <v>-1</v>
      </c>
      <c r="P769" s="23">
        <f t="shared" si="56"/>
        <v>-1</v>
      </c>
      <c r="Q769" s="24">
        <f t="shared" si="57"/>
        <v>-1</v>
      </c>
      <c r="R769" s="3"/>
      <c r="S769" s="1">
        <v>0</v>
      </c>
      <c r="T769" s="24">
        <v>-1</v>
      </c>
      <c r="U769"/>
      <c r="V769" s="1">
        <v>0</v>
      </c>
      <c r="W769" s="24">
        <v>-1</v>
      </c>
      <c r="X769"/>
      <c r="Y769" s="1">
        <v>0</v>
      </c>
      <c r="Z769" s="24">
        <v>-1</v>
      </c>
      <c r="AA769"/>
      <c r="AB769" s="1">
        <v>0</v>
      </c>
      <c r="AC769" s="24">
        <v>-1</v>
      </c>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c r="CA769"/>
      <c r="CB769"/>
      <c r="CC769"/>
      <c r="CD769"/>
      <c r="CE769"/>
      <c r="CF769"/>
      <c r="CG769"/>
      <c r="CH769"/>
      <c r="CI769"/>
      <c r="CJ769"/>
      <c r="CK769"/>
      <c r="CL769"/>
      <c r="CM769"/>
      <c r="CN769"/>
      <c r="CO769"/>
      <c r="CP769"/>
      <c r="CQ769"/>
      <c r="CR769"/>
      <c r="CS769"/>
    </row>
    <row r="770" spans="2:97">
      <c r="B770"/>
      <c r="C770" s="15"/>
      <c r="D770" s="23"/>
      <c r="E770" s="23"/>
      <c r="F770" s="23"/>
      <c r="G770" s="23">
        <f t="shared" si="53"/>
        <v>0</v>
      </c>
      <c r="H770" s="23" t="e" cm="1">
        <f t="array" ref="H770">INDEX('GLOBAL LOG'!#REF!,ROW()-169+15)</f>
        <v>#REF!</v>
      </c>
      <c r="I770" s="23" t="e">
        <f>_xlfn.XLOOKUP(H770,#REF!,#REF!,"",0,1)</f>
        <v>#REF!</v>
      </c>
      <c r="J770" s="23" t="str">
        <f>IFERROR(I770*#REF!,"")</f>
        <v/>
      </c>
      <c r="K770" s="23" t="e" cm="1">
        <f t="array" ref="K770">INDEX('GLOBAL LOG'!#REF!,ROW()-169+15)</f>
        <v>#REF!</v>
      </c>
      <c r="L770" s="23" t="e">
        <f>_xlfn.XLOOKUP(K770,#REF!,#REF!,"",0,1)</f>
        <v>#REF!</v>
      </c>
      <c r="M770" s="23" t="str">
        <f>IFERROR(L770*#REF!,"")</f>
        <v/>
      </c>
      <c r="N770" s="23">
        <f t="shared" si="54"/>
        <v>-1</v>
      </c>
      <c r="O770" s="23">
        <f t="shared" si="55"/>
        <v>-1</v>
      </c>
      <c r="P770" s="23">
        <f t="shared" si="56"/>
        <v>-1</v>
      </c>
      <c r="Q770" s="24">
        <f t="shared" si="57"/>
        <v>-1</v>
      </c>
      <c r="R770" s="3"/>
      <c r="S770" s="1">
        <v>0</v>
      </c>
      <c r="T770" s="24">
        <v>-1</v>
      </c>
      <c r="U770"/>
      <c r="V770" s="1">
        <v>0</v>
      </c>
      <c r="W770" s="24">
        <v>-1</v>
      </c>
      <c r="X770"/>
      <c r="Y770" s="1">
        <v>0</v>
      </c>
      <c r="Z770" s="24">
        <v>-1</v>
      </c>
      <c r="AA770"/>
      <c r="AB770" s="1">
        <v>0</v>
      </c>
      <c r="AC770" s="24">
        <v>-1</v>
      </c>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c r="CA770"/>
      <c r="CB770"/>
      <c r="CC770"/>
      <c r="CD770"/>
      <c r="CE770"/>
      <c r="CF770"/>
      <c r="CG770"/>
      <c r="CH770"/>
      <c r="CI770"/>
      <c r="CJ770"/>
      <c r="CK770"/>
      <c r="CL770"/>
      <c r="CM770"/>
      <c r="CN770"/>
      <c r="CO770"/>
      <c r="CP770"/>
      <c r="CQ770"/>
      <c r="CR770"/>
      <c r="CS770"/>
    </row>
    <row r="771" spans="2:97">
      <c r="B771"/>
      <c r="C771" s="15"/>
      <c r="D771" s="23"/>
      <c r="E771" s="23"/>
      <c r="F771" s="23"/>
      <c r="G771" s="23">
        <f t="shared" si="53"/>
        <v>0</v>
      </c>
      <c r="H771" s="23" t="e" cm="1">
        <f t="array" ref="H771">INDEX('GLOBAL LOG'!#REF!,ROW()-169+15)</f>
        <v>#REF!</v>
      </c>
      <c r="I771" s="23" t="e">
        <f>_xlfn.XLOOKUP(H771,#REF!,#REF!,"",0,1)</f>
        <v>#REF!</v>
      </c>
      <c r="J771" s="23" t="str">
        <f>IFERROR(I771*#REF!,"")</f>
        <v/>
      </c>
      <c r="K771" s="23" t="e" cm="1">
        <f t="array" ref="K771">INDEX('GLOBAL LOG'!#REF!,ROW()-169+15)</f>
        <v>#REF!</v>
      </c>
      <c r="L771" s="23" t="e">
        <f>_xlfn.XLOOKUP(K771,#REF!,#REF!,"",0,1)</f>
        <v>#REF!</v>
      </c>
      <c r="M771" s="23" t="str">
        <f>IFERROR(L771*#REF!,"")</f>
        <v/>
      </c>
      <c r="N771" s="23">
        <f t="shared" si="54"/>
        <v>-1</v>
      </c>
      <c r="O771" s="23">
        <f t="shared" si="55"/>
        <v>-1</v>
      </c>
      <c r="P771" s="23">
        <f t="shared" si="56"/>
        <v>-1</v>
      </c>
      <c r="Q771" s="24">
        <f t="shared" si="57"/>
        <v>-1</v>
      </c>
      <c r="R771" s="3"/>
      <c r="S771" s="1">
        <v>0</v>
      </c>
      <c r="T771" s="24">
        <v>-1</v>
      </c>
      <c r="U771"/>
      <c r="V771" s="1">
        <v>0</v>
      </c>
      <c r="W771" s="24">
        <v>-1</v>
      </c>
      <c r="X771"/>
      <c r="Y771" s="1">
        <v>0</v>
      </c>
      <c r="Z771" s="24">
        <v>-1</v>
      </c>
      <c r="AA771"/>
      <c r="AB771" s="1">
        <v>0</v>
      </c>
      <c r="AC771" s="24">
        <v>-1</v>
      </c>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c r="CA771"/>
      <c r="CB771"/>
      <c r="CC771"/>
      <c r="CD771"/>
      <c r="CE771"/>
      <c r="CF771"/>
      <c r="CG771"/>
      <c r="CH771"/>
      <c r="CI771"/>
      <c r="CJ771"/>
      <c r="CK771"/>
      <c r="CL771"/>
      <c r="CM771"/>
      <c r="CN771"/>
      <c r="CO771"/>
      <c r="CP771"/>
      <c r="CQ771"/>
      <c r="CR771"/>
      <c r="CS771"/>
    </row>
    <row r="772" spans="2:97">
      <c r="B772"/>
      <c r="C772" s="15"/>
      <c r="D772" s="23"/>
      <c r="E772" s="23"/>
      <c r="F772" s="23"/>
      <c r="G772" s="23">
        <f t="shared" si="53"/>
        <v>0</v>
      </c>
      <c r="H772" s="23" t="e" cm="1">
        <f t="array" ref="H772">INDEX('GLOBAL LOG'!#REF!,ROW()-169+15)</f>
        <v>#REF!</v>
      </c>
      <c r="I772" s="23" t="e">
        <f>_xlfn.XLOOKUP(H772,#REF!,#REF!,"",0,1)</f>
        <v>#REF!</v>
      </c>
      <c r="J772" s="23" t="str">
        <f>IFERROR(I772*#REF!,"")</f>
        <v/>
      </c>
      <c r="K772" s="23" t="e" cm="1">
        <f t="array" ref="K772">INDEX('GLOBAL LOG'!#REF!,ROW()-169+15)</f>
        <v>#REF!</v>
      </c>
      <c r="L772" s="23" t="e">
        <f>_xlfn.XLOOKUP(K772,#REF!,#REF!,"",0,1)</f>
        <v>#REF!</v>
      </c>
      <c r="M772" s="23" t="str">
        <f>IFERROR(L772*#REF!,"")</f>
        <v/>
      </c>
      <c r="N772" s="23">
        <f t="shared" si="54"/>
        <v>-1</v>
      </c>
      <c r="O772" s="23">
        <f t="shared" si="55"/>
        <v>-1</v>
      </c>
      <c r="P772" s="23">
        <f t="shared" si="56"/>
        <v>-1</v>
      </c>
      <c r="Q772" s="24">
        <f t="shared" si="57"/>
        <v>-1</v>
      </c>
      <c r="R772" s="3"/>
      <c r="S772" s="1">
        <v>0</v>
      </c>
      <c r="T772" s="24">
        <v>-1</v>
      </c>
      <c r="U772"/>
      <c r="V772" s="1">
        <v>0</v>
      </c>
      <c r="W772" s="24">
        <v>-1</v>
      </c>
      <c r="X772"/>
      <c r="Y772" s="1">
        <v>0</v>
      </c>
      <c r="Z772" s="24">
        <v>-1</v>
      </c>
      <c r="AA772"/>
      <c r="AB772" s="1">
        <v>0</v>
      </c>
      <c r="AC772" s="24">
        <v>-1</v>
      </c>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c r="CA772"/>
      <c r="CB772"/>
      <c r="CC772"/>
      <c r="CD772"/>
      <c r="CE772"/>
      <c r="CF772"/>
      <c r="CG772"/>
      <c r="CH772"/>
      <c r="CI772"/>
      <c r="CJ772"/>
      <c r="CK772"/>
      <c r="CL772"/>
      <c r="CM772"/>
      <c r="CN772"/>
      <c r="CO772"/>
      <c r="CP772"/>
      <c r="CQ772"/>
      <c r="CR772"/>
      <c r="CS772"/>
    </row>
    <row r="773" spans="2:97">
      <c r="B773"/>
      <c r="C773" s="15"/>
      <c r="D773" s="23"/>
      <c r="E773" s="23"/>
      <c r="F773" s="23"/>
      <c r="G773" s="23">
        <f t="shared" si="53"/>
        <v>0</v>
      </c>
      <c r="H773" s="23" t="e" cm="1">
        <f t="array" ref="H773">INDEX('GLOBAL LOG'!#REF!,ROW()-169+15)</f>
        <v>#REF!</v>
      </c>
      <c r="I773" s="23" t="e">
        <f>_xlfn.XLOOKUP(H773,#REF!,#REF!,"",0,1)</f>
        <v>#REF!</v>
      </c>
      <c r="J773" s="23" t="str">
        <f>IFERROR(I773*#REF!,"")</f>
        <v/>
      </c>
      <c r="K773" s="23" t="e" cm="1">
        <f t="array" ref="K773">INDEX('GLOBAL LOG'!#REF!,ROW()-169+15)</f>
        <v>#REF!</v>
      </c>
      <c r="L773" s="23" t="e">
        <f>_xlfn.XLOOKUP(K773,#REF!,#REF!,"",0,1)</f>
        <v>#REF!</v>
      </c>
      <c r="M773" s="23" t="str">
        <f>IFERROR(L773*#REF!,"")</f>
        <v/>
      </c>
      <c r="N773" s="23">
        <f t="shared" si="54"/>
        <v>-1</v>
      </c>
      <c r="O773" s="23">
        <f t="shared" si="55"/>
        <v>-1</v>
      </c>
      <c r="P773" s="23">
        <f t="shared" si="56"/>
        <v>-1</v>
      </c>
      <c r="Q773" s="24">
        <f t="shared" si="57"/>
        <v>-1</v>
      </c>
      <c r="R773" s="3"/>
      <c r="S773" s="1">
        <v>0</v>
      </c>
      <c r="T773" s="24">
        <v>-1</v>
      </c>
      <c r="U773"/>
      <c r="V773" s="1">
        <v>0</v>
      </c>
      <c r="W773" s="24">
        <v>-1</v>
      </c>
      <c r="X773"/>
      <c r="Y773" s="1">
        <v>0</v>
      </c>
      <c r="Z773" s="24">
        <v>-1</v>
      </c>
      <c r="AA773"/>
      <c r="AB773" s="1">
        <v>0</v>
      </c>
      <c r="AC773" s="24">
        <v>-1</v>
      </c>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c r="CC773"/>
      <c r="CD773"/>
      <c r="CE773"/>
      <c r="CF773"/>
      <c r="CG773"/>
      <c r="CH773"/>
      <c r="CI773"/>
      <c r="CJ773"/>
      <c r="CK773"/>
      <c r="CL773"/>
      <c r="CM773"/>
      <c r="CN773"/>
      <c r="CO773"/>
      <c r="CP773"/>
      <c r="CQ773"/>
      <c r="CR773"/>
      <c r="CS773"/>
    </row>
    <row r="774" spans="2:97">
      <c r="B774"/>
      <c r="C774" s="15"/>
      <c r="D774" s="23"/>
      <c r="E774" s="23"/>
      <c r="F774" s="23"/>
      <c r="G774" s="23">
        <f t="shared" si="53"/>
        <v>0</v>
      </c>
      <c r="H774" s="23" t="e" cm="1">
        <f t="array" ref="H774">INDEX('GLOBAL LOG'!#REF!,ROW()-169+15)</f>
        <v>#REF!</v>
      </c>
      <c r="I774" s="23" t="e">
        <f>_xlfn.XLOOKUP(H774,#REF!,#REF!,"",0,1)</f>
        <v>#REF!</v>
      </c>
      <c r="J774" s="23" t="str">
        <f>IFERROR(I774*#REF!,"")</f>
        <v/>
      </c>
      <c r="K774" s="23" t="e" cm="1">
        <f t="array" ref="K774">INDEX('GLOBAL LOG'!#REF!,ROW()-169+15)</f>
        <v>#REF!</v>
      </c>
      <c r="L774" s="23" t="e">
        <f>_xlfn.XLOOKUP(K774,#REF!,#REF!,"",0,1)</f>
        <v>#REF!</v>
      </c>
      <c r="M774" s="23" t="str">
        <f>IFERROR(L774*#REF!,"")</f>
        <v/>
      </c>
      <c r="N774" s="23">
        <f t="shared" si="54"/>
        <v>-1</v>
      </c>
      <c r="O774" s="23">
        <f t="shared" si="55"/>
        <v>-1</v>
      </c>
      <c r="P774" s="23">
        <f t="shared" si="56"/>
        <v>-1</v>
      </c>
      <c r="Q774" s="24">
        <f t="shared" si="57"/>
        <v>-1</v>
      </c>
      <c r="R774" s="3"/>
      <c r="S774" s="1">
        <v>0</v>
      </c>
      <c r="T774" s="24">
        <v>-1</v>
      </c>
      <c r="U774"/>
      <c r="V774" s="1">
        <v>0</v>
      </c>
      <c r="W774" s="24">
        <v>-1</v>
      </c>
      <c r="X774"/>
      <c r="Y774" s="1">
        <v>0</v>
      </c>
      <c r="Z774" s="24">
        <v>-1</v>
      </c>
      <c r="AA774"/>
      <c r="AB774" s="1">
        <v>0</v>
      </c>
      <c r="AC774" s="24">
        <v>-1</v>
      </c>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c r="CA774"/>
      <c r="CB774"/>
      <c r="CC774"/>
      <c r="CD774"/>
      <c r="CE774"/>
      <c r="CF774"/>
      <c r="CG774"/>
      <c r="CH774"/>
      <c r="CI774"/>
      <c r="CJ774"/>
      <c r="CK774"/>
      <c r="CL774"/>
      <c r="CM774"/>
      <c r="CN774"/>
      <c r="CO774"/>
      <c r="CP774"/>
      <c r="CQ774"/>
      <c r="CR774"/>
      <c r="CS774"/>
    </row>
    <row r="775" spans="2:97">
      <c r="B775"/>
      <c r="C775" s="15"/>
      <c r="D775" s="23"/>
      <c r="E775" s="23"/>
      <c r="F775" s="23"/>
      <c r="G775" s="23">
        <f t="shared" si="53"/>
        <v>0</v>
      </c>
      <c r="H775" s="23" t="e" cm="1">
        <f t="array" ref="H775">INDEX('GLOBAL LOG'!#REF!,ROW()-169+15)</f>
        <v>#REF!</v>
      </c>
      <c r="I775" s="23" t="e">
        <f>_xlfn.XLOOKUP(H775,#REF!,#REF!,"",0,1)</f>
        <v>#REF!</v>
      </c>
      <c r="J775" s="23" t="str">
        <f>IFERROR(I775*#REF!,"")</f>
        <v/>
      </c>
      <c r="K775" s="23" t="e" cm="1">
        <f t="array" ref="K775">INDEX('GLOBAL LOG'!#REF!,ROW()-169+15)</f>
        <v>#REF!</v>
      </c>
      <c r="L775" s="23" t="e">
        <f>_xlfn.XLOOKUP(K775,#REF!,#REF!,"",0,1)</f>
        <v>#REF!</v>
      </c>
      <c r="M775" s="23" t="str">
        <f>IFERROR(L775*#REF!,"")</f>
        <v/>
      </c>
      <c r="N775" s="23">
        <f t="shared" si="54"/>
        <v>-1</v>
      </c>
      <c r="O775" s="23">
        <f t="shared" si="55"/>
        <v>-1</v>
      </c>
      <c r="P775" s="23">
        <f t="shared" si="56"/>
        <v>-1</v>
      </c>
      <c r="Q775" s="24">
        <f t="shared" si="57"/>
        <v>-1</v>
      </c>
      <c r="R775" s="3"/>
      <c r="S775" s="1">
        <v>0</v>
      </c>
      <c r="T775" s="24">
        <v>-1</v>
      </c>
      <c r="U775"/>
      <c r="V775" s="1">
        <v>0</v>
      </c>
      <c r="W775" s="24">
        <v>-1</v>
      </c>
      <c r="X775"/>
      <c r="Y775" s="1">
        <v>0</v>
      </c>
      <c r="Z775" s="24">
        <v>-1</v>
      </c>
      <c r="AA775"/>
      <c r="AB775" s="1">
        <v>0</v>
      </c>
      <c r="AC775" s="24">
        <v>-1</v>
      </c>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c r="CA775"/>
      <c r="CB775"/>
      <c r="CC775"/>
      <c r="CD775"/>
      <c r="CE775"/>
      <c r="CF775"/>
      <c r="CG775"/>
      <c r="CH775"/>
      <c r="CI775"/>
      <c r="CJ775"/>
      <c r="CK775"/>
      <c r="CL775"/>
      <c r="CM775"/>
      <c r="CN775"/>
      <c r="CO775"/>
      <c r="CP775"/>
      <c r="CQ775"/>
      <c r="CR775"/>
      <c r="CS775"/>
    </row>
    <row r="776" spans="2:97">
      <c r="B776"/>
      <c r="C776" s="15"/>
      <c r="D776" s="23"/>
      <c r="E776" s="23"/>
      <c r="F776" s="23"/>
      <c r="G776" s="23">
        <f t="shared" si="53"/>
        <v>0</v>
      </c>
      <c r="H776" s="23" t="e" cm="1">
        <f t="array" ref="H776">INDEX('GLOBAL LOG'!#REF!,ROW()-169+15)</f>
        <v>#REF!</v>
      </c>
      <c r="I776" s="23" t="e">
        <f>_xlfn.XLOOKUP(H776,#REF!,#REF!,"",0,1)</f>
        <v>#REF!</v>
      </c>
      <c r="J776" s="23" t="str">
        <f>IFERROR(I776*#REF!,"")</f>
        <v/>
      </c>
      <c r="K776" s="23" t="e" cm="1">
        <f t="array" ref="K776">INDEX('GLOBAL LOG'!#REF!,ROW()-169+15)</f>
        <v>#REF!</v>
      </c>
      <c r="L776" s="23" t="e">
        <f>_xlfn.XLOOKUP(K776,#REF!,#REF!,"",0,1)</f>
        <v>#REF!</v>
      </c>
      <c r="M776" s="23" t="str">
        <f>IFERROR(L776*#REF!,"")</f>
        <v/>
      </c>
      <c r="N776" s="23">
        <f t="shared" si="54"/>
        <v>-1</v>
      </c>
      <c r="O776" s="23">
        <f t="shared" si="55"/>
        <v>-1</v>
      </c>
      <c r="P776" s="23">
        <f t="shared" si="56"/>
        <v>-1</v>
      </c>
      <c r="Q776" s="24">
        <f t="shared" si="57"/>
        <v>-1</v>
      </c>
      <c r="R776" s="3"/>
      <c r="S776" s="1">
        <v>0</v>
      </c>
      <c r="T776" s="24">
        <v>-1</v>
      </c>
      <c r="U776"/>
      <c r="V776" s="1">
        <v>0</v>
      </c>
      <c r="W776" s="24">
        <v>-1</v>
      </c>
      <c r="X776"/>
      <c r="Y776" s="1">
        <v>0</v>
      </c>
      <c r="Z776" s="24">
        <v>-1</v>
      </c>
      <c r="AA776"/>
      <c r="AB776" s="1">
        <v>0</v>
      </c>
      <c r="AC776" s="24">
        <v>-1</v>
      </c>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c r="CA776"/>
      <c r="CB776"/>
      <c r="CC776"/>
      <c r="CD776"/>
      <c r="CE776"/>
      <c r="CF776"/>
      <c r="CG776"/>
      <c r="CH776"/>
      <c r="CI776"/>
      <c r="CJ776"/>
      <c r="CK776"/>
      <c r="CL776"/>
      <c r="CM776"/>
      <c r="CN776"/>
      <c r="CO776"/>
      <c r="CP776"/>
      <c r="CQ776"/>
      <c r="CR776"/>
      <c r="CS776"/>
    </row>
    <row r="777" spans="2:97">
      <c r="B777"/>
      <c r="C777" s="15"/>
      <c r="D777" s="23"/>
      <c r="E777" s="23"/>
      <c r="F777" s="23"/>
      <c r="G777" s="23">
        <f t="shared" si="53"/>
        <v>0</v>
      </c>
      <c r="H777" s="23" t="e" cm="1">
        <f t="array" ref="H777">INDEX('GLOBAL LOG'!#REF!,ROW()-169+15)</f>
        <v>#REF!</v>
      </c>
      <c r="I777" s="23" t="e">
        <f>_xlfn.XLOOKUP(H777,#REF!,#REF!,"",0,1)</f>
        <v>#REF!</v>
      </c>
      <c r="J777" s="23" t="str">
        <f>IFERROR(I777*#REF!,"")</f>
        <v/>
      </c>
      <c r="K777" s="23" t="e" cm="1">
        <f t="array" ref="K777">INDEX('GLOBAL LOG'!#REF!,ROW()-169+15)</f>
        <v>#REF!</v>
      </c>
      <c r="L777" s="23" t="e">
        <f>_xlfn.XLOOKUP(K777,#REF!,#REF!,"",0,1)</f>
        <v>#REF!</v>
      </c>
      <c r="M777" s="23" t="str">
        <f>IFERROR(L777*#REF!,"")</f>
        <v/>
      </c>
      <c r="N777" s="23">
        <f t="shared" si="54"/>
        <v>-1</v>
      </c>
      <c r="O777" s="23">
        <f t="shared" si="55"/>
        <v>-1</v>
      </c>
      <c r="P777" s="23">
        <f t="shared" si="56"/>
        <v>-1</v>
      </c>
      <c r="Q777" s="24">
        <f t="shared" si="57"/>
        <v>-1</v>
      </c>
      <c r="R777" s="3"/>
      <c r="S777" s="1">
        <v>0</v>
      </c>
      <c r="T777" s="24">
        <v>-1</v>
      </c>
      <c r="U777"/>
      <c r="V777" s="1">
        <v>0</v>
      </c>
      <c r="W777" s="24">
        <v>-1</v>
      </c>
      <c r="X777"/>
      <c r="Y777" s="1">
        <v>0</v>
      </c>
      <c r="Z777" s="24">
        <v>-1</v>
      </c>
      <c r="AA777"/>
      <c r="AB777" s="1">
        <v>0</v>
      </c>
      <c r="AC777" s="24">
        <v>-1</v>
      </c>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c r="CC777"/>
      <c r="CD777"/>
      <c r="CE777"/>
      <c r="CF777"/>
      <c r="CG777"/>
      <c r="CH777"/>
      <c r="CI777"/>
      <c r="CJ777"/>
      <c r="CK777"/>
      <c r="CL777"/>
      <c r="CM777"/>
      <c r="CN777"/>
      <c r="CO777"/>
      <c r="CP777"/>
      <c r="CQ777"/>
      <c r="CR777"/>
      <c r="CS777"/>
    </row>
    <row r="778" spans="2:97">
      <c r="B778"/>
      <c r="C778" s="15"/>
      <c r="D778" s="23"/>
      <c r="E778" s="23"/>
      <c r="F778" s="23"/>
      <c r="G778" s="23">
        <f t="shared" si="53"/>
        <v>0</v>
      </c>
      <c r="H778" s="23" t="e" cm="1">
        <f t="array" ref="H778">INDEX('GLOBAL LOG'!#REF!,ROW()-169+15)</f>
        <v>#REF!</v>
      </c>
      <c r="I778" s="23" t="e">
        <f>_xlfn.XLOOKUP(H778,#REF!,#REF!,"",0,1)</f>
        <v>#REF!</v>
      </c>
      <c r="J778" s="23" t="str">
        <f>IFERROR(I778*#REF!,"")</f>
        <v/>
      </c>
      <c r="K778" s="23" t="e" cm="1">
        <f t="array" ref="K778">INDEX('GLOBAL LOG'!#REF!,ROW()-169+15)</f>
        <v>#REF!</v>
      </c>
      <c r="L778" s="23" t="e">
        <f>_xlfn.XLOOKUP(K778,#REF!,#REF!,"",0,1)</f>
        <v>#REF!</v>
      </c>
      <c r="M778" s="23" t="str">
        <f>IFERROR(L778*#REF!,"")</f>
        <v/>
      </c>
      <c r="N778" s="23">
        <f t="shared" si="54"/>
        <v>-1</v>
      </c>
      <c r="O778" s="23">
        <f t="shared" si="55"/>
        <v>-1</v>
      </c>
      <c r="P778" s="23">
        <f t="shared" si="56"/>
        <v>-1</v>
      </c>
      <c r="Q778" s="24">
        <f t="shared" si="57"/>
        <v>-1</v>
      </c>
      <c r="R778" s="3"/>
      <c r="S778" s="1">
        <v>0</v>
      </c>
      <c r="T778" s="24">
        <v>-1</v>
      </c>
      <c r="U778"/>
      <c r="V778" s="1">
        <v>0</v>
      </c>
      <c r="W778" s="24">
        <v>-1</v>
      </c>
      <c r="X778"/>
      <c r="Y778" s="1">
        <v>0</v>
      </c>
      <c r="Z778" s="24">
        <v>-1</v>
      </c>
      <c r="AA778"/>
      <c r="AB778" s="1">
        <v>0</v>
      </c>
      <c r="AC778" s="24">
        <v>-1</v>
      </c>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c r="CA778"/>
      <c r="CB778"/>
      <c r="CC778"/>
      <c r="CD778"/>
      <c r="CE778"/>
      <c r="CF778"/>
      <c r="CG778"/>
      <c r="CH778"/>
      <c r="CI778"/>
      <c r="CJ778"/>
      <c r="CK778"/>
      <c r="CL778"/>
      <c r="CM778"/>
      <c r="CN778"/>
      <c r="CO778"/>
      <c r="CP778"/>
      <c r="CQ778"/>
      <c r="CR778"/>
      <c r="CS778"/>
    </row>
    <row r="779" spans="2:97">
      <c r="B779"/>
      <c r="C779" s="15"/>
      <c r="D779" s="23"/>
      <c r="E779" s="23"/>
      <c r="F779" s="23"/>
      <c r="G779" s="23">
        <f t="shared" si="53"/>
        <v>0</v>
      </c>
      <c r="H779" s="23" t="e" cm="1">
        <f t="array" ref="H779">INDEX('GLOBAL LOG'!#REF!,ROW()-169+15)</f>
        <v>#REF!</v>
      </c>
      <c r="I779" s="23" t="e">
        <f>_xlfn.XLOOKUP(H779,#REF!,#REF!,"",0,1)</f>
        <v>#REF!</v>
      </c>
      <c r="J779" s="23" t="str">
        <f>IFERROR(I779*#REF!,"")</f>
        <v/>
      </c>
      <c r="K779" s="23" t="e" cm="1">
        <f t="array" ref="K779">INDEX('GLOBAL LOG'!#REF!,ROW()-169+15)</f>
        <v>#REF!</v>
      </c>
      <c r="L779" s="23" t="e">
        <f>_xlfn.XLOOKUP(K779,#REF!,#REF!,"",0,1)</f>
        <v>#REF!</v>
      </c>
      <c r="M779" s="23" t="str">
        <f>IFERROR(L779*#REF!,"")</f>
        <v/>
      </c>
      <c r="N779" s="23">
        <f t="shared" si="54"/>
        <v>-1</v>
      </c>
      <c r="O779" s="23">
        <f t="shared" si="55"/>
        <v>-1</v>
      </c>
      <c r="P779" s="23">
        <f t="shared" si="56"/>
        <v>-1</v>
      </c>
      <c r="Q779" s="24">
        <f t="shared" si="57"/>
        <v>-1</v>
      </c>
      <c r="R779" s="3"/>
      <c r="S779" s="1">
        <v>0</v>
      </c>
      <c r="T779" s="24">
        <v>-1</v>
      </c>
      <c r="U779"/>
      <c r="V779" s="1">
        <v>0</v>
      </c>
      <c r="W779" s="24">
        <v>-1</v>
      </c>
      <c r="X779"/>
      <c r="Y779" s="1">
        <v>0</v>
      </c>
      <c r="Z779" s="24">
        <v>-1</v>
      </c>
      <c r="AA779"/>
      <c r="AB779" s="1">
        <v>0</v>
      </c>
      <c r="AC779" s="24">
        <v>-1</v>
      </c>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c r="CA779"/>
      <c r="CB779"/>
      <c r="CC779"/>
      <c r="CD779"/>
      <c r="CE779"/>
      <c r="CF779"/>
      <c r="CG779"/>
      <c r="CH779"/>
      <c r="CI779"/>
      <c r="CJ779"/>
      <c r="CK779"/>
      <c r="CL779"/>
      <c r="CM779"/>
      <c r="CN779"/>
      <c r="CO779"/>
      <c r="CP779"/>
      <c r="CQ779"/>
      <c r="CR779"/>
      <c r="CS779"/>
    </row>
    <row r="780" spans="2:97">
      <c r="B780"/>
      <c r="C780" s="15"/>
      <c r="D780" s="23"/>
      <c r="E780" s="23"/>
      <c r="F780" s="23"/>
      <c r="G780" s="23">
        <f t="shared" si="53"/>
        <v>0</v>
      </c>
      <c r="H780" s="23" t="e" cm="1">
        <f t="array" ref="H780">INDEX('GLOBAL LOG'!#REF!,ROW()-169+15)</f>
        <v>#REF!</v>
      </c>
      <c r="I780" s="23" t="e">
        <f>_xlfn.XLOOKUP(H780,#REF!,#REF!,"",0,1)</f>
        <v>#REF!</v>
      </c>
      <c r="J780" s="23" t="str">
        <f>IFERROR(I780*#REF!,"")</f>
        <v/>
      </c>
      <c r="K780" s="23" t="e" cm="1">
        <f t="array" ref="K780">INDEX('GLOBAL LOG'!#REF!,ROW()-169+15)</f>
        <v>#REF!</v>
      </c>
      <c r="L780" s="23" t="e">
        <f>_xlfn.XLOOKUP(K780,#REF!,#REF!,"",0,1)</f>
        <v>#REF!</v>
      </c>
      <c r="M780" s="23" t="str">
        <f>IFERROR(L780*#REF!,"")</f>
        <v/>
      </c>
      <c r="N780" s="23">
        <f t="shared" si="54"/>
        <v>-1</v>
      </c>
      <c r="O780" s="23">
        <f t="shared" si="55"/>
        <v>-1</v>
      </c>
      <c r="P780" s="23">
        <f t="shared" si="56"/>
        <v>-1</v>
      </c>
      <c r="Q780" s="24">
        <f t="shared" si="57"/>
        <v>-1</v>
      </c>
      <c r="R780" s="3"/>
      <c r="S780" s="1">
        <v>0</v>
      </c>
      <c r="T780" s="24">
        <v>-1</v>
      </c>
      <c r="U780"/>
      <c r="V780" s="1">
        <v>0</v>
      </c>
      <c r="W780" s="24">
        <v>-1</v>
      </c>
      <c r="X780"/>
      <c r="Y780" s="1">
        <v>0</v>
      </c>
      <c r="Z780" s="24">
        <v>-1</v>
      </c>
      <c r="AA780"/>
      <c r="AB780" s="1">
        <v>0</v>
      </c>
      <c r="AC780" s="24">
        <v>-1</v>
      </c>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c r="CC780"/>
      <c r="CD780"/>
      <c r="CE780"/>
      <c r="CF780"/>
      <c r="CG780"/>
      <c r="CH780"/>
      <c r="CI780"/>
      <c r="CJ780"/>
      <c r="CK780"/>
      <c r="CL780"/>
      <c r="CM780"/>
      <c r="CN780"/>
      <c r="CO780"/>
      <c r="CP780"/>
      <c r="CQ780"/>
      <c r="CR780"/>
      <c r="CS780"/>
    </row>
    <row r="781" spans="2:97">
      <c r="B781"/>
      <c r="C781" s="15"/>
      <c r="D781" s="23"/>
      <c r="E781" s="23"/>
      <c r="F781" s="23"/>
      <c r="G781" s="23">
        <f t="shared" si="53"/>
        <v>0</v>
      </c>
      <c r="H781" s="23" t="e" cm="1">
        <f t="array" ref="H781">INDEX('GLOBAL LOG'!#REF!,ROW()-169+15)</f>
        <v>#REF!</v>
      </c>
      <c r="I781" s="23" t="e">
        <f>_xlfn.XLOOKUP(H781,#REF!,#REF!,"",0,1)</f>
        <v>#REF!</v>
      </c>
      <c r="J781" s="23" t="str">
        <f>IFERROR(I781*#REF!,"")</f>
        <v/>
      </c>
      <c r="K781" s="23" t="e" cm="1">
        <f t="array" ref="K781">INDEX('GLOBAL LOG'!#REF!,ROW()-169+15)</f>
        <v>#REF!</v>
      </c>
      <c r="L781" s="23" t="e">
        <f>_xlfn.XLOOKUP(K781,#REF!,#REF!,"",0,1)</f>
        <v>#REF!</v>
      </c>
      <c r="M781" s="23" t="str">
        <f>IFERROR(L781*#REF!,"")</f>
        <v/>
      </c>
      <c r="N781" s="23">
        <f t="shared" si="54"/>
        <v>-1</v>
      </c>
      <c r="O781" s="23">
        <f t="shared" si="55"/>
        <v>-1</v>
      </c>
      <c r="P781" s="23">
        <f t="shared" si="56"/>
        <v>-1</v>
      </c>
      <c r="Q781" s="24">
        <f t="shared" si="57"/>
        <v>-1</v>
      </c>
      <c r="R781" s="3"/>
      <c r="S781" s="1">
        <v>0</v>
      </c>
      <c r="T781" s="24">
        <v>-1</v>
      </c>
      <c r="U781"/>
      <c r="V781" s="1">
        <v>0</v>
      </c>
      <c r="W781" s="24">
        <v>-1</v>
      </c>
      <c r="X781"/>
      <c r="Y781" s="1">
        <v>0</v>
      </c>
      <c r="Z781" s="24">
        <v>-1</v>
      </c>
      <c r="AA781"/>
      <c r="AB781" s="1">
        <v>0</v>
      </c>
      <c r="AC781" s="24">
        <v>-1</v>
      </c>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c r="CA781"/>
      <c r="CB781"/>
      <c r="CC781"/>
      <c r="CD781"/>
      <c r="CE781"/>
      <c r="CF781"/>
      <c r="CG781"/>
      <c r="CH781"/>
      <c r="CI781"/>
      <c r="CJ781"/>
      <c r="CK781"/>
      <c r="CL781"/>
      <c r="CM781"/>
      <c r="CN781"/>
      <c r="CO781"/>
      <c r="CP781"/>
      <c r="CQ781"/>
      <c r="CR781"/>
      <c r="CS781"/>
    </row>
    <row r="782" spans="2:97">
      <c r="B782"/>
      <c r="C782" s="15"/>
      <c r="D782" s="23"/>
      <c r="E782" s="23"/>
      <c r="F782" s="23"/>
      <c r="G782" s="23">
        <f t="shared" si="53"/>
        <v>0</v>
      </c>
      <c r="H782" s="23" t="e" cm="1">
        <f t="array" ref="H782">INDEX('GLOBAL LOG'!#REF!,ROW()-169+15)</f>
        <v>#REF!</v>
      </c>
      <c r="I782" s="23" t="e">
        <f>_xlfn.XLOOKUP(H782,#REF!,#REF!,"",0,1)</f>
        <v>#REF!</v>
      </c>
      <c r="J782" s="23" t="str">
        <f>IFERROR(I782*#REF!,"")</f>
        <v/>
      </c>
      <c r="K782" s="23" t="e" cm="1">
        <f t="array" ref="K782">INDEX('GLOBAL LOG'!#REF!,ROW()-169+15)</f>
        <v>#REF!</v>
      </c>
      <c r="L782" s="23" t="e">
        <f>_xlfn.XLOOKUP(K782,#REF!,#REF!,"",0,1)</f>
        <v>#REF!</v>
      </c>
      <c r="M782" s="23" t="str">
        <f>IFERROR(L782*#REF!,"")</f>
        <v/>
      </c>
      <c r="N782" s="23">
        <f t="shared" si="54"/>
        <v>-1</v>
      </c>
      <c r="O782" s="23">
        <f t="shared" si="55"/>
        <v>-1</v>
      </c>
      <c r="P782" s="23">
        <f t="shared" si="56"/>
        <v>-1</v>
      </c>
      <c r="Q782" s="24">
        <f t="shared" si="57"/>
        <v>-1</v>
      </c>
      <c r="R782" s="3"/>
      <c r="S782" s="1">
        <v>0</v>
      </c>
      <c r="T782" s="24">
        <v>-1</v>
      </c>
      <c r="U782"/>
      <c r="V782" s="1">
        <v>0</v>
      </c>
      <c r="W782" s="24">
        <v>-1</v>
      </c>
      <c r="X782"/>
      <c r="Y782" s="1">
        <v>0</v>
      </c>
      <c r="Z782" s="24">
        <v>-1</v>
      </c>
      <c r="AA782"/>
      <c r="AB782" s="1">
        <v>0</v>
      </c>
      <c r="AC782" s="24">
        <v>-1</v>
      </c>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c r="CC782"/>
      <c r="CD782"/>
      <c r="CE782"/>
      <c r="CF782"/>
      <c r="CG782"/>
      <c r="CH782"/>
      <c r="CI782"/>
      <c r="CJ782"/>
      <c r="CK782"/>
      <c r="CL782"/>
      <c r="CM782"/>
      <c r="CN782"/>
      <c r="CO782"/>
      <c r="CP782"/>
      <c r="CQ782"/>
      <c r="CR782"/>
      <c r="CS782"/>
    </row>
    <row r="783" spans="2:97">
      <c r="B783"/>
      <c r="C783" s="15"/>
      <c r="D783" s="23"/>
      <c r="E783" s="23"/>
      <c r="F783" s="23"/>
      <c r="G783" s="23">
        <f t="shared" si="53"/>
        <v>0</v>
      </c>
      <c r="H783" s="23" t="e" cm="1">
        <f t="array" ref="H783">INDEX('GLOBAL LOG'!#REF!,ROW()-169+15)</f>
        <v>#REF!</v>
      </c>
      <c r="I783" s="23" t="e">
        <f>_xlfn.XLOOKUP(H783,#REF!,#REF!,"",0,1)</f>
        <v>#REF!</v>
      </c>
      <c r="J783" s="23" t="str">
        <f>IFERROR(I783*#REF!,"")</f>
        <v/>
      </c>
      <c r="K783" s="23" t="e" cm="1">
        <f t="array" ref="K783">INDEX('GLOBAL LOG'!#REF!,ROW()-169+15)</f>
        <v>#REF!</v>
      </c>
      <c r="L783" s="23" t="e">
        <f>_xlfn.XLOOKUP(K783,#REF!,#REF!,"",0,1)</f>
        <v>#REF!</v>
      </c>
      <c r="M783" s="23" t="str">
        <f>IFERROR(L783*#REF!,"")</f>
        <v/>
      </c>
      <c r="N783" s="23">
        <f t="shared" si="54"/>
        <v>-1</v>
      </c>
      <c r="O783" s="23">
        <f t="shared" si="55"/>
        <v>-1</v>
      </c>
      <c r="P783" s="23">
        <f t="shared" si="56"/>
        <v>-1</v>
      </c>
      <c r="Q783" s="24">
        <f t="shared" si="57"/>
        <v>-1</v>
      </c>
      <c r="R783" s="3"/>
      <c r="S783" s="1">
        <v>0</v>
      </c>
      <c r="T783" s="24">
        <v>-1</v>
      </c>
      <c r="U783"/>
      <c r="V783" s="1">
        <v>0</v>
      </c>
      <c r="W783" s="24">
        <v>-1</v>
      </c>
      <c r="X783"/>
      <c r="Y783" s="1">
        <v>0</v>
      </c>
      <c r="Z783" s="24">
        <v>-1</v>
      </c>
      <c r="AA783"/>
      <c r="AB783" s="1">
        <v>0</v>
      </c>
      <c r="AC783" s="24">
        <v>-1</v>
      </c>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c r="CA783"/>
      <c r="CB783"/>
      <c r="CC783"/>
      <c r="CD783"/>
      <c r="CE783"/>
      <c r="CF783"/>
      <c r="CG783"/>
      <c r="CH783"/>
      <c r="CI783"/>
      <c r="CJ783"/>
      <c r="CK783"/>
      <c r="CL783"/>
      <c r="CM783"/>
      <c r="CN783"/>
      <c r="CO783"/>
      <c r="CP783"/>
      <c r="CQ783"/>
      <c r="CR783"/>
      <c r="CS783"/>
    </row>
    <row r="784" spans="2:97">
      <c r="B784"/>
      <c r="C784" s="15"/>
      <c r="D784" s="23"/>
      <c r="E784" s="23"/>
      <c r="F784" s="23"/>
      <c r="G784" s="23">
        <f t="shared" si="53"/>
        <v>0</v>
      </c>
      <c r="H784" s="23" t="e" cm="1">
        <f t="array" ref="H784">INDEX('GLOBAL LOG'!#REF!,ROW()-169+15)</f>
        <v>#REF!</v>
      </c>
      <c r="I784" s="23" t="e">
        <f>_xlfn.XLOOKUP(H784,#REF!,#REF!,"",0,1)</f>
        <v>#REF!</v>
      </c>
      <c r="J784" s="23" t="str">
        <f>IFERROR(I784*#REF!,"")</f>
        <v/>
      </c>
      <c r="K784" s="23" t="e" cm="1">
        <f t="array" ref="K784">INDEX('GLOBAL LOG'!#REF!,ROW()-169+15)</f>
        <v>#REF!</v>
      </c>
      <c r="L784" s="23" t="e">
        <f>_xlfn.XLOOKUP(K784,#REF!,#REF!,"",0,1)</f>
        <v>#REF!</v>
      </c>
      <c r="M784" s="23" t="str">
        <f>IFERROR(L784*#REF!,"")</f>
        <v/>
      </c>
      <c r="N784" s="23">
        <f t="shared" si="54"/>
        <v>-1</v>
      </c>
      <c r="O784" s="23">
        <f t="shared" si="55"/>
        <v>-1</v>
      </c>
      <c r="P784" s="23">
        <f t="shared" si="56"/>
        <v>-1</v>
      </c>
      <c r="Q784" s="24">
        <f t="shared" si="57"/>
        <v>-1</v>
      </c>
      <c r="R784" s="3"/>
      <c r="S784" s="1">
        <v>0</v>
      </c>
      <c r="T784" s="24">
        <v>-1</v>
      </c>
      <c r="U784"/>
      <c r="V784" s="1">
        <v>0</v>
      </c>
      <c r="W784" s="24">
        <v>-1</v>
      </c>
      <c r="X784"/>
      <c r="Y784" s="1">
        <v>0</v>
      </c>
      <c r="Z784" s="24">
        <v>-1</v>
      </c>
      <c r="AA784"/>
      <c r="AB784" s="1">
        <v>0</v>
      </c>
      <c r="AC784" s="24">
        <v>-1</v>
      </c>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c r="CC784"/>
      <c r="CD784"/>
      <c r="CE784"/>
      <c r="CF784"/>
      <c r="CG784"/>
      <c r="CH784"/>
      <c r="CI784"/>
      <c r="CJ784"/>
      <c r="CK784"/>
      <c r="CL784"/>
      <c r="CM784"/>
      <c r="CN784"/>
      <c r="CO784"/>
      <c r="CP784"/>
      <c r="CQ784"/>
      <c r="CR784"/>
      <c r="CS784"/>
    </row>
    <row r="785" spans="2:97">
      <c r="B785"/>
      <c r="C785" s="15"/>
      <c r="D785" s="23"/>
      <c r="E785" s="23"/>
      <c r="F785" s="23"/>
      <c r="G785" s="23">
        <f t="shared" si="53"/>
        <v>0</v>
      </c>
      <c r="H785" s="23" t="e" cm="1">
        <f t="array" ref="H785">INDEX('GLOBAL LOG'!#REF!,ROW()-169+15)</f>
        <v>#REF!</v>
      </c>
      <c r="I785" s="23" t="e">
        <f>_xlfn.XLOOKUP(H785,#REF!,#REF!,"",0,1)</f>
        <v>#REF!</v>
      </c>
      <c r="J785" s="23" t="str">
        <f>IFERROR(I785*#REF!,"")</f>
        <v/>
      </c>
      <c r="K785" s="23" t="e" cm="1">
        <f t="array" ref="K785">INDEX('GLOBAL LOG'!#REF!,ROW()-169+15)</f>
        <v>#REF!</v>
      </c>
      <c r="L785" s="23" t="e">
        <f>_xlfn.XLOOKUP(K785,#REF!,#REF!,"",0,1)</f>
        <v>#REF!</v>
      </c>
      <c r="M785" s="23" t="str">
        <f>IFERROR(L785*#REF!,"")</f>
        <v/>
      </c>
      <c r="N785" s="23">
        <f t="shared" si="54"/>
        <v>-1</v>
      </c>
      <c r="O785" s="23">
        <f t="shared" si="55"/>
        <v>-1</v>
      </c>
      <c r="P785" s="23">
        <f t="shared" si="56"/>
        <v>-1</v>
      </c>
      <c r="Q785" s="24">
        <f t="shared" si="57"/>
        <v>-1</v>
      </c>
      <c r="R785" s="3"/>
      <c r="S785" s="1">
        <v>0</v>
      </c>
      <c r="T785" s="24">
        <v>-1</v>
      </c>
      <c r="U785"/>
      <c r="V785" s="1">
        <v>0</v>
      </c>
      <c r="W785" s="24">
        <v>-1</v>
      </c>
      <c r="X785"/>
      <c r="Y785" s="1">
        <v>0</v>
      </c>
      <c r="Z785" s="24">
        <v>-1</v>
      </c>
      <c r="AA785"/>
      <c r="AB785" s="1">
        <v>0</v>
      </c>
      <c r="AC785" s="24">
        <v>-1</v>
      </c>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c r="CA785"/>
      <c r="CB785"/>
      <c r="CC785"/>
      <c r="CD785"/>
      <c r="CE785"/>
      <c r="CF785"/>
      <c r="CG785"/>
      <c r="CH785"/>
      <c r="CI785"/>
      <c r="CJ785"/>
      <c r="CK785"/>
      <c r="CL785"/>
      <c r="CM785"/>
      <c r="CN785"/>
      <c r="CO785"/>
      <c r="CP785"/>
      <c r="CQ785"/>
      <c r="CR785"/>
      <c r="CS785"/>
    </row>
    <row r="786" spans="2:97">
      <c r="B786"/>
      <c r="C786" s="15"/>
      <c r="D786" s="23"/>
      <c r="E786" s="23"/>
      <c r="F786" s="23"/>
      <c r="G786" s="23">
        <f t="shared" si="53"/>
        <v>0</v>
      </c>
      <c r="H786" s="23" t="e" cm="1">
        <f t="array" ref="H786">INDEX('GLOBAL LOG'!#REF!,ROW()-169+15)</f>
        <v>#REF!</v>
      </c>
      <c r="I786" s="23" t="e">
        <f>_xlfn.XLOOKUP(H786,#REF!,#REF!,"",0,1)</f>
        <v>#REF!</v>
      </c>
      <c r="J786" s="23" t="str">
        <f>IFERROR(I786*#REF!,"")</f>
        <v/>
      </c>
      <c r="K786" s="23" t="e" cm="1">
        <f t="array" ref="K786">INDEX('GLOBAL LOG'!#REF!,ROW()-169+15)</f>
        <v>#REF!</v>
      </c>
      <c r="L786" s="23" t="e">
        <f>_xlfn.XLOOKUP(K786,#REF!,#REF!,"",0,1)</f>
        <v>#REF!</v>
      </c>
      <c r="M786" s="23" t="str">
        <f>IFERROR(L786*#REF!,"")</f>
        <v/>
      </c>
      <c r="N786" s="23">
        <f t="shared" si="54"/>
        <v>-1</v>
      </c>
      <c r="O786" s="23">
        <f t="shared" si="55"/>
        <v>-1</v>
      </c>
      <c r="P786" s="23">
        <f t="shared" si="56"/>
        <v>-1</v>
      </c>
      <c r="Q786" s="24">
        <f t="shared" si="57"/>
        <v>-1</v>
      </c>
      <c r="R786" s="3"/>
      <c r="S786" s="1">
        <v>0</v>
      </c>
      <c r="T786" s="24">
        <v>-1</v>
      </c>
      <c r="U786"/>
      <c r="V786" s="1">
        <v>0</v>
      </c>
      <c r="W786" s="24">
        <v>-1</v>
      </c>
      <c r="X786"/>
      <c r="Y786" s="1">
        <v>0</v>
      </c>
      <c r="Z786" s="24">
        <v>-1</v>
      </c>
      <c r="AA786"/>
      <c r="AB786" s="1">
        <v>0</v>
      </c>
      <c r="AC786" s="24">
        <v>-1</v>
      </c>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c r="CA786"/>
      <c r="CB786"/>
      <c r="CC786"/>
      <c r="CD786"/>
      <c r="CE786"/>
      <c r="CF786"/>
      <c r="CG786"/>
      <c r="CH786"/>
      <c r="CI786"/>
      <c r="CJ786"/>
      <c r="CK786"/>
      <c r="CL786"/>
      <c r="CM786"/>
      <c r="CN786"/>
      <c r="CO786"/>
      <c r="CP786"/>
      <c r="CQ786"/>
      <c r="CR786"/>
      <c r="CS786"/>
    </row>
    <row r="787" spans="2:97">
      <c r="B787"/>
      <c r="C787" s="15"/>
      <c r="D787" s="23"/>
      <c r="E787" s="23"/>
      <c r="F787" s="23"/>
      <c r="G787" s="23">
        <f t="shared" si="53"/>
        <v>0</v>
      </c>
      <c r="H787" s="23" t="e" cm="1">
        <f t="array" ref="H787">INDEX('GLOBAL LOG'!#REF!,ROW()-169+15)</f>
        <v>#REF!</v>
      </c>
      <c r="I787" s="23" t="e">
        <f>_xlfn.XLOOKUP(H787,#REF!,#REF!,"",0,1)</f>
        <v>#REF!</v>
      </c>
      <c r="J787" s="23" t="str">
        <f>IFERROR(I787*#REF!,"")</f>
        <v/>
      </c>
      <c r="K787" s="23" t="e" cm="1">
        <f t="array" ref="K787">INDEX('GLOBAL LOG'!#REF!,ROW()-169+15)</f>
        <v>#REF!</v>
      </c>
      <c r="L787" s="23" t="e">
        <f>_xlfn.XLOOKUP(K787,#REF!,#REF!,"",0,1)</f>
        <v>#REF!</v>
      </c>
      <c r="M787" s="23" t="str">
        <f>IFERROR(L787*#REF!,"")</f>
        <v/>
      </c>
      <c r="N787" s="23">
        <f t="shared" si="54"/>
        <v>-1</v>
      </c>
      <c r="O787" s="23">
        <f t="shared" si="55"/>
        <v>-1</v>
      </c>
      <c r="P787" s="23">
        <f t="shared" si="56"/>
        <v>-1</v>
      </c>
      <c r="Q787" s="24">
        <f t="shared" si="57"/>
        <v>-1</v>
      </c>
      <c r="R787" s="3"/>
      <c r="S787" s="1">
        <v>0</v>
      </c>
      <c r="T787" s="24">
        <v>-1</v>
      </c>
      <c r="U787"/>
      <c r="V787" s="1">
        <v>0</v>
      </c>
      <c r="W787" s="24">
        <v>-1</v>
      </c>
      <c r="X787"/>
      <c r="Y787" s="1">
        <v>0</v>
      </c>
      <c r="Z787" s="24">
        <v>-1</v>
      </c>
      <c r="AA787"/>
      <c r="AB787" s="1">
        <v>0</v>
      </c>
      <c r="AC787" s="24">
        <v>-1</v>
      </c>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c r="CA787"/>
      <c r="CB787"/>
      <c r="CC787"/>
      <c r="CD787"/>
      <c r="CE787"/>
      <c r="CF787"/>
      <c r="CG787"/>
      <c r="CH787"/>
      <c r="CI787"/>
      <c r="CJ787"/>
      <c r="CK787"/>
      <c r="CL787"/>
      <c r="CM787"/>
      <c r="CN787"/>
      <c r="CO787"/>
      <c r="CP787"/>
      <c r="CQ787"/>
      <c r="CR787"/>
      <c r="CS787"/>
    </row>
    <row r="788" spans="2:97">
      <c r="B788"/>
      <c r="C788" s="15"/>
      <c r="D788" s="23"/>
      <c r="E788" s="23"/>
      <c r="F788" s="23"/>
      <c r="G788" s="23">
        <f t="shared" si="53"/>
        <v>0</v>
      </c>
      <c r="H788" s="23" t="e" cm="1">
        <f t="array" ref="H788">INDEX('GLOBAL LOG'!#REF!,ROW()-169+15)</f>
        <v>#REF!</v>
      </c>
      <c r="I788" s="23" t="e">
        <f>_xlfn.XLOOKUP(H788,#REF!,#REF!,"",0,1)</f>
        <v>#REF!</v>
      </c>
      <c r="J788" s="23" t="str">
        <f>IFERROR(I788*#REF!,"")</f>
        <v/>
      </c>
      <c r="K788" s="23" t="e" cm="1">
        <f t="array" ref="K788">INDEX('GLOBAL LOG'!#REF!,ROW()-169+15)</f>
        <v>#REF!</v>
      </c>
      <c r="L788" s="23" t="e">
        <f>_xlfn.XLOOKUP(K788,#REF!,#REF!,"",0,1)</f>
        <v>#REF!</v>
      </c>
      <c r="M788" s="23" t="str">
        <f>IFERROR(L788*#REF!,"")</f>
        <v/>
      </c>
      <c r="N788" s="23">
        <f t="shared" si="54"/>
        <v>-1</v>
      </c>
      <c r="O788" s="23">
        <f t="shared" si="55"/>
        <v>-1</v>
      </c>
      <c r="P788" s="23">
        <f t="shared" si="56"/>
        <v>-1</v>
      </c>
      <c r="Q788" s="24">
        <f t="shared" si="57"/>
        <v>-1</v>
      </c>
      <c r="R788" s="3"/>
      <c r="S788" s="1">
        <v>0</v>
      </c>
      <c r="T788" s="24">
        <v>-1</v>
      </c>
      <c r="U788"/>
      <c r="V788" s="1">
        <v>0</v>
      </c>
      <c r="W788" s="24">
        <v>-1</v>
      </c>
      <c r="X788"/>
      <c r="Y788" s="1">
        <v>0</v>
      </c>
      <c r="Z788" s="24">
        <v>-1</v>
      </c>
      <c r="AA788"/>
      <c r="AB788" s="1">
        <v>0</v>
      </c>
      <c r="AC788" s="24">
        <v>-1</v>
      </c>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c r="CC788"/>
      <c r="CD788"/>
      <c r="CE788"/>
      <c r="CF788"/>
      <c r="CG788"/>
      <c r="CH788"/>
      <c r="CI788"/>
      <c r="CJ788"/>
      <c r="CK788"/>
      <c r="CL788"/>
      <c r="CM788"/>
      <c r="CN788"/>
      <c r="CO788"/>
      <c r="CP788"/>
      <c r="CQ788"/>
      <c r="CR788"/>
      <c r="CS788"/>
    </row>
    <row r="789" spans="2:97">
      <c r="B789"/>
      <c r="C789" s="15"/>
      <c r="D789" s="23"/>
      <c r="E789" s="23"/>
      <c r="F789" s="23"/>
      <c r="G789" s="23">
        <f t="shared" si="53"/>
        <v>0</v>
      </c>
      <c r="H789" s="23" t="e" cm="1">
        <f t="array" ref="H789">INDEX('GLOBAL LOG'!#REF!,ROW()-169+15)</f>
        <v>#REF!</v>
      </c>
      <c r="I789" s="23" t="e">
        <f>_xlfn.XLOOKUP(H789,#REF!,#REF!,"",0,1)</f>
        <v>#REF!</v>
      </c>
      <c r="J789" s="23" t="str">
        <f>IFERROR(I789*#REF!,"")</f>
        <v/>
      </c>
      <c r="K789" s="23" t="e" cm="1">
        <f t="array" ref="K789">INDEX('GLOBAL LOG'!#REF!,ROW()-169+15)</f>
        <v>#REF!</v>
      </c>
      <c r="L789" s="23" t="e">
        <f>_xlfn.XLOOKUP(K789,#REF!,#REF!,"",0,1)</f>
        <v>#REF!</v>
      </c>
      <c r="M789" s="23" t="str">
        <f>IFERROR(L789*#REF!,"")</f>
        <v/>
      </c>
      <c r="N789" s="23">
        <f t="shared" si="54"/>
        <v>-1</v>
      </c>
      <c r="O789" s="23">
        <f t="shared" si="55"/>
        <v>-1</v>
      </c>
      <c r="P789" s="23">
        <f t="shared" si="56"/>
        <v>-1</v>
      </c>
      <c r="Q789" s="24">
        <f t="shared" si="57"/>
        <v>-1</v>
      </c>
      <c r="R789" s="3"/>
      <c r="S789" s="1">
        <v>0</v>
      </c>
      <c r="T789" s="24">
        <v>-1</v>
      </c>
      <c r="U789"/>
      <c r="V789" s="1">
        <v>0</v>
      </c>
      <c r="W789" s="24">
        <v>-1</v>
      </c>
      <c r="X789"/>
      <c r="Y789" s="1">
        <v>0</v>
      </c>
      <c r="Z789" s="24">
        <v>-1</v>
      </c>
      <c r="AA789"/>
      <c r="AB789" s="1">
        <v>0</v>
      </c>
      <c r="AC789" s="24">
        <v>-1</v>
      </c>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c r="CA789"/>
      <c r="CB789"/>
      <c r="CC789"/>
      <c r="CD789"/>
      <c r="CE789"/>
      <c r="CF789"/>
      <c r="CG789"/>
      <c r="CH789"/>
      <c r="CI789"/>
      <c r="CJ789"/>
      <c r="CK789"/>
      <c r="CL789"/>
      <c r="CM789"/>
      <c r="CN789"/>
      <c r="CO789"/>
      <c r="CP789"/>
      <c r="CQ789"/>
      <c r="CR789"/>
      <c r="CS789"/>
    </row>
    <row r="790" spans="2:97">
      <c r="B790"/>
      <c r="C790" s="15"/>
      <c r="D790" s="23"/>
      <c r="E790" s="23"/>
      <c r="F790" s="23"/>
      <c r="G790" s="23">
        <f t="shared" si="53"/>
        <v>0</v>
      </c>
      <c r="H790" s="23" t="e" cm="1">
        <f t="array" ref="H790">INDEX('GLOBAL LOG'!#REF!,ROW()-169+15)</f>
        <v>#REF!</v>
      </c>
      <c r="I790" s="23" t="e">
        <f>_xlfn.XLOOKUP(H790,#REF!,#REF!,"",0,1)</f>
        <v>#REF!</v>
      </c>
      <c r="J790" s="23" t="str">
        <f>IFERROR(I790*#REF!,"")</f>
        <v/>
      </c>
      <c r="K790" s="23" t="e" cm="1">
        <f t="array" ref="K790">INDEX('GLOBAL LOG'!#REF!,ROW()-169+15)</f>
        <v>#REF!</v>
      </c>
      <c r="L790" s="23" t="e">
        <f>_xlfn.XLOOKUP(K790,#REF!,#REF!,"",0,1)</f>
        <v>#REF!</v>
      </c>
      <c r="M790" s="23" t="str">
        <f>IFERROR(L790*#REF!,"")</f>
        <v/>
      </c>
      <c r="N790" s="23">
        <f t="shared" si="54"/>
        <v>-1</v>
      </c>
      <c r="O790" s="23">
        <f t="shared" si="55"/>
        <v>-1</v>
      </c>
      <c r="P790" s="23">
        <f t="shared" si="56"/>
        <v>-1</v>
      </c>
      <c r="Q790" s="24">
        <f t="shared" si="57"/>
        <v>-1</v>
      </c>
      <c r="R790" s="3"/>
      <c r="S790" s="1">
        <v>0</v>
      </c>
      <c r="T790" s="24">
        <v>-1</v>
      </c>
      <c r="U790"/>
      <c r="V790" s="1">
        <v>0</v>
      </c>
      <c r="W790" s="24">
        <v>-1</v>
      </c>
      <c r="X790"/>
      <c r="Y790" s="1">
        <v>0</v>
      </c>
      <c r="Z790" s="24">
        <v>-1</v>
      </c>
      <c r="AA790"/>
      <c r="AB790" s="1">
        <v>0</v>
      </c>
      <c r="AC790" s="24">
        <v>-1</v>
      </c>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c r="CA790"/>
      <c r="CB790"/>
      <c r="CC790"/>
      <c r="CD790"/>
      <c r="CE790"/>
      <c r="CF790"/>
      <c r="CG790"/>
      <c r="CH790"/>
      <c r="CI790"/>
      <c r="CJ790"/>
      <c r="CK790"/>
      <c r="CL790"/>
      <c r="CM790"/>
      <c r="CN790"/>
      <c r="CO790"/>
      <c r="CP790"/>
      <c r="CQ790"/>
      <c r="CR790"/>
      <c r="CS790"/>
    </row>
    <row r="791" spans="2:97">
      <c r="B791"/>
      <c r="C791" s="15"/>
      <c r="D791" s="23"/>
      <c r="E791" s="23"/>
      <c r="F791" s="23"/>
      <c r="G791" s="23">
        <f t="shared" si="53"/>
        <v>0</v>
      </c>
      <c r="H791" s="23" t="e" cm="1">
        <f t="array" ref="H791">INDEX('GLOBAL LOG'!#REF!,ROW()-169+15)</f>
        <v>#REF!</v>
      </c>
      <c r="I791" s="23" t="e">
        <f>_xlfn.XLOOKUP(H791,#REF!,#REF!,"",0,1)</f>
        <v>#REF!</v>
      </c>
      <c r="J791" s="23" t="str">
        <f>IFERROR(I791*#REF!,"")</f>
        <v/>
      </c>
      <c r="K791" s="23" t="e" cm="1">
        <f t="array" ref="K791">INDEX('GLOBAL LOG'!#REF!,ROW()-169+15)</f>
        <v>#REF!</v>
      </c>
      <c r="L791" s="23" t="e">
        <f>_xlfn.XLOOKUP(K791,#REF!,#REF!,"",0,1)</f>
        <v>#REF!</v>
      </c>
      <c r="M791" s="23" t="str">
        <f>IFERROR(L791*#REF!,"")</f>
        <v/>
      </c>
      <c r="N791" s="23">
        <f t="shared" si="54"/>
        <v>-1</v>
      </c>
      <c r="O791" s="23">
        <f t="shared" si="55"/>
        <v>-1</v>
      </c>
      <c r="P791" s="23">
        <f t="shared" si="56"/>
        <v>-1</v>
      </c>
      <c r="Q791" s="24">
        <f t="shared" si="57"/>
        <v>-1</v>
      </c>
      <c r="R791" s="3"/>
      <c r="S791" s="1">
        <v>0</v>
      </c>
      <c r="T791" s="24">
        <v>-1</v>
      </c>
      <c r="U791"/>
      <c r="V791" s="1">
        <v>0</v>
      </c>
      <c r="W791" s="24">
        <v>-1</v>
      </c>
      <c r="X791"/>
      <c r="Y791" s="1">
        <v>0</v>
      </c>
      <c r="Z791" s="24">
        <v>-1</v>
      </c>
      <c r="AA791"/>
      <c r="AB791" s="1">
        <v>0</v>
      </c>
      <c r="AC791" s="24">
        <v>-1</v>
      </c>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c r="CC791"/>
      <c r="CD791"/>
      <c r="CE791"/>
      <c r="CF791"/>
      <c r="CG791"/>
      <c r="CH791"/>
      <c r="CI791"/>
      <c r="CJ791"/>
      <c r="CK791"/>
      <c r="CL791"/>
      <c r="CM791"/>
      <c r="CN791"/>
      <c r="CO791"/>
      <c r="CP791"/>
      <c r="CQ791"/>
      <c r="CR791"/>
      <c r="CS791"/>
    </row>
    <row r="792" spans="2:97">
      <c r="B792"/>
      <c r="C792" s="15"/>
      <c r="D792" s="23"/>
      <c r="E792" s="23"/>
      <c r="F792" s="23"/>
      <c r="G792" s="23">
        <f t="shared" si="53"/>
        <v>0</v>
      </c>
      <c r="H792" s="23" t="e" cm="1">
        <f t="array" ref="H792">INDEX('GLOBAL LOG'!#REF!,ROW()-169+15)</f>
        <v>#REF!</v>
      </c>
      <c r="I792" s="23" t="e">
        <f>_xlfn.XLOOKUP(H792,#REF!,#REF!,"",0,1)</f>
        <v>#REF!</v>
      </c>
      <c r="J792" s="23" t="str">
        <f>IFERROR(I792*#REF!,"")</f>
        <v/>
      </c>
      <c r="K792" s="23" t="e" cm="1">
        <f t="array" ref="K792">INDEX('GLOBAL LOG'!#REF!,ROW()-169+15)</f>
        <v>#REF!</v>
      </c>
      <c r="L792" s="23" t="e">
        <f>_xlfn.XLOOKUP(K792,#REF!,#REF!,"",0,1)</f>
        <v>#REF!</v>
      </c>
      <c r="M792" s="23" t="str">
        <f>IFERROR(L792*#REF!,"")</f>
        <v/>
      </c>
      <c r="N792" s="23">
        <f t="shared" si="54"/>
        <v>-1</v>
      </c>
      <c r="O792" s="23">
        <f t="shared" si="55"/>
        <v>-1</v>
      </c>
      <c r="P792" s="23">
        <f t="shared" si="56"/>
        <v>-1</v>
      </c>
      <c r="Q792" s="24">
        <f t="shared" si="57"/>
        <v>-1</v>
      </c>
      <c r="R792" s="3"/>
      <c r="S792" s="1">
        <v>0</v>
      </c>
      <c r="T792" s="24">
        <v>-1</v>
      </c>
      <c r="U792"/>
      <c r="V792" s="1">
        <v>0</v>
      </c>
      <c r="W792" s="24">
        <v>-1</v>
      </c>
      <c r="X792"/>
      <c r="Y792" s="1">
        <v>0</v>
      </c>
      <c r="Z792" s="24">
        <v>-1</v>
      </c>
      <c r="AA792"/>
      <c r="AB792" s="1">
        <v>0</v>
      </c>
      <c r="AC792" s="24">
        <v>-1</v>
      </c>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c r="CA792"/>
      <c r="CB792"/>
      <c r="CC792"/>
      <c r="CD792"/>
      <c r="CE792"/>
      <c r="CF792"/>
      <c r="CG792"/>
      <c r="CH792"/>
      <c r="CI792"/>
      <c r="CJ792"/>
      <c r="CK792"/>
      <c r="CL792"/>
      <c r="CM792"/>
      <c r="CN792"/>
      <c r="CO792"/>
      <c r="CP792"/>
      <c r="CQ792"/>
      <c r="CR792"/>
      <c r="CS792"/>
    </row>
    <row r="793" spans="2:97">
      <c r="B793"/>
      <c r="C793" s="15"/>
      <c r="D793" s="23"/>
      <c r="E793" s="23"/>
      <c r="F793" s="23"/>
      <c r="G793" s="23">
        <f t="shared" si="53"/>
        <v>0</v>
      </c>
      <c r="H793" s="23" t="e" cm="1">
        <f t="array" ref="H793">INDEX('GLOBAL LOG'!#REF!,ROW()-169+15)</f>
        <v>#REF!</v>
      </c>
      <c r="I793" s="23" t="e">
        <f>_xlfn.XLOOKUP(H793,#REF!,#REF!,"",0,1)</f>
        <v>#REF!</v>
      </c>
      <c r="J793" s="23" t="str">
        <f>IFERROR(I793*#REF!,"")</f>
        <v/>
      </c>
      <c r="K793" s="23" t="e" cm="1">
        <f t="array" ref="K793">INDEX('GLOBAL LOG'!#REF!,ROW()-169+15)</f>
        <v>#REF!</v>
      </c>
      <c r="L793" s="23" t="e">
        <f>_xlfn.XLOOKUP(K793,#REF!,#REF!,"",0,1)</f>
        <v>#REF!</v>
      </c>
      <c r="M793" s="23" t="str">
        <f>IFERROR(L793*#REF!,"")</f>
        <v/>
      </c>
      <c r="N793" s="23">
        <f t="shared" si="54"/>
        <v>-1</v>
      </c>
      <c r="O793" s="23">
        <f t="shared" si="55"/>
        <v>-1</v>
      </c>
      <c r="P793" s="23">
        <f t="shared" si="56"/>
        <v>-1</v>
      </c>
      <c r="Q793" s="24">
        <f t="shared" si="57"/>
        <v>-1</v>
      </c>
      <c r="R793" s="3"/>
      <c r="S793" s="1">
        <v>0</v>
      </c>
      <c r="T793" s="24">
        <v>-1</v>
      </c>
      <c r="U793"/>
      <c r="V793" s="1">
        <v>0</v>
      </c>
      <c r="W793" s="24">
        <v>-1</v>
      </c>
      <c r="X793"/>
      <c r="Y793" s="1">
        <v>0</v>
      </c>
      <c r="Z793" s="24">
        <v>-1</v>
      </c>
      <c r="AA793"/>
      <c r="AB793" s="1">
        <v>0</v>
      </c>
      <c r="AC793" s="24">
        <v>-1</v>
      </c>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c r="CA793"/>
      <c r="CB793"/>
      <c r="CC793"/>
      <c r="CD793"/>
      <c r="CE793"/>
      <c r="CF793"/>
      <c r="CG793"/>
      <c r="CH793"/>
      <c r="CI793"/>
      <c r="CJ793"/>
      <c r="CK793"/>
      <c r="CL793"/>
      <c r="CM793"/>
      <c r="CN793"/>
      <c r="CO793"/>
      <c r="CP793"/>
      <c r="CQ793"/>
      <c r="CR793"/>
      <c r="CS793"/>
    </row>
    <row r="794" spans="2:97">
      <c r="B794"/>
      <c r="C794" s="15"/>
      <c r="D794" s="23"/>
      <c r="E794" s="23"/>
      <c r="F794" s="23"/>
      <c r="G794" s="23">
        <f t="shared" si="53"/>
        <v>0</v>
      </c>
      <c r="H794" s="23" t="e" cm="1">
        <f t="array" ref="H794">INDEX('GLOBAL LOG'!#REF!,ROW()-169+15)</f>
        <v>#REF!</v>
      </c>
      <c r="I794" s="23" t="e">
        <f>_xlfn.XLOOKUP(H794,#REF!,#REF!,"",0,1)</f>
        <v>#REF!</v>
      </c>
      <c r="J794" s="23" t="str">
        <f>IFERROR(I794*#REF!,"")</f>
        <v/>
      </c>
      <c r="K794" s="23" t="e" cm="1">
        <f t="array" ref="K794">INDEX('GLOBAL LOG'!#REF!,ROW()-169+15)</f>
        <v>#REF!</v>
      </c>
      <c r="L794" s="23" t="e">
        <f>_xlfn.XLOOKUP(K794,#REF!,#REF!,"",0,1)</f>
        <v>#REF!</v>
      </c>
      <c r="M794" s="23" t="str">
        <f>IFERROR(L794*#REF!,"")</f>
        <v/>
      </c>
      <c r="N794" s="23">
        <f t="shared" si="54"/>
        <v>-1</v>
      </c>
      <c r="O794" s="23">
        <f t="shared" si="55"/>
        <v>-1</v>
      </c>
      <c r="P794" s="23">
        <f t="shared" si="56"/>
        <v>-1</v>
      </c>
      <c r="Q794" s="24">
        <f t="shared" si="57"/>
        <v>-1</v>
      </c>
      <c r="R794" s="3"/>
      <c r="S794" s="1">
        <v>0</v>
      </c>
      <c r="T794" s="24">
        <v>-1</v>
      </c>
      <c r="U794"/>
      <c r="V794" s="1">
        <v>0</v>
      </c>
      <c r="W794" s="24">
        <v>-1</v>
      </c>
      <c r="X794"/>
      <c r="Y794" s="1">
        <v>0</v>
      </c>
      <c r="Z794" s="24">
        <v>-1</v>
      </c>
      <c r="AA794"/>
      <c r="AB794" s="1">
        <v>0</v>
      </c>
      <c r="AC794" s="24">
        <v>-1</v>
      </c>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c r="CA794"/>
      <c r="CB794"/>
      <c r="CC794"/>
      <c r="CD794"/>
      <c r="CE794"/>
      <c r="CF794"/>
      <c r="CG794"/>
      <c r="CH794"/>
      <c r="CI794"/>
      <c r="CJ794"/>
      <c r="CK794"/>
      <c r="CL794"/>
      <c r="CM794"/>
      <c r="CN794"/>
      <c r="CO794"/>
      <c r="CP794"/>
      <c r="CQ794"/>
      <c r="CR794"/>
      <c r="CS794"/>
    </row>
    <row r="795" spans="2:97">
      <c r="B795"/>
      <c r="C795" s="15"/>
      <c r="D795" s="23"/>
      <c r="E795" s="23"/>
      <c r="F795" s="23"/>
      <c r="G795" s="23">
        <f t="shared" si="53"/>
        <v>0</v>
      </c>
      <c r="H795" s="23" t="e" cm="1">
        <f t="array" ref="H795">INDEX('GLOBAL LOG'!#REF!,ROW()-169+15)</f>
        <v>#REF!</v>
      </c>
      <c r="I795" s="23" t="e">
        <f>_xlfn.XLOOKUP(H795,#REF!,#REF!,"",0,1)</f>
        <v>#REF!</v>
      </c>
      <c r="J795" s="23" t="str">
        <f>IFERROR(I795*#REF!,"")</f>
        <v/>
      </c>
      <c r="K795" s="23" t="e" cm="1">
        <f t="array" ref="K795">INDEX('GLOBAL LOG'!#REF!,ROW()-169+15)</f>
        <v>#REF!</v>
      </c>
      <c r="L795" s="23" t="e">
        <f>_xlfn.XLOOKUP(K795,#REF!,#REF!,"",0,1)</f>
        <v>#REF!</v>
      </c>
      <c r="M795" s="23" t="str">
        <f>IFERROR(L795*#REF!,"")</f>
        <v/>
      </c>
      <c r="N795" s="23">
        <f t="shared" si="54"/>
        <v>-1</v>
      </c>
      <c r="O795" s="23">
        <f t="shared" si="55"/>
        <v>-1</v>
      </c>
      <c r="P795" s="23">
        <f t="shared" si="56"/>
        <v>-1</v>
      </c>
      <c r="Q795" s="24">
        <f t="shared" si="57"/>
        <v>-1</v>
      </c>
      <c r="R795" s="3"/>
      <c r="S795" s="1">
        <v>0</v>
      </c>
      <c r="T795" s="24">
        <v>-1</v>
      </c>
      <c r="U795"/>
      <c r="V795" s="1">
        <v>0</v>
      </c>
      <c r="W795" s="24">
        <v>-1</v>
      </c>
      <c r="X795"/>
      <c r="Y795" s="1">
        <v>0</v>
      </c>
      <c r="Z795" s="24">
        <v>-1</v>
      </c>
      <c r="AA795"/>
      <c r="AB795" s="1">
        <v>0</v>
      </c>
      <c r="AC795" s="24">
        <v>-1</v>
      </c>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c r="CA795"/>
      <c r="CB795"/>
      <c r="CC795"/>
      <c r="CD795"/>
      <c r="CE795"/>
      <c r="CF795"/>
      <c r="CG795"/>
      <c r="CH795"/>
      <c r="CI795"/>
      <c r="CJ795"/>
      <c r="CK795"/>
      <c r="CL795"/>
      <c r="CM795"/>
      <c r="CN795"/>
      <c r="CO795"/>
      <c r="CP795"/>
      <c r="CQ795"/>
      <c r="CR795"/>
      <c r="CS795"/>
    </row>
    <row r="796" spans="2:97">
      <c r="B796"/>
      <c r="C796" s="15"/>
      <c r="D796" s="23"/>
      <c r="E796" s="23"/>
      <c r="F796" s="23"/>
      <c r="G796" s="23">
        <f t="shared" si="53"/>
        <v>0</v>
      </c>
      <c r="H796" s="23" t="e" cm="1">
        <f t="array" ref="H796">INDEX('GLOBAL LOG'!#REF!,ROW()-169+15)</f>
        <v>#REF!</v>
      </c>
      <c r="I796" s="23" t="e">
        <f>_xlfn.XLOOKUP(H796,#REF!,#REF!,"",0,1)</f>
        <v>#REF!</v>
      </c>
      <c r="J796" s="23" t="str">
        <f>IFERROR(I796*#REF!,"")</f>
        <v/>
      </c>
      <c r="K796" s="23" t="e" cm="1">
        <f t="array" ref="K796">INDEX('GLOBAL LOG'!#REF!,ROW()-169+15)</f>
        <v>#REF!</v>
      </c>
      <c r="L796" s="23" t="e">
        <f>_xlfn.XLOOKUP(K796,#REF!,#REF!,"",0,1)</f>
        <v>#REF!</v>
      </c>
      <c r="M796" s="23" t="str">
        <f>IFERROR(L796*#REF!,"")</f>
        <v/>
      </c>
      <c r="N796" s="23">
        <f t="shared" si="54"/>
        <v>-1</v>
      </c>
      <c r="O796" s="23">
        <f t="shared" si="55"/>
        <v>-1</v>
      </c>
      <c r="P796" s="23">
        <f t="shared" si="56"/>
        <v>-1</v>
      </c>
      <c r="Q796" s="24">
        <f t="shared" si="57"/>
        <v>-1</v>
      </c>
      <c r="R796" s="3"/>
      <c r="S796" s="1">
        <v>0</v>
      </c>
      <c r="T796" s="24">
        <v>-1</v>
      </c>
      <c r="U796"/>
      <c r="V796" s="1">
        <v>0</v>
      </c>
      <c r="W796" s="24">
        <v>-1</v>
      </c>
      <c r="X796"/>
      <c r="Y796" s="1">
        <v>0</v>
      </c>
      <c r="Z796" s="24">
        <v>-1</v>
      </c>
      <c r="AA796"/>
      <c r="AB796" s="1">
        <v>0</v>
      </c>
      <c r="AC796" s="24">
        <v>-1</v>
      </c>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c r="CC796"/>
      <c r="CD796"/>
      <c r="CE796"/>
      <c r="CF796"/>
      <c r="CG796"/>
      <c r="CH796"/>
      <c r="CI796"/>
      <c r="CJ796"/>
      <c r="CK796"/>
      <c r="CL796"/>
      <c r="CM796"/>
      <c r="CN796"/>
      <c r="CO796"/>
      <c r="CP796"/>
      <c r="CQ796"/>
      <c r="CR796"/>
      <c r="CS796"/>
    </row>
    <row r="797" spans="2:97">
      <c r="B797"/>
      <c r="C797" s="15"/>
      <c r="D797" s="23"/>
      <c r="E797" s="23"/>
      <c r="F797" s="23"/>
      <c r="G797" s="23">
        <f t="shared" si="53"/>
        <v>0</v>
      </c>
      <c r="H797" s="23" t="e" cm="1">
        <f t="array" ref="H797">INDEX('GLOBAL LOG'!#REF!,ROW()-169+15)</f>
        <v>#REF!</v>
      </c>
      <c r="I797" s="23" t="e">
        <f>_xlfn.XLOOKUP(H797,#REF!,#REF!,"",0,1)</f>
        <v>#REF!</v>
      </c>
      <c r="J797" s="23" t="str">
        <f>IFERROR(I797*#REF!,"")</f>
        <v/>
      </c>
      <c r="K797" s="23" t="e" cm="1">
        <f t="array" ref="K797">INDEX('GLOBAL LOG'!#REF!,ROW()-169+15)</f>
        <v>#REF!</v>
      </c>
      <c r="L797" s="23" t="e">
        <f>_xlfn.XLOOKUP(K797,#REF!,#REF!,"",0,1)</f>
        <v>#REF!</v>
      </c>
      <c r="M797" s="23" t="str">
        <f>IFERROR(L797*#REF!,"")</f>
        <v/>
      </c>
      <c r="N797" s="23">
        <f t="shared" si="54"/>
        <v>-1</v>
      </c>
      <c r="O797" s="23">
        <f t="shared" si="55"/>
        <v>-1</v>
      </c>
      <c r="P797" s="23">
        <f t="shared" si="56"/>
        <v>-1</v>
      </c>
      <c r="Q797" s="24">
        <f t="shared" si="57"/>
        <v>-1</v>
      </c>
      <c r="R797" s="3"/>
      <c r="S797" s="1">
        <v>0</v>
      </c>
      <c r="T797" s="24">
        <v>-1</v>
      </c>
      <c r="U797"/>
      <c r="V797" s="1">
        <v>0</v>
      </c>
      <c r="W797" s="24">
        <v>-1</v>
      </c>
      <c r="X797"/>
      <c r="Y797" s="1">
        <v>0</v>
      </c>
      <c r="Z797" s="24">
        <v>-1</v>
      </c>
      <c r="AA797"/>
      <c r="AB797" s="1">
        <v>0</v>
      </c>
      <c r="AC797" s="24">
        <v>-1</v>
      </c>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c r="CA797"/>
      <c r="CB797"/>
      <c r="CC797"/>
      <c r="CD797"/>
      <c r="CE797"/>
      <c r="CF797"/>
      <c r="CG797"/>
      <c r="CH797"/>
      <c r="CI797"/>
      <c r="CJ797"/>
      <c r="CK797"/>
      <c r="CL797"/>
      <c r="CM797"/>
      <c r="CN797"/>
      <c r="CO797"/>
      <c r="CP797"/>
      <c r="CQ797"/>
      <c r="CR797"/>
      <c r="CS797"/>
    </row>
    <row r="798" spans="2:97">
      <c r="B798"/>
      <c r="C798" s="15"/>
      <c r="D798" s="23"/>
      <c r="E798" s="23"/>
      <c r="F798" s="23"/>
      <c r="G798" s="23">
        <f t="shared" si="53"/>
        <v>0</v>
      </c>
      <c r="H798" s="23" t="e" cm="1">
        <f t="array" ref="H798">INDEX('GLOBAL LOG'!#REF!,ROW()-169+15)</f>
        <v>#REF!</v>
      </c>
      <c r="I798" s="23" t="e">
        <f>_xlfn.XLOOKUP(H798,#REF!,#REF!,"",0,1)</f>
        <v>#REF!</v>
      </c>
      <c r="J798" s="23" t="str">
        <f>IFERROR(I798*#REF!,"")</f>
        <v/>
      </c>
      <c r="K798" s="23" t="e" cm="1">
        <f t="array" ref="K798">INDEX('GLOBAL LOG'!#REF!,ROW()-169+15)</f>
        <v>#REF!</v>
      </c>
      <c r="L798" s="23" t="e">
        <f>_xlfn.XLOOKUP(K798,#REF!,#REF!,"",0,1)</f>
        <v>#REF!</v>
      </c>
      <c r="M798" s="23" t="str">
        <f>IFERROR(L798*#REF!,"")</f>
        <v/>
      </c>
      <c r="N798" s="23">
        <f t="shared" si="54"/>
        <v>-1</v>
      </c>
      <c r="O798" s="23">
        <f t="shared" si="55"/>
        <v>-1</v>
      </c>
      <c r="P798" s="23">
        <f t="shared" si="56"/>
        <v>-1</v>
      </c>
      <c r="Q798" s="24">
        <f t="shared" si="57"/>
        <v>-1</v>
      </c>
      <c r="R798" s="3"/>
      <c r="S798" s="1">
        <v>0</v>
      </c>
      <c r="T798" s="24">
        <v>-1</v>
      </c>
      <c r="U798"/>
      <c r="V798" s="1">
        <v>0</v>
      </c>
      <c r="W798" s="24">
        <v>-1</v>
      </c>
      <c r="X798"/>
      <c r="Y798" s="1">
        <v>0</v>
      </c>
      <c r="Z798" s="24">
        <v>-1</v>
      </c>
      <c r="AA798"/>
      <c r="AB798" s="1">
        <v>0</v>
      </c>
      <c r="AC798" s="24">
        <v>-1</v>
      </c>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c r="CA798"/>
      <c r="CB798"/>
      <c r="CC798"/>
      <c r="CD798"/>
      <c r="CE798"/>
      <c r="CF798"/>
      <c r="CG798"/>
      <c r="CH798"/>
      <c r="CI798"/>
      <c r="CJ798"/>
      <c r="CK798"/>
      <c r="CL798"/>
      <c r="CM798"/>
      <c r="CN798"/>
      <c r="CO798"/>
      <c r="CP798"/>
      <c r="CQ798"/>
      <c r="CR798"/>
      <c r="CS798"/>
    </row>
    <row r="799" spans="2:97">
      <c r="B799"/>
      <c r="C799" s="15"/>
      <c r="D799" s="23"/>
      <c r="E799" s="23"/>
      <c r="F799" s="23"/>
      <c r="G799" s="23">
        <f t="shared" si="53"/>
        <v>0</v>
      </c>
      <c r="H799" s="23" t="e" cm="1">
        <f t="array" ref="H799">INDEX('GLOBAL LOG'!#REF!,ROW()-169+15)</f>
        <v>#REF!</v>
      </c>
      <c r="I799" s="23" t="e">
        <f>_xlfn.XLOOKUP(H799,#REF!,#REF!,"",0,1)</f>
        <v>#REF!</v>
      </c>
      <c r="J799" s="23" t="str">
        <f>IFERROR(I799*#REF!,"")</f>
        <v/>
      </c>
      <c r="K799" s="23" t="e" cm="1">
        <f t="array" ref="K799">INDEX('GLOBAL LOG'!#REF!,ROW()-169+15)</f>
        <v>#REF!</v>
      </c>
      <c r="L799" s="23" t="e">
        <f>_xlfn.XLOOKUP(K799,#REF!,#REF!,"",0,1)</f>
        <v>#REF!</v>
      </c>
      <c r="M799" s="23" t="str">
        <f>IFERROR(L799*#REF!,"")</f>
        <v/>
      </c>
      <c r="N799" s="23">
        <f t="shared" si="54"/>
        <v>-1</v>
      </c>
      <c r="O799" s="23">
        <f t="shared" si="55"/>
        <v>-1</v>
      </c>
      <c r="P799" s="23">
        <f t="shared" si="56"/>
        <v>-1</v>
      </c>
      <c r="Q799" s="24">
        <f t="shared" si="57"/>
        <v>-1</v>
      </c>
      <c r="R799" s="3"/>
      <c r="S799" s="1">
        <v>0</v>
      </c>
      <c r="T799" s="24">
        <v>-1</v>
      </c>
      <c r="U799"/>
      <c r="V799" s="1">
        <v>0</v>
      </c>
      <c r="W799" s="24">
        <v>-1</v>
      </c>
      <c r="X799"/>
      <c r="Y799" s="1">
        <v>0</v>
      </c>
      <c r="Z799" s="24">
        <v>-1</v>
      </c>
      <c r="AA799"/>
      <c r="AB799" s="1">
        <v>0</v>
      </c>
      <c r="AC799" s="24">
        <v>-1</v>
      </c>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c r="CA799"/>
      <c r="CB799"/>
      <c r="CC799"/>
      <c r="CD799"/>
      <c r="CE799"/>
      <c r="CF799"/>
      <c r="CG799"/>
      <c r="CH799"/>
      <c r="CI799"/>
      <c r="CJ799"/>
      <c r="CK799"/>
      <c r="CL799"/>
      <c r="CM799"/>
      <c r="CN799"/>
      <c r="CO799"/>
      <c r="CP799"/>
      <c r="CQ799"/>
      <c r="CR799"/>
      <c r="CS799"/>
    </row>
    <row r="800" spans="2:97">
      <c r="B800"/>
      <c r="C800" s="15"/>
      <c r="D800" s="23"/>
      <c r="E800" s="23"/>
      <c r="F800" s="23"/>
      <c r="G800" s="23">
        <f t="shared" si="53"/>
        <v>0</v>
      </c>
      <c r="H800" s="23" t="e" cm="1">
        <f t="array" ref="H800">INDEX('GLOBAL LOG'!#REF!,ROW()-169+15)</f>
        <v>#REF!</v>
      </c>
      <c r="I800" s="23" t="e">
        <f>_xlfn.XLOOKUP(H800,#REF!,#REF!,"",0,1)</f>
        <v>#REF!</v>
      </c>
      <c r="J800" s="23" t="str">
        <f>IFERROR(I800*#REF!,"")</f>
        <v/>
      </c>
      <c r="K800" s="23" t="e" cm="1">
        <f t="array" ref="K800">INDEX('GLOBAL LOG'!#REF!,ROW()-169+15)</f>
        <v>#REF!</v>
      </c>
      <c r="L800" s="23" t="e">
        <f>_xlfn.XLOOKUP(K800,#REF!,#REF!,"",0,1)</f>
        <v>#REF!</v>
      </c>
      <c r="M800" s="23" t="str">
        <f>IFERROR(L800*#REF!,"")</f>
        <v/>
      </c>
      <c r="N800" s="23">
        <f t="shared" si="54"/>
        <v>-1</v>
      </c>
      <c r="O800" s="23">
        <f t="shared" si="55"/>
        <v>-1</v>
      </c>
      <c r="P800" s="23">
        <f t="shared" si="56"/>
        <v>-1</v>
      </c>
      <c r="Q800" s="24">
        <f t="shared" si="57"/>
        <v>-1</v>
      </c>
      <c r="R800" s="3"/>
      <c r="S800" s="1">
        <v>0</v>
      </c>
      <c r="T800" s="24">
        <v>-1</v>
      </c>
      <c r="U800"/>
      <c r="V800" s="1">
        <v>0</v>
      </c>
      <c r="W800" s="24">
        <v>-1</v>
      </c>
      <c r="X800"/>
      <c r="Y800" s="1">
        <v>0</v>
      </c>
      <c r="Z800" s="24">
        <v>-1</v>
      </c>
      <c r="AA800"/>
      <c r="AB800" s="1">
        <v>0</v>
      </c>
      <c r="AC800" s="24">
        <v>-1</v>
      </c>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c r="CC800"/>
      <c r="CD800"/>
      <c r="CE800"/>
      <c r="CF800"/>
      <c r="CG800"/>
      <c r="CH800"/>
      <c r="CI800"/>
      <c r="CJ800"/>
      <c r="CK800"/>
      <c r="CL800"/>
      <c r="CM800"/>
      <c r="CN800"/>
      <c r="CO800"/>
      <c r="CP800"/>
      <c r="CQ800"/>
      <c r="CR800"/>
      <c r="CS800"/>
    </row>
    <row r="801" spans="2:97">
      <c r="B801"/>
      <c r="C801" s="15"/>
      <c r="D801" s="23"/>
      <c r="E801" s="23"/>
      <c r="F801" s="23"/>
      <c r="G801" s="23">
        <f t="shared" si="53"/>
        <v>0</v>
      </c>
      <c r="H801" s="23" t="e" cm="1">
        <f t="array" ref="H801">INDEX('GLOBAL LOG'!#REF!,ROW()-169+15)</f>
        <v>#REF!</v>
      </c>
      <c r="I801" s="23" t="e">
        <f>_xlfn.XLOOKUP(H801,#REF!,#REF!,"",0,1)</f>
        <v>#REF!</v>
      </c>
      <c r="J801" s="23" t="str">
        <f>IFERROR(I801*#REF!,"")</f>
        <v/>
      </c>
      <c r="K801" s="23" t="e" cm="1">
        <f t="array" ref="K801">INDEX('GLOBAL LOG'!#REF!,ROW()-169+15)</f>
        <v>#REF!</v>
      </c>
      <c r="L801" s="23" t="e">
        <f>_xlfn.XLOOKUP(K801,#REF!,#REF!,"",0,1)</f>
        <v>#REF!</v>
      </c>
      <c r="M801" s="23" t="str">
        <f>IFERROR(L801*#REF!,"")</f>
        <v/>
      </c>
      <c r="N801" s="23">
        <f t="shared" si="54"/>
        <v>-1</v>
      </c>
      <c r="O801" s="23">
        <f t="shared" si="55"/>
        <v>-1</v>
      </c>
      <c r="P801" s="23">
        <f t="shared" si="56"/>
        <v>-1</v>
      </c>
      <c r="Q801" s="24">
        <f t="shared" si="57"/>
        <v>-1</v>
      </c>
      <c r="R801" s="3"/>
      <c r="S801" s="1">
        <v>0</v>
      </c>
      <c r="T801" s="24">
        <v>-1</v>
      </c>
      <c r="U801"/>
      <c r="V801" s="1">
        <v>0</v>
      </c>
      <c r="W801" s="24">
        <v>-1</v>
      </c>
      <c r="X801"/>
      <c r="Y801" s="1">
        <v>0</v>
      </c>
      <c r="Z801" s="24">
        <v>-1</v>
      </c>
      <c r="AA801"/>
      <c r="AB801" s="1">
        <v>0</v>
      </c>
      <c r="AC801" s="24">
        <v>-1</v>
      </c>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c r="CC801"/>
      <c r="CD801"/>
      <c r="CE801"/>
      <c r="CF801"/>
      <c r="CG801"/>
      <c r="CH801"/>
      <c r="CI801"/>
      <c r="CJ801"/>
      <c r="CK801"/>
      <c r="CL801"/>
      <c r="CM801"/>
      <c r="CN801"/>
      <c r="CO801"/>
      <c r="CP801"/>
      <c r="CQ801"/>
      <c r="CR801"/>
      <c r="CS801"/>
    </row>
    <row r="802" spans="2:97">
      <c r="B802"/>
      <c r="C802" s="15"/>
      <c r="D802" s="23"/>
      <c r="E802" s="23"/>
      <c r="F802" s="23"/>
      <c r="G802" s="23">
        <f t="shared" si="53"/>
        <v>0</v>
      </c>
      <c r="H802" s="23" t="e" cm="1">
        <f t="array" ref="H802">INDEX('GLOBAL LOG'!#REF!,ROW()-169+15)</f>
        <v>#REF!</v>
      </c>
      <c r="I802" s="23" t="e">
        <f>_xlfn.XLOOKUP(H802,#REF!,#REF!,"",0,1)</f>
        <v>#REF!</v>
      </c>
      <c r="J802" s="23" t="str">
        <f>IFERROR(I802*#REF!,"")</f>
        <v/>
      </c>
      <c r="K802" s="23" t="e" cm="1">
        <f t="array" ref="K802">INDEX('GLOBAL LOG'!#REF!,ROW()-169+15)</f>
        <v>#REF!</v>
      </c>
      <c r="L802" s="23" t="e">
        <f>_xlfn.XLOOKUP(K802,#REF!,#REF!,"",0,1)</f>
        <v>#REF!</v>
      </c>
      <c r="M802" s="23" t="str">
        <f>IFERROR(L802*#REF!,"")</f>
        <v/>
      </c>
      <c r="N802" s="23">
        <f t="shared" si="54"/>
        <v>-1</v>
      </c>
      <c r="O802" s="23">
        <f t="shared" si="55"/>
        <v>-1</v>
      </c>
      <c r="P802" s="23">
        <f t="shared" si="56"/>
        <v>-1</v>
      </c>
      <c r="Q802" s="24">
        <f t="shared" si="57"/>
        <v>-1</v>
      </c>
      <c r="R802" s="3"/>
      <c r="S802" s="1">
        <v>0</v>
      </c>
      <c r="T802" s="24">
        <v>-1</v>
      </c>
      <c r="U802"/>
      <c r="V802" s="1">
        <v>0</v>
      </c>
      <c r="W802" s="24">
        <v>-1</v>
      </c>
      <c r="X802"/>
      <c r="Y802" s="1">
        <v>0</v>
      </c>
      <c r="Z802" s="24">
        <v>-1</v>
      </c>
      <c r="AA802"/>
      <c r="AB802" s="1">
        <v>0</v>
      </c>
      <c r="AC802" s="24">
        <v>-1</v>
      </c>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c r="CA802"/>
      <c r="CB802"/>
      <c r="CC802"/>
      <c r="CD802"/>
      <c r="CE802"/>
      <c r="CF802"/>
      <c r="CG802"/>
      <c r="CH802"/>
      <c r="CI802"/>
      <c r="CJ802"/>
      <c r="CK802"/>
      <c r="CL802"/>
      <c r="CM802"/>
      <c r="CN802"/>
      <c r="CO802"/>
      <c r="CP802"/>
      <c r="CQ802"/>
      <c r="CR802"/>
      <c r="CS802"/>
    </row>
    <row r="803" spans="2:97">
      <c r="B803"/>
      <c r="C803" s="15"/>
      <c r="D803" s="23"/>
      <c r="E803" s="23"/>
      <c r="F803" s="23"/>
      <c r="G803" s="23">
        <f t="shared" si="53"/>
        <v>0</v>
      </c>
      <c r="H803" s="23" t="e" cm="1">
        <f t="array" ref="H803">INDEX('GLOBAL LOG'!#REF!,ROW()-169+15)</f>
        <v>#REF!</v>
      </c>
      <c r="I803" s="23" t="e">
        <f>_xlfn.XLOOKUP(H803,#REF!,#REF!,"",0,1)</f>
        <v>#REF!</v>
      </c>
      <c r="J803" s="23" t="str">
        <f>IFERROR(I803*#REF!,"")</f>
        <v/>
      </c>
      <c r="K803" s="23" t="e" cm="1">
        <f t="array" ref="K803">INDEX('GLOBAL LOG'!#REF!,ROW()-169+15)</f>
        <v>#REF!</v>
      </c>
      <c r="L803" s="23" t="e">
        <f>_xlfn.XLOOKUP(K803,#REF!,#REF!,"",0,1)</f>
        <v>#REF!</v>
      </c>
      <c r="M803" s="23" t="str">
        <f>IFERROR(L803*#REF!,"")</f>
        <v/>
      </c>
      <c r="N803" s="23">
        <f t="shared" si="54"/>
        <v>-1</v>
      </c>
      <c r="O803" s="23">
        <f t="shared" si="55"/>
        <v>-1</v>
      </c>
      <c r="P803" s="23">
        <f t="shared" si="56"/>
        <v>-1</v>
      </c>
      <c r="Q803" s="24">
        <f t="shared" si="57"/>
        <v>-1</v>
      </c>
      <c r="R803" s="3"/>
      <c r="S803" s="1">
        <v>0</v>
      </c>
      <c r="T803" s="24">
        <v>-1</v>
      </c>
      <c r="U803"/>
      <c r="V803" s="1">
        <v>0</v>
      </c>
      <c r="W803" s="24">
        <v>-1</v>
      </c>
      <c r="X803"/>
      <c r="Y803" s="1">
        <v>0</v>
      </c>
      <c r="Z803" s="24">
        <v>-1</v>
      </c>
      <c r="AA803"/>
      <c r="AB803" s="1">
        <v>0</v>
      </c>
      <c r="AC803" s="24">
        <v>-1</v>
      </c>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c r="CA803"/>
      <c r="CB803"/>
      <c r="CC803"/>
      <c r="CD803"/>
      <c r="CE803"/>
      <c r="CF803"/>
      <c r="CG803"/>
      <c r="CH803"/>
      <c r="CI803"/>
      <c r="CJ803"/>
      <c r="CK803"/>
      <c r="CL803"/>
      <c r="CM803"/>
      <c r="CN803"/>
      <c r="CO803"/>
      <c r="CP803"/>
      <c r="CQ803"/>
      <c r="CR803"/>
      <c r="CS803"/>
    </row>
    <row r="804" spans="2:97">
      <c r="B804"/>
      <c r="C804" s="15"/>
      <c r="D804" s="23"/>
      <c r="E804" s="23"/>
      <c r="F804" s="23"/>
      <c r="G804" s="23">
        <f t="shared" si="53"/>
        <v>0</v>
      </c>
      <c r="H804" s="23" t="e" cm="1">
        <f t="array" ref="H804">INDEX('GLOBAL LOG'!#REF!,ROW()-169+15)</f>
        <v>#REF!</v>
      </c>
      <c r="I804" s="23" t="e">
        <f>_xlfn.XLOOKUP(H804,#REF!,#REF!,"",0,1)</f>
        <v>#REF!</v>
      </c>
      <c r="J804" s="23" t="str">
        <f>IFERROR(I804*#REF!,"")</f>
        <v/>
      </c>
      <c r="K804" s="23" t="e" cm="1">
        <f t="array" ref="K804">INDEX('GLOBAL LOG'!#REF!,ROW()-169+15)</f>
        <v>#REF!</v>
      </c>
      <c r="L804" s="23" t="e">
        <f>_xlfn.XLOOKUP(K804,#REF!,#REF!,"",0,1)</f>
        <v>#REF!</v>
      </c>
      <c r="M804" s="23" t="str">
        <f>IFERROR(L804*#REF!,"")</f>
        <v/>
      </c>
      <c r="N804" s="23">
        <f t="shared" si="54"/>
        <v>-1</v>
      </c>
      <c r="O804" s="23">
        <f t="shared" si="55"/>
        <v>-1</v>
      </c>
      <c r="P804" s="23">
        <f t="shared" si="56"/>
        <v>-1</v>
      </c>
      <c r="Q804" s="24">
        <f t="shared" si="57"/>
        <v>-1</v>
      </c>
      <c r="R804" s="3"/>
      <c r="S804" s="1">
        <v>0</v>
      </c>
      <c r="T804" s="24">
        <v>-1</v>
      </c>
      <c r="U804"/>
      <c r="V804" s="1">
        <v>0</v>
      </c>
      <c r="W804" s="24">
        <v>-1</v>
      </c>
      <c r="X804"/>
      <c r="Y804" s="1">
        <v>0</v>
      </c>
      <c r="Z804" s="24">
        <v>-1</v>
      </c>
      <c r="AA804"/>
      <c r="AB804" s="1">
        <v>0</v>
      </c>
      <c r="AC804" s="24">
        <v>-1</v>
      </c>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c r="CA804"/>
      <c r="CB804"/>
      <c r="CC804"/>
      <c r="CD804"/>
      <c r="CE804"/>
      <c r="CF804"/>
      <c r="CG804"/>
      <c r="CH804"/>
      <c r="CI804"/>
      <c r="CJ804"/>
      <c r="CK804"/>
      <c r="CL804"/>
      <c r="CM804"/>
      <c r="CN804"/>
      <c r="CO804"/>
      <c r="CP804"/>
      <c r="CQ804"/>
      <c r="CR804"/>
      <c r="CS804"/>
    </row>
    <row r="805" spans="2:97">
      <c r="B805"/>
      <c r="C805" s="15"/>
      <c r="D805" s="23"/>
      <c r="E805" s="23"/>
      <c r="F805" s="23"/>
      <c r="G805" s="23">
        <f t="shared" si="53"/>
        <v>0</v>
      </c>
      <c r="H805" s="23" t="e" cm="1">
        <f t="array" ref="H805">INDEX('GLOBAL LOG'!#REF!,ROW()-169+15)</f>
        <v>#REF!</v>
      </c>
      <c r="I805" s="23" t="e">
        <f>_xlfn.XLOOKUP(H805,#REF!,#REF!,"",0,1)</f>
        <v>#REF!</v>
      </c>
      <c r="J805" s="23" t="str">
        <f>IFERROR(I805*#REF!,"")</f>
        <v/>
      </c>
      <c r="K805" s="23" t="e" cm="1">
        <f t="array" ref="K805">INDEX('GLOBAL LOG'!#REF!,ROW()-169+15)</f>
        <v>#REF!</v>
      </c>
      <c r="L805" s="23" t="e">
        <f>_xlfn.XLOOKUP(K805,#REF!,#REF!,"",0,1)</f>
        <v>#REF!</v>
      </c>
      <c r="M805" s="23" t="str">
        <f>IFERROR(L805*#REF!,"")</f>
        <v/>
      </c>
      <c r="N805" s="23">
        <f t="shared" si="54"/>
        <v>-1</v>
      </c>
      <c r="O805" s="23">
        <f t="shared" si="55"/>
        <v>-1</v>
      </c>
      <c r="P805" s="23">
        <f t="shared" si="56"/>
        <v>-1</v>
      </c>
      <c r="Q805" s="24">
        <f t="shared" si="57"/>
        <v>-1</v>
      </c>
      <c r="R805" s="3"/>
      <c r="S805" s="1">
        <v>0</v>
      </c>
      <c r="T805" s="24">
        <v>-1</v>
      </c>
      <c r="U805"/>
      <c r="V805" s="1">
        <v>0</v>
      </c>
      <c r="W805" s="24">
        <v>-1</v>
      </c>
      <c r="X805"/>
      <c r="Y805" s="1">
        <v>0</v>
      </c>
      <c r="Z805" s="24">
        <v>-1</v>
      </c>
      <c r="AA805"/>
      <c r="AB805" s="1">
        <v>0</v>
      </c>
      <c r="AC805" s="24">
        <v>-1</v>
      </c>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c r="CA805"/>
      <c r="CB805"/>
      <c r="CC805"/>
      <c r="CD805"/>
      <c r="CE805"/>
      <c r="CF805"/>
      <c r="CG805"/>
      <c r="CH805"/>
      <c r="CI805"/>
      <c r="CJ805"/>
      <c r="CK805"/>
      <c r="CL805"/>
      <c r="CM805"/>
      <c r="CN805"/>
      <c r="CO805"/>
      <c r="CP805"/>
      <c r="CQ805"/>
      <c r="CR805"/>
      <c r="CS805"/>
    </row>
    <row r="806" spans="2:97">
      <c r="B806"/>
      <c r="C806" s="15"/>
      <c r="D806" s="23"/>
      <c r="E806" s="23"/>
      <c r="F806" s="23"/>
      <c r="G806" s="23">
        <f t="shared" si="53"/>
        <v>0</v>
      </c>
      <c r="H806" s="23" t="e" cm="1">
        <f t="array" ref="H806">INDEX('GLOBAL LOG'!#REF!,ROW()-169+15)</f>
        <v>#REF!</v>
      </c>
      <c r="I806" s="23" t="e">
        <f>_xlfn.XLOOKUP(H806,#REF!,#REF!,"",0,1)</f>
        <v>#REF!</v>
      </c>
      <c r="J806" s="23" t="str">
        <f>IFERROR(I806*#REF!,"")</f>
        <v/>
      </c>
      <c r="K806" s="23" t="e" cm="1">
        <f t="array" ref="K806">INDEX('GLOBAL LOG'!#REF!,ROW()-169+15)</f>
        <v>#REF!</v>
      </c>
      <c r="L806" s="23" t="e">
        <f>_xlfn.XLOOKUP(K806,#REF!,#REF!,"",0,1)</f>
        <v>#REF!</v>
      </c>
      <c r="M806" s="23" t="str">
        <f>IFERROR(L806*#REF!,"")</f>
        <v/>
      </c>
      <c r="N806" s="23">
        <f t="shared" si="54"/>
        <v>-1</v>
      </c>
      <c r="O806" s="23">
        <f t="shared" si="55"/>
        <v>-1</v>
      </c>
      <c r="P806" s="23">
        <f t="shared" si="56"/>
        <v>-1</v>
      </c>
      <c r="Q806" s="24">
        <f t="shared" si="57"/>
        <v>-1</v>
      </c>
      <c r="R806" s="3"/>
      <c r="S806" s="1">
        <v>0</v>
      </c>
      <c r="T806" s="24">
        <v>-1</v>
      </c>
      <c r="U806"/>
      <c r="V806" s="1">
        <v>0</v>
      </c>
      <c r="W806" s="24">
        <v>-1</v>
      </c>
      <c r="X806"/>
      <c r="Y806" s="1">
        <v>0</v>
      </c>
      <c r="Z806" s="24">
        <v>-1</v>
      </c>
      <c r="AA806"/>
      <c r="AB806" s="1">
        <v>0</v>
      </c>
      <c r="AC806" s="24">
        <v>-1</v>
      </c>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c r="CA806"/>
      <c r="CB806"/>
      <c r="CC806"/>
      <c r="CD806"/>
      <c r="CE806"/>
      <c r="CF806"/>
      <c r="CG806"/>
      <c r="CH806"/>
      <c r="CI806"/>
      <c r="CJ806"/>
      <c r="CK806"/>
      <c r="CL806"/>
      <c r="CM806"/>
      <c r="CN806"/>
      <c r="CO806"/>
      <c r="CP806"/>
      <c r="CQ806"/>
      <c r="CR806"/>
      <c r="CS806"/>
    </row>
    <row r="807" spans="2:97">
      <c r="B807"/>
      <c r="C807" s="15"/>
      <c r="D807" s="23"/>
      <c r="E807" s="23"/>
      <c r="F807" s="23"/>
      <c r="G807" s="23">
        <f t="shared" si="53"/>
        <v>0</v>
      </c>
      <c r="H807" s="23" t="e" cm="1">
        <f t="array" ref="H807">INDEX('GLOBAL LOG'!#REF!,ROW()-169+15)</f>
        <v>#REF!</v>
      </c>
      <c r="I807" s="23" t="e">
        <f>_xlfn.XLOOKUP(H807,#REF!,#REF!,"",0,1)</f>
        <v>#REF!</v>
      </c>
      <c r="J807" s="23" t="str">
        <f>IFERROR(I807*#REF!,"")</f>
        <v/>
      </c>
      <c r="K807" s="23" t="e" cm="1">
        <f t="array" ref="K807">INDEX('GLOBAL LOG'!#REF!,ROW()-169+15)</f>
        <v>#REF!</v>
      </c>
      <c r="L807" s="23" t="e">
        <f>_xlfn.XLOOKUP(K807,#REF!,#REF!,"",0,1)</f>
        <v>#REF!</v>
      </c>
      <c r="M807" s="23" t="str">
        <f>IFERROR(L807*#REF!,"")</f>
        <v/>
      </c>
      <c r="N807" s="23">
        <f t="shared" si="54"/>
        <v>-1</v>
      </c>
      <c r="O807" s="23">
        <f t="shared" si="55"/>
        <v>-1</v>
      </c>
      <c r="P807" s="23">
        <f t="shared" si="56"/>
        <v>-1</v>
      </c>
      <c r="Q807" s="24">
        <f t="shared" si="57"/>
        <v>-1</v>
      </c>
      <c r="R807" s="3"/>
      <c r="S807" s="1">
        <v>0</v>
      </c>
      <c r="T807" s="24">
        <v>-1</v>
      </c>
      <c r="U807"/>
      <c r="V807" s="1">
        <v>0</v>
      </c>
      <c r="W807" s="24">
        <v>-1</v>
      </c>
      <c r="X807"/>
      <c r="Y807" s="1">
        <v>0</v>
      </c>
      <c r="Z807" s="24">
        <v>-1</v>
      </c>
      <c r="AA807"/>
      <c r="AB807" s="1">
        <v>0</v>
      </c>
      <c r="AC807" s="24">
        <v>-1</v>
      </c>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c r="CC807"/>
      <c r="CD807"/>
      <c r="CE807"/>
      <c r="CF807"/>
      <c r="CG807"/>
      <c r="CH807"/>
      <c r="CI807"/>
      <c r="CJ807"/>
      <c r="CK807"/>
      <c r="CL807"/>
      <c r="CM807"/>
      <c r="CN807"/>
      <c r="CO807"/>
      <c r="CP807"/>
      <c r="CQ807"/>
      <c r="CR807"/>
      <c r="CS807"/>
    </row>
    <row r="808" spans="2:97">
      <c r="B808"/>
      <c r="C808" s="15"/>
      <c r="D808" s="23"/>
      <c r="E808" s="23"/>
      <c r="F808" s="23"/>
      <c r="G808" s="23">
        <f t="shared" si="53"/>
        <v>0</v>
      </c>
      <c r="H808" s="23" t="e" cm="1">
        <f t="array" ref="H808">INDEX('GLOBAL LOG'!#REF!,ROW()-169+15)</f>
        <v>#REF!</v>
      </c>
      <c r="I808" s="23" t="e">
        <f>_xlfn.XLOOKUP(H808,#REF!,#REF!,"",0,1)</f>
        <v>#REF!</v>
      </c>
      <c r="J808" s="23" t="str">
        <f>IFERROR(I808*#REF!,"")</f>
        <v/>
      </c>
      <c r="K808" s="23" t="e" cm="1">
        <f t="array" ref="K808">INDEX('GLOBAL LOG'!#REF!,ROW()-169+15)</f>
        <v>#REF!</v>
      </c>
      <c r="L808" s="23" t="e">
        <f>_xlfn.XLOOKUP(K808,#REF!,#REF!,"",0,1)</f>
        <v>#REF!</v>
      </c>
      <c r="M808" s="23" t="str">
        <f>IFERROR(L808*#REF!,"")</f>
        <v/>
      </c>
      <c r="N808" s="23">
        <f t="shared" si="54"/>
        <v>-1</v>
      </c>
      <c r="O808" s="23">
        <f t="shared" si="55"/>
        <v>-1</v>
      </c>
      <c r="P808" s="23">
        <f t="shared" si="56"/>
        <v>-1</v>
      </c>
      <c r="Q808" s="24">
        <f t="shared" si="57"/>
        <v>-1</v>
      </c>
      <c r="R808" s="3"/>
      <c r="S808" s="1">
        <v>0</v>
      </c>
      <c r="T808" s="24">
        <v>-1</v>
      </c>
      <c r="U808"/>
      <c r="V808" s="1">
        <v>0</v>
      </c>
      <c r="W808" s="24">
        <v>-1</v>
      </c>
      <c r="X808"/>
      <c r="Y808" s="1">
        <v>0</v>
      </c>
      <c r="Z808" s="24">
        <v>-1</v>
      </c>
      <c r="AA808"/>
      <c r="AB808" s="1">
        <v>0</v>
      </c>
      <c r="AC808" s="24">
        <v>-1</v>
      </c>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c r="CC808"/>
      <c r="CD808"/>
      <c r="CE808"/>
      <c r="CF808"/>
      <c r="CG808"/>
      <c r="CH808"/>
      <c r="CI808"/>
      <c r="CJ808"/>
      <c r="CK808"/>
      <c r="CL808"/>
      <c r="CM808"/>
      <c r="CN808"/>
      <c r="CO808"/>
      <c r="CP808"/>
      <c r="CQ808"/>
      <c r="CR808"/>
      <c r="CS808"/>
    </row>
    <row r="809" spans="2:97">
      <c r="B809"/>
      <c r="C809" s="15"/>
      <c r="D809" s="23"/>
      <c r="E809" s="23"/>
      <c r="F809" s="23"/>
      <c r="G809" s="23">
        <f t="shared" si="53"/>
        <v>0</v>
      </c>
      <c r="H809" s="23" t="e" cm="1">
        <f t="array" ref="H809">INDEX('GLOBAL LOG'!#REF!,ROW()-169+15)</f>
        <v>#REF!</v>
      </c>
      <c r="I809" s="23" t="e">
        <f>_xlfn.XLOOKUP(H809,#REF!,#REF!,"",0,1)</f>
        <v>#REF!</v>
      </c>
      <c r="J809" s="23" t="str">
        <f>IFERROR(I809*#REF!,"")</f>
        <v/>
      </c>
      <c r="K809" s="23" t="e" cm="1">
        <f t="array" ref="K809">INDEX('GLOBAL LOG'!#REF!,ROW()-169+15)</f>
        <v>#REF!</v>
      </c>
      <c r="L809" s="23" t="e">
        <f>_xlfn.XLOOKUP(K809,#REF!,#REF!,"",0,1)</f>
        <v>#REF!</v>
      </c>
      <c r="M809" s="23" t="str">
        <f>IFERROR(L809*#REF!,"")</f>
        <v/>
      </c>
      <c r="N809" s="23">
        <f t="shared" si="54"/>
        <v>-1</v>
      </c>
      <c r="O809" s="23">
        <f t="shared" si="55"/>
        <v>-1</v>
      </c>
      <c r="P809" s="23">
        <f t="shared" si="56"/>
        <v>-1</v>
      </c>
      <c r="Q809" s="24">
        <f t="shared" si="57"/>
        <v>-1</v>
      </c>
      <c r="R809" s="3"/>
      <c r="S809" s="1">
        <v>0</v>
      </c>
      <c r="T809" s="24">
        <v>-1</v>
      </c>
      <c r="U809"/>
      <c r="V809" s="1">
        <v>0</v>
      </c>
      <c r="W809" s="24">
        <v>-1</v>
      </c>
      <c r="X809"/>
      <c r="Y809" s="1">
        <v>0</v>
      </c>
      <c r="Z809" s="24">
        <v>-1</v>
      </c>
      <c r="AA809"/>
      <c r="AB809" s="1">
        <v>0</v>
      </c>
      <c r="AC809" s="24">
        <v>-1</v>
      </c>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c r="CA809"/>
      <c r="CB809"/>
      <c r="CC809"/>
      <c r="CD809"/>
      <c r="CE809"/>
      <c r="CF809"/>
      <c r="CG809"/>
      <c r="CH809"/>
      <c r="CI809"/>
      <c r="CJ809"/>
      <c r="CK809"/>
      <c r="CL809"/>
      <c r="CM809"/>
      <c r="CN809"/>
      <c r="CO809"/>
      <c r="CP809"/>
      <c r="CQ809"/>
      <c r="CR809"/>
      <c r="CS809"/>
    </row>
    <row r="810" spans="2:97">
      <c r="B810"/>
      <c r="C810" s="15"/>
      <c r="D810" s="23"/>
      <c r="E810" s="23"/>
      <c r="F810" s="23"/>
      <c r="G810" s="23">
        <f t="shared" ref="G810:G873" si="58">E810+F810</f>
        <v>0</v>
      </c>
      <c r="H810" s="23" t="e" cm="1">
        <f t="array" ref="H810">INDEX('GLOBAL LOG'!#REF!,ROW()-169+15)</f>
        <v>#REF!</v>
      </c>
      <c r="I810" s="23" t="e">
        <f>_xlfn.XLOOKUP(H810,#REF!,#REF!,"",0,1)</f>
        <v>#REF!</v>
      </c>
      <c r="J810" s="23" t="str">
        <f>IFERROR(I810*#REF!,"")</f>
        <v/>
      </c>
      <c r="K810" s="23" t="e" cm="1">
        <f t="array" ref="K810">INDEX('GLOBAL LOG'!#REF!,ROW()-169+15)</f>
        <v>#REF!</v>
      </c>
      <c r="L810" s="23" t="e">
        <f>_xlfn.XLOOKUP(K810,#REF!,#REF!,"",0,1)</f>
        <v>#REF!</v>
      </c>
      <c r="M810" s="23" t="str">
        <f>IFERROR(L810*#REF!,"")</f>
        <v/>
      </c>
      <c r="N810" s="23">
        <f t="shared" ref="N810:N873" si="59">IFERROR(D810*J810*M810,-1)</f>
        <v>-1</v>
      </c>
      <c r="O810" s="23">
        <f t="shared" ref="O810:O873" si="60">IFERROR(E810*J810*M810,-1)</f>
        <v>-1</v>
      </c>
      <c r="P810" s="23">
        <f t="shared" ref="P810:P873" si="61">IFERROR(F810*J810*M810,-1)</f>
        <v>-1</v>
      </c>
      <c r="Q810" s="24">
        <f t="shared" ref="Q810:Q873" si="62">IFERROR(G810*J810*M810,-1)</f>
        <v>-1</v>
      </c>
      <c r="R810" s="3"/>
      <c r="S810" s="1">
        <v>0</v>
      </c>
      <c r="T810" s="24">
        <v>-1</v>
      </c>
      <c r="U810"/>
      <c r="V810" s="1">
        <v>0</v>
      </c>
      <c r="W810" s="24">
        <v>-1</v>
      </c>
      <c r="X810"/>
      <c r="Y810" s="1">
        <v>0</v>
      </c>
      <c r="Z810" s="24">
        <v>-1</v>
      </c>
      <c r="AA810"/>
      <c r="AB810" s="1">
        <v>0</v>
      </c>
      <c r="AC810" s="24">
        <v>-1</v>
      </c>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c r="CA810"/>
      <c r="CB810"/>
      <c r="CC810"/>
      <c r="CD810"/>
      <c r="CE810"/>
      <c r="CF810"/>
      <c r="CG810"/>
      <c r="CH810"/>
      <c r="CI810"/>
      <c r="CJ810"/>
      <c r="CK810"/>
      <c r="CL810"/>
      <c r="CM810"/>
      <c r="CN810"/>
      <c r="CO810"/>
      <c r="CP810"/>
      <c r="CQ810"/>
      <c r="CR810"/>
      <c r="CS810"/>
    </row>
    <row r="811" spans="2:97">
      <c r="B811"/>
      <c r="C811" s="15"/>
      <c r="D811" s="23"/>
      <c r="E811" s="23"/>
      <c r="F811" s="23"/>
      <c r="G811" s="23">
        <f t="shared" si="58"/>
        <v>0</v>
      </c>
      <c r="H811" s="23" t="e" cm="1">
        <f t="array" ref="H811">INDEX('GLOBAL LOG'!#REF!,ROW()-169+15)</f>
        <v>#REF!</v>
      </c>
      <c r="I811" s="23" t="e">
        <f>_xlfn.XLOOKUP(H811,#REF!,#REF!,"",0,1)</f>
        <v>#REF!</v>
      </c>
      <c r="J811" s="23" t="str">
        <f>IFERROR(I811*#REF!,"")</f>
        <v/>
      </c>
      <c r="K811" s="23" t="e" cm="1">
        <f t="array" ref="K811">INDEX('GLOBAL LOG'!#REF!,ROW()-169+15)</f>
        <v>#REF!</v>
      </c>
      <c r="L811" s="23" t="e">
        <f>_xlfn.XLOOKUP(K811,#REF!,#REF!,"",0,1)</f>
        <v>#REF!</v>
      </c>
      <c r="M811" s="23" t="str">
        <f>IFERROR(L811*#REF!,"")</f>
        <v/>
      </c>
      <c r="N811" s="23">
        <f t="shared" si="59"/>
        <v>-1</v>
      </c>
      <c r="O811" s="23">
        <f t="shared" si="60"/>
        <v>-1</v>
      </c>
      <c r="P811" s="23">
        <f t="shared" si="61"/>
        <v>-1</v>
      </c>
      <c r="Q811" s="24">
        <f t="shared" si="62"/>
        <v>-1</v>
      </c>
      <c r="R811" s="3"/>
      <c r="S811" s="1">
        <v>0</v>
      </c>
      <c r="T811" s="24">
        <v>-1</v>
      </c>
      <c r="U811"/>
      <c r="V811" s="1">
        <v>0</v>
      </c>
      <c r="W811" s="24">
        <v>-1</v>
      </c>
      <c r="X811"/>
      <c r="Y811" s="1">
        <v>0</v>
      </c>
      <c r="Z811" s="24">
        <v>-1</v>
      </c>
      <c r="AA811"/>
      <c r="AB811" s="1">
        <v>0</v>
      </c>
      <c r="AC811" s="24">
        <v>-1</v>
      </c>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c r="CA811"/>
      <c r="CB811"/>
      <c r="CC811"/>
      <c r="CD811"/>
      <c r="CE811"/>
      <c r="CF811"/>
      <c r="CG811"/>
      <c r="CH811"/>
      <c r="CI811"/>
      <c r="CJ811"/>
      <c r="CK811"/>
      <c r="CL811"/>
      <c r="CM811"/>
      <c r="CN811"/>
      <c r="CO811"/>
      <c r="CP811"/>
      <c r="CQ811"/>
      <c r="CR811"/>
      <c r="CS811"/>
    </row>
    <row r="812" spans="2:97">
      <c r="B812"/>
      <c r="C812" s="15"/>
      <c r="D812" s="23"/>
      <c r="E812" s="23"/>
      <c r="F812" s="23"/>
      <c r="G812" s="23">
        <f t="shared" si="58"/>
        <v>0</v>
      </c>
      <c r="H812" s="23" t="e" cm="1">
        <f t="array" ref="H812">INDEX('GLOBAL LOG'!#REF!,ROW()-169+15)</f>
        <v>#REF!</v>
      </c>
      <c r="I812" s="23" t="e">
        <f>_xlfn.XLOOKUP(H812,#REF!,#REF!,"",0,1)</f>
        <v>#REF!</v>
      </c>
      <c r="J812" s="23" t="str">
        <f>IFERROR(I812*#REF!,"")</f>
        <v/>
      </c>
      <c r="K812" s="23" t="e" cm="1">
        <f t="array" ref="K812">INDEX('GLOBAL LOG'!#REF!,ROW()-169+15)</f>
        <v>#REF!</v>
      </c>
      <c r="L812" s="23" t="e">
        <f>_xlfn.XLOOKUP(K812,#REF!,#REF!,"",0,1)</f>
        <v>#REF!</v>
      </c>
      <c r="M812" s="23" t="str">
        <f>IFERROR(L812*#REF!,"")</f>
        <v/>
      </c>
      <c r="N812" s="23">
        <f t="shared" si="59"/>
        <v>-1</v>
      </c>
      <c r="O812" s="23">
        <f t="shared" si="60"/>
        <v>-1</v>
      </c>
      <c r="P812" s="23">
        <f t="shared" si="61"/>
        <v>-1</v>
      </c>
      <c r="Q812" s="24">
        <f t="shared" si="62"/>
        <v>-1</v>
      </c>
      <c r="R812" s="3"/>
      <c r="S812" s="1">
        <v>0</v>
      </c>
      <c r="T812" s="24">
        <v>-1</v>
      </c>
      <c r="U812"/>
      <c r="V812" s="1">
        <v>0</v>
      </c>
      <c r="W812" s="24">
        <v>-1</v>
      </c>
      <c r="X812"/>
      <c r="Y812" s="1">
        <v>0</v>
      </c>
      <c r="Z812" s="24">
        <v>-1</v>
      </c>
      <c r="AA812"/>
      <c r="AB812" s="1">
        <v>0</v>
      </c>
      <c r="AC812" s="24">
        <v>-1</v>
      </c>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c r="CA812"/>
      <c r="CB812"/>
      <c r="CC812"/>
      <c r="CD812"/>
      <c r="CE812"/>
      <c r="CF812"/>
      <c r="CG812"/>
      <c r="CH812"/>
      <c r="CI812"/>
      <c r="CJ812"/>
      <c r="CK812"/>
      <c r="CL812"/>
      <c r="CM812"/>
      <c r="CN812"/>
      <c r="CO812"/>
      <c r="CP812"/>
      <c r="CQ812"/>
      <c r="CR812"/>
      <c r="CS812"/>
    </row>
    <row r="813" spans="2:97">
      <c r="B813"/>
      <c r="C813" s="15"/>
      <c r="D813" s="23"/>
      <c r="E813" s="23"/>
      <c r="F813" s="23"/>
      <c r="G813" s="23">
        <f t="shared" si="58"/>
        <v>0</v>
      </c>
      <c r="H813" s="23" t="e" cm="1">
        <f t="array" ref="H813">INDEX('GLOBAL LOG'!#REF!,ROW()-169+15)</f>
        <v>#REF!</v>
      </c>
      <c r="I813" s="23" t="e">
        <f>_xlfn.XLOOKUP(H813,#REF!,#REF!,"",0,1)</f>
        <v>#REF!</v>
      </c>
      <c r="J813" s="23" t="str">
        <f>IFERROR(I813*#REF!,"")</f>
        <v/>
      </c>
      <c r="K813" s="23" t="e" cm="1">
        <f t="array" ref="K813">INDEX('GLOBAL LOG'!#REF!,ROW()-169+15)</f>
        <v>#REF!</v>
      </c>
      <c r="L813" s="23" t="e">
        <f>_xlfn.XLOOKUP(K813,#REF!,#REF!,"",0,1)</f>
        <v>#REF!</v>
      </c>
      <c r="M813" s="23" t="str">
        <f>IFERROR(L813*#REF!,"")</f>
        <v/>
      </c>
      <c r="N813" s="23">
        <f t="shared" si="59"/>
        <v>-1</v>
      </c>
      <c r="O813" s="23">
        <f t="shared" si="60"/>
        <v>-1</v>
      </c>
      <c r="P813" s="23">
        <f t="shared" si="61"/>
        <v>-1</v>
      </c>
      <c r="Q813" s="24">
        <f t="shared" si="62"/>
        <v>-1</v>
      </c>
      <c r="R813" s="3"/>
      <c r="S813" s="1">
        <v>0</v>
      </c>
      <c r="T813" s="24">
        <v>-1</v>
      </c>
      <c r="U813"/>
      <c r="V813" s="1">
        <v>0</v>
      </c>
      <c r="W813" s="24">
        <v>-1</v>
      </c>
      <c r="X813"/>
      <c r="Y813" s="1">
        <v>0</v>
      </c>
      <c r="Z813" s="24">
        <v>-1</v>
      </c>
      <c r="AA813"/>
      <c r="AB813" s="1">
        <v>0</v>
      </c>
      <c r="AC813" s="24">
        <v>-1</v>
      </c>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c r="CA813"/>
      <c r="CB813"/>
      <c r="CC813"/>
      <c r="CD813"/>
      <c r="CE813"/>
      <c r="CF813"/>
      <c r="CG813"/>
      <c r="CH813"/>
      <c r="CI813"/>
      <c r="CJ813"/>
      <c r="CK813"/>
      <c r="CL813"/>
      <c r="CM813"/>
      <c r="CN813"/>
      <c r="CO813"/>
      <c r="CP813"/>
      <c r="CQ813"/>
      <c r="CR813"/>
      <c r="CS813"/>
    </row>
    <row r="814" spans="2:97">
      <c r="B814"/>
      <c r="C814" s="15"/>
      <c r="D814" s="23"/>
      <c r="E814" s="23"/>
      <c r="F814" s="23"/>
      <c r="G814" s="23">
        <f t="shared" si="58"/>
        <v>0</v>
      </c>
      <c r="H814" s="23" t="e" cm="1">
        <f t="array" ref="H814">INDEX('GLOBAL LOG'!#REF!,ROW()-169+15)</f>
        <v>#REF!</v>
      </c>
      <c r="I814" s="23" t="e">
        <f>_xlfn.XLOOKUP(H814,#REF!,#REF!,"",0,1)</f>
        <v>#REF!</v>
      </c>
      <c r="J814" s="23" t="str">
        <f>IFERROR(I814*#REF!,"")</f>
        <v/>
      </c>
      <c r="K814" s="23" t="e" cm="1">
        <f t="array" ref="K814">INDEX('GLOBAL LOG'!#REF!,ROW()-169+15)</f>
        <v>#REF!</v>
      </c>
      <c r="L814" s="23" t="e">
        <f>_xlfn.XLOOKUP(K814,#REF!,#REF!,"",0,1)</f>
        <v>#REF!</v>
      </c>
      <c r="M814" s="23" t="str">
        <f>IFERROR(L814*#REF!,"")</f>
        <v/>
      </c>
      <c r="N814" s="23">
        <f t="shared" si="59"/>
        <v>-1</v>
      </c>
      <c r="O814" s="23">
        <f t="shared" si="60"/>
        <v>-1</v>
      </c>
      <c r="P814" s="23">
        <f t="shared" si="61"/>
        <v>-1</v>
      </c>
      <c r="Q814" s="24">
        <f t="shared" si="62"/>
        <v>-1</v>
      </c>
      <c r="R814" s="3"/>
      <c r="S814" s="1">
        <v>0</v>
      </c>
      <c r="T814" s="24">
        <v>-1</v>
      </c>
      <c r="U814"/>
      <c r="V814" s="1">
        <v>0</v>
      </c>
      <c r="W814" s="24">
        <v>-1</v>
      </c>
      <c r="X814"/>
      <c r="Y814" s="1">
        <v>0</v>
      </c>
      <c r="Z814" s="24">
        <v>-1</v>
      </c>
      <c r="AA814"/>
      <c r="AB814" s="1">
        <v>0</v>
      </c>
      <c r="AC814" s="24">
        <v>-1</v>
      </c>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c r="CA814"/>
      <c r="CB814"/>
      <c r="CC814"/>
      <c r="CD814"/>
      <c r="CE814"/>
      <c r="CF814"/>
      <c r="CG814"/>
      <c r="CH814"/>
      <c r="CI814"/>
      <c r="CJ814"/>
      <c r="CK814"/>
      <c r="CL814"/>
      <c r="CM814"/>
      <c r="CN814"/>
      <c r="CO814"/>
      <c r="CP814"/>
      <c r="CQ814"/>
      <c r="CR814"/>
      <c r="CS814"/>
    </row>
    <row r="815" spans="2:97">
      <c r="B815"/>
      <c r="C815" s="15"/>
      <c r="D815" s="23"/>
      <c r="E815" s="23"/>
      <c r="F815" s="23"/>
      <c r="G815" s="23">
        <f t="shared" si="58"/>
        <v>0</v>
      </c>
      <c r="H815" s="23" t="e" cm="1">
        <f t="array" ref="H815">INDEX('GLOBAL LOG'!#REF!,ROW()-169+15)</f>
        <v>#REF!</v>
      </c>
      <c r="I815" s="23" t="e">
        <f>_xlfn.XLOOKUP(H815,#REF!,#REF!,"",0,1)</f>
        <v>#REF!</v>
      </c>
      <c r="J815" s="23" t="str">
        <f>IFERROR(I815*#REF!,"")</f>
        <v/>
      </c>
      <c r="K815" s="23" t="e" cm="1">
        <f t="array" ref="K815">INDEX('GLOBAL LOG'!#REF!,ROW()-169+15)</f>
        <v>#REF!</v>
      </c>
      <c r="L815" s="23" t="e">
        <f>_xlfn.XLOOKUP(K815,#REF!,#REF!,"",0,1)</f>
        <v>#REF!</v>
      </c>
      <c r="M815" s="23" t="str">
        <f>IFERROR(L815*#REF!,"")</f>
        <v/>
      </c>
      <c r="N815" s="23">
        <f t="shared" si="59"/>
        <v>-1</v>
      </c>
      <c r="O815" s="23">
        <f t="shared" si="60"/>
        <v>-1</v>
      </c>
      <c r="P815" s="23">
        <f t="shared" si="61"/>
        <v>-1</v>
      </c>
      <c r="Q815" s="24">
        <f t="shared" si="62"/>
        <v>-1</v>
      </c>
      <c r="R815" s="3"/>
      <c r="S815" s="1">
        <v>0</v>
      </c>
      <c r="T815" s="24">
        <v>-1</v>
      </c>
      <c r="U815"/>
      <c r="V815" s="1">
        <v>0</v>
      </c>
      <c r="W815" s="24">
        <v>-1</v>
      </c>
      <c r="X815"/>
      <c r="Y815" s="1">
        <v>0</v>
      </c>
      <c r="Z815" s="24">
        <v>-1</v>
      </c>
      <c r="AA815"/>
      <c r="AB815" s="1">
        <v>0</v>
      </c>
      <c r="AC815" s="24">
        <v>-1</v>
      </c>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c r="CA815"/>
      <c r="CB815"/>
      <c r="CC815"/>
      <c r="CD815"/>
      <c r="CE815"/>
      <c r="CF815"/>
      <c r="CG815"/>
      <c r="CH815"/>
      <c r="CI815"/>
      <c r="CJ815"/>
      <c r="CK815"/>
      <c r="CL815"/>
      <c r="CM815"/>
      <c r="CN815"/>
      <c r="CO815"/>
      <c r="CP815"/>
      <c r="CQ815"/>
      <c r="CR815"/>
      <c r="CS815"/>
    </row>
    <row r="816" spans="2:97">
      <c r="B816"/>
      <c r="C816" s="15"/>
      <c r="D816" s="23"/>
      <c r="E816" s="23"/>
      <c r="F816" s="23"/>
      <c r="G816" s="23">
        <f t="shared" si="58"/>
        <v>0</v>
      </c>
      <c r="H816" s="23" t="e" cm="1">
        <f t="array" ref="H816">INDEX('GLOBAL LOG'!#REF!,ROW()-169+15)</f>
        <v>#REF!</v>
      </c>
      <c r="I816" s="23" t="e">
        <f>_xlfn.XLOOKUP(H816,#REF!,#REF!,"",0,1)</f>
        <v>#REF!</v>
      </c>
      <c r="J816" s="23" t="str">
        <f>IFERROR(I816*#REF!,"")</f>
        <v/>
      </c>
      <c r="K816" s="23" t="e" cm="1">
        <f t="array" ref="K816">INDEX('GLOBAL LOG'!#REF!,ROW()-169+15)</f>
        <v>#REF!</v>
      </c>
      <c r="L816" s="23" t="e">
        <f>_xlfn.XLOOKUP(K816,#REF!,#REF!,"",0,1)</f>
        <v>#REF!</v>
      </c>
      <c r="M816" s="23" t="str">
        <f>IFERROR(L816*#REF!,"")</f>
        <v/>
      </c>
      <c r="N816" s="23">
        <f t="shared" si="59"/>
        <v>-1</v>
      </c>
      <c r="O816" s="23">
        <f t="shared" si="60"/>
        <v>-1</v>
      </c>
      <c r="P816" s="23">
        <f t="shared" si="61"/>
        <v>-1</v>
      </c>
      <c r="Q816" s="24">
        <f t="shared" si="62"/>
        <v>-1</v>
      </c>
      <c r="R816" s="3"/>
      <c r="S816" s="1">
        <v>0</v>
      </c>
      <c r="T816" s="24">
        <v>-1</v>
      </c>
      <c r="U816"/>
      <c r="V816" s="1">
        <v>0</v>
      </c>
      <c r="W816" s="24">
        <v>-1</v>
      </c>
      <c r="X816"/>
      <c r="Y816" s="1">
        <v>0</v>
      </c>
      <c r="Z816" s="24">
        <v>-1</v>
      </c>
      <c r="AA816"/>
      <c r="AB816" s="1">
        <v>0</v>
      </c>
      <c r="AC816" s="24">
        <v>-1</v>
      </c>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c r="CA816"/>
      <c r="CB816"/>
      <c r="CC816"/>
      <c r="CD816"/>
      <c r="CE816"/>
      <c r="CF816"/>
      <c r="CG816"/>
      <c r="CH816"/>
      <c r="CI816"/>
      <c r="CJ816"/>
      <c r="CK816"/>
      <c r="CL816"/>
      <c r="CM816"/>
      <c r="CN816"/>
      <c r="CO816"/>
      <c r="CP816"/>
      <c r="CQ816"/>
      <c r="CR816"/>
      <c r="CS816"/>
    </row>
    <row r="817" spans="2:97">
      <c r="B817"/>
      <c r="C817" s="15"/>
      <c r="D817" s="23"/>
      <c r="E817" s="23"/>
      <c r="F817" s="23"/>
      <c r="G817" s="23">
        <f t="shared" si="58"/>
        <v>0</v>
      </c>
      <c r="H817" s="23" t="e" cm="1">
        <f t="array" ref="H817">INDEX('GLOBAL LOG'!#REF!,ROW()-169+15)</f>
        <v>#REF!</v>
      </c>
      <c r="I817" s="23" t="e">
        <f>_xlfn.XLOOKUP(H817,#REF!,#REF!,"",0,1)</f>
        <v>#REF!</v>
      </c>
      <c r="J817" s="23" t="str">
        <f>IFERROR(I817*#REF!,"")</f>
        <v/>
      </c>
      <c r="K817" s="23" t="e" cm="1">
        <f t="array" ref="K817">INDEX('GLOBAL LOG'!#REF!,ROW()-169+15)</f>
        <v>#REF!</v>
      </c>
      <c r="L817" s="23" t="e">
        <f>_xlfn.XLOOKUP(K817,#REF!,#REF!,"",0,1)</f>
        <v>#REF!</v>
      </c>
      <c r="M817" s="23" t="str">
        <f>IFERROR(L817*#REF!,"")</f>
        <v/>
      </c>
      <c r="N817" s="23">
        <f t="shared" si="59"/>
        <v>-1</v>
      </c>
      <c r="O817" s="23">
        <f t="shared" si="60"/>
        <v>-1</v>
      </c>
      <c r="P817" s="23">
        <f t="shared" si="61"/>
        <v>-1</v>
      </c>
      <c r="Q817" s="24">
        <f t="shared" si="62"/>
        <v>-1</v>
      </c>
      <c r="R817" s="3"/>
      <c r="S817" s="1">
        <v>0</v>
      </c>
      <c r="T817" s="24">
        <v>-1</v>
      </c>
      <c r="U817"/>
      <c r="V817" s="1">
        <v>0</v>
      </c>
      <c r="W817" s="24">
        <v>-1</v>
      </c>
      <c r="X817"/>
      <c r="Y817" s="1">
        <v>0</v>
      </c>
      <c r="Z817" s="24">
        <v>-1</v>
      </c>
      <c r="AA817"/>
      <c r="AB817" s="1">
        <v>0</v>
      </c>
      <c r="AC817" s="24">
        <v>-1</v>
      </c>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c r="CA817"/>
      <c r="CB817"/>
      <c r="CC817"/>
      <c r="CD817"/>
      <c r="CE817"/>
      <c r="CF817"/>
      <c r="CG817"/>
      <c r="CH817"/>
      <c r="CI817"/>
      <c r="CJ817"/>
      <c r="CK817"/>
      <c r="CL817"/>
      <c r="CM817"/>
      <c r="CN817"/>
      <c r="CO817"/>
      <c r="CP817"/>
      <c r="CQ817"/>
      <c r="CR817"/>
      <c r="CS817"/>
    </row>
    <row r="818" spans="2:97">
      <c r="B818"/>
      <c r="C818" s="15"/>
      <c r="D818" s="23"/>
      <c r="E818" s="23"/>
      <c r="F818" s="23"/>
      <c r="G818" s="23">
        <f t="shared" si="58"/>
        <v>0</v>
      </c>
      <c r="H818" s="23" t="e" cm="1">
        <f t="array" ref="H818">INDEX('GLOBAL LOG'!#REF!,ROW()-169+15)</f>
        <v>#REF!</v>
      </c>
      <c r="I818" s="23" t="e">
        <f>_xlfn.XLOOKUP(H818,#REF!,#REF!,"",0,1)</f>
        <v>#REF!</v>
      </c>
      <c r="J818" s="23" t="str">
        <f>IFERROR(I818*#REF!,"")</f>
        <v/>
      </c>
      <c r="K818" s="23" t="e" cm="1">
        <f t="array" ref="K818">INDEX('GLOBAL LOG'!#REF!,ROW()-169+15)</f>
        <v>#REF!</v>
      </c>
      <c r="L818" s="23" t="e">
        <f>_xlfn.XLOOKUP(K818,#REF!,#REF!,"",0,1)</f>
        <v>#REF!</v>
      </c>
      <c r="M818" s="23" t="str">
        <f>IFERROR(L818*#REF!,"")</f>
        <v/>
      </c>
      <c r="N818" s="23">
        <f t="shared" si="59"/>
        <v>-1</v>
      </c>
      <c r="O818" s="23">
        <f t="shared" si="60"/>
        <v>-1</v>
      </c>
      <c r="P818" s="23">
        <f t="shared" si="61"/>
        <v>-1</v>
      </c>
      <c r="Q818" s="24">
        <f t="shared" si="62"/>
        <v>-1</v>
      </c>
      <c r="R818" s="3"/>
      <c r="S818" s="1">
        <v>0</v>
      </c>
      <c r="T818" s="24">
        <v>-1</v>
      </c>
      <c r="U818"/>
      <c r="V818" s="1">
        <v>0</v>
      </c>
      <c r="W818" s="24">
        <v>-1</v>
      </c>
      <c r="X818"/>
      <c r="Y818" s="1">
        <v>0</v>
      </c>
      <c r="Z818" s="24">
        <v>-1</v>
      </c>
      <c r="AA818"/>
      <c r="AB818" s="1">
        <v>0</v>
      </c>
      <c r="AC818" s="24">
        <v>-1</v>
      </c>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c r="CA818"/>
      <c r="CB818"/>
      <c r="CC818"/>
      <c r="CD818"/>
      <c r="CE818"/>
      <c r="CF818"/>
      <c r="CG818"/>
      <c r="CH818"/>
      <c r="CI818"/>
      <c r="CJ818"/>
      <c r="CK818"/>
      <c r="CL818"/>
      <c r="CM818"/>
      <c r="CN818"/>
      <c r="CO818"/>
      <c r="CP818"/>
      <c r="CQ818"/>
      <c r="CR818"/>
      <c r="CS818"/>
    </row>
    <row r="819" spans="2:97">
      <c r="B819"/>
      <c r="C819" s="15"/>
      <c r="D819" s="23"/>
      <c r="E819" s="23"/>
      <c r="F819" s="23"/>
      <c r="G819" s="23">
        <f t="shared" si="58"/>
        <v>0</v>
      </c>
      <c r="H819" s="23" t="e" cm="1">
        <f t="array" ref="H819">INDEX('GLOBAL LOG'!#REF!,ROW()-169+15)</f>
        <v>#REF!</v>
      </c>
      <c r="I819" s="23" t="e">
        <f>_xlfn.XLOOKUP(H819,#REF!,#REF!,"",0,1)</f>
        <v>#REF!</v>
      </c>
      <c r="J819" s="23" t="str">
        <f>IFERROR(I819*#REF!,"")</f>
        <v/>
      </c>
      <c r="K819" s="23" t="e" cm="1">
        <f t="array" ref="K819">INDEX('GLOBAL LOG'!#REF!,ROW()-169+15)</f>
        <v>#REF!</v>
      </c>
      <c r="L819" s="23" t="e">
        <f>_xlfn.XLOOKUP(K819,#REF!,#REF!,"",0,1)</f>
        <v>#REF!</v>
      </c>
      <c r="M819" s="23" t="str">
        <f>IFERROR(L819*#REF!,"")</f>
        <v/>
      </c>
      <c r="N819" s="23">
        <f t="shared" si="59"/>
        <v>-1</v>
      </c>
      <c r="O819" s="23">
        <f t="shared" si="60"/>
        <v>-1</v>
      </c>
      <c r="P819" s="23">
        <f t="shared" si="61"/>
        <v>-1</v>
      </c>
      <c r="Q819" s="24">
        <f t="shared" si="62"/>
        <v>-1</v>
      </c>
      <c r="R819" s="3"/>
      <c r="S819" s="1">
        <v>0</v>
      </c>
      <c r="T819" s="24">
        <v>-1</v>
      </c>
      <c r="U819"/>
      <c r="V819" s="1">
        <v>0</v>
      </c>
      <c r="W819" s="24">
        <v>-1</v>
      </c>
      <c r="X819"/>
      <c r="Y819" s="1">
        <v>0</v>
      </c>
      <c r="Z819" s="24">
        <v>-1</v>
      </c>
      <c r="AA819"/>
      <c r="AB819" s="1">
        <v>0</v>
      </c>
      <c r="AC819" s="24">
        <v>-1</v>
      </c>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c r="CA819"/>
      <c r="CB819"/>
      <c r="CC819"/>
      <c r="CD819"/>
      <c r="CE819"/>
      <c r="CF819"/>
      <c r="CG819"/>
      <c r="CH819"/>
      <c r="CI819"/>
      <c r="CJ819"/>
      <c r="CK819"/>
      <c r="CL819"/>
      <c r="CM819"/>
      <c r="CN819"/>
      <c r="CO819"/>
      <c r="CP819"/>
      <c r="CQ819"/>
      <c r="CR819"/>
      <c r="CS819"/>
    </row>
    <row r="820" spans="2:97">
      <c r="B820"/>
      <c r="C820" s="15"/>
      <c r="D820" s="23"/>
      <c r="E820" s="23"/>
      <c r="F820" s="23"/>
      <c r="G820" s="23">
        <f t="shared" si="58"/>
        <v>0</v>
      </c>
      <c r="H820" s="23" t="e" cm="1">
        <f t="array" ref="H820">INDEX('GLOBAL LOG'!#REF!,ROW()-169+15)</f>
        <v>#REF!</v>
      </c>
      <c r="I820" s="23" t="e">
        <f>_xlfn.XLOOKUP(H820,#REF!,#REF!,"",0,1)</f>
        <v>#REF!</v>
      </c>
      <c r="J820" s="23" t="str">
        <f>IFERROR(I820*#REF!,"")</f>
        <v/>
      </c>
      <c r="K820" s="23" t="e" cm="1">
        <f t="array" ref="K820">INDEX('GLOBAL LOG'!#REF!,ROW()-169+15)</f>
        <v>#REF!</v>
      </c>
      <c r="L820" s="23" t="e">
        <f>_xlfn.XLOOKUP(K820,#REF!,#REF!,"",0,1)</f>
        <v>#REF!</v>
      </c>
      <c r="M820" s="23" t="str">
        <f>IFERROR(L820*#REF!,"")</f>
        <v/>
      </c>
      <c r="N820" s="23">
        <f t="shared" si="59"/>
        <v>-1</v>
      </c>
      <c r="O820" s="23">
        <f t="shared" si="60"/>
        <v>-1</v>
      </c>
      <c r="P820" s="23">
        <f t="shared" si="61"/>
        <v>-1</v>
      </c>
      <c r="Q820" s="24">
        <f t="shared" si="62"/>
        <v>-1</v>
      </c>
      <c r="R820" s="3"/>
      <c r="S820" s="1">
        <v>0</v>
      </c>
      <c r="T820" s="24">
        <v>-1</v>
      </c>
      <c r="U820"/>
      <c r="V820" s="1">
        <v>0</v>
      </c>
      <c r="W820" s="24">
        <v>-1</v>
      </c>
      <c r="X820"/>
      <c r="Y820" s="1">
        <v>0</v>
      </c>
      <c r="Z820" s="24">
        <v>-1</v>
      </c>
      <c r="AA820"/>
      <c r="AB820" s="1">
        <v>0</v>
      </c>
      <c r="AC820" s="24">
        <v>-1</v>
      </c>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c r="CA820"/>
      <c r="CB820"/>
      <c r="CC820"/>
      <c r="CD820"/>
      <c r="CE820"/>
      <c r="CF820"/>
      <c r="CG820"/>
      <c r="CH820"/>
      <c r="CI820"/>
      <c r="CJ820"/>
      <c r="CK820"/>
      <c r="CL820"/>
      <c r="CM820"/>
      <c r="CN820"/>
      <c r="CO820"/>
      <c r="CP820"/>
      <c r="CQ820"/>
      <c r="CR820"/>
      <c r="CS820"/>
    </row>
    <row r="821" spans="2:97">
      <c r="B821"/>
      <c r="C821" s="15"/>
      <c r="D821" s="23"/>
      <c r="E821" s="23"/>
      <c r="F821" s="23"/>
      <c r="G821" s="23">
        <f t="shared" si="58"/>
        <v>0</v>
      </c>
      <c r="H821" s="23" t="e" cm="1">
        <f t="array" ref="H821">INDEX('GLOBAL LOG'!#REF!,ROW()-169+15)</f>
        <v>#REF!</v>
      </c>
      <c r="I821" s="23" t="e">
        <f>_xlfn.XLOOKUP(H821,#REF!,#REF!,"",0,1)</f>
        <v>#REF!</v>
      </c>
      <c r="J821" s="23" t="str">
        <f>IFERROR(I821*#REF!,"")</f>
        <v/>
      </c>
      <c r="K821" s="23" t="e" cm="1">
        <f t="array" ref="K821">INDEX('GLOBAL LOG'!#REF!,ROW()-169+15)</f>
        <v>#REF!</v>
      </c>
      <c r="L821" s="23" t="e">
        <f>_xlfn.XLOOKUP(K821,#REF!,#REF!,"",0,1)</f>
        <v>#REF!</v>
      </c>
      <c r="M821" s="23" t="str">
        <f>IFERROR(L821*#REF!,"")</f>
        <v/>
      </c>
      <c r="N821" s="23">
        <f t="shared" si="59"/>
        <v>-1</v>
      </c>
      <c r="O821" s="23">
        <f t="shared" si="60"/>
        <v>-1</v>
      </c>
      <c r="P821" s="23">
        <f t="shared" si="61"/>
        <v>-1</v>
      </c>
      <c r="Q821" s="24">
        <f t="shared" si="62"/>
        <v>-1</v>
      </c>
      <c r="R821" s="3"/>
      <c r="S821" s="1">
        <v>0</v>
      </c>
      <c r="T821" s="24">
        <v>-1</v>
      </c>
      <c r="U821"/>
      <c r="V821" s="1">
        <v>0</v>
      </c>
      <c r="W821" s="24">
        <v>-1</v>
      </c>
      <c r="X821"/>
      <c r="Y821" s="1">
        <v>0</v>
      </c>
      <c r="Z821" s="24">
        <v>-1</v>
      </c>
      <c r="AA821"/>
      <c r="AB821" s="1">
        <v>0</v>
      </c>
      <c r="AC821" s="24">
        <v>-1</v>
      </c>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c r="CA821"/>
      <c r="CB821"/>
      <c r="CC821"/>
      <c r="CD821"/>
      <c r="CE821"/>
      <c r="CF821"/>
      <c r="CG821"/>
      <c r="CH821"/>
      <c r="CI821"/>
      <c r="CJ821"/>
      <c r="CK821"/>
      <c r="CL821"/>
      <c r="CM821"/>
      <c r="CN821"/>
      <c r="CO821"/>
      <c r="CP821"/>
      <c r="CQ821"/>
      <c r="CR821"/>
      <c r="CS821"/>
    </row>
    <row r="822" spans="2:97">
      <c r="B822"/>
      <c r="C822" s="15"/>
      <c r="D822" s="23"/>
      <c r="E822" s="23"/>
      <c r="F822" s="23"/>
      <c r="G822" s="23">
        <f t="shared" si="58"/>
        <v>0</v>
      </c>
      <c r="H822" s="23" t="e" cm="1">
        <f t="array" ref="H822">INDEX('GLOBAL LOG'!#REF!,ROW()-169+15)</f>
        <v>#REF!</v>
      </c>
      <c r="I822" s="23" t="e">
        <f>_xlfn.XLOOKUP(H822,#REF!,#REF!,"",0,1)</f>
        <v>#REF!</v>
      </c>
      <c r="J822" s="23" t="str">
        <f>IFERROR(I822*#REF!,"")</f>
        <v/>
      </c>
      <c r="K822" s="23" t="e" cm="1">
        <f t="array" ref="K822">INDEX('GLOBAL LOG'!#REF!,ROW()-169+15)</f>
        <v>#REF!</v>
      </c>
      <c r="L822" s="23" t="e">
        <f>_xlfn.XLOOKUP(K822,#REF!,#REF!,"",0,1)</f>
        <v>#REF!</v>
      </c>
      <c r="M822" s="23" t="str">
        <f>IFERROR(L822*#REF!,"")</f>
        <v/>
      </c>
      <c r="N822" s="23">
        <f t="shared" si="59"/>
        <v>-1</v>
      </c>
      <c r="O822" s="23">
        <f t="shared" si="60"/>
        <v>-1</v>
      </c>
      <c r="P822" s="23">
        <f t="shared" si="61"/>
        <v>-1</v>
      </c>
      <c r="Q822" s="24">
        <f t="shared" si="62"/>
        <v>-1</v>
      </c>
      <c r="R822" s="3"/>
      <c r="S822" s="1">
        <v>0</v>
      </c>
      <c r="T822" s="24">
        <v>-1</v>
      </c>
      <c r="U822"/>
      <c r="V822" s="1">
        <v>0</v>
      </c>
      <c r="W822" s="24">
        <v>-1</v>
      </c>
      <c r="X822"/>
      <c r="Y822" s="1">
        <v>0</v>
      </c>
      <c r="Z822" s="24">
        <v>-1</v>
      </c>
      <c r="AA822"/>
      <c r="AB822" s="1">
        <v>0</v>
      </c>
      <c r="AC822" s="24">
        <v>-1</v>
      </c>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c r="CA822"/>
      <c r="CB822"/>
      <c r="CC822"/>
      <c r="CD822"/>
      <c r="CE822"/>
      <c r="CF822"/>
      <c r="CG822"/>
      <c r="CH822"/>
      <c r="CI822"/>
      <c r="CJ822"/>
      <c r="CK822"/>
      <c r="CL822"/>
      <c r="CM822"/>
      <c r="CN822"/>
      <c r="CO822"/>
      <c r="CP822"/>
      <c r="CQ822"/>
      <c r="CR822"/>
      <c r="CS822"/>
    </row>
    <row r="823" spans="2:97">
      <c r="B823"/>
      <c r="C823" s="15"/>
      <c r="D823" s="23"/>
      <c r="E823" s="23"/>
      <c r="F823" s="23"/>
      <c r="G823" s="23">
        <f t="shared" si="58"/>
        <v>0</v>
      </c>
      <c r="H823" s="23" t="e" cm="1">
        <f t="array" ref="H823">INDEX('GLOBAL LOG'!#REF!,ROW()-169+15)</f>
        <v>#REF!</v>
      </c>
      <c r="I823" s="23" t="e">
        <f>_xlfn.XLOOKUP(H823,#REF!,#REF!,"",0,1)</f>
        <v>#REF!</v>
      </c>
      <c r="J823" s="23" t="str">
        <f>IFERROR(I823*#REF!,"")</f>
        <v/>
      </c>
      <c r="K823" s="23" t="e" cm="1">
        <f t="array" ref="K823">INDEX('GLOBAL LOG'!#REF!,ROW()-169+15)</f>
        <v>#REF!</v>
      </c>
      <c r="L823" s="23" t="e">
        <f>_xlfn.XLOOKUP(K823,#REF!,#REF!,"",0,1)</f>
        <v>#REF!</v>
      </c>
      <c r="M823" s="23" t="str">
        <f>IFERROR(L823*#REF!,"")</f>
        <v/>
      </c>
      <c r="N823" s="23">
        <f t="shared" si="59"/>
        <v>-1</v>
      </c>
      <c r="O823" s="23">
        <f t="shared" si="60"/>
        <v>-1</v>
      </c>
      <c r="P823" s="23">
        <f t="shared" si="61"/>
        <v>-1</v>
      </c>
      <c r="Q823" s="24">
        <f t="shared" si="62"/>
        <v>-1</v>
      </c>
      <c r="R823" s="3"/>
      <c r="S823" s="1">
        <v>0</v>
      </c>
      <c r="T823" s="24">
        <v>-1</v>
      </c>
      <c r="U823"/>
      <c r="V823" s="1">
        <v>0</v>
      </c>
      <c r="W823" s="24">
        <v>-1</v>
      </c>
      <c r="X823"/>
      <c r="Y823" s="1">
        <v>0</v>
      </c>
      <c r="Z823" s="24">
        <v>-1</v>
      </c>
      <c r="AA823"/>
      <c r="AB823" s="1">
        <v>0</v>
      </c>
      <c r="AC823" s="24">
        <v>-1</v>
      </c>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c r="CA823"/>
      <c r="CB823"/>
      <c r="CC823"/>
      <c r="CD823"/>
      <c r="CE823"/>
      <c r="CF823"/>
      <c r="CG823"/>
      <c r="CH823"/>
      <c r="CI823"/>
      <c r="CJ823"/>
      <c r="CK823"/>
      <c r="CL823"/>
      <c r="CM823"/>
      <c r="CN823"/>
      <c r="CO823"/>
      <c r="CP823"/>
      <c r="CQ823"/>
      <c r="CR823"/>
      <c r="CS823"/>
    </row>
    <row r="824" spans="2:97">
      <c r="B824"/>
      <c r="C824" s="15"/>
      <c r="D824" s="23"/>
      <c r="E824" s="23"/>
      <c r="F824" s="23"/>
      <c r="G824" s="23">
        <f t="shared" si="58"/>
        <v>0</v>
      </c>
      <c r="H824" s="23" t="e" cm="1">
        <f t="array" ref="H824">INDEX('GLOBAL LOG'!#REF!,ROW()-169+15)</f>
        <v>#REF!</v>
      </c>
      <c r="I824" s="23" t="e">
        <f>_xlfn.XLOOKUP(H824,#REF!,#REF!,"",0,1)</f>
        <v>#REF!</v>
      </c>
      <c r="J824" s="23" t="str">
        <f>IFERROR(I824*#REF!,"")</f>
        <v/>
      </c>
      <c r="K824" s="23" t="e" cm="1">
        <f t="array" ref="K824">INDEX('GLOBAL LOG'!#REF!,ROW()-169+15)</f>
        <v>#REF!</v>
      </c>
      <c r="L824" s="23" t="e">
        <f>_xlfn.XLOOKUP(K824,#REF!,#REF!,"",0,1)</f>
        <v>#REF!</v>
      </c>
      <c r="M824" s="23" t="str">
        <f>IFERROR(L824*#REF!,"")</f>
        <v/>
      </c>
      <c r="N824" s="23">
        <f t="shared" si="59"/>
        <v>-1</v>
      </c>
      <c r="O824" s="23">
        <f t="shared" si="60"/>
        <v>-1</v>
      </c>
      <c r="P824" s="23">
        <f t="shared" si="61"/>
        <v>-1</v>
      </c>
      <c r="Q824" s="24">
        <f t="shared" si="62"/>
        <v>-1</v>
      </c>
      <c r="R824" s="3"/>
      <c r="S824" s="1">
        <v>0</v>
      </c>
      <c r="T824" s="24">
        <v>-1</v>
      </c>
      <c r="U824"/>
      <c r="V824" s="1">
        <v>0</v>
      </c>
      <c r="W824" s="24">
        <v>-1</v>
      </c>
      <c r="X824"/>
      <c r="Y824" s="1">
        <v>0</v>
      </c>
      <c r="Z824" s="24">
        <v>-1</v>
      </c>
      <c r="AA824"/>
      <c r="AB824" s="1">
        <v>0</v>
      </c>
      <c r="AC824" s="24">
        <v>-1</v>
      </c>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c r="CA824"/>
      <c r="CB824"/>
      <c r="CC824"/>
      <c r="CD824"/>
      <c r="CE824"/>
      <c r="CF824"/>
      <c r="CG824"/>
      <c r="CH824"/>
      <c r="CI824"/>
      <c r="CJ824"/>
      <c r="CK824"/>
      <c r="CL824"/>
      <c r="CM824"/>
      <c r="CN824"/>
      <c r="CO824"/>
      <c r="CP824"/>
      <c r="CQ824"/>
      <c r="CR824"/>
      <c r="CS824"/>
    </row>
    <row r="825" spans="2:97">
      <c r="B825"/>
      <c r="C825" s="15"/>
      <c r="D825" s="23"/>
      <c r="E825" s="23"/>
      <c r="F825" s="23"/>
      <c r="G825" s="23">
        <f t="shared" si="58"/>
        <v>0</v>
      </c>
      <c r="H825" s="23" t="e" cm="1">
        <f t="array" ref="H825">INDEX('GLOBAL LOG'!#REF!,ROW()-169+15)</f>
        <v>#REF!</v>
      </c>
      <c r="I825" s="23" t="e">
        <f>_xlfn.XLOOKUP(H825,#REF!,#REF!,"",0,1)</f>
        <v>#REF!</v>
      </c>
      <c r="J825" s="23" t="str">
        <f>IFERROR(I825*#REF!,"")</f>
        <v/>
      </c>
      <c r="K825" s="23" t="e" cm="1">
        <f t="array" ref="K825">INDEX('GLOBAL LOG'!#REF!,ROW()-169+15)</f>
        <v>#REF!</v>
      </c>
      <c r="L825" s="23" t="e">
        <f>_xlfn.XLOOKUP(K825,#REF!,#REF!,"",0,1)</f>
        <v>#REF!</v>
      </c>
      <c r="M825" s="23" t="str">
        <f>IFERROR(L825*#REF!,"")</f>
        <v/>
      </c>
      <c r="N825" s="23">
        <f t="shared" si="59"/>
        <v>-1</v>
      </c>
      <c r="O825" s="23">
        <f t="shared" si="60"/>
        <v>-1</v>
      </c>
      <c r="P825" s="23">
        <f t="shared" si="61"/>
        <v>-1</v>
      </c>
      <c r="Q825" s="24">
        <f t="shared" si="62"/>
        <v>-1</v>
      </c>
      <c r="R825" s="3"/>
      <c r="S825" s="1">
        <v>0</v>
      </c>
      <c r="T825" s="24">
        <v>-1</v>
      </c>
      <c r="U825"/>
      <c r="V825" s="1">
        <v>0</v>
      </c>
      <c r="W825" s="24">
        <v>-1</v>
      </c>
      <c r="X825"/>
      <c r="Y825" s="1">
        <v>0</v>
      </c>
      <c r="Z825" s="24">
        <v>-1</v>
      </c>
      <c r="AA825"/>
      <c r="AB825" s="1">
        <v>0</v>
      </c>
      <c r="AC825" s="24">
        <v>-1</v>
      </c>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c r="CC825"/>
      <c r="CD825"/>
      <c r="CE825"/>
      <c r="CF825"/>
      <c r="CG825"/>
      <c r="CH825"/>
      <c r="CI825"/>
      <c r="CJ825"/>
      <c r="CK825"/>
      <c r="CL825"/>
      <c r="CM825"/>
      <c r="CN825"/>
      <c r="CO825"/>
      <c r="CP825"/>
      <c r="CQ825"/>
      <c r="CR825"/>
      <c r="CS825"/>
    </row>
    <row r="826" spans="2:97">
      <c r="B826"/>
      <c r="C826" s="15"/>
      <c r="D826" s="23"/>
      <c r="E826" s="23"/>
      <c r="F826" s="23"/>
      <c r="G826" s="23">
        <f t="shared" si="58"/>
        <v>0</v>
      </c>
      <c r="H826" s="23" t="e" cm="1">
        <f t="array" ref="H826">INDEX('GLOBAL LOG'!#REF!,ROW()-169+15)</f>
        <v>#REF!</v>
      </c>
      <c r="I826" s="23" t="e">
        <f>_xlfn.XLOOKUP(H826,#REF!,#REF!,"",0,1)</f>
        <v>#REF!</v>
      </c>
      <c r="J826" s="23" t="str">
        <f>IFERROR(I826*#REF!,"")</f>
        <v/>
      </c>
      <c r="K826" s="23" t="e" cm="1">
        <f t="array" ref="K826">INDEX('GLOBAL LOG'!#REF!,ROW()-169+15)</f>
        <v>#REF!</v>
      </c>
      <c r="L826" s="23" t="e">
        <f>_xlfn.XLOOKUP(K826,#REF!,#REF!,"",0,1)</f>
        <v>#REF!</v>
      </c>
      <c r="M826" s="23" t="str">
        <f>IFERROR(L826*#REF!,"")</f>
        <v/>
      </c>
      <c r="N826" s="23">
        <f t="shared" si="59"/>
        <v>-1</v>
      </c>
      <c r="O826" s="23">
        <f t="shared" si="60"/>
        <v>-1</v>
      </c>
      <c r="P826" s="23">
        <f t="shared" si="61"/>
        <v>-1</v>
      </c>
      <c r="Q826" s="24">
        <f t="shared" si="62"/>
        <v>-1</v>
      </c>
      <c r="R826" s="3"/>
      <c r="S826" s="1">
        <v>0</v>
      </c>
      <c r="T826" s="24">
        <v>-1</v>
      </c>
      <c r="U826"/>
      <c r="V826" s="1">
        <v>0</v>
      </c>
      <c r="W826" s="24">
        <v>-1</v>
      </c>
      <c r="X826"/>
      <c r="Y826" s="1">
        <v>0</v>
      </c>
      <c r="Z826" s="24">
        <v>-1</v>
      </c>
      <c r="AA826"/>
      <c r="AB826" s="1">
        <v>0</v>
      </c>
      <c r="AC826" s="24">
        <v>-1</v>
      </c>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c r="CA826"/>
      <c r="CB826"/>
      <c r="CC826"/>
      <c r="CD826"/>
      <c r="CE826"/>
      <c r="CF826"/>
      <c r="CG826"/>
      <c r="CH826"/>
      <c r="CI826"/>
      <c r="CJ826"/>
      <c r="CK826"/>
      <c r="CL826"/>
      <c r="CM826"/>
      <c r="CN826"/>
      <c r="CO826"/>
      <c r="CP826"/>
      <c r="CQ826"/>
      <c r="CR826"/>
      <c r="CS826"/>
    </row>
    <row r="827" spans="2:97">
      <c r="B827"/>
      <c r="C827" s="15"/>
      <c r="D827" s="23"/>
      <c r="E827" s="23"/>
      <c r="F827" s="23"/>
      <c r="G827" s="23">
        <f t="shared" si="58"/>
        <v>0</v>
      </c>
      <c r="H827" s="23" t="e" cm="1">
        <f t="array" ref="H827">INDEX('GLOBAL LOG'!#REF!,ROW()-169+15)</f>
        <v>#REF!</v>
      </c>
      <c r="I827" s="23" t="e">
        <f>_xlfn.XLOOKUP(H827,#REF!,#REF!,"",0,1)</f>
        <v>#REF!</v>
      </c>
      <c r="J827" s="23" t="str">
        <f>IFERROR(I827*#REF!,"")</f>
        <v/>
      </c>
      <c r="K827" s="23" t="e" cm="1">
        <f t="array" ref="K827">INDEX('GLOBAL LOG'!#REF!,ROW()-169+15)</f>
        <v>#REF!</v>
      </c>
      <c r="L827" s="23" t="e">
        <f>_xlfn.XLOOKUP(K827,#REF!,#REF!,"",0,1)</f>
        <v>#REF!</v>
      </c>
      <c r="M827" s="23" t="str">
        <f>IFERROR(L827*#REF!,"")</f>
        <v/>
      </c>
      <c r="N827" s="23">
        <f t="shared" si="59"/>
        <v>-1</v>
      </c>
      <c r="O827" s="23">
        <f t="shared" si="60"/>
        <v>-1</v>
      </c>
      <c r="P827" s="23">
        <f t="shared" si="61"/>
        <v>-1</v>
      </c>
      <c r="Q827" s="24">
        <f t="shared" si="62"/>
        <v>-1</v>
      </c>
      <c r="R827" s="3"/>
      <c r="S827" s="1">
        <v>0</v>
      </c>
      <c r="T827" s="24">
        <v>-1</v>
      </c>
      <c r="U827"/>
      <c r="V827" s="1">
        <v>0</v>
      </c>
      <c r="W827" s="24">
        <v>-1</v>
      </c>
      <c r="X827"/>
      <c r="Y827" s="1">
        <v>0</v>
      </c>
      <c r="Z827" s="24">
        <v>-1</v>
      </c>
      <c r="AA827"/>
      <c r="AB827" s="1">
        <v>0</v>
      </c>
      <c r="AC827" s="24">
        <v>-1</v>
      </c>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c r="CA827"/>
      <c r="CB827"/>
      <c r="CC827"/>
      <c r="CD827"/>
      <c r="CE827"/>
      <c r="CF827"/>
      <c r="CG827"/>
      <c r="CH827"/>
      <c r="CI827"/>
      <c r="CJ827"/>
      <c r="CK827"/>
      <c r="CL827"/>
      <c r="CM827"/>
      <c r="CN827"/>
      <c r="CO827"/>
      <c r="CP827"/>
      <c r="CQ827"/>
      <c r="CR827"/>
      <c r="CS827"/>
    </row>
    <row r="828" spans="2:97">
      <c r="B828"/>
      <c r="C828" s="15"/>
      <c r="D828" s="23"/>
      <c r="E828" s="23"/>
      <c r="F828" s="23"/>
      <c r="G828" s="23">
        <f t="shared" si="58"/>
        <v>0</v>
      </c>
      <c r="H828" s="23" t="e" cm="1">
        <f t="array" ref="H828">INDEX('GLOBAL LOG'!#REF!,ROW()-169+15)</f>
        <v>#REF!</v>
      </c>
      <c r="I828" s="23" t="e">
        <f>_xlfn.XLOOKUP(H828,#REF!,#REF!,"",0,1)</f>
        <v>#REF!</v>
      </c>
      <c r="J828" s="23" t="str">
        <f>IFERROR(I828*#REF!,"")</f>
        <v/>
      </c>
      <c r="K828" s="23" t="e" cm="1">
        <f t="array" ref="K828">INDEX('GLOBAL LOG'!#REF!,ROW()-169+15)</f>
        <v>#REF!</v>
      </c>
      <c r="L828" s="23" t="e">
        <f>_xlfn.XLOOKUP(K828,#REF!,#REF!,"",0,1)</f>
        <v>#REF!</v>
      </c>
      <c r="M828" s="23" t="str">
        <f>IFERROR(L828*#REF!,"")</f>
        <v/>
      </c>
      <c r="N828" s="23">
        <f t="shared" si="59"/>
        <v>-1</v>
      </c>
      <c r="O828" s="23">
        <f t="shared" si="60"/>
        <v>-1</v>
      </c>
      <c r="P828" s="23">
        <f t="shared" si="61"/>
        <v>-1</v>
      </c>
      <c r="Q828" s="24">
        <f t="shared" si="62"/>
        <v>-1</v>
      </c>
      <c r="R828" s="3"/>
      <c r="S828" s="1">
        <v>0</v>
      </c>
      <c r="T828" s="24">
        <v>-1</v>
      </c>
      <c r="U828"/>
      <c r="V828" s="1">
        <v>0</v>
      </c>
      <c r="W828" s="24">
        <v>-1</v>
      </c>
      <c r="X828"/>
      <c r="Y828" s="1">
        <v>0</v>
      </c>
      <c r="Z828" s="24">
        <v>-1</v>
      </c>
      <c r="AA828"/>
      <c r="AB828" s="1">
        <v>0</v>
      </c>
      <c r="AC828" s="24">
        <v>-1</v>
      </c>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c r="CA828"/>
      <c r="CB828"/>
      <c r="CC828"/>
      <c r="CD828"/>
      <c r="CE828"/>
      <c r="CF828"/>
      <c r="CG828"/>
      <c r="CH828"/>
      <c r="CI828"/>
      <c r="CJ828"/>
      <c r="CK828"/>
      <c r="CL828"/>
      <c r="CM828"/>
      <c r="CN828"/>
      <c r="CO828"/>
      <c r="CP828"/>
      <c r="CQ828"/>
      <c r="CR828"/>
      <c r="CS828"/>
    </row>
    <row r="829" spans="2:97">
      <c r="B829"/>
      <c r="C829" s="15"/>
      <c r="D829" s="23"/>
      <c r="E829" s="23"/>
      <c r="F829" s="23"/>
      <c r="G829" s="23">
        <f t="shared" si="58"/>
        <v>0</v>
      </c>
      <c r="H829" s="23" t="e" cm="1">
        <f t="array" ref="H829">INDEX('GLOBAL LOG'!#REF!,ROW()-169+15)</f>
        <v>#REF!</v>
      </c>
      <c r="I829" s="23" t="e">
        <f>_xlfn.XLOOKUP(H829,#REF!,#REF!,"",0,1)</f>
        <v>#REF!</v>
      </c>
      <c r="J829" s="23" t="str">
        <f>IFERROR(I829*#REF!,"")</f>
        <v/>
      </c>
      <c r="K829" s="23" t="e" cm="1">
        <f t="array" ref="K829">INDEX('GLOBAL LOG'!#REF!,ROW()-169+15)</f>
        <v>#REF!</v>
      </c>
      <c r="L829" s="23" t="e">
        <f>_xlfn.XLOOKUP(K829,#REF!,#REF!,"",0,1)</f>
        <v>#REF!</v>
      </c>
      <c r="M829" s="23" t="str">
        <f>IFERROR(L829*#REF!,"")</f>
        <v/>
      </c>
      <c r="N829" s="23">
        <f t="shared" si="59"/>
        <v>-1</v>
      </c>
      <c r="O829" s="23">
        <f t="shared" si="60"/>
        <v>-1</v>
      </c>
      <c r="P829" s="23">
        <f t="shared" si="61"/>
        <v>-1</v>
      </c>
      <c r="Q829" s="24">
        <f t="shared" si="62"/>
        <v>-1</v>
      </c>
      <c r="R829" s="3"/>
      <c r="S829" s="1">
        <v>0</v>
      </c>
      <c r="T829" s="24">
        <v>-1</v>
      </c>
      <c r="U829"/>
      <c r="V829" s="1">
        <v>0</v>
      </c>
      <c r="W829" s="24">
        <v>-1</v>
      </c>
      <c r="X829"/>
      <c r="Y829" s="1">
        <v>0</v>
      </c>
      <c r="Z829" s="24">
        <v>-1</v>
      </c>
      <c r="AA829"/>
      <c r="AB829" s="1">
        <v>0</v>
      </c>
      <c r="AC829" s="24">
        <v>-1</v>
      </c>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c r="CA829"/>
      <c r="CB829"/>
      <c r="CC829"/>
      <c r="CD829"/>
      <c r="CE829"/>
      <c r="CF829"/>
      <c r="CG829"/>
      <c r="CH829"/>
      <c r="CI829"/>
      <c r="CJ829"/>
      <c r="CK829"/>
      <c r="CL829"/>
      <c r="CM829"/>
      <c r="CN829"/>
      <c r="CO829"/>
      <c r="CP829"/>
      <c r="CQ829"/>
      <c r="CR829"/>
      <c r="CS829"/>
    </row>
    <row r="830" spans="2:97">
      <c r="B830"/>
      <c r="C830" s="15"/>
      <c r="D830" s="23"/>
      <c r="E830" s="23"/>
      <c r="F830" s="23"/>
      <c r="G830" s="23">
        <f t="shared" si="58"/>
        <v>0</v>
      </c>
      <c r="H830" s="23" t="e" cm="1">
        <f t="array" ref="H830">INDEX('GLOBAL LOG'!#REF!,ROW()-169+15)</f>
        <v>#REF!</v>
      </c>
      <c r="I830" s="23" t="e">
        <f>_xlfn.XLOOKUP(H830,#REF!,#REF!,"",0,1)</f>
        <v>#REF!</v>
      </c>
      <c r="J830" s="23" t="str">
        <f>IFERROR(I830*#REF!,"")</f>
        <v/>
      </c>
      <c r="K830" s="23" t="e" cm="1">
        <f t="array" ref="K830">INDEX('GLOBAL LOG'!#REF!,ROW()-169+15)</f>
        <v>#REF!</v>
      </c>
      <c r="L830" s="23" t="e">
        <f>_xlfn.XLOOKUP(K830,#REF!,#REF!,"",0,1)</f>
        <v>#REF!</v>
      </c>
      <c r="M830" s="23" t="str">
        <f>IFERROR(L830*#REF!,"")</f>
        <v/>
      </c>
      <c r="N830" s="23">
        <f t="shared" si="59"/>
        <v>-1</v>
      </c>
      <c r="O830" s="23">
        <f t="shared" si="60"/>
        <v>-1</v>
      </c>
      <c r="P830" s="23">
        <f t="shared" si="61"/>
        <v>-1</v>
      </c>
      <c r="Q830" s="24">
        <f t="shared" si="62"/>
        <v>-1</v>
      </c>
      <c r="R830" s="3"/>
      <c r="S830" s="1">
        <v>0</v>
      </c>
      <c r="T830" s="24">
        <v>-1</v>
      </c>
      <c r="U830"/>
      <c r="V830" s="1">
        <v>0</v>
      </c>
      <c r="W830" s="24">
        <v>-1</v>
      </c>
      <c r="X830"/>
      <c r="Y830" s="1">
        <v>0</v>
      </c>
      <c r="Z830" s="24">
        <v>-1</v>
      </c>
      <c r="AA830"/>
      <c r="AB830" s="1">
        <v>0</v>
      </c>
      <c r="AC830" s="24">
        <v>-1</v>
      </c>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c r="CA830"/>
      <c r="CB830"/>
      <c r="CC830"/>
      <c r="CD830"/>
      <c r="CE830"/>
      <c r="CF830"/>
      <c r="CG830"/>
      <c r="CH830"/>
      <c r="CI830"/>
      <c r="CJ830"/>
      <c r="CK830"/>
      <c r="CL830"/>
      <c r="CM830"/>
      <c r="CN830"/>
      <c r="CO830"/>
      <c r="CP830"/>
      <c r="CQ830"/>
      <c r="CR830"/>
      <c r="CS830"/>
    </row>
    <row r="831" spans="2:97">
      <c r="B831"/>
      <c r="C831" s="15"/>
      <c r="D831" s="23"/>
      <c r="E831" s="23"/>
      <c r="F831" s="23"/>
      <c r="G831" s="23">
        <f t="shared" si="58"/>
        <v>0</v>
      </c>
      <c r="H831" s="23" t="e" cm="1">
        <f t="array" ref="H831">INDEX('GLOBAL LOG'!#REF!,ROW()-169+15)</f>
        <v>#REF!</v>
      </c>
      <c r="I831" s="23" t="e">
        <f>_xlfn.XLOOKUP(H831,#REF!,#REF!,"",0,1)</f>
        <v>#REF!</v>
      </c>
      <c r="J831" s="23" t="str">
        <f>IFERROR(I831*#REF!,"")</f>
        <v/>
      </c>
      <c r="K831" s="23" t="e" cm="1">
        <f t="array" ref="K831">INDEX('GLOBAL LOG'!#REF!,ROW()-169+15)</f>
        <v>#REF!</v>
      </c>
      <c r="L831" s="23" t="e">
        <f>_xlfn.XLOOKUP(K831,#REF!,#REF!,"",0,1)</f>
        <v>#REF!</v>
      </c>
      <c r="M831" s="23" t="str">
        <f>IFERROR(L831*#REF!,"")</f>
        <v/>
      </c>
      <c r="N831" s="23">
        <f t="shared" si="59"/>
        <v>-1</v>
      </c>
      <c r="O831" s="23">
        <f t="shared" si="60"/>
        <v>-1</v>
      </c>
      <c r="P831" s="23">
        <f t="shared" si="61"/>
        <v>-1</v>
      </c>
      <c r="Q831" s="24">
        <f t="shared" si="62"/>
        <v>-1</v>
      </c>
      <c r="R831" s="3"/>
      <c r="S831" s="1">
        <v>0</v>
      </c>
      <c r="T831" s="24">
        <v>-1</v>
      </c>
      <c r="U831"/>
      <c r="V831" s="1">
        <v>0</v>
      </c>
      <c r="W831" s="24">
        <v>-1</v>
      </c>
      <c r="X831"/>
      <c r="Y831" s="1">
        <v>0</v>
      </c>
      <c r="Z831" s="24">
        <v>-1</v>
      </c>
      <c r="AA831"/>
      <c r="AB831" s="1">
        <v>0</v>
      </c>
      <c r="AC831" s="24">
        <v>-1</v>
      </c>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c r="CA831"/>
      <c r="CB831"/>
      <c r="CC831"/>
      <c r="CD831"/>
      <c r="CE831"/>
      <c r="CF831"/>
      <c r="CG831"/>
      <c r="CH831"/>
      <c r="CI831"/>
      <c r="CJ831"/>
      <c r="CK831"/>
      <c r="CL831"/>
      <c r="CM831"/>
      <c r="CN831"/>
      <c r="CO831"/>
      <c r="CP831"/>
      <c r="CQ831"/>
      <c r="CR831"/>
      <c r="CS831"/>
    </row>
    <row r="832" spans="2:97">
      <c r="B832"/>
      <c r="C832" s="15"/>
      <c r="D832" s="23"/>
      <c r="E832" s="23"/>
      <c r="F832" s="23"/>
      <c r="G832" s="23">
        <f t="shared" si="58"/>
        <v>0</v>
      </c>
      <c r="H832" s="23" t="e" cm="1">
        <f t="array" ref="H832">INDEX('GLOBAL LOG'!#REF!,ROW()-169+15)</f>
        <v>#REF!</v>
      </c>
      <c r="I832" s="23" t="e">
        <f>_xlfn.XLOOKUP(H832,#REF!,#REF!,"",0,1)</f>
        <v>#REF!</v>
      </c>
      <c r="J832" s="23" t="str">
        <f>IFERROR(I832*#REF!,"")</f>
        <v/>
      </c>
      <c r="K832" s="23" t="e" cm="1">
        <f t="array" ref="K832">INDEX('GLOBAL LOG'!#REF!,ROW()-169+15)</f>
        <v>#REF!</v>
      </c>
      <c r="L832" s="23" t="e">
        <f>_xlfn.XLOOKUP(K832,#REF!,#REF!,"",0,1)</f>
        <v>#REF!</v>
      </c>
      <c r="M832" s="23" t="str">
        <f>IFERROR(L832*#REF!,"")</f>
        <v/>
      </c>
      <c r="N832" s="23">
        <f t="shared" si="59"/>
        <v>-1</v>
      </c>
      <c r="O832" s="23">
        <f t="shared" si="60"/>
        <v>-1</v>
      </c>
      <c r="P832" s="23">
        <f t="shared" si="61"/>
        <v>-1</v>
      </c>
      <c r="Q832" s="24">
        <f t="shared" si="62"/>
        <v>-1</v>
      </c>
      <c r="R832" s="3"/>
      <c r="S832" s="1">
        <v>0</v>
      </c>
      <c r="T832" s="24">
        <v>-1</v>
      </c>
      <c r="U832"/>
      <c r="V832" s="1">
        <v>0</v>
      </c>
      <c r="W832" s="24">
        <v>-1</v>
      </c>
      <c r="X832"/>
      <c r="Y832" s="1">
        <v>0</v>
      </c>
      <c r="Z832" s="24">
        <v>-1</v>
      </c>
      <c r="AA832"/>
      <c r="AB832" s="1">
        <v>0</v>
      </c>
      <c r="AC832" s="24">
        <v>-1</v>
      </c>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c r="CA832"/>
      <c r="CB832"/>
      <c r="CC832"/>
      <c r="CD832"/>
      <c r="CE832"/>
      <c r="CF832"/>
      <c r="CG832"/>
      <c r="CH832"/>
      <c r="CI832"/>
      <c r="CJ832"/>
      <c r="CK832"/>
      <c r="CL832"/>
      <c r="CM832"/>
      <c r="CN832"/>
      <c r="CO832"/>
      <c r="CP832"/>
      <c r="CQ832"/>
      <c r="CR832"/>
      <c r="CS832"/>
    </row>
    <row r="833" spans="2:97">
      <c r="B833"/>
      <c r="C833" s="15"/>
      <c r="D833" s="23"/>
      <c r="E833" s="23"/>
      <c r="F833" s="23"/>
      <c r="G833" s="23">
        <f t="shared" si="58"/>
        <v>0</v>
      </c>
      <c r="H833" s="23" t="e" cm="1">
        <f t="array" ref="H833">INDEX('GLOBAL LOG'!#REF!,ROW()-169+15)</f>
        <v>#REF!</v>
      </c>
      <c r="I833" s="23" t="e">
        <f>_xlfn.XLOOKUP(H833,#REF!,#REF!,"",0,1)</f>
        <v>#REF!</v>
      </c>
      <c r="J833" s="23" t="str">
        <f>IFERROR(I833*#REF!,"")</f>
        <v/>
      </c>
      <c r="K833" s="23" t="e" cm="1">
        <f t="array" ref="K833">INDEX('GLOBAL LOG'!#REF!,ROW()-169+15)</f>
        <v>#REF!</v>
      </c>
      <c r="L833" s="23" t="e">
        <f>_xlfn.XLOOKUP(K833,#REF!,#REF!,"",0,1)</f>
        <v>#REF!</v>
      </c>
      <c r="M833" s="23" t="str">
        <f>IFERROR(L833*#REF!,"")</f>
        <v/>
      </c>
      <c r="N833" s="23">
        <f t="shared" si="59"/>
        <v>-1</v>
      </c>
      <c r="O833" s="23">
        <f t="shared" si="60"/>
        <v>-1</v>
      </c>
      <c r="P833" s="23">
        <f t="shared" si="61"/>
        <v>-1</v>
      </c>
      <c r="Q833" s="24">
        <f t="shared" si="62"/>
        <v>-1</v>
      </c>
      <c r="R833" s="3"/>
      <c r="S833" s="1">
        <v>0</v>
      </c>
      <c r="T833" s="24">
        <v>-1</v>
      </c>
      <c r="U833"/>
      <c r="V833" s="1">
        <v>0</v>
      </c>
      <c r="W833" s="24">
        <v>-1</v>
      </c>
      <c r="X833"/>
      <c r="Y833" s="1">
        <v>0</v>
      </c>
      <c r="Z833" s="24">
        <v>-1</v>
      </c>
      <c r="AA833"/>
      <c r="AB833" s="1">
        <v>0</v>
      </c>
      <c r="AC833" s="24">
        <v>-1</v>
      </c>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c r="CC833"/>
      <c r="CD833"/>
      <c r="CE833"/>
      <c r="CF833"/>
      <c r="CG833"/>
      <c r="CH833"/>
      <c r="CI833"/>
      <c r="CJ833"/>
      <c r="CK833"/>
      <c r="CL833"/>
      <c r="CM833"/>
      <c r="CN833"/>
      <c r="CO833"/>
      <c r="CP833"/>
      <c r="CQ833"/>
      <c r="CR833"/>
      <c r="CS833"/>
    </row>
    <row r="834" spans="2:97">
      <c r="B834"/>
      <c r="C834" s="15"/>
      <c r="D834" s="23"/>
      <c r="E834" s="23"/>
      <c r="F834" s="23"/>
      <c r="G834" s="23">
        <f t="shared" si="58"/>
        <v>0</v>
      </c>
      <c r="H834" s="23" t="e" cm="1">
        <f t="array" ref="H834">INDEX('GLOBAL LOG'!#REF!,ROW()-169+15)</f>
        <v>#REF!</v>
      </c>
      <c r="I834" s="23" t="e">
        <f>_xlfn.XLOOKUP(H834,#REF!,#REF!,"",0,1)</f>
        <v>#REF!</v>
      </c>
      <c r="J834" s="23" t="str">
        <f>IFERROR(I834*#REF!,"")</f>
        <v/>
      </c>
      <c r="K834" s="23" t="e" cm="1">
        <f t="array" ref="K834">INDEX('GLOBAL LOG'!#REF!,ROW()-169+15)</f>
        <v>#REF!</v>
      </c>
      <c r="L834" s="23" t="e">
        <f>_xlfn.XLOOKUP(K834,#REF!,#REF!,"",0,1)</f>
        <v>#REF!</v>
      </c>
      <c r="M834" s="23" t="str">
        <f>IFERROR(L834*#REF!,"")</f>
        <v/>
      </c>
      <c r="N834" s="23">
        <f t="shared" si="59"/>
        <v>-1</v>
      </c>
      <c r="O834" s="23">
        <f t="shared" si="60"/>
        <v>-1</v>
      </c>
      <c r="P834" s="23">
        <f t="shared" si="61"/>
        <v>-1</v>
      </c>
      <c r="Q834" s="24">
        <f t="shared" si="62"/>
        <v>-1</v>
      </c>
      <c r="R834" s="3"/>
      <c r="S834" s="1">
        <v>0</v>
      </c>
      <c r="T834" s="24">
        <v>-1</v>
      </c>
      <c r="U834"/>
      <c r="V834" s="1">
        <v>0</v>
      </c>
      <c r="W834" s="24">
        <v>-1</v>
      </c>
      <c r="X834"/>
      <c r="Y834" s="1">
        <v>0</v>
      </c>
      <c r="Z834" s="24">
        <v>-1</v>
      </c>
      <c r="AA834"/>
      <c r="AB834" s="1">
        <v>0</v>
      </c>
      <c r="AC834" s="24">
        <v>-1</v>
      </c>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c r="CA834"/>
      <c r="CB834"/>
      <c r="CC834"/>
      <c r="CD834"/>
      <c r="CE834"/>
      <c r="CF834"/>
      <c r="CG834"/>
      <c r="CH834"/>
      <c r="CI834"/>
      <c r="CJ834"/>
      <c r="CK834"/>
      <c r="CL834"/>
      <c r="CM834"/>
      <c r="CN834"/>
      <c r="CO834"/>
      <c r="CP834"/>
      <c r="CQ834"/>
      <c r="CR834"/>
      <c r="CS834"/>
    </row>
    <row r="835" spans="2:97">
      <c r="B835"/>
      <c r="C835" s="15"/>
      <c r="D835" s="23"/>
      <c r="E835" s="23"/>
      <c r="F835" s="23"/>
      <c r="G835" s="23">
        <f t="shared" si="58"/>
        <v>0</v>
      </c>
      <c r="H835" s="23" t="e" cm="1">
        <f t="array" ref="H835">INDEX('GLOBAL LOG'!#REF!,ROW()-169+15)</f>
        <v>#REF!</v>
      </c>
      <c r="I835" s="23" t="e">
        <f>_xlfn.XLOOKUP(H835,#REF!,#REF!,"",0,1)</f>
        <v>#REF!</v>
      </c>
      <c r="J835" s="23" t="str">
        <f>IFERROR(I835*#REF!,"")</f>
        <v/>
      </c>
      <c r="K835" s="23" t="e" cm="1">
        <f t="array" ref="K835">INDEX('GLOBAL LOG'!#REF!,ROW()-169+15)</f>
        <v>#REF!</v>
      </c>
      <c r="L835" s="23" t="e">
        <f>_xlfn.XLOOKUP(K835,#REF!,#REF!,"",0,1)</f>
        <v>#REF!</v>
      </c>
      <c r="M835" s="23" t="str">
        <f>IFERROR(L835*#REF!,"")</f>
        <v/>
      </c>
      <c r="N835" s="23">
        <f t="shared" si="59"/>
        <v>-1</v>
      </c>
      <c r="O835" s="23">
        <f t="shared" si="60"/>
        <v>-1</v>
      </c>
      <c r="P835" s="23">
        <f t="shared" si="61"/>
        <v>-1</v>
      </c>
      <c r="Q835" s="24">
        <f t="shared" si="62"/>
        <v>-1</v>
      </c>
      <c r="R835" s="3"/>
      <c r="S835" s="1">
        <v>0</v>
      </c>
      <c r="T835" s="24">
        <v>-1</v>
      </c>
      <c r="U835"/>
      <c r="V835" s="1">
        <v>0</v>
      </c>
      <c r="W835" s="24">
        <v>-1</v>
      </c>
      <c r="X835"/>
      <c r="Y835" s="1">
        <v>0</v>
      </c>
      <c r="Z835" s="24">
        <v>-1</v>
      </c>
      <c r="AA835"/>
      <c r="AB835" s="1">
        <v>0</v>
      </c>
      <c r="AC835" s="24">
        <v>-1</v>
      </c>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c r="CC835"/>
      <c r="CD835"/>
      <c r="CE835"/>
      <c r="CF835"/>
      <c r="CG835"/>
      <c r="CH835"/>
      <c r="CI835"/>
      <c r="CJ835"/>
      <c r="CK835"/>
      <c r="CL835"/>
      <c r="CM835"/>
      <c r="CN835"/>
      <c r="CO835"/>
      <c r="CP835"/>
      <c r="CQ835"/>
      <c r="CR835"/>
      <c r="CS835"/>
    </row>
    <row r="836" spans="2:97">
      <c r="B836"/>
      <c r="C836" s="15"/>
      <c r="D836" s="23"/>
      <c r="E836" s="23"/>
      <c r="F836" s="23"/>
      <c r="G836" s="23">
        <f t="shared" si="58"/>
        <v>0</v>
      </c>
      <c r="H836" s="23" t="e" cm="1">
        <f t="array" ref="H836">INDEX('GLOBAL LOG'!#REF!,ROW()-169+15)</f>
        <v>#REF!</v>
      </c>
      <c r="I836" s="23" t="e">
        <f>_xlfn.XLOOKUP(H836,#REF!,#REF!,"",0,1)</f>
        <v>#REF!</v>
      </c>
      <c r="J836" s="23" t="str">
        <f>IFERROR(I836*#REF!,"")</f>
        <v/>
      </c>
      <c r="K836" s="23" t="e" cm="1">
        <f t="array" ref="K836">INDEX('GLOBAL LOG'!#REF!,ROW()-169+15)</f>
        <v>#REF!</v>
      </c>
      <c r="L836" s="23" t="e">
        <f>_xlfn.XLOOKUP(K836,#REF!,#REF!,"",0,1)</f>
        <v>#REF!</v>
      </c>
      <c r="M836" s="23" t="str">
        <f>IFERROR(L836*#REF!,"")</f>
        <v/>
      </c>
      <c r="N836" s="23">
        <f t="shared" si="59"/>
        <v>-1</v>
      </c>
      <c r="O836" s="23">
        <f t="shared" si="60"/>
        <v>-1</v>
      </c>
      <c r="P836" s="23">
        <f t="shared" si="61"/>
        <v>-1</v>
      </c>
      <c r="Q836" s="24">
        <f t="shared" si="62"/>
        <v>-1</v>
      </c>
      <c r="R836" s="3"/>
      <c r="S836" s="1">
        <v>0</v>
      </c>
      <c r="T836" s="24">
        <v>-1</v>
      </c>
      <c r="U836"/>
      <c r="V836" s="1">
        <v>0</v>
      </c>
      <c r="W836" s="24">
        <v>-1</v>
      </c>
      <c r="X836"/>
      <c r="Y836" s="1">
        <v>0</v>
      </c>
      <c r="Z836" s="24">
        <v>-1</v>
      </c>
      <c r="AA836"/>
      <c r="AB836" s="1">
        <v>0</v>
      </c>
      <c r="AC836" s="24">
        <v>-1</v>
      </c>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c r="CC836"/>
      <c r="CD836"/>
      <c r="CE836"/>
      <c r="CF836"/>
      <c r="CG836"/>
      <c r="CH836"/>
      <c r="CI836"/>
      <c r="CJ836"/>
      <c r="CK836"/>
      <c r="CL836"/>
      <c r="CM836"/>
      <c r="CN836"/>
      <c r="CO836"/>
      <c r="CP836"/>
      <c r="CQ836"/>
      <c r="CR836"/>
      <c r="CS836"/>
    </row>
    <row r="837" spans="2:97">
      <c r="B837"/>
      <c r="C837" s="15"/>
      <c r="D837" s="23"/>
      <c r="E837" s="23"/>
      <c r="F837" s="23"/>
      <c r="G837" s="23">
        <f t="shared" si="58"/>
        <v>0</v>
      </c>
      <c r="H837" s="23" t="e" cm="1">
        <f t="array" ref="H837">INDEX('GLOBAL LOG'!#REF!,ROW()-169+15)</f>
        <v>#REF!</v>
      </c>
      <c r="I837" s="23" t="e">
        <f>_xlfn.XLOOKUP(H837,#REF!,#REF!,"",0,1)</f>
        <v>#REF!</v>
      </c>
      <c r="J837" s="23" t="str">
        <f>IFERROR(I837*#REF!,"")</f>
        <v/>
      </c>
      <c r="K837" s="23" t="e" cm="1">
        <f t="array" ref="K837">INDEX('GLOBAL LOG'!#REF!,ROW()-169+15)</f>
        <v>#REF!</v>
      </c>
      <c r="L837" s="23" t="e">
        <f>_xlfn.XLOOKUP(K837,#REF!,#REF!,"",0,1)</f>
        <v>#REF!</v>
      </c>
      <c r="M837" s="23" t="str">
        <f>IFERROR(L837*#REF!,"")</f>
        <v/>
      </c>
      <c r="N837" s="23">
        <f t="shared" si="59"/>
        <v>-1</v>
      </c>
      <c r="O837" s="23">
        <f t="shared" si="60"/>
        <v>-1</v>
      </c>
      <c r="P837" s="23">
        <f t="shared" si="61"/>
        <v>-1</v>
      </c>
      <c r="Q837" s="24">
        <f t="shared" si="62"/>
        <v>-1</v>
      </c>
      <c r="R837" s="3"/>
      <c r="S837" s="1">
        <v>0</v>
      </c>
      <c r="T837" s="24">
        <v>-1</v>
      </c>
      <c r="U837"/>
      <c r="V837" s="1">
        <v>0</v>
      </c>
      <c r="W837" s="24">
        <v>-1</v>
      </c>
      <c r="X837"/>
      <c r="Y837" s="1">
        <v>0</v>
      </c>
      <c r="Z837" s="24">
        <v>-1</v>
      </c>
      <c r="AA837"/>
      <c r="AB837" s="1">
        <v>0</v>
      </c>
      <c r="AC837" s="24">
        <v>-1</v>
      </c>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c r="CC837"/>
      <c r="CD837"/>
      <c r="CE837"/>
      <c r="CF837"/>
      <c r="CG837"/>
      <c r="CH837"/>
      <c r="CI837"/>
      <c r="CJ837"/>
      <c r="CK837"/>
      <c r="CL837"/>
      <c r="CM837"/>
      <c r="CN837"/>
      <c r="CO837"/>
      <c r="CP837"/>
      <c r="CQ837"/>
      <c r="CR837"/>
      <c r="CS837"/>
    </row>
    <row r="838" spans="2:97">
      <c r="B838"/>
      <c r="C838" s="15"/>
      <c r="D838" s="23"/>
      <c r="E838" s="23"/>
      <c r="F838" s="23"/>
      <c r="G838" s="23">
        <f t="shared" si="58"/>
        <v>0</v>
      </c>
      <c r="H838" s="23" t="e" cm="1">
        <f t="array" ref="H838">INDEX('GLOBAL LOG'!#REF!,ROW()-169+15)</f>
        <v>#REF!</v>
      </c>
      <c r="I838" s="23" t="e">
        <f>_xlfn.XLOOKUP(H838,#REF!,#REF!,"",0,1)</f>
        <v>#REF!</v>
      </c>
      <c r="J838" s="23" t="str">
        <f>IFERROR(I838*#REF!,"")</f>
        <v/>
      </c>
      <c r="K838" s="23" t="e" cm="1">
        <f t="array" ref="K838">INDEX('GLOBAL LOG'!#REF!,ROW()-169+15)</f>
        <v>#REF!</v>
      </c>
      <c r="L838" s="23" t="e">
        <f>_xlfn.XLOOKUP(K838,#REF!,#REF!,"",0,1)</f>
        <v>#REF!</v>
      </c>
      <c r="M838" s="23" t="str">
        <f>IFERROR(L838*#REF!,"")</f>
        <v/>
      </c>
      <c r="N838" s="23">
        <f t="shared" si="59"/>
        <v>-1</v>
      </c>
      <c r="O838" s="23">
        <f t="shared" si="60"/>
        <v>-1</v>
      </c>
      <c r="P838" s="23">
        <f t="shared" si="61"/>
        <v>-1</v>
      </c>
      <c r="Q838" s="24">
        <f t="shared" si="62"/>
        <v>-1</v>
      </c>
      <c r="R838" s="3"/>
      <c r="S838" s="1">
        <v>0</v>
      </c>
      <c r="T838" s="24">
        <v>-1</v>
      </c>
      <c r="U838"/>
      <c r="V838" s="1">
        <v>0</v>
      </c>
      <c r="W838" s="24">
        <v>-1</v>
      </c>
      <c r="X838"/>
      <c r="Y838" s="1">
        <v>0</v>
      </c>
      <c r="Z838" s="24">
        <v>-1</v>
      </c>
      <c r="AA838"/>
      <c r="AB838" s="1">
        <v>0</v>
      </c>
      <c r="AC838" s="24">
        <v>-1</v>
      </c>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c r="CA838"/>
      <c r="CB838"/>
      <c r="CC838"/>
      <c r="CD838"/>
      <c r="CE838"/>
      <c r="CF838"/>
      <c r="CG838"/>
      <c r="CH838"/>
      <c r="CI838"/>
      <c r="CJ838"/>
      <c r="CK838"/>
      <c r="CL838"/>
      <c r="CM838"/>
      <c r="CN838"/>
      <c r="CO838"/>
      <c r="CP838"/>
      <c r="CQ838"/>
      <c r="CR838"/>
      <c r="CS838"/>
    </row>
    <row r="839" spans="2:97">
      <c r="B839"/>
      <c r="C839" s="15"/>
      <c r="D839" s="23"/>
      <c r="E839" s="23"/>
      <c r="F839" s="23"/>
      <c r="G839" s="23">
        <f t="shared" si="58"/>
        <v>0</v>
      </c>
      <c r="H839" s="23" t="e" cm="1">
        <f t="array" ref="H839">INDEX('GLOBAL LOG'!#REF!,ROW()-169+15)</f>
        <v>#REF!</v>
      </c>
      <c r="I839" s="23" t="e">
        <f>_xlfn.XLOOKUP(H839,#REF!,#REF!,"",0,1)</f>
        <v>#REF!</v>
      </c>
      <c r="J839" s="23" t="str">
        <f>IFERROR(I839*#REF!,"")</f>
        <v/>
      </c>
      <c r="K839" s="23" t="e" cm="1">
        <f t="array" ref="K839">INDEX('GLOBAL LOG'!#REF!,ROW()-169+15)</f>
        <v>#REF!</v>
      </c>
      <c r="L839" s="23" t="e">
        <f>_xlfn.XLOOKUP(K839,#REF!,#REF!,"",0,1)</f>
        <v>#REF!</v>
      </c>
      <c r="M839" s="23" t="str">
        <f>IFERROR(L839*#REF!,"")</f>
        <v/>
      </c>
      <c r="N839" s="23">
        <f t="shared" si="59"/>
        <v>-1</v>
      </c>
      <c r="O839" s="23">
        <f t="shared" si="60"/>
        <v>-1</v>
      </c>
      <c r="P839" s="23">
        <f t="shared" si="61"/>
        <v>-1</v>
      </c>
      <c r="Q839" s="24">
        <f t="shared" si="62"/>
        <v>-1</v>
      </c>
      <c r="R839" s="3"/>
      <c r="S839" s="1">
        <v>0</v>
      </c>
      <c r="T839" s="24">
        <v>-1</v>
      </c>
      <c r="U839"/>
      <c r="V839" s="1">
        <v>0</v>
      </c>
      <c r="W839" s="24">
        <v>-1</v>
      </c>
      <c r="X839"/>
      <c r="Y839" s="1">
        <v>0</v>
      </c>
      <c r="Z839" s="24">
        <v>-1</v>
      </c>
      <c r="AA839"/>
      <c r="AB839" s="1">
        <v>0</v>
      </c>
      <c r="AC839" s="24">
        <v>-1</v>
      </c>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c r="CA839"/>
      <c r="CB839"/>
      <c r="CC839"/>
      <c r="CD839"/>
      <c r="CE839"/>
      <c r="CF839"/>
      <c r="CG839"/>
      <c r="CH839"/>
      <c r="CI839"/>
      <c r="CJ839"/>
      <c r="CK839"/>
      <c r="CL839"/>
      <c r="CM839"/>
      <c r="CN839"/>
      <c r="CO839"/>
      <c r="CP839"/>
      <c r="CQ839"/>
      <c r="CR839"/>
      <c r="CS839"/>
    </row>
    <row r="840" spans="2:97">
      <c r="B840"/>
      <c r="C840" s="15"/>
      <c r="D840" s="23"/>
      <c r="E840" s="23"/>
      <c r="F840" s="23"/>
      <c r="G840" s="23">
        <f t="shared" si="58"/>
        <v>0</v>
      </c>
      <c r="H840" s="23" t="e" cm="1">
        <f t="array" ref="H840">INDEX('GLOBAL LOG'!#REF!,ROW()-169+15)</f>
        <v>#REF!</v>
      </c>
      <c r="I840" s="23" t="e">
        <f>_xlfn.XLOOKUP(H840,#REF!,#REF!,"",0,1)</f>
        <v>#REF!</v>
      </c>
      <c r="J840" s="23" t="str">
        <f>IFERROR(I840*#REF!,"")</f>
        <v/>
      </c>
      <c r="K840" s="23" t="e" cm="1">
        <f t="array" ref="K840">INDEX('GLOBAL LOG'!#REF!,ROW()-169+15)</f>
        <v>#REF!</v>
      </c>
      <c r="L840" s="23" t="e">
        <f>_xlfn.XLOOKUP(K840,#REF!,#REF!,"",0,1)</f>
        <v>#REF!</v>
      </c>
      <c r="M840" s="23" t="str">
        <f>IFERROR(L840*#REF!,"")</f>
        <v/>
      </c>
      <c r="N840" s="23">
        <f t="shared" si="59"/>
        <v>-1</v>
      </c>
      <c r="O840" s="23">
        <f t="shared" si="60"/>
        <v>-1</v>
      </c>
      <c r="P840" s="23">
        <f t="shared" si="61"/>
        <v>-1</v>
      </c>
      <c r="Q840" s="24">
        <f t="shared" si="62"/>
        <v>-1</v>
      </c>
      <c r="R840" s="3"/>
      <c r="S840" s="1">
        <v>0</v>
      </c>
      <c r="T840" s="24">
        <v>-1</v>
      </c>
      <c r="U840"/>
      <c r="V840" s="1">
        <v>0</v>
      </c>
      <c r="W840" s="24">
        <v>-1</v>
      </c>
      <c r="X840"/>
      <c r="Y840" s="1">
        <v>0</v>
      </c>
      <c r="Z840" s="24">
        <v>-1</v>
      </c>
      <c r="AA840"/>
      <c r="AB840" s="1">
        <v>0</v>
      </c>
      <c r="AC840" s="24">
        <v>-1</v>
      </c>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c r="CC840"/>
      <c r="CD840"/>
      <c r="CE840"/>
      <c r="CF840"/>
      <c r="CG840"/>
      <c r="CH840"/>
      <c r="CI840"/>
      <c r="CJ840"/>
      <c r="CK840"/>
      <c r="CL840"/>
      <c r="CM840"/>
      <c r="CN840"/>
      <c r="CO840"/>
      <c r="CP840"/>
      <c r="CQ840"/>
      <c r="CR840"/>
      <c r="CS840"/>
    </row>
    <row r="841" spans="2:97">
      <c r="B841"/>
      <c r="C841" s="15"/>
      <c r="D841" s="23"/>
      <c r="E841" s="23"/>
      <c r="F841" s="23"/>
      <c r="G841" s="23">
        <f t="shared" si="58"/>
        <v>0</v>
      </c>
      <c r="H841" s="23" t="e" cm="1">
        <f t="array" ref="H841">INDEX('GLOBAL LOG'!#REF!,ROW()-169+15)</f>
        <v>#REF!</v>
      </c>
      <c r="I841" s="23" t="e">
        <f>_xlfn.XLOOKUP(H841,#REF!,#REF!,"",0,1)</f>
        <v>#REF!</v>
      </c>
      <c r="J841" s="23" t="str">
        <f>IFERROR(I841*#REF!,"")</f>
        <v/>
      </c>
      <c r="K841" s="23" t="e" cm="1">
        <f t="array" ref="K841">INDEX('GLOBAL LOG'!#REF!,ROW()-169+15)</f>
        <v>#REF!</v>
      </c>
      <c r="L841" s="23" t="e">
        <f>_xlfn.XLOOKUP(K841,#REF!,#REF!,"",0,1)</f>
        <v>#REF!</v>
      </c>
      <c r="M841" s="23" t="str">
        <f>IFERROR(L841*#REF!,"")</f>
        <v/>
      </c>
      <c r="N841" s="23">
        <f t="shared" si="59"/>
        <v>-1</v>
      </c>
      <c r="O841" s="23">
        <f t="shared" si="60"/>
        <v>-1</v>
      </c>
      <c r="P841" s="23">
        <f t="shared" si="61"/>
        <v>-1</v>
      </c>
      <c r="Q841" s="24">
        <f t="shared" si="62"/>
        <v>-1</v>
      </c>
      <c r="R841" s="3"/>
      <c r="S841" s="1">
        <v>0</v>
      </c>
      <c r="T841" s="24">
        <v>-1</v>
      </c>
      <c r="U841"/>
      <c r="V841" s="1">
        <v>0</v>
      </c>
      <c r="W841" s="24">
        <v>-1</v>
      </c>
      <c r="X841"/>
      <c r="Y841" s="1">
        <v>0</v>
      </c>
      <c r="Z841" s="24">
        <v>-1</v>
      </c>
      <c r="AA841"/>
      <c r="AB841" s="1">
        <v>0</v>
      </c>
      <c r="AC841" s="24">
        <v>-1</v>
      </c>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c r="CC841"/>
      <c r="CD841"/>
      <c r="CE841"/>
      <c r="CF841"/>
      <c r="CG841"/>
      <c r="CH841"/>
      <c r="CI841"/>
      <c r="CJ841"/>
      <c r="CK841"/>
      <c r="CL841"/>
      <c r="CM841"/>
      <c r="CN841"/>
      <c r="CO841"/>
      <c r="CP841"/>
      <c r="CQ841"/>
      <c r="CR841"/>
      <c r="CS841"/>
    </row>
    <row r="842" spans="2:97">
      <c r="B842"/>
      <c r="C842" s="15"/>
      <c r="D842" s="23"/>
      <c r="E842" s="23"/>
      <c r="F842" s="23"/>
      <c r="G842" s="23">
        <f t="shared" si="58"/>
        <v>0</v>
      </c>
      <c r="H842" s="23" t="e" cm="1">
        <f t="array" ref="H842">INDEX('GLOBAL LOG'!#REF!,ROW()-169+15)</f>
        <v>#REF!</v>
      </c>
      <c r="I842" s="23" t="e">
        <f>_xlfn.XLOOKUP(H842,#REF!,#REF!,"",0,1)</f>
        <v>#REF!</v>
      </c>
      <c r="J842" s="23" t="str">
        <f>IFERROR(I842*#REF!,"")</f>
        <v/>
      </c>
      <c r="K842" s="23" t="e" cm="1">
        <f t="array" ref="K842">INDEX('GLOBAL LOG'!#REF!,ROW()-169+15)</f>
        <v>#REF!</v>
      </c>
      <c r="L842" s="23" t="e">
        <f>_xlfn.XLOOKUP(K842,#REF!,#REF!,"",0,1)</f>
        <v>#REF!</v>
      </c>
      <c r="M842" s="23" t="str">
        <f>IFERROR(L842*#REF!,"")</f>
        <v/>
      </c>
      <c r="N842" s="23">
        <f t="shared" si="59"/>
        <v>-1</v>
      </c>
      <c r="O842" s="23">
        <f t="shared" si="60"/>
        <v>-1</v>
      </c>
      <c r="P842" s="23">
        <f t="shared" si="61"/>
        <v>-1</v>
      </c>
      <c r="Q842" s="24">
        <f t="shared" si="62"/>
        <v>-1</v>
      </c>
      <c r="R842" s="3"/>
      <c r="S842" s="1">
        <v>0</v>
      </c>
      <c r="T842" s="24">
        <v>-1</v>
      </c>
      <c r="U842"/>
      <c r="V842" s="1">
        <v>0</v>
      </c>
      <c r="W842" s="24">
        <v>-1</v>
      </c>
      <c r="X842"/>
      <c r="Y842" s="1">
        <v>0</v>
      </c>
      <c r="Z842" s="24">
        <v>-1</v>
      </c>
      <c r="AA842"/>
      <c r="AB842" s="1">
        <v>0</v>
      </c>
      <c r="AC842" s="24">
        <v>-1</v>
      </c>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c r="CA842"/>
      <c r="CB842"/>
      <c r="CC842"/>
      <c r="CD842"/>
      <c r="CE842"/>
      <c r="CF842"/>
      <c r="CG842"/>
      <c r="CH842"/>
      <c r="CI842"/>
      <c r="CJ842"/>
      <c r="CK842"/>
      <c r="CL842"/>
      <c r="CM842"/>
      <c r="CN842"/>
      <c r="CO842"/>
      <c r="CP842"/>
      <c r="CQ842"/>
      <c r="CR842"/>
      <c r="CS842"/>
    </row>
    <row r="843" spans="2:97">
      <c r="B843"/>
      <c r="C843" s="15"/>
      <c r="D843" s="23"/>
      <c r="E843" s="23"/>
      <c r="F843" s="23"/>
      <c r="G843" s="23">
        <f t="shared" si="58"/>
        <v>0</v>
      </c>
      <c r="H843" s="23" t="e" cm="1">
        <f t="array" ref="H843">INDEX('GLOBAL LOG'!#REF!,ROW()-169+15)</f>
        <v>#REF!</v>
      </c>
      <c r="I843" s="23" t="e">
        <f>_xlfn.XLOOKUP(H843,#REF!,#REF!,"",0,1)</f>
        <v>#REF!</v>
      </c>
      <c r="J843" s="23" t="str">
        <f>IFERROR(I843*#REF!,"")</f>
        <v/>
      </c>
      <c r="K843" s="23" t="e" cm="1">
        <f t="array" ref="K843">INDEX('GLOBAL LOG'!#REF!,ROW()-169+15)</f>
        <v>#REF!</v>
      </c>
      <c r="L843" s="23" t="e">
        <f>_xlfn.XLOOKUP(K843,#REF!,#REF!,"",0,1)</f>
        <v>#REF!</v>
      </c>
      <c r="M843" s="23" t="str">
        <f>IFERROR(L843*#REF!,"")</f>
        <v/>
      </c>
      <c r="N843" s="23">
        <f t="shared" si="59"/>
        <v>-1</v>
      </c>
      <c r="O843" s="23">
        <f t="shared" si="60"/>
        <v>-1</v>
      </c>
      <c r="P843" s="23">
        <f t="shared" si="61"/>
        <v>-1</v>
      </c>
      <c r="Q843" s="24">
        <f t="shared" si="62"/>
        <v>-1</v>
      </c>
      <c r="R843" s="3"/>
      <c r="S843" s="1">
        <v>0</v>
      </c>
      <c r="T843" s="24">
        <v>-1</v>
      </c>
      <c r="U843"/>
      <c r="V843" s="1">
        <v>0</v>
      </c>
      <c r="W843" s="24">
        <v>-1</v>
      </c>
      <c r="X843"/>
      <c r="Y843" s="1">
        <v>0</v>
      </c>
      <c r="Z843" s="24">
        <v>-1</v>
      </c>
      <c r="AA843"/>
      <c r="AB843" s="1">
        <v>0</v>
      </c>
      <c r="AC843" s="24">
        <v>-1</v>
      </c>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c r="CC843"/>
      <c r="CD843"/>
      <c r="CE843"/>
      <c r="CF843"/>
      <c r="CG843"/>
      <c r="CH843"/>
      <c r="CI843"/>
      <c r="CJ843"/>
      <c r="CK843"/>
      <c r="CL843"/>
      <c r="CM843"/>
      <c r="CN843"/>
      <c r="CO843"/>
      <c r="CP843"/>
      <c r="CQ843"/>
      <c r="CR843"/>
      <c r="CS843"/>
    </row>
    <row r="844" spans="2:97">
      <c r="B844"/>
      <c r="C844" s="15"/>
      <c r="D844" s="23"/>
      <c r="E844" s="23"/>
      <c r="F844" s="23"/>
      <c r="G844" s="23">
        <f t="shared" si="58"/>
        <v>0</v>
      </c>
      <c r="H844" s="23" t="e" cm="1">
        <f t="array" ref="H844">INDEX('GLOBAL LOG'!#REF!,ROW()-169+15)</f>
        <v>#REF!</v>
      </c>
      <c r="I844" s="23" t="e">
        <f>_xlfn.XLOOKUP(H844,#REF!,#REF!,"",0,1)</f>
        <v>#REF!</v>
      </c>
      <c r="J844" s="23" t="str">
        <f>IFERROR(I844*#REF!,"")</f>
        <v/>
      </c>
      <c r="K844" s="23" t="e" cm="1">
        <f t="array" ref="K844">INDEX('GLOBAL LOG'!#REF!,ROW()-169+15)</f>
        <v>#REF!</v>
      </c>
      <c r="L844" s="23" t="e">
        <f>_xlfn.XLOOKUP(K844,#REF!,#REF!,"",0,1)</f>
        <v>#REF!</v>
      </c>
      <c r="M844" s="23" t="str">
        <f>IFERROR(L844*#REF!,"")</f>
        <v/>
      </c>
      <c r="N844" s="23">
        <f t="shared" si="59"/>
        <v>-1</v>
      </c>
      <c r="O844" s="23">
        <f t="shared" si="60"/>
        <v>-1</v>
      </c>
      <c r="P844" s="23">
        <f t="shared" si="61"/>
        <v>-1</v>
      </c>
      <c r="Q844" s="24">
        <f t="shared" si="62"/>
        <v>-1</v>
      </c>
      <c r="R844" s="3"/>
      <c r="S844" s="1">
        <v>0</v>
      </c>
      <c r="T844" s="24">
        <v>-1</v>
      </c>
      <c r="U844"/>
      <c r="V844" s="1">
        <v>0</v>
      </c>
      <c r="W844" s="24">
        <v>-1</v>
      </c>
      <c r="X844"/>
      <c r="Y844" s="1">
        <v>0</v>
      </c>
      <c r="Z844" s="24">
        <v>-1</v>
      </c>
      <c r="AA844"/>
      <c r="AB844" s="1">
        <v>0</v>
      </c>
      <c r="AC844" s="24">
        <v>-1</v>
      </c>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c r="CA844"/>
      <c r="CB844"/>
      <c r="CC844"/>
      <c r="CD844"/>
      <c r="CE844"/>
      <c r="CF844"/>
      <c r="CG844"/>
      <c r="CH844"/>
      <c r="CI844"/>
      <c r="CJ844"/>
      <c r="CK844"/>
      <c r="CL844"/>
      <c r="CM844"/>
      <c r="CN844"/>
      <c r="CO844"/>
      <c r="CP844"/>
      <c r="CQ844"/>
      <c r="CR844"/>
      <c r="CS844"/>
    </row>
    <row r="845" spans="2:97">
      <c r="B845"/>
      <c r="C845" s="15"/>
      <c r="D845" s="23"/>
      <c r="E845" s="23"/>
      <c r="F845" s="23"/>
      <c r="G845" s="23">
        <f t="shared" si="58"/>
        <v>0</v>
      </c>
      <c r="H845" s="23" t="e" cm="1">
        <f t="array" ref="H845">INDEX('GLOBAL LOG'!#REF!,ROW()-169+15)</f>
        <v>#REF!</v>
      </c>
      <c r="I845" s="23" t="e">
        <f>_xlfn.XLOOKUP(H845,#REF!,#REF!,"",0,1)</f>
        <v>#REF!</v>
      </c>
      <c r="J845" s="23" t="str">
        <f>IFERROR(I845*#REF!,"")</f>
        <v/>
      </c>
      <c r="K845" s="23" t="e" cm="1">
        <f t="array" ref="K845">INDEX('GLOBAL LOG'!#REF!,ROW()-169+15)</f>
        <v>#REF!</v>
      </c>
      <c r="L845" s="23" t="e">
        <f>_xlfn.XLOOKUP(K845,#REF!,#REF!,"",0,1)</f>
        <v>#REF!</v>
      </c>
      <c r="M845" s="23" t="str">
        <f>IFERROR(L845*#REF!,"")</f>
        <v/>
      </c>
      <c r="N845" s="23">
        <f t="shared" si="59"/>
        <v>-1</v>
      </c>
      <c r="O845" s="23">
        <f t="shared" si="60"/>
        <v>-1</v>
      </c>
      <c r="P845" s="23">
        <f t="shared" si="61"/>
        <v>-1</v>
      </c>
      <c r="Q845" s="24">
        <f t="shared" si="62"/>
        <v>-1</v>
      </c>
      <c r="R845" s="3"/>
      <c r="S845" s="1">
        <v>0</v>
      </c>
      <c r="T845" s="24">
        <v>-1</v>
      </c>
      <c r="U845"/>
      <c r="V845" s="1">
        <v>0</v>
      </c>
      <c r="W845" s="24">
        <v>-1</v>
      </c>
      <c r="X845"/>
      <c r="Y845" s="1">
        <v>0</v>
      </c>
      <c r="Z845" s="24">
        <v>-1</v>
      </c>
      <c r="AA845"/>
      <c r="AB845" s="1">
        <v>0</v>
      </c>
      <c r="AC845" s="24">
        <v>-1</v>
      </c>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c r="CA845"/>
      <c r="CB845"/>
      <c r="CC845"/>
      <c r="CD845"/>
      <c r="CE845"/>
      <c r="CF845"/>
      <c r="CG845"/>
      <c r="CH845"/>
      <c r="CI845"/>
      <c r="CJ845"/>
      <c r="CK845"/>
      <c r="CL845"/>
      <c r="CM845"/>
      <c r="CN845"/>
      <c r="CO845"/>
      <c r="CP845"/>
      <c r="CQ845"/>
      <c r="CR845"/>
      <c r="CS845"/>
    </row>
    <row r="846" spans="2:97">
      <c r="B846"/>
      <c r="C846" s="15"/>
      <c r="D846" s="23"/>
      <c r="E846" s="23"/>
      <c r="F846" s="23"/>
      <c r="G846" s="23">
        <f t="shared" si="58"/>
        <v>0</v>
      </c>
      <c r="H846" s="23" t="e" cm="1">
        <f t="array" ref="H846">INDEX('GLOBAL LOG'!#REF!,ROW()-169+15)</f>
        <v>#REF!</v>
      </c>
      <c r="I846" s="23" t="e">
        <f>_xlfn.XLOOKUP(H846,#REF!,#REF!,"",0,1)</f>
        <v>#REF!</v>
      </c>
      <c r="J846" s="23" t="str">
        <f>IFERROR(I846*#REF!,"")</f>
        <v/>
      </c>
      <c r="K846" s="23" t="e" cm="1">
        <f t="array" ref="K846">INDEX('GLOBAL LOG'!#REF!,ROW()-169+15)</f>
        <v>#REF!</v>
      </c>
      <c r="L846" s="23" t="e">
        <f>_xlfn.XLOOKUP(K846,#REF!,#REF!,"",0,1)</f>
        <v>#REF!</v>
      </c>
      <c r="M846" s="23" t="str">
        <f>IFERROR(L846*#REF!,"")</f>
        <v/>
      </c>
      <c r="N846" s="23">
        <f t="shared" si="59"/>
        <v>-1</v>
      </c>
      <c r="O846" s="23">
        <f t="shared" si="60"/>
        <v>-1</v>
      </c>
      <c r="P846" s="23">
        <f t="shared" si="61"/>
        <v>-1</v>
      </c>
      <c r="Q846" s="24">
        <f t="shared" si="62"/>
        <v>-1</v>
      </c>
      <c r="R846" s="3"/>
      <c r="S846" s="1">
        <v>0</v>
      </c>
      <c r="T846" s="24">
        <v>-1</v>
      </c>
      <c r="U846"/>
      <c r="V846" s="1">
        <v>0</v>
      </c>
      <c r="W846" s="24">
        <v>-1</v>
      </c>
      <c r="X846"/>
      <c r="Y846" s="1">
        <v>0</v>
      </c>
      <c r="Z846" s="24">
        <v>-1</v>
      </c>
      <c r="AA846"/>
      <c r="AB846" s="1">
        <v>0</v>
      </c>
      <c r="AC846" s="24">
        <v>-1</v>
      </c>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c r="CA846"/>
      <c r="CB846"/>
      <c r="CC846"/>
      <c r="CD846"/>
      <c r="CE846"/>
      <c r="CF846"/>
      <c r="CG846"/>
      <c r="CH846"/>
      <c r="CI846"/>
      <c r="CJ846"/>
      <c r="CK846"/>
      <c r="CL846"/>
      <c r="CM846"/>
      <c r="CN846"/>
      <c r="CO846"/>
      <c r="CP846"/>
      <c r="CQ846"/>
      <c r="CR846"/>
      <c r="CS846"/>
    </row>
    <row r="847" spans="2:97">
      <c r="B847"/>
      <c r="C847" s="15"/>
      <c r="D847" s="23"/>
      <c r="E847" s="23"/>
      <c r="F847" s="23"/>
      <c r="G847" s="23">
        <f t="shared" si="58"/>
        <v>0</v>
      </c>
      <c r="H847" s="23" t="e" cm="1">
        <f t="array" ref="H847">INDEX('GLOBAL LOG'!#REF!,ROW()-169+15)</f>
        <v>#REF!</v>
      </c>
      <c r="I847" s="23" t="e">
        <f>_xlfn.XLOOKUP(H847,#REF!,#REF!,"",0,1)</f>
        <v>#REF!</v>
      </c>
      <c r="J847" s="23" t="str">
        <f>IFERROR(I847*#REF!,"")</f>
        <v/>
      </c>
      <c r="K847" s="23" t="e" cm="1">
        <f t="array" ref="K847">INDEX('GLOBAL LOG'!#REF!,ROW()-169+15)</f>
        <v>#REF!</v>
      </c>
      <c r="L847" s="23" t="e">
        <f>_xlfn.XLOOKUP(K847,#REF!,#REF!,"",0,1)</f>
        <v>#REF!</v>
      </c>
      <c r="M847" s="23" t="str">
        <f>IFERROR(L847*#REF!,"")</f>
        <v/>
      </c>
      <c r="N847" s="23">
        <f t="shared" si="59"/>
        <v>-1</v>
      </c>
      <c r="O847" s="23">
        <f t="shared" si="60"/>
        <v>-1</v>
      </c>
      <c r="P847" s="23">
        <f t="shared" si="61"/>
        <v>-1</v>
      </c>
      <c r="Q847" s="24">
        <f t="shared" si="62"/>
        <v>-1</v>
      </c>
      <c r="R847" s="3"/>
      <c r="S847" s="1">
        <v>0</v>
      </c>
      <c r="T847" s="24">
        <v>-1</v>
      </c>
      <c r="U847"/>
      <c r="V847" s="1">
        <v>0</v>
      </c>
      <c r="W847" s="24">
        <v>-1</v>
      </c>
      <c r="X847"/>
      <c r="Y847" s="1">
        <v>0</v>
      </c>
      <c r="Z847" s="24">
        <v>-1</v>
      </c>
      <c r="AA847"/>
      <c r="AB847" s="1">
        <v>0</v>
      </c>
      <c r="AC847" s="24">
        <v>-1</v>
      </c>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c r="CA847"/>
      <c r="CB847"/>
      <c r="CC847"/>
      <c r="CD847"/>
      <c r="CE847"/>
      <c r="CF847"/>
      <c r="CG847"/>
      <c r="CH847"/>
      <c r="CI847"/>
      <c r="CJ847"/>
      <c r="CK847"/>
      <c r="CL847"/>
      <c r="CM847"/>
      <c r="CN847"/>
      <c r="CO847"/>
      <c r="CP847"/>
      <c r="CQ847"/>
      <c r="CR847"/>
      <c r="CS847"/>
    </row>
    <row r="848" spans="2:97">
      <c r="B848"/>
      <c r="C848" s="15"/>
      <c r="D848" s="23"/>
      <c r="E848" s="23"/>
      <c r="F848" s="23"/>
      <c r="G848" s="23">
        <f t="shared" si="58"/>
        <v>0</v>
      </c>
      <c r="H848" s="23" t="e" cm="1">
        <f t="array" ref="H848">INDEX('GLOBAL LOG'!#REF!,ROW()-169+15)</f>
        <v>#REF!</v>
      </c>
      <c r="I848" s="23" t="e">
        <f>_xlfn.XLOOKUP(H848,#REF!,#REF!,"",0,1)</f>
        <v>#REF!</v>
      </c>
      <c r="J848" s="23" t="str">
        <f>IFERROR(I848*#REF!,"")</f>
        <v/>
      </c>
      <c r="K848" s="23" t="e" cm="1">
        <f t="array" ref="K848">INDEX('GLOBAL LOG'!#REF!,ROW()-169+15)</f>
        <v>#REF!</v>
      </c>
      <c r="L848" s="23" t="e">
        <f>_xlfn.XLOOKUP(K848,#REF!,#REF!,"",0,1)</f>
        <v>#REF!</v>
      </c>
      <c r="M848" s="23" t="str">
        <f>IFERROR(L848*#REF!,"")</f>
        <v/>
      </c>
      <c r="N848" s="23">
        <f t="shared" si="59"/>
        <v>-1</v>
      </c>
      <c r="O848" s="23">
        <f t="shared" si="60"/>
        <v>-1</v>
      </c>
      <c r="P848" s="23">
        <f t="shared" si="61"/>
        <v>-1</v>
      </c>
      <c r="Q848" s="24">
        <f t="shared" si="62"/>
        <v>-1</v>
      </c>
      <c r="R848" s="3"/>
      <c r="S848" s="1">
        <v>0</v>
      </c>
      <c r="T848" s="24">
        <v>-1</v>
      </c>
      <c r="U848"/>
      <c r="V848" s="1">
        <v>0</v>
      </c>
      <c r="W848" s="24">
        <v>-1</v>
      </c>
      <c r="X848"/>
      <c r="Y848" s="1">
        <v>0</v>
      </c>
      <c r="Z848" s="24">
        <v>-1</v>
      </c>
      <c r="AA848"/>
      <c r="AB848" s="1">
        <v>0</v>
      </c>
      <c r="AC848" s="24">
        <v>-1</v>
      </c>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c r="CA848"/>
      <c r="CB848"/>
      <c r="CC848"/>
      <c r="CD848"/>
      <c r="CE848"/>
      <c r="CF848"/>
      <c r="CG848"/>
      <c r="CH848"/>
      <c r="CI848"/>
      <c r="CJ848"/>
      <c r="CK848"/>
      <c r="CL848"/>
      <c r="CM848"/>
      <c r="CN848"/>
      <c r="CO848"/>
      <c r="CP848"/>
      <c r="CQ848"/>
      <c r="CR848"/>
      <c r="CS848"/>
    </row>
    <row r="849" spans="2:97">
      <c r="B849"/>
      <c r="C849" s="15"/>
      <c r="D849" s="23"/>
      <c r="E849" s="23"/>
      <c r="F849" s="23"/>
      <c r="G849" s="23">
        <f t="shared" si="58"/>
        <v>0</v>
      </c>
      <c r="H849" s="23" t="e" cm="1">
        <f t="array" ref="H849">INDEX('GLOBAL LOG'!#REF!,ROW()-169+15)</f>
        <v>#REF!</v>
      </c>
      <c r="I849" s="23" t="e">
        <f>_xlfn.XLOOKUP(H849,#REF!,#REF!,"",0,1)</f>
        <v>#REF!</v>
      </c>
      <c r="J849" s="23" t="str">
        <f>IFERROR(I849*#REF!,"")</f>
        <v/>
      </c>
      <c r="K849" s="23" t="e" cm="1">
        <f t="array" ref="K849">INDEX('GLOBAL LOG'!#REF!,ROW()-169+15)</f>
        <v>#REF!</v>
      </c>
      <c r="L849" s="23" t="e">
        <f>_xlfn.XLOOKUP(K849,#REF!,#REF!,"",0,1)</f>
        <v>#REF!</v>
      </c>
      <c r="M849" s="23" t="str">
        <f>IFERROR(L849*#REF!,"")</f>
        <v/>
      </c>
      <c r="N849" s="23">
        <f t="shared" si="59"/>
        <v>-1</v>
      </c>
      <c r="O849" s="23">
        <f t="shared" si="60"/>
        <v>-1</v>
      </c>
      <c r="P849" s="23">
        <f t="shared" si="61"/>
        <v>-1</v>
      </c>
      <c r="Q849" s="24">
        <f t="shared" si="62"/>
        <v>-1</v>
      </c>
      <c r="R849" s="3"/>
      <c r="S849" s="1">
        <v>0</v>
      </c>
      <c r="T849" s="24">
        <v>-1</v>
      </c>
      <c r="U849"/>
      <c r="V849" s="1">
        <v>0</v>
      </c>
      <c r="W849" s="24">
        <v>-1</v>
      </c>
      <c r="X849"/>
      <c r="Y849" s="1">
        <v>0</v>
      </c>
      <c r="Z849" s="24">
        <v>-1</v>
      </c>
      <c r="AA849"/>
      <c r="AB849" s="1">
        <v>0</v>
      </c>
      <c r="AC849" s="24">
        <v>-1</v>
      </c>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c r="CA849"/>
      <c r="CB849"/>
      <c r="CC849"/>
      <c r="CD849"/>
      <c r="CE849"/>
      <c r="CF849"/>
      <c r="CG849"/>
      <c r="CH849"/>
      <c r="CI849"/>
      <c r="CJ849"/>
      <c r="CK849"/>
      <c r="CL849"/>
      <c r="CM849"/>
      <c r="CN849"/>
      <c r="CO849"/>
      <c r="CP849"/>
      <c r="CQ849"/>
      <c r="CR849"/>
      <c r="CS849"/>
    </row>
    <row r="850" spans="2:97">
      <c r="B850"/>
      <c r="C850" s="15"/>
      <c r="D850" s="23"/>
      <c r="E850" s="23"/>
      <c r="F850" s="23"/>
      <c r="G850" s="23">
        <f t="shared" si="58"/>
        <v>0</v>
      </c>
      <c r="H850" s="23" t="e" cm="1">
        <f t="array" ref="H850">INDEX('GLOBAL LOG'!#REF!,ROW()-169+15)</f>
        <v>#REF!</v>
      </c>
      <c r="I850" s="23" t="e">
        <f>_xlfn.XLOOKUP(H850,#REF!,#REF!,"",0,1)</f>
        <v>#REF!</v>
      </c>
      <c r="J850" s="23" t="str">
        <f>IFERROR(I850*#REF!,"")</f>
        <v/>
      </c>
      <c r="K850" s="23" t="e" cm="1">
        <f t="array" ref="K850">INDEX('GLOBAL LOG'!#REF!,ROW()-169+15)</f>
        <v>#REF!</v>
      </c>
      <c r="L850" s="23" t="e">
        <f>_xlfn.XLOOKUP(K850,#REF!,#REF!,"",0,1)</f>
        <v>#REF!</v>
      </c>
      <c r="M850" s="23" t="str">
        <f>IFERROR(L850*#REF!,"")</f>
        <v/>
      </c>
      <c r="N850" s="23">
        <f t="shared" si="59"/>
        <v>-1</v>
      </c>
      <c r="O850" s="23">
        <f t="shared" si="60"/>
        <v>-1</v>
      </c>
      <c r="P850" s="23">
        <f t="shared" si="61"/>
        <v>-1</v>
      </c>
      <c r="Q850" s="24">
        <f t="shared" si="62"/>
        <v>-1</v>
      </c>
      <c r="R850" s="3"/>
      <c r="S850" s="1">
        <v>0</v>
      </c>
      <c r="T850" s="24">
        <v>-1</v>
      </c>
      <c r="U850"/>
      <c r="V850" s="1">
        <v>0</v>
      </c>
      <c r="W850" s="24">
        <v>-1</v>
      </c>
      <c r="X850"/>
      <c r="Y850" s="1">
        <v>0</v>
      </c>
      <c r="Z850" s="24">
        <v>-1</v>
      </c>
      <c r="AA850"/>
      <c r="AB850" s="1">
        <v>0</v>
      </c>
      <c r="AC850" s="24">
        <v>-1</v>
      </c>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c r="CA850"/>
      <c r="CB850"/>
      <c r="CC850"/>
      <c r="CD850"/>
      <c r="CE850"/>
      <c r="CF850"/>
      <c r="CG850"/>
      <c r="CH850"/>
      <c r="CI850"/>
      <c r="CJ850"/>
      <c r="CK850"/>
      <c r="CL850"/>
      <c r="CM850"/>
      <c r="CN850"/>
      <c r="CO850"/>
      <c r="CP850"/>
      <c r="CQ850"/>
      <c r="CR850"/>
      <c r="CS850"/>
    </row>
    <row r="851" spans="2:97">
      <c r="B851"/>
      <c r="C851" s="15"/>
      <c r="D851" s="23"/>
      <c r="E851" s="23"/>
      <c r="F851" s="23"/>
      <c r="G851" s="23">
        <f t="shared" si="58"/>
        <v>0</v>
      </c>
      <c r="H851" s="23" t="e" cm="1">
        <f t="array" ref="H851">INDEX('GLOBAL LOG'!#REF!,ROW()-169+15)</f>
        <v>#REF!</v>
      </c>
      <c r="I851" s="23" t="e">
        <f>_xlfn.XLOOKUP(H851,#REF!,#REF!,"",0,1)</f>
        <v>#REF!</v>
      </c>
      <c r="J851" s="23" t="str">
        <f>IFERROR(I851*#REF!,"")</f>
        <v/>
      </c>
      <c r="K851" s="23" t="e" cm="1">
        <f t="array" ref="K851">INDEX('GLOBAL LOG'!#REF!,ROW()-169+15)</f>
        <v>#REF!</v>
      </c>
      <c r="L851" s="23" t="e">
        <f>_xlfn.XLOOKUP(K851,#REF!,#REF!,"",0,1)</f>
        <v>#REF!</v>
      </c>
      <c r="M851" s="23" t="str">
        <f>IFERROR(L851*#REF!,"")</f>
        <v/>
      </c>
      <c r="N851" s="23">
        <f t="shared" si="59"/>
        <v>-1</v>
      </c>
      <c r="O851" s="23">
        <f t="shared" si="60"/>
        <v>-1</v>
      </c>
      <c r="P851" s="23">
        <f t="shared" si="61"/>
        <v>-1</v>
      </c>
      <c r="Q851" s="24">
        <f t="shared" si="62"/>
        <v>-1</v>
      </c>
      <c r="R851" s="3"/>
      <c r="S851" s="1">
        <v>0</v>
      </c>
      <c r="T851" s="24">
        <v>-1</v>
      </c>
      <c r="U851"/>
      <c r="V851" s="1">
        <v>0</v>
      </c>
      <c r="W851" s="24">
        <v>-1</v>
      </c>
      <c r="X851"/>
      <c r="Y851" s="1">
        <v>0</v>
      </c>
      <c r="Z851" s="24">
        <v>-1</v>
      </c>
      <c r="AA851"/>
      <c r="AB851" s="1">
        <v>0</v>
      </c>
      <c r="AC851" s="24">
        <v>-1</v>
      </c>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c r="CA851"/>
      <c r="CB851"/>
      <c r="CC851"/>
      <c r="CD851"/>
      <c r="CE851"/>
      <c r="CF851"/>
      <c r="CG851"/>
      <c r="CH851"/>
      <c r="CI851"/>
      <c r="CJ851"/>
      <c r="CK851"/>
      <c r="CL851"/>
      <c r="CM851"/>
      <c r="CN851"/>
      <c r="CO851"/>
      <c r="CP851"/>
      <c r="CQ851"/>
      <c r="CR851"/>
      <c r="CS851"/>
    </row>
    <row r="852" spans="2:97">
      <c r="B852"/>
      <c r="C852" s="15"/>
      <c r="D852" s="23"/>
      <c r="E852" s="23"/>
      <c r="F852" s="23"/>
      <c r="G852" s="23">
        <f t="shared" si="58"/>
        <v>0</v>
      </c>
      <c r="H852" s="23" t="e" cm="1">
        <f t="array" ref="H852">INDEX('GLOBAL LOG'!#REF!,ROW()-169+15)</f>
        <v>#REF!</v>
      </c>
      <c r="I852" s="23" t="e">
        <f>_xlfn.XLOOKUP(H852,#REF!,#REF!,"",0,1)</f>
        <v>#REF!</v>
      </c>
      <c r="J852" s="23" t="str">
        <f>IFERROR(I852*#REF!,"")</f>
        <v/>
      </c>
      <c r="K852" s="23" t="e" cm="1">
        <f t="array" ref="K852">INDEX('GLOBAL LOG'!#REF!,ROW()-169+15)</f>
        <v>#REF!</v>
      </c>
      <c r="L852" s="23" t="e">
        <f>_xlfn.XLOOKUP(K852,#REF!,#REF!,"",0,1)</f>
        <v>#REF!</v>
      </c>
      <c r="M852" s="23" t="str">
        <f>IFERROR(L852*#REF!,"")</f>
        <v/>
      </c>
      <c r="N852" s="23">
        <f t="shared" si="59"/>
        <v>-1</v>
      </c>
      <c r="O852" s="23">
        <f t="shared" si="60"/>
        <v>-1</v>
      </c>
      <c r="P852" s="23">
        <f t="shared" si="61"/>
        <v>-1</v>
      </c>
      <c r="Q852" s="24">
        <f t="shared" si="62"/>
        <v>-1</v>
      </c>
      <c r="R852" s="3"/>
      <c r="S852" s="1">
        <v>0</v>
      </c>
      <c r="T852" s="24">
        <v>-1</v>
      </c>
      <c r="U852"/>
      <c r="V852" s="1">
        <v>0</v>
      </c>
      <c r="W852" s="24">
        <v>-1</v>
      </c>
      <c r="X852"/>
      <c r="Y852" s="1">
        <v>0</v>
      </c>
      <c r="Z852" s="24">
        <v>-1</v>
      </c>
      <c r="AA852"/>
      <c r="AB852" s="1">
        <v>0</v>
      </c>
      <c r="AC852" s="24">
        <v>-1</v>
      </c>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c r="CA852"/>
      <c r="CB852"/>
      <c r="CC852"/>
      <c r="CD852"/>
      <c r="CE852"/>
      <c r="CF852"/>
      <c r="CG852"/>
      <c r="CH852"/>
      <c r="CI852"/>
      <c r="CJ852"/>
      <c r="CK852"/>
      <c r="CL852"/>
      <c r="CM852"/>
      <c r="CN852"/>
      <c r="CO852"/>
      <c r="CP852"/>
      <c r="CQ852"/>
      <c r="CR852"/>
      <c r="CS852"/>
    </row>
    <row r="853" spans="2:97">
      <c r="B853"/>
      <c r="C853" s="15"/>
      <c r="D853" s="23"/>
      <c r="E853" s="23"/>
      <c r="F853" s="23"/>
      <c r="G853" s="23">
        <f t="shared" si="58"/>
        <v>0</v>
      </c>
      <c r="H853" s="23" t="e" cm="1">
        <f t="array" ref="H853">INDEX('GLOBAL LOG'!#REF!,ROW()-169+15)</f>
        <v>#REF!</v>
      </c>
      <c r="I853" s="23" t="e">
        <f>_xlfn.XLOOKUP(H853,#REF!,#REF!,"",0,1)</f>
        <v>#REF!</v>
      </c>
      <c r="J853" s="23" t="str">
        <f>IFERROR(I853*#REF!,"")</f>
        <v/>
      </c>
      <c r="K853" s="23" t="e" cm="1">
        <f t="array" ref="K853">INDEX('GLOBAL LOG'!#REF!,ROW()-169+15)</f>
        <v>#REF!</v>
      </c>
      <c r="L853" s="23" t="e">
        <f>_xlfn.XLOOKUP(K853,#REF!,#REF!,"",0,1)</f>
        <v>#REF!</v>
      </c>
      <c r="M853" s="23" t="str">
        <f>IFERROR(L853*#REF!,"")</f>
        <v/>
      </c>
      <c r="N853" s="23">
        <f t="shared" si="59"/>
        <v>-1</v>
      </c>
      <c r="O853" s="23">
        <f t="shared" si="60"/>
        <v>-1</v>
      </c>
      <c r="P853" s="23">
        <f t="shared" si="61"/>
        <v>-1</v>
      </c>
      <c r="Q853" s="24">
        <f t="shared" si="62"/>
        <v>-1</v>
      </c>
      <c r="R853" s="3"/>
      <c r="S853" s="1">
        <v>0</v>
      </c>
      <c r="T853" s="24">
        <v>-1</v>
      </c>
      <c r="U853"/>
      <c r="V853" s="1">
        <v>0</v>
      </c>
      <c r="W853" s="24">
        <v>-1</v>
      </c>
      <c r="X853"/>
      <c r="Y853" s="1">
        <v>0</v>
      </c>
      <c r="Z853" s="24">
        <v>-1</v>
      </c>
      <c r="AA853"/>
      <c r="AB853" s="1">
        <v>0</v>
      </c>
      <c r="AC853" s="24">
        <v>-1</v>
      </c>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c r="CA853"/>
      <c r="CB853"/>
      <c r="CC853"/>
      <c r="CD853"/>
      <c r="CE853"/>
      <c r="CF853"/>
      <c r="CG853"/>
      <c r="CH853"/>
      <c r="CI853"/>
      <c r="CJ853"/>
      <c r="CK853"/>
      <c r="CL853"/>
      <c r="CM853"/>
      <c r="CN853"/>
      <c r="CO853"/>
      <c r="CP853"/>
      <c r="CQ853"/>
      <c r="CR853"/>
      <c r="CS853"/>
    </row>
    <row r="854" spans="2:97">
      <c r="B854"/>
      <c r="C854" s="15"/>
      <c r="D854" s="23"/>
      <c r="E854" s="23"/>
      <c r="F854" s="23"/>
      <c r="G854" s="23">
        <f t="shared" si="58"/>
        <v>0</v>
      </c>
      <c r="H854" s="23" t="e" cm="1">
        <f t="array" ref="H854">INDEX('GLOBAL LOG'!#REF!,ROW()-169+15)</f>
        <v>#REF!</v>
      </c>
      <c r="I854" s="23" t="e">
        <f>_xlfn.XLOOKUP(H854,#REF!,#REF!,"",0,1)</f>
        <v>#REF!</v>
      </c>
      <c r="J854" s="23" t="str">
        <f>IFERROR(I854*#REF!,"")</f>
        <v/>
      </c>
      <c r="K854" s="23" t="e" cm="1">
        <f t="array" ref="K854">INDEX('GLOBAL LOG'!#REF!,ROW()-169+15)</f>
        <v>#REF!</v>
      </c>
      <c r="L854" s="23" t="e">
        <f>_xlfn.XLOOKUP(K854,#REF!,#REF!,"",0,1)</f>
        <v>#REF!</v>
      </c>
      <c r="M854" s="23" t="str">
        <f>IFERROR(L854*#REF!,"")</f>
        <v/>
      </c>
      <c r="N854" s="23">
        <f t="shared" si="59"/>
        <v>-1</v>
      </c>
      <c r="O854" s="23">
        <f t="shared" si="60"/>
        <v>-1</v>
      </c>
      <c r="P854" s="23">
        <f t="shared" si="61"/>
        <v>-1</v>
      </c>
      <c r="Q854" s="24">
        <f t="shared" si="62"/>
        <v>-1</v>
      </c>
      <c r="R854" s="3"/>
      <c r="S854" s="1">
        <v>0</v>
      </c>
      <c r="T854" s="24">
        <v>-1</v>
      </c>
      <c r="U854"/>
      <c r="V854" s="1">
        <v>0</v>
      </c>
      <c r="W854" s="24">
        <v>-1</v>
      </c>
      <c r="X854"/>
      <c r="Y854" s="1">
        <v>0</v>
      </c>
      <c r="Z854" s="24">
        <v>-1</v>
      </c>
      <c r="AA854"/>
      <c r="AB854" s="1">
        <v>0</v>
      </c>
      <c r="AC854" s="24">
        <v>-1</v>
      </c>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c r="CA854"/>
      <c r="CB854"/>
      <c r="CC854"/>
      <c r="CD854"/>
      <c r="CE854"/>
      <c r="CF854"/>
      <c r="CG854"/>
      <c r="CH854"/>
      <c r="CI854"/>
      <c r="CJ854"/>
      <c r="CK854"/>
      <c r="CL854"/>
      <c r="CM854"/>
      <c r="CN854"/>
      <c r="CO854"/>
      <c r="CP854"/>
      <c r="CQ854"/>
      <c r="CR854"/>
      <c r="CS854"/>
    </row>
    <row r="855" spans="2:97">
      <c r="B855"/>
      <c r="C855" s="15"/>
      <c r="D855" s="23"/>
      <c r="E855" s="23"/>
      <c r="F855" s="23"/>
      <c r="G855" s="23">
        <f t="shared" si="58"/>
        <v>0</v>
      </c>
      <c r="H855" s="23" t="e" cm="1">
        <f t="array" ref="H855">INDEX('GLOBAL LOG'!#REF!,ROW()-169+15)</f>
        <v>#REF!</v>
      </c>
      <c r="I855" s="23" t="e">
        <f>_xlfn.XLOOKUP(H855,#REF!,#REF!,"",0,1)</f>
        <v>#REF!</v>
      </c>
      <c r="J855" s="23" t="str">
        <f>IFERROR(I855*#REF!,"")</f>
        <v/>
      </c>
      <c r="K855" s="23" t="e" cm="1">
        <f t="array" ref="K855">INDEX('GLOBAL LOG'!#REF!,ROW()-169+15)</f>
        <v>#REF!</v>
      </c>
      <c r="L855" s="23" t="e">
        <f>_xlfn.XLOOKUP(K855,#REF!,#REF!,"",0,1)</f>
        <v>#REF!</v>
      </c>
      <c r="M855" s="23" t="str">
        <f>IFERROR(L855*#REF!,"")</f>
        <v/>
      </c>
      <c r="N855" s="23">
        <f t="shared" si="59"/>
        <v>-1</v>
      </c>
      <c r="O855" s="23">
        <f t="shared" si="60"/>
        <v>-1</v>
      </c>
      <c r="P855" s="23">
        <f t="shared" si="61"/>
        <v>-1</v>
      </c>
      <c r="Q855" s="24">
        <f t="shared" si="62"/>
        <v>-1</v>
      </c>
      <c r="R855" s="3"/>
      <c r="S855" s="1">
        <v>0</v>
      </c>
      <c r="T855" s="24">
        <v>-1</v>
      </c>
      <c r="U855"/>
      <c r="V855" s="1">
        <v>0</v>
      </c>
      <c r="W855" s="24">
        <v>-1</v>
      </c>
      <c r="X855"/>
      <c r="Y855" s="1">
        <v>0</v>
      </c>
      <c r="Z855" s="24">
        <v>-1</v>
      </c>
      <c r="AA855"/>
      <c r="AB855" s="1">
        <v>0</v>
      </c>
      <c r="AC855" s="24">
        <v>-1</v>
      </c>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c r="CC855"/>
      <c r="CD855"/>
      <c r="CE855"/>
      <c r="CF855"/>
      <c r="CG855"/>
      <c r="CH855"/>
      <c r="CI855"/>
      <c r="CJ855"/>
      <c r="CK855"/>
      <c r="CL855"/>
      <c r="CM855"/>
      <c r="CN855"/>
      <c r="CO855"/>
      <c r="CP855"/>
      <c r="CQ855"/>
      <c r="CR855"/>
      <c r="CS855"/>
    </row>
    <row r="856" spans="2:97">
      <c r="B856"/>
      <c r="C856" s="15"/>
      <c r="D856" s="23"/>
      <c r="E856" s="23"/>
      <c r="F856" s="23"/>
      <c r="G856" s="23">
        <f t="shared" si="58"/>
        <v>0</v>
      </c>
      <c r="H856" s="23" t="e" cm="1">
        <f t="array" ref="H856">INDEX('GLOBAL LOG'!#REF!,ROW()-169+15)</f>
        <v>#REF!</v>
      </c>
      <c r="I856" s="23" t="e">
        <f>_xlfn.XLOOKUP(H856,#REF!,#REF!,"",0,1)</f>
        <v>#REF!</v>
      </c>
      <c r="J856" s="23" t="str">
        <f>IFERROR(I856*#REF!,"")</f>
        <v/>
      </c>
      <c r="K856" s="23" t="e" cm="1">
        <f t="array" ref="K856">INDEX('GLOBAL LOG'!#REF!,ROW()-169+15)</f>
        <v>#REF!</v>
      </c>
      <c r="L856" s="23" t="e">
        <f>_xlfn.XLOOKUP(K856,#REF!,#REF!,"",0,1)</f>
        <v>#REF!</v>
      </c>
      <c r="M856" s="23" t="str">
        <f>IFERROR(L856*#REF!,"")</f>
        <v/>
      </c>
      <c r="N856" s="23">
        <f t="shared" si="59"/>
        <v>-1</v>
      </c>
      <c r="O856" s="23">
        <f t="shared" si="60"/>
        <v>-1</v>
      </c>
      <c r="P856" s="23">
        <f t="shared" si="61"/>
        <v>-1</v>
      </c>
      <c r="Q856" s="24">
        <f t="shared" si="62"/>
        <v>-1</v>
      </c>
      <c r="R856" s="3"/>
      <c r="S856" s="1">
        <v>0</v>
      </c>
      <c r="T856" s="24">
        <v>-1</v>
      </c>
      <c r="U856"/>
      <c r="V856" s="1">
        <v>0</v>
      </c>
      <c r="W856" s="24">
        <v>-1</v>
      </c>
      <c r="X856"/>
      <c r="Y856" s="1">
        <v>0</v>
      </c>
      <c r="Z856" s="24">
        <v>-1</v>
      </c>
      <c r="AA856"/>
      <c r="AB856" s="1">
        <v>0</v>
      </c>
      <c r="AC856" s="24">
        <v>-1</v>
      </c>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c r="CA856"/>
      <c r="CB856"/>
      <c r="CC856"/>
      <c r="CD856"/>
      <c r="CE856"/>
      <c r="CF856"/>
      <c r="CG856"/>
      <c r="CH856"/>
      <c r="CI856"/>
      <c r="CJ856"/>
      <c r="CK856"/>
      <c r="CL856"/>
      <c r="CM856"/>
      <c r="CN856"/>
      <c r="CO856"/>
      <c r="CP856"/>
      <c r="CQ856"/>
      <c r="CR856"/>
      <c r="CS856"/>
    </row>
    <row r="857" spans="2:97">
      <c r="B857"/>
      <c r="C857" s="15"/>
      <c r="D857" s="23"/>
      <c r="E857" s="23"/>
      <c r="F857" s="23"/>
      <c r="G857" s="23">
        <f t="shared" si="58"/>
        <v>0</v>
      </c>
      <c r="H857" s="23" t="e" cm="1">
        <f t="array" ref="H857">INDEX('GLOBAL LOG'!#REF!,ROW()-169+15)</f>
        <v>#REF!</v>
      </c>
      <c r="I857" s="23" t="e">
        <f>_xlfn.XLOOKUP(H857,#REF!,#REF!,"",0,1)</f>
        <v>#REF!</v>
      </c>
      <c r="J857" s="23" t="str">
        <f>IFERROR(I857*#REF!,"")</f>
        <v/>
      </c>
      <c r="K857" s="23" t="e" cm="1">
        <f t="array" ref="K857">INDEX('GLOBAL LOG'!#REF!,ROW()-169+15)</f>
        <v>#REF!</v>
      </c>
      <c r="L857" s="23" t="e">
        <f>_xlfn.XLOOKUP(K857,#REF!,#REF!,"",0,1)</f>
        <v>#REF!</v>
      </c>
      <c r="M857" s="23" t="str">
        <f>IFERROR(L857*#REF!,"")</f>
        <v/>
      </c>
      <c r="N857" s="23">
        <f t="shared" si="59"/>
        <v>-1</v>
      </c>
      <c r="O857" s="23">
        <f t="shared" si="60"/>
        <v>-1</v>
      </c>
      <c r="P857" s="23">
        <f t="shared" si="61"/>
        <v>-1</v>
      </c>
      <c r="Q857" s="24">
        <f t="shared" si="62"/>
        <v>-1</v>
      </c>
      <c r="R857" s="3"/>
      <c r="S857" s="1">
        <v>0</v>
      </c>
      <c r="T857" s="24">
        <v>-1</v>
      </c>
      <c r="U857"/>
      <c r="V857" s="1">
        <v>0</v>
      </c>
      <c r="W857" s="24">
        <v>-1</v>
      </c>
      <c r="X857"/>
      <c r="Y857" s="1">
        <v>0</v>
      </c>
      <c r="Z857" s="24">
        <v>-1</v>
      </c>
      <c r="AA857"/>
      <c r="AB857" s="1">
        <v>0</v>
      </c>
      <c r="AC857" s="24">
        <v>-1</v>
      </c>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c r="CA857"/>
      <c r="CB857"/>
      <c r="CC857"/>
      <c r="CD857"/>
      <c r="CE857"/>
      <c r="CF857"/>
      <c r="CG857"/>
      <c r="CH857"/>
      <c r="CI857"/>
      <c r="CJ857"/>
      <c r="CK857"/>
      <c r="CL857"/>
      <c r="CM857"/>
      <c r="CN857"/>
      <c r="CO857"/>
      <c r="CP857"/>
      <c r="CQ857"/>
      <c r="CR857"/>
      <c r="CS857"/>
    </row>
    <row r="858" spans="2:97">
      <c r="B858"/>
      <c r="C858" s="15"/>
      <c r="D858" s="23"/>
      <c r="E858" s="23"/>
      <c r="F858" s="23"/>
      <c r="G858" s="23">
        <f t="shared" si="58"/>
        <v>0</v>
      </c>
      <c r="H858" s="23" t="e" cm="1">
        <f t="array" ref="H858">INDEX('GLOBAL LOG'!#REF!,ROW()-169+15)</f>
        <v>#REF!</v>
      </c>
      <c r="I858" s="23" t="e">
        <f>_xlfn.XLOOKUP(H858,#REF!,#REF!,"",0,1)</f>
        <v>#REF!</v>
      </c>
      <c r="J858" s="23" t="str">
        <f>IFERROR(I858*#REF!,"")</f>
        <v/>
      </c>
      <c r="K858" s="23" t="e" cm="1">
        <f t="array" ref="K858">INDEX('GLOBAL LOG'!#REF!,ROW()-169+15)</f>
        <v>#REF!</v>
      </c>
      <c r="L858" s="23" t="e">
        <f>_xlfn.XLOOKUP(K858,#REF!,#REF!,"",0,1)</f>
        <v>#REF!</v>
      </c>
      <c r="M858" s="23" t="str">
        <f>IFERROR(L858*#REF!,"")</f>
        <v/>
      </c>
      <c r="N858" s="23">
        <f t="shared" si="59"/>
        <v>-1</v>
      </c>
      <c r="O858" s="23">
        <f t="shared" si="60"/>
        <v>-1</v>
      </c>
      <c r="P858" s="23">
        <f t="shared" si="61"/>
        <v>-1</v>
      </c>
      <c r="Q858" s="24">
        <f t="shared" si="62"/>
        <v>-1</v>
      </c>
      <c r="R858" s="3"/>
      <c r="S858" s="1">
        <v>0</v>
      </c>
      <c r="T858" s="24">
        <v>-1</v>
      </c>
      <c r="U858"/>
      <c r="V858" s="1">
        <v>0</v>
      </c>
      <c r="W858" s="24">
        <v>-1</v>
      </c>
      <c r="X858"/>
      <c r="Y858" s="1">
        <v>0</v>
      </c>
      <c r="Z858" s="24">
        <v>-1</v>
      </c>
      <c r="AA858"/>
      <c r="AB858" s="1">
        <v>0</v>
      </c>
      <c r="AC858" s="24">
        <v>-1</v>
      </c>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c r="CC858"/>
      <c r="CD858"/>
      <c r="CE858"/>
      <c r="CF858"/>
      <c r="CG858"/>
      <c r="CH858"/>
      <c r="CI858"/>
      <c r="CJ858"/>
      <c r="CK858"/>
      <c r="CL858"/>
      <c r="CM858"/>
      <c r="CN858"/>
      <c r="CO858"/>
      <c r="CP858"/>
      <c r="CQ858"/>
      <c r="CR858"/>
      <c r="CS858"/>
    </row>
    <row r="859" spans="2:97">
      <c r="B859"/>
      <c r="C859" s="15"/>
      <c r="D859" s="23"/>
      <c r="E859" s="23"/>
      <c r="F859" s="23"/>
      <c r="G859" s="23">
        <f t="shared" si="58"/>
        <v>0</v>
      </c>
      <c r="H859" s="23" t="e" cm="1">
        <f t="array" ref="H859">INDEX('GLOBAL LOG'!#REF!,ROW()-169+15)</f>
        <v>#REF!</v>
      </c>
      <c r="I859" s="23" t="e">
        <f>_xlfn.XLOOKUP(H859,#REF!,#REF!,"",0,1)</f>
        <v>#REF!</v>
      </c>
      <c r="J859" s="23" t="str">
        <f>IFERROR(I859*#REF!,"")</f>
        <v/>
      </c>
      <c r="K859" s="23" t="e" cm="1">
        <f t="array" ref="K859">INDEX('GLOBAL LOG'!#REF!,ROW()-169+15)</f>
        <v>#REF!</v>
      </c>
      <c r="L859" s="23" t="e">
        <f>_xlfn.XLOOKUP(K859,#REF!,#REF!,"",0,1)</f>
        <v>#REF!</v>
      </c>
      <c r="M859" s="23" t="str">
        <f>IFERROR(L859*#REF!,"")</f>
        <v/>
      </c>
      <c r="N859" s="23">
        <f t="shared" si="59"/>
        <v>-1</v>
      </c>
      <c r="O859" s="23">
        <f t="shared" si="60"/>
        <v>-1</v>
      </c>
      <c r="P859" s="23">
        <f t="shared" si="61"/>
        <v>-1</v>
      </c>
      <c r="Q859" s="24">
        <f t="shared" si="62"/>
        <v>-1</v>
      </c>
      <c r="R859" s="3"/>
      <c r="S859" s="1">
        <v>0</v>
      </c>
      <c r="T859" s="24">
        <v>-1</v>
      </c>
      <c r="U859"/>
      <c r="V859" s="1">
        <v>0</v>
      </c>
      <c r="W859" s="24">
        <v>-1</v>
      </c>
      <c r="X859"/>
      <c r="Y859" s="1">
        <v>0</v>
      </c>
      <c r="Z859" s="24">
        <v>-1</v>
      </c>
      <c r="AA859"/>
      <c r="AB859" s="1">
        <v>0</v>
      </c>
      <c r="AC859" s="24">
        <v>-1</v>
      </c>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c r="CA859"/>
      <c r="CB859"/>
      <c r="CC859"/>
      <c r="CD859"/>
      <c r="CE859"/>
      <c r="CF859"/>
      <c r="CG859"/>
      <c r="CH859"/>
      <c r="CI859"/>
      <c r="CJ859"/>
      <c r="CK859"/>
      <c r="CL859"/>
      <c r="CM859"/>
      <c r="CN859"/>
      <c r="CO859"/>
      <c r="CP859"/>
      <c r="CQ859"/>
      <c r="CR859"/>
      <c r="CS859"/>
    </row>
    <row r="860" spans="2:97">
      <c r="B860"/>
      <c r="C860" s="15"/>
      <c r="D860" s="23"/>
      <c r="E860" s="23"/>
      <c r="F860" s="23"/>
      <c r="G860" s="23">
        <f t="shared" si="58"/>
        <v>0</v>
      </c>
      <c r="H860" s="23" t="e" cm="1">
        <f t="array" ref="H860">INDEX('GLOBAL LOG'!#REF!,ROW()-169+15)</f>
        <v>#REF!</v>
      </c>
      <c r="I860" s="23" t="e">
        <f>_xlfn.XLOOKUP(H860,#REF!,#REF!,"",0,1)</f>
        <v>#REF!</v>
      </c>
      <c r="J860" s="23" t="str">
        <f>IFERROR(I860*#REF!,"")</f>
        <v/>
      </c>
      <c r="K860" s="23" t="e" cm="1">
        <f t="array" ref="K860">INDEX('GLOBAL LOG'!#REF!,ROW()-169+15)</f>
        <v>#REF!</v>
      </c>
      <c r="L860" s="23" t="e">
        <f>_xlfn.XLOOKUP(K860,#REF!,#REF!,"",0,1)</f>
        <v>#REF!</v>
      </c>
      <c r="M860" s="23" t="str">
        <f>IFERROR(L860*#REF!,"")</f>
        <v/>
      </c>
      <c r="N860" s="23">
        <f t="shared" si="59"/>
        <v>-1</v>
      </c>
      <c r="O860" s="23">
        <f t="shared" si="60"/>
        <v>-1</v>
      </c>
      <c r="P860" s="23">
        <f t="shared" si="61"/>
        <v>-1</v>
      </c>
      <c r="Q860" s="24">
        <f t="shared" si="62"/>
        <v>-1</v>
      </c>
      <c r="R860" s="3"/>
      <c r="S860" s="1">
        <v>0</v>
      </c>
      <c r="T860" s="24">
        <v>-1</v>
      </c>
      <c r="U860"/>
      <c r="V860" s="1">
        <v>0</v>
      </c>
      <c r="W860" s="24">
        <v>-1</v>
      </c>
      <c r="X860"/>
      <c r="Y860" s="1">
        <v>0</v>
      </c>
      <c r="Z860" s="24">
        <v>-1</v>
      </c>
      <c r="AA860"/>
      <c r="AB860" s="1">
        <v>0</v>
      </c>
      <c r="AC860" s="24">
        <v>-1</v>
      </c>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c r="CA860"/>
      <c r="CB860"/>
      <c r="CC860"/>
      <c r="CD860"/>
      <c r="CE860"/>
      <c r="CF860"/>
      <c r="CG860"/>
      <c r="CH860"/>
      <c r="CI860"/>
      <c r="CJ860"/>
      <c r="CK860"/>
      <c r="CL860"/>
      <c r="CM860"/>
      <c r="CN860"/>
      <c r="CO860"/>
      <c r="CP860"/>
      <c r="CQ860"/>
      <c r="CR860"/>
      <c r="CS860"/>
    </row>
    <row r="861" spans="2:97">
      <c r="B861"/>
      <c r="C861" s="15"/>
      <c r="D861" s="23"/>
      <c r="E861" s="23"/>
      <c r="F861" s="23"/>
      <c r="G861" s="23">
        <f t="shared" si="58"/>
        <v>0</v>
      </c>
      <c r="H861" s="23" t="e" cm="1">
        <f t="array" ref="H861">INDEX('GLOBAL LOG'!#REF!,ROW()-169+15)</f>
        <v>#REF!</v>
      </c>
      <c r="I861" s="23" t="e">
        <f>_xlfn.XLOOKUP(H861,#REF!,#REF!,"",0,1)</f>
        <v>#REF!</v>
      </c>
      <c r="J861" s="23" t="str">
        <f>IFERROR(I861*#REF!,"")</f>
        <v/>
      </c>
      <c r="K861" s="23" t="e" cm="1">
        <f t="array" ref="K861">INDEX('GLOBAL LOG'!#REF!,ROW()-169+15)</f>
        <v>#REF!</v>
      </c>
      <c r="L861" s="23" t="e">
        <f>_xlfn.XLOOKUP(K861,#REF!,#REF!,"",0,1)</f>
        <v>#REF!</v>
      </c>
      <c r="M861" s="23" t="str">
        <f>IFERROR(L861*#REF!,"")</f>
        <v/>
      </c>
      <c r="N861" s="23">
        <f t="shared" si="59"/>
        <v>-1</v>
      </c>
      <c r="O861" s="23">
        <f t="shared" si="60"/>
        <v>-1</v>
      </c>
      <c r="P861" s="23">
        <f t="shared" si="61"/>
        <v>-1</v>
      </c>
      <c r="Q861" s="24">
        <f t="shared" si="62"/>
        <v>-1</v>
      </c>
      <c r="R861" s="3"/>
      <c r="S861" s="1">
        <v>0</v>
      </c>
      <c r="T861" s="24">
        <v>-1</v>
      </c>
      <c r="U861"/>
      <c r="V861" s="1">
        <v>0</v>
      </c>
      <c r="W861" s="24">
        <v>-1</v>
      </c>
      <c r="X861"/>
      <c r="Y861" s="1">
        <v>0</v>
      </c>
      <c r="Z861" s="24">
        <v>-1</v>
      </c>
      <c r="AA861"/>
      <c r="AB861" s="1">
        <v>0</v>
      </c>
      <c r="AC861" s="24">
        <v>-1</v>
      </c>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c r="CA861"/>
      <c r="CB861"/>
      <c r="CC861"/>
      <c r="CD861"/>
      <c r="CE861"/>
      <c r="CF861"/>
      <c r="CG861"/>
      <c r="CH861"/>
      <c r="CI861"/>
      <c r="CJ861"/>
      <c r="CK861"/>
      <c r="CL861"/>
      <c r="CM861"/>
      <c r="CN861"/>
      <c r="CO861"/>
      <c r="CP861"/>
      <c r="CQ861"/>
      <c r="CR861"/>
      <c r="CS861"/>
    </row>
    <row r="862" spans="2:97">
      <c r="B862"/>
      <c r="C862" s="15"/>
      <c r="D862" s="23"/>
      <c r="E862" s="23"/>
      <c r="F862" s="23"/>
      <c r="G862" s="23">
        <f t="shared" si="58"/>
        <v>0</v>
      </c>
      <c r="H862" s="23" t="e" cm="1">
        <f t="array" ref="H862">INDEX('GLOBAL LOG'!#REF!,ROW()-169+15)</f>
        <v>#REF!</v>
      </c>
      <c r="I862" s="23" t="e">
        <f>_xlfn.XLOOKUP(H862,#REF!,#REF!,"",0,1)</f>
        <v>#REF!</v>
      </c>
      <c r="J862" s="23" t="str">
        <f>IFERROR(I862*#REF!,"")</f>
        <v/>
      </c>
      <c r="K862" s="23" t="e" cm="1">
        <f t="array" ref="K862">INDEX('GLOBAL LOG'!#REF!,ROW()-169+15)</f>
        <v>#REF!</v>
      </c>
      <c r="L862" s="23" t="e">
        <f>_xlfn.XLOOKUP(K862,#REF!,#REF!,"",0,1)</f>
        <v>#REF!</v>
      </c>
      <c r="M862" s="23" t="str">
        <f>IFERROR(L862*#REF!,"")</f>
        <v/>
      </c>
      <c r="N862" s="23">
        <f t="shared" si="59"/>
        <v>-1</v>
      </c>
      <c r="O862" s="23">
        <f t="shared" si="60"/>
        <v>-1</v>
      </c>
      <c r="P862" s="23">
        <f t="shared" si="61"/>
        <v>-1</v>
      </c>
      <c r="Q862" s="24">
        <f t="shared" si="62"/>
        <v>-1</v>
      </c>
      <c r="R862" s="3"/>
      <c r="S862" s="1">
        <v>0</v>
      </c>
      <c r="T862" s="24">
        <v>-1</v>
      </c>
      <c r="U862"/>
      <c r="V862" s="1">
        <v>0</v>
      </c>
      <c r="W862" s="24">
        <v>-1</v>
      </c>
      <c r="X862"/>
      <c r="Y862" s="1">
        <v>0</v>
      </c>
      <c r="Z862" s="24">
        <v>-1</v>
      </c>
      <c r="AA862"/>
      <c r="AB862" s="1">
        <v>0</v>
      </c>
      <c r="AC862" s="24">
        <v>-1</v>
      </c>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c r="CA862"/>
      <c r="CB862"/>
      <c r="CC862"/>
      <c r="CD862"/>
      <c r="CE862"/>
      <c r="CF862"/>
      <c r="CG862"/>
      <c r="CH862"/>
      <c r="CI862"/>
      <c r="CJ862"/>
      <c r="CK862"/>
      <c r="CL862"/>
      <c r="CM862"/>
      <c r="CN862"/>
      <c r="CO862"/>
      <c r="CP862"/>
      <c r="CQ862"/>
      <c r="CR862"/>
      <c r="CS862"/>
    </row>
    <row r="863" spans="2:97">
      <c r="B863"/>
      <c r="C863" s="15"/>
      <c r="D863" s="23"/>
      <c r="E863" s="23"/>
      <c r="F863" s="23"/>
      <c r="G863" s="23">
        <f t="shared" si="58"/>
        <v>0</v>
      </c>
      <c r="H863" s="23" t="e" cm="1">
        <f t="array" ref="H863">INDEX('GLOBAL LOG'!#REF!,ROW()-169+15)</f>
        <v>#REF!</v>
      </c>
      <c r="I863" s="23" t="e">
        <f>_xlfn.XLOOKUP(H863,#REF!,#REF!,"",0,1)</f>
        <v>#REF!</v>
      </c>
      <c r="J863" s="23" t="str">
        <f>IFERROR(I863*#REF!,"")</f>
        <v/>
      </c>
      <c r="K863" s="23" t="e" cm="1">
        <f t="array" ref="K863">INDEX('GLOBAL LOG'!#REF!,ROW()-169+15)</f>
        <v>#REF!</v>
      </c>
      <c r="L863" s="23" t="e">
        <f>_xlfn.XLOOKUP(K863,#REF!,#REF!,"",0,1)</f>
        <v>#REF!</v>
      </c>
      <c r="M863" s="23" t="str">
        <f>IFERROR(L863*#REF!,"")</f>
        <v/>
      </c>
      <c r="N863" s="23">
        <f t="shared" si="59"/>
        <v>-1</v>
      </c>
      <c r="O863" s="23">
        <f t="shared" si="60"/>
        <v>-1</v>
      </c>
      <c r="P863" s="23">
        <f t="shared" si="61"/>
        <v>-1</v>
      </c>
      <c r="Q863" s="24">
        <f t="shared" si="62"/>
        <v>-1</v>
      </c>
      <c r="R863" s="3"/>
      <c r="S863" s="1">
        <v>0</v>
      </c>
      <c r="T863" s="24">
        <v>-1</v>
      </c>
      <c r="U863"/>
      <c r="V863" s="1">
        <v>0</v>
      </c>
      <c r="W863" s="24">
        <v>-1</v>
      </c>
      <c r="X863"/>
      <c r="Y863" s="1">
        <v>0</v>
      </c>
      <c r="Z863" s="24">
        <v>-1</v>
      </c>
      <c r="AA863"/>
      <c r="AB863" s="1">
        <v>0</v>
      </c>
      <c r="AC863" s="24">
        <v>-1</v>
      </c>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c r="CA863"/>
      <c r="CB863"/>
      <c r="CC863"/>
      <c r="CD863"/>
      <c r="CE863"/>
      <c r="CF863"/>
      <c r="CG863"/>
      <c r="CH863"/>
      <c r="CI863"/>
      <c r="CJ863"/>
      <c r="CK863"/>
      <c r="CL863"/>
      <c r="CM863"/>
      <c r="CN863"/>
      <c r="CO863"/>
      <c r="CP863"/>
      <c r="CQ863"/>
      <c r="CR863"/>
      <c r="CS863"/>
    </row>
    <row r="864" spans="2:97">
      <c r="B864"/>
      <c r="C864" s="15"/>
      <c r="D864" s="23"/>
      <c r="E864" s="23"/>
      <c r="F864" s="23"/>
      <c r="G864" s="23">
        <f t="shared" si="58"/>
        <v>0</v>
      </c>
      <c r="H864" s="23" t="e" cm="1">
        <f t="array" ref="H864">INDEX('GLOBAL LOG'!#REF!,ROW()-169+15)</f>
        <v>#REF!</v>
      </c>
      <c r="I864" s="23" t="e">
        <f>_xlfn.XLOOKUP(H864,#REF!,#REF!,"",0,1)</f>
        <v>#REF!</v>
      </c>
      <c r="J864" s="23" t="str">
        <f>IFERROR(I864*#REF!,"")</f>
        <v/>
      </c>
      <c r="K864" s="23" t="e" cm="1">
        <f t="array" ref="K864">INDEX('GLOBAL LOG'!#REF!,ROW()-169+15)</f>
        <v>#REF!</v>
      </c>
      <c r="L864" s="23" t="e">
        <f>_xlfn.XLOOKUP(K864,#REF!,#REF!,"",0,1)</f>
        <v>#REF!</v>
      </c>
      <c r="M864" s="23" t="str">
        <f>IFERROR(L864*#REF!,"")</f>
        <v/>
      </c>
      <c r="N864" s="23">
        <f t="shared" si="59"/>
        <v>-1</v>
      </c>
      <c r="O864" s="23">
        <f t="shared" si="60"/>
        <v>-1</v>
      </c>
      <c r="P864" s="23">
        <f t="shared" si="61"/>
        <v>-1</v>
      </c>
      <c r="Q864" s="24">
        <f t="shared" si="62"/>
        <v>-1</v>
      </c>
      <c r="R864" s="3"/>
      <c r="S864" s="1">
        <v>0</v>
      </c>
      <c r="T864" s="24">
        <v>-1</v>
      </c>
      <c r="U864"/>
      <c r="V864" s="1">
        <v>0</v>
      </c>
      <c r="W864" s="24">
        <v>-1</v>
      </c>
      <c r="X864"/>
      <c r="Y864" s="1">
        <v>0</v>
      </c>
      <c r="Z864" s="24">
        <v>-1</v>
      </c>
      <c r="AA864"/>
      <c r="AB864" s="1">
        <v>0</v>
      </c>
      <c r="AC864" s="24">
        <v>-1</v>
      </c>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c r="CC864"/>
      <c r="CD864"/>
      <c r="CE864"/>
      <c r="CF864"/>
      <c r="CG864"/>
      <c r="CH864"/>
      <c r="CI864"/>
      <c r="CJ864"/>
      <c r="CK864"/>
      <c r="CL864"/>
      <c r="CM864"/>
      <c r="CN864"/>
      <c r="CO864"/>
      <c r="CP864"/>
      <c r="CQ864"/>
      <c r="CR864"/>
      <c r="CS864"/>
    </row>
    <row r="865" spans="2:97">
      <c r="B865"/>
      <c r="C865" s="15"/>
      <c r="D865" s="23"/>
      <c r="E865" s="23"/>
      <c r="F865" s="23"/>
      <c r="G865" s="23">
        <f t="shared" si="58"/>
        <v>0</v>
      </c>
      <c r="H865" s="23" t="e" cm="1">
        <f t="array" ref="H865">INDEX('GLOBAL LOG'!#REF!,ROW()-169+15)</f>
        <v>#REF!</v>
      </c>
      <c r="I865" s="23" t="e">
        <f>_xlfn.XLOOKUP(H865,#REF!,#REF!,"",0,1)</f>
        <v>#REF!</v>
      </c>
      <c r="J865" s="23" t="str">
        <f>IFERROR(I865*#REF!,"")</f>
        <v/>
      </c>
      <c r="K865" s="23" t="e" cm="1">
        <f t="array" ref="K865">INDEX('GLOBAL LOG'!#REF!,ROW()-169+15)</f>
        <v>#REF!</v>
      </c>
      <c r="L865" s="23" t="e">
        <f>_xlfn.XLOOKUP(K865,#REF!,#REF!,"",0,1)</f>
        <v>#REF!</v>
      </c>
      <c r="M865" s="23" t="str">
        <f>IFERROR(L865*#REF!,"")</f>
        <v/>
      </c>
      <c r="N865" s="23">
        <f t="shared" si="59"/>
        <v>-1</v>
      </c>
      <c r="O865" s="23">
        <f t="shared" si="60"/>
        <v>-1</v>
      </c>
      <c r="P865" s="23">
        <f t="shared" si="61"/>
        <v>-1</v>
      </c>
      <c r="Q865" s="24">
        <f t="shared" si="62"/>
        <v>-1</v>
      </c>
      <c r="R865" s="3"/>
      <c r="S865" s="1">
        <v>0</v>
      </c>
      <c r="T865" s="24">
        <v>-1</v>
      </c>
      <c r="U865"/>
      <c r="V865" s="1">
        <v>0</v>
      </c>
      <c r="W865" s="24">
        <v>-1</v>
      </c>
      <c r="X865"/>
      <c r="Y865" s="1">
        <v>0</v>
      </c>
      <c r="Z865" s="24">
        <v>-1</v>
      </c>
      <c r="AA865"/>
      <c r="AB865" s="1">
        <v>0</v>
      </c>
      <c r="AC865" s="24">
        <v>-1</v>
      </c>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c r="CA865"/>
      <c r="CB865"/>
      <c r="CC865"/>
      <c r="CD865"/>
      <c r="CE865"/>
      <c r="CF865"/>
      <c r="CG865"/>
      <c r="CH865"/>
      <c r="CI865"/>
      <c r="CJ865"/>
      <c r="CK865"/>
      <c r="CL865"/>
      <c r="CM865"/>
      <c r="CN865"/>
      <c r="CO865"/>
      <c r="CP865"/>
      <c r="CQ865"/>
      <c r="CR865"/>
      <c r="CS865"/>
    </row>
    <row r="866" spans="2:97">
      <c r="B866"/>
      <c r="C866" s="15"/>
      <c r="D866" s="23"/>
      <c r="E866" s="23"/>
      <c r="F866" s="23"/>
      <c r="G866" s="23">
        <f t="shared" si="58"/>
        <v>0</v>
      </c>
      <c r="H866" s="23" t="e" cm="1">
        <f t="array" ref="H866">INDEX('GLOBAL LOG'!#REF!,ROW()-169+15)</f>
        <v>#REF!</v>
      </c>
      <c r="I866" s="23" t="e">
        <f>_xlfn.XLOOKUP(H866,#REF!,#REF!,"",0,1)</f>
        <v>#REF!</v>
      </c>
      <c r="J866" s="23" t="str">
        <f>IFERROR(I866*#REF!,"")</f>
        <v/>
      </c>
      <c r="K866" s="23" t="e" cm="1">
        <f t="array" ref="K866">INDEX('GLOBAL LOG'!#REF!,ROW()-169+15)</f>
        <v>#REF!</v>
      </c>
      <c r="L866" s="23" t="e">
        <f>_xlfn.XLOOKUP(K866,#REF!,#REF!,"",0,1)</f>
        <v>#REF!</v>
      </c>
      <c r="M866" s="23" t="str">
        <f>IFERROR(L866*#REF!,"")</f>
        <v/>
      </c>
      <c r="N866" s="23">
        <f t="shared" si="59"/>
        <v>-1</v>
      </c>
      <c r="O866" s="23">
        <f t="shared" si="60"/>
        <v>-1</v>
      </c>
      <c r="P866" s="23">
        <f t="shared" si="61"/>
        <v>-1</v>
      </c>
      <c r="Q866" s="24">
        <f t="shared" si="62"/>
        <v>-1</v>
      </c>
      <c r="R866" s="3"/>
      <c r="S866" s="1">
        <v>0</v>
      </c>
      <c r="T866" s="24">
        <v>-1</v>
      </c>
      <c r="U866"/>
      <c r="V866" s="1">
        <v>0</v>
      </c>
      <c r="W866" s="24">
        <v>-1</v>
      </c>
      <c r="X866"/>
      <c r="Y866" s="1">
        <v>0</v>
      </c>
      <c r="Z866" s="24">
        <v>-1</v>
      </c>
      <c r="AA866"/>
      <c r="AB866" s="1">
        <v>0</v>
      </c>
      <c r="AC866" s="24">
        <v>-1</v>
      </c>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c r="CA866"/>
      <c r="CB866"/>
      <c r="CC866"/>
      <c r="CD866"/>
      <c r="CE866"/>
      <c r="CF866"/>
      <c r="CG866"/>
      <c r="CH866"/>
      <c r="CI866"/>
      <c r="CJ866"/>
      <c r="CK866"/>
      <c r="CL866"/>
      <c r="CM866"/>
      <c r="CN866"/>
      <c r="CO866"/>
      <c r="CP866"/>
      <c r="CQ866"/>
      <c r="CR866"/>
      <c r="CS866"/>
    </row>
    <row r="867" spans="2:97">
      <c r="B867"/>
      <c r="C867" s="15"/>
      <c r="D867" s="23"/>
      <c r="E867" s="23"/>
      <c r="F867" s="23"/>
      <c r="G867" s="23">
        <f t="shared" si="58"/>
        <v>0</v>
      </c>
      <c r="H867" s="23" t="e" cm="1">
        <f t="array" ref="H867">INDEX('GLOBAL LOG'!#REF!,ROW()-169+15)</f>
        <v>#REF!</v>
      </c>
      <c r="I867" s="23" t="e">
        <f>_xlfn.XLOOKUP(H867,#REF!,#REF!,"",0,1)</f>
        <v>#REF!</v>
      </c>
      <c r="J867" s="23" t="str">
        <f>IFERROR(I867*#REF!,"")</f>
        <v/>
      </c>
      <c r="K867" s="23" t="e" cm="1">
        <f t="array" ref="K867">INDEX('GLOBAL LOG'!#REF!,ROW()-169+15)</f>
        <v>#REF!</v>
      </c>
      <c r="L867" s="23" t="e">
        <f>_xlfn.XLOOKUP(K867,#REF!,#REF!,"",0,1)</f>
        <v>#REF!</v>
      </c>
      <c r="M867" s="23" t="str">
        <f>IFERROR(L867*#REF!,"")</f>
        <v/>
      </c>
      <c r="N867" s="23">
        <f t="shared" si="59"/>
        <v>-1</v>
      </c>
      <c r="O867" s="23">
        <f t="shared" si="60"/>
        <v>-1</v>
      </c>
      <c r="P867" s="23">
        <f t="shared" si="61"/>
        <v>-1</v>
      </c>
      <c r="Q867" s="24">
        <f t="shared" si="62"/>
        <v>-1</v>
      </c>
      <c r="R867" s="3"/>
      <c r="S867" s="1">
        <v>0</v>
      </c>
      <c r="T867" s="24">
        <v>-1</v>
      </c>
      <c r="U867"/>
      <c r="V867" s="1">
        <v>0</v>
      </c>
      <c r="W867" s="24">
        <v>-1</v>
      </c>
      <c r="X867"/>
      <c r="Y867" s="1">
        <v>0</v>
      </c>
      <c r="Z867" s="24">
        <v>-1</v>
      </c>
      <c r="AA867"/>
      <c r="AB867" s="1">
        <v>0</v>
      </c>
      <c r="AC867" s="24">
        <v>-1</v>
      </c>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c r="CA867"/>
      <c r="CB867"/>
      <c r="CC867"/>
      <c r="CD867"/>
      <c r="CE867"/>
      <c r="CF867"/>
      <c r="CG867"/>
      <c r="CH867"/>
      <c r="CI867"/>
      <c r="CJ867"/>
      <c r="CK867"/>
      <c r="CL867"/>
      <c r="CM867"/>
      <c r="CN867"/>
      <c r="CO867"/>
      <c r="CP867"/>
      <c r="CQ867"/>
      <c r="CR867"/>
      <c r="CS867"/>
    </row>
    <row r="868" spans="2:97">
      <c r="B868"/>
      <c r="C868" s="15"/>
      <c r="D868" s="23"/>
      <c r="E868" s="23"/>
      <c r="F868" s="23"/>
      <c r="G868" s="23">
        <f t="shared" si="58"/>
        <v>0</v>
      </c>
      <c r="H868" s="23" t="e" cm="1">
        <f t="array" ref="H868">INDEX('GLOBAL LOG'!#REF!,ROW()-169+15)</f>
        <v>#REF!</v>
      </c>
      <c r="I868" s="23" t="e">
        <f>_xlfn.XLOOKUP(H868,#REF!,#REF!,"",0,1)</f>
        <v>#REF!</v>
      </c>
      <c r="J868" s="23" t="str">
        <f>IFERROR(I868*#REF!,"")</f>
        <v/>
      </c>
      <c r="K868" s="23" t="e" cm="1">
        <f t="array" ref="K868">INDEX('GLOBAL LOG'!#REF!,ROW()-169+15)</f>
        <v>#REF!</v>
      </c>
      <c r="L868" s="23" t="e">
        <f>_xlfn.XLOOKUP(K868,#REF!,#REF!,"",0,1)</f>
        <v>#REF!</v>
      </c>
      <c r="M868" s="23" t="str">
        <f>IFERROR(L868*#REF!,"")</f>
        <v/>
      </c>
      <c r="N868" s="23">
        <f t="shared" si="59"/>
        <v>-1</v>
      </c>
      <c r="O868" s="23">
        <f t="shared" si="60"/>
        <v>-1</v>
      </c>
      <c r="P868" s="23">
        <f t="shared" si="61"/>
        <v>-1</v>
      </c>
      <c r="Q868" s="24">
        <f t="shared" si="62"/>
        <v>-1</v>
      </c>
      <c r="R868" s="3"/>
      <c r="S868" s="1">
        <v>0</v>
      </c>
      <c r="T868" s="24">
        <v>-1</v>
      </c>
      <c r="U868"/>
      <c r="V868" s="1">
        <v>0</v>
      </c>
      <c r="W868" s="24">
        <v>-1</v>
      </c>
      <c r="X868"/>
      <c r="Y868" s="1">
        <v>0</v>
      </c>
      <c r="Z868" s="24">
        <v>-1</v>
      </c>
      <c r="AA868"/>
      <c r="AB868" s="1">
        <v>0</v>
      </c>
      <c r="AC868" s="24">
        <v>-1</v>
      </c>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c r="CA868"/>
      <c r="CB868"/>
      <c r="CC868"/>
      <c r="CD868"/>
      <c r="CE868"/>
      <c r="CF868"/>
      <c r="CG868"/>
      <c r="CH868"/>
      <c r="CI868"/>
      <c r="CJ868"/>
      <c r="CK868"/>
      <c r="CL868"/>
      <c r="CM868"/>
      <c r="CN868"/>
      <c r="CO868"/>
      <c r="CP868"/>
      <c r="CQ868"/>
      <c r="CR868"/>
      <c r="CS868"/>
    </row>
    <row r="869" spans="2:97">
      <c r="B869"/>
      <c r="C869" s="15"/>
      <c r="D869" s="23"/>
      <c r="E869" s="23"/>
      <c r="F869" s="23"/>
      <c r="G869" s="23">
        <f t="shared" si="58"/>
        <v>0</v>
      </c>
      <c r="H869" s="23" t="e" cm="1">
        <f t="array" ref="H869">INDEX('GLOBAL LOG'!#REF!,ROW()-169+15)</f>
        <v>#REF!</v>
      </c>
      <c r="I869" s="23" t="e">
        <f>_xlfn.XLOOKUP(H869,#REF!,#REF!,"",0,1)</f>
        <v>#REF!</v>
      </c>
      <c r="J869" s="23" t="str">
        <f>IFERROR(I869*#REF!,"")</f>
        <v/>
      </c>
      <c r="K869" s="23" t="e" cm="1">
        <f t="array" ref="K869">INDEX('GLOBAL LOG'!#REF!,ROW()-169+15)</f>
        <v>#REF!</v>
      </c>
      <c r="L869" s="23" t="e">
        <f>_xlfn.XLOOKUP(K869,#REF!,#REF!,"",0,1)</f>
        <v>#REF!</v>
      </c>
      <c r="M869" s="23" t="str">
        <f>IFERROR(L869*#REF!,"")</f>
        <v/>
      </c>
      <c r="N869" s="23">
        <f t="shared" si="59"/>
        <v>-1</v>
      </c>
      <c r="O869" s="23">
        <f t="shared" si="60"/>
        <v>-1</v>
      </c>
      <c r="P869" s="23">
        <f t="shared" si="61"/>
        <v>-1</v>
      </c>
      <c r="Q869" s="24">
        <f t="shared" si="62"/>
        <v>-1</v>
      </c>
      <c r="R869" s="3"/>
      <c r="S869" s="1">
        <v>0</v>
      </c>
      <c r="T869" s="24">
        <v>-1</v>
      </c>
      <c r="U869"/>
      <c r="V869" s="1">
        <v>0</v>
      </c>
      <c r="W869" s="24">
        <v>-1</v>
      </c>
      <c r="X869"/>
      <c r="Y869" s="1">
        <v>0</v>
      </c>
      <c r="Z869" s="24">
        <v>-1</v>
      </c>
      <c r="AA869"/>
      <c r="AB869" s="1">
        <v>0</v>
      </c>
      <c r="AC869" s="24">
        <v>-1</v>
      </c>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c r="CA869"/>
      <c r="CB869"/>
      <c r="CC869"/>
      <c r="CD869"/>
      <c r="CE869"/>
      <c r="CF869"/>
      <c r="CG869"/>
      <c r="CH869"/>
      <c r="CI869"/>
      <c r="CJ869"/>
      <c r="CK869"/>
      <c r="CL869"/>
      <c r="CM869"/>
      <c r="CN869"/>
      <c r="CO869"/>
      <c r="CP869"/>
      <c r="CQ869"/>
      <c r="CR869"/>
      <c r="CS869"/>
    </row>
    <row r="870" spans="2:97">
      <c r="B870"/>
      <c r="C870" s="15"/>
      <c r="D870" s="23"/>
      <c r="E870" s="23"/>
      <c r="F870" s="23"/>
      <c r="G870" s="23">
        <f t="shared" si="58"/>
        <v>0</v>
      </c>
      <c r="H870" s="23" t="e" cm="1">
        <f t="array" ref="H870">INDEX('GLOBAL LOG'!#REF!,ROW()-169+15)</f>
        <v>#REF!</v>
      </c>
      <c r="I870" s="23" t="e">
        <f>_xlfn.XLOOKUP(H870,#REF!,#REF!,"",0,1)</f>
        <v>#REF!</v>
      </c>
      <c r="J870" s="23" t="str">
        <f>IFERROR(I870*#REF!,"")</f>
        <v/>
      </c>
      <c r="K870" s="23" t="e" cm="1">
        <f t="array" ref="K870">INDEX('GLOBAL LOG'!#REF!,ROW()-169+15)</f>
        <v>#REF!</v>
      </c>
      <c r="L870" s="23" t="e">
        <f>_xlfn.XLOOKUP(K870,#REF!,#REF!,"",0,1)</f>
        <v>#REF!</v>
      </c>
      <c r="M870" s="23" t="str">
        <f>IFERROR(L870*#REF!,"")</f>
        <v/>
      </c>
      <c r="N870" s="23">
        <f t="shared" si="59"/>
        <v>-1</v>
      </c>
      <c r="O870" s="23">
        <f t="shared" si="60"/>
        <v>-1</v>
      </c>
      <c r="P870" s="23">
        <f t="shared" si="61"/>
        <v>-1</v>
      </c>
      <c r="Q870" s="24">
        <f t="shared" si="62"/>
        <v>-1</v>
      </c>
      <c r="R870" s="3"/>
      <c r="S870" s="1">
        <v>0</v>
      </c>
      <c r="T870" s="24">
        <v>-1</v>
      </c>
      <c r="U870"/>
      <c r="V870" s="1">
        <v>0</v>
      </c>
      <c r="W870" s="24">
        <v>-1</v>
      </c>
      <c r="X870"/>
      <c r="Y870" s="1">
        <v>0</v>
      </c>
      <c r="Z870" s="24">
        <v>-1</v>
      </c>
      <c r="AA870"/>
      <c r="AB870" s="1">
        <v>0</v>
      </c>
      <c r="AC870" s="24">
        <v>-1</v>
      </c>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c r="CA870"/>
      <c r="CB870"/>
      <c r="CC870"/>
      <c r="CD870"/>
      <c r="CE870"/>
      <c r="CF870"/>
      <c r="CG870"/>
      <c r="CH870"/>
      <c r="CI870"/>
      <c r="CJ870"/>
      <c r="CK870"/>
      <c r="CL870"/>
      <c r="CM870"/>
      <c r="CN870"/>
      <c r="CO870"/>
      <c r="CP870"/>
      <c r="CQ870"/>
      <c r="CR870"/>
      <c r="CS870"/>
    </row>
    <row r="871" spans="2:97">
      <c r="B871"/>
      <c r="C871" s="15"/>
      <c r="D871" s="23"/>
      <c r="E871" s="23"/>
      <c r="F871" s="23"/>
      <c r="G871" s="23">
        <f t="shared" si="58"/>
        <v>0</v>
      </c>
      <c r="H871" s="23" t="e" cm="1">
        <f t="array" ref="H871">INDEX('GLOBAL LOG'!#REF!,ROW()-169+15)</f>
        <v>#REF!</v>
      </c>
      <c r="I871" s="23" t="e">
        <f>_xlfn.XLOOKUP(H871,#REF!,#REF!,"",0,1)</f>
        <v>#REF!</v>
      </c>
      <c r="J871" s="23" t="str">
        <f>IFERROR(I871*#REF!,"")</f>
        <v/>
      </c>
      <c r="K871" s="23" t="e" cm="1">
        <f t="array" ref="K871">INDEX('GLOBAL LOG'!#REF!,ROW()-169+15)</f>
        <v>#REF!</v>
      </c>
      <c r="L871" s="23" t="e">
        <f>_xlfn.XLOOKUP(K871,#REF!,#REF!,"",0,1)</f>
        <v>#REF!</v>
      </c>
      <c r="M871" s="23" t="str">
        <f>IFERROR(L871*#REF!,"")</f>
        <v/>
      </c>
      <c r="N871" s="23">
        <f t="shared" si="59"/>
        <v>-1</v>
      </c>
      <c r="O871" s="23">
        <f t="shared" si="60"/>
        <v>-1</v>
      </c>
      <c r="P871" s="23">
        <f t="shared" si="61"/>
        <v>-1</v>
      </c>
      <c r="Q871" s="24">
        <f t="shared" si="62"/>
        <v>-1</v>
      </c>
      <c r="R871" s="3"/>
      <c r="S871" s="1">
        <v>0</v>
      </c>
      <c r="T871" s="24">
        <v>-1</v>
      </c>
      <c r="U871"/>
      <c r="V871" s="1">
        <v>0</v>
      </c>
      <c r="W871" s="24">
        <v>-1</v>
      </c>
      <c r="X871"/>
      <c r="Y871" s="1">
        <v>0</v>
      </c>
      <c r="Z871" s="24">
        <v>-1</v>
      </c>
      <c r="AA871"/>
      <c r="AB871" s="1">
        <v>0</v>
      </c>
      <c r="AC871" s="24">
        <v>-1</v>
      </c>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c r="CA871"/>
      <c r="CB871"/>
      <c r="CC871"/>
      <c r="CD871"/>
      <c r="CE871"/>
      <c r="CF871"/>
      <c r="CG871"/>
      <c r="CH871"/>
      <c r="CI871"/>
      <c r="CJ871"/>
      <c r="CK871"/>
      <c r="CL871"/>
      <c r="CM871"/>
      <c r="CN871"/>
      <c r="CO871"/>
      <c r="CP871"/>
      <c r="CQ871"/>
      <c r="CR871"/>
      <c r="CS871"/>
    </row>
    <row r="872" spans="2:97">
      <c r="B872"/>
      <c r="C872" s="15"/>
      <c r="D872" s="23"/>
      <c r="E872" s="23"/>
      <c r="F872" s="23"/>
      <c r="G872" s="23">
        <f t="shared" si="58"/>
        <v>0</v>
      </c>
      <c r="H872" s="23" t="e" cm="1">
        <f t="array" ref="H872">INDEX('GLOBAL LOG'!#REF!,ROW()-169+15)</f>
        <v>#REF!</v>
      </c>
      <c r="I872" s="23" t="e">
        <f>_xlfn.XLOOKUP(H872,#REF!,#REF!,"",0,1)</f>
        <v>#REF!</v>
      </c>
      <c r="J872" s="23" t="str">
        <f>IFERROR(I872*#REF!,"")</f>
        <v/>
      </c>
      <c r="K872" s="23" t="e" cm="1">
        <f t="array" ref="K872">INDEX('GLOBAL LOG'!#REF!,ROW()-169+15)</f>
        <v>#REF!</v>
      </c>
      <c r="L872" s="23" t="e">
        <f>_xlfn.XLOOKUP(K872,#REF!,#REF!,"",0,1)</f>
        <v>#REF!</v>
      </c>
      <c r="M872" s="23" t="str">
        <f>IFERROR(L872*#REF!,"")</f>
        <v/>
      </c>
      <c r="N872" s="23">
        <f t="shared" si="59"/>
        <v>-1</v>
      </c>
      <c r="O872" s="23">
        <f t="shared" si="60"/>
        <v>-1</v>
      </c>
      <c r="P872" s="23">
        <f t="shared" si="61"/>
        <v>-1</v>
      </c>
      <c r="Q872" s="24">
        <f t="shared" si="62"/>
        <v>-1</v>
      </c>
      <c r="R872" s="3"/>
      <c r="S872" s="1">
        <v>0</v>
      </c>
      <c r="T872" s="24">
        <v>-1</v>
      </c>
      <c r="U872"/>
      <c r="V872" s="1">
        <v>0</v>
      </c>
      <c r="W872" s="24">
        <v>-1</v>
      </c>
      <c r="X872"/>
      <c r="Y872" s="1">
        <v>0</v>
      </c>
      <c r="Z872" s="24">
        <v>-1</v>
      </c>
      <c r="AA872"/>
      <c r="AB872" s="1">
        <v>0</v>
      </c>
      <c r="AC872" s="24">
        <v>-1</v>
      </c>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c r="CA872"/>
      <c r="CB872"/>
      <c r="CC872"/>
      <c r="CD872"/>
      <c r="CE872"/>
      <c r="CF872"/>
      <c r="CG872"/>
      <c r="CH872"/>
      <c r="CI872"/>
      <c r="CJ872"/>
      <c r="CK872"/>
      <c r="CL872"/>
      <c r="CM872"/>
      <c r="CN872"/>
      <c r="CO872"/>
      <c r="CP872"/>
      <c r="CQ872"/>
      <c r="CR872"/>
      <c r="CS872"/>
    </row>
    <row r="873" spans="2:97">
      <c r="B873"/>
      <c r="C873" s="15"/>
      <c r="D873" s="23"/>
      <c r="E873" s="23"/>
      <c r="F873" s="23"/>
      <c r="G873" s="23">
        <f t="shared" si="58"/>
        <v>0</v>
      </c>
      <c r="H873" s="23" t="e" cm="1">
        <f t="array" ref="H873">INDEX('GLOBAL LOG'!#REF!,ROW()-169+15)</f>
        <v>#REF!</v>
      </c>
      <c r="I873" s="23" t="e">
        <f>_xlfn.XLOOKUP(H873,#REF!,#REF!,"",0,1)</f>
        <v>#REF!</v>
      </c>
      <c r="J873" s="23" t="str">
        <f>IFERROR(I873*#REF!,"")</f>
        <v/>
      </c>
      <c r="K873" s="23" t="e" cm="1">
        <f t="array" ref="K873">INDEX('GLOBAL LOG'!#REF!,ROW()-169+15)</f>
        <v>#REF!</v>
      </c>
      <c r="L873" s="23" t="e">
        <f>_xlfn.XLOOKUP(K873,#REF!,#REF!,"",0,1)</f>
        <v>#REF!</v>
      </c>
      <c r="M873" s="23" t="str">
        <f>IFERROR(L873*#REF!,"")</f>
        <v/>
      </c>
      <c r="N873" s="23">
        <f t="shared" si="59"/>
        <v>-1</v>
      </c>
      <c r="O873" s="23">
        <f t="shared" si="60"/>
        <v>-1</v>
      </c>
      <c r="P873" s="23">
        <f t="shared" si="61"/>
        <v>-1</v>
      </c>
      <c r="Q873" s="24">
        <f t="shared" si="62"/>
        <v>-1</v>
      </c>
      <c r="R873" s="3"/>
      <c r="S873" s="1">
        <v>0</v>
      </c>
      <c r="T873" s="24">
        <v>-1</v>
      </c>
      <c r="U873"/>
      <c r="V873" s="1">
        <v>0</v>
      </c>
      <c r="W873" s="24">
        <v>-1</v>
      </c>
      <c r="X873"/>
      <c r="Y873" s="1">
        <v>0</v>
      </c>
      <c r="Z873" s="24">
        <v>-1</v>
      </c>
      <c r="AA873"/>
      <c r="AB873" s="1">
        <v>0</v>
      </c>
      <c r="AC873" s="24">
        <v>-1</v>
      </c>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c r="CA873"/>
      <c r="CB873"/>
      <c r="CC873"/>
      <c r="CD873"/>
      <c r="CE873"/>
      <c r="CF873"/>
      <c r="CG873"/>
      <c r="CH873"/>
      <c r="CI873"/>
      <c r="CJ873"/>
      <c r="CK873"/>
      <c r="CL873"/>
      <c r="CM873"/>
      <c r="CN873"/>
      <c r="CO873"/>
      <c r="CP873"/>
      <c r="CQ873"/>
      <c r="CR873"/>
      <c r="CS873"/>
    </row>
    <row r="874" spans="2:97">
      <c r="B874"/>
      <c r="C874" s="15"/>
      <c r="D874" s="23"/>
      <c r="E874" s="23"/>
      <c r="F874" s="23"/>
      <c r="G874" s="23">
        <f t="shared" ref="G874:G937" si="63">E874+F874</f>
        <v>0</v>
      </c>
      <c r="H874" s="23" t="e" cm="1">
        <f t="array" ref="H874">INDEX('GLOBAL LOG'!#REF!,ROW()-169+15)</f>
        <v>#REF!</v>
      </c>
      <c r="I874" s="23" t="e">
        <f>_xlfn.XLOOKUP(H874,#REF!,#REF!,"",0,1)</f>
        <v>#REF!</v>
      </c>
      <c r="J874" s="23" t="str">
        <f>IFERROR(I874*#REF!,"")</f>
        <v/>
      </c>
      <c r="K874" s="23" t="e" cm="1">
        <f t="array" ref="K874">INDEX('GLOBAL LOG'!#REF!,ROW()-169+15)</f>
        <v>#REF!</v>
      </c>
      <c r="L874" s="23" t="e">
        <f>_xlfn.XLOOKUP(K874,#REF!,#REF!,"",0,1)</f>
        <v>#REF!</v>
      </c>
      <c r="M874" s="23" t="str">
        <f>IFERROR(L874*#REF!,"")</f>
        <v/>
      </c>
      <c r="N874" s="23">
        <f t="shared" ref="N874:N937" si="64">IFERROR(D874*J874*M874,-1)</f>
        <v>-1</v>
      </c>
      <c r="O874" s="23">
        <f t="shared" ref="O874:O937" si="65">IFERROR(E874*J874*M874,-1)</f>
        <v>-1</v>
      </c>
      <c r="P874" s="23">
        <f t="shared" ref="P874:P937" si="66">IFERROR(F874*J874*M874,-1)</f>
        <v>-1</v>
      </c>
      <c r="Q874" s="24">
        <f t="shared" ref="Q874:Q937" si="67">IFERROR(G874*J874*M874,-1)</f>
        <v>-1</v>
      </c>
      <c r="R874" s="3"/>
      <c r="S874" s="1">
        <v>0</v>
      </c>
      <c r="T874" s="24">
        <v>-1</v>
      </c>
      <c r="U874"/>
      <c r="V874" s="1">
        <v>0</v>
      </c>
      <c r="W874" s="24">
        <v>-1</v>
      </c>
      <c r="X874"/>
      <c r="Y874" s="1">
        <v>0</v>
      </c>
      <c r="Z874" s="24">
        <v>-1</v>
      </c>
      <c r="AA874"/>
      <c r="AB874" s="1">
        <v>0</v>
      </c>
      <c r="AC874" s="24">
        <v>-1</v>
      </c>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c r="CA874"/>
      <c r="CB874"/>
      <c r="CC874"/>
      <c r="CD874"/>
      <c r="CE874"/>
      <c r="CF874"/>
      <c r="CG874"/>
      <c r="CH874"/>
      <c r="CI874"/>
      <c r="CJ874"/>
      <c r="CK874"/>
      <c r="CL874"/>
      <c r="CM874"/>
      <c r="CN874"/>
      <c r="CO874"/>
      <c r="CP874"/>
      <c r="CQ874"/>
      <c r="CR874"/>
      <c r="CS874"/>
    </row>
    <row r="875" spans="2:97">
      <c r="B875"/>
      <c r="C875" s="15"/>
      <c r="D875" s="23"/>
      <c r="E875" s="23"/>
      <c r="F875" s="23"/>
      <c r="G875" s="23">
        <f t="shared" si="63"/>
        <v>0</v>
      </c>
      <c r="H875" s="23" t="e" cm="1">
        <f t="array" ref="H875">INDEX('GLOBAL LOG'!#REF!,ROW()-169+15)</f>
        <v>#REF!</v>
      </c>
      <c r="I875" s="23" t="e">
        <f>_xlfn.XLOOKUP(H875,#REF!,#REF!,"",0,1)</f>
        <v>#REF!</v>
      </c>
      <c r="J875" s="23" t="str">
        <f>IFERROR(I875*#REF!,"")</f>
        <v/>
      </c>
      <c r="K875" s="23" t="e" cm="1">
        <f t="array" ref="K875">INDEX('GLOBAL LOG'!#REF!,ROW()-169+15)</f>
        <v>#REF!</v>
      </c>
      <c r="L875" s="23" t="e">
        <f>_xlfn.XLOOKUP(K875,#REF!,#REF!,"",0,1)</f>
        <v>#REF!</v>
      </c>
      <c r="M875" s="23" t="str">
        <f>IFERROR(L875*#REF!,"")</f>
        <v/>
      </c>
      <c r="N875" s="23">
        <f t="shared" si="64"/>
        <v>-1</v>
      </c>
      <c r="O875" s="23">
        <f t="shared" si="65"/>
        <v>-1</v>
      </c>
      <c r="P875" s="23">
        <f t="shared" si="66"/>
        <v>-1</v>
      </c>
      <c r="Q875" s="24">
        <f t="shared" si="67"/>
        <v>-1</v>
      </c>
      <c r="R875" s="3"/>
      <c r="S875" s="1">
        <v>0</v>
      </c>
      <c r="T875" s="24">
        <v>-1</v>
      </c>
      <c r="U875"/>
      <c r="V875" s="1">
        <v>0</v>
      </c>
      <c r="W875" s="24">
        <v>-1</v>
      </c>
      <c r="X875"/>
      <c r="Y875" s="1">
        <v>0</v>
      </c>
      <c r="Z875" s="24">
        <v>-1</v>
      </c>
      <c r="AA875"/>
      <c r="AB875" s="1">
        <v>0</v>
      </c>
      <c r="AC875" s="24">
        <v>-1</v>
      </c>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c r="CA875"/>
      <c r="CB875"/>
      <c r="CC875"/>
      <c r="CD875"/>
      <c r="CE875"/>
      <c r="CF875"/>
      <c r="CG875"/>
      <c r="CH875"/>
      <c r="CI875"/>
      <c r="CJ875"/>
      <c r="CK875"/>
      <c r="CL875"/>
      <c r="CM875"/>
      <c r="CN875"/>
      <c r="CO875"/>
      <c r="CP875"/>
      <c r="CQ875"/>
      <c r="CR875"/>
      <c r="CS875"/>
    </row>
    <row r="876" spans="2:97">
      <c r="B876"/>
      <c r="C876" s="15"/>
      <c r="D876" s="23"/>
      <c r="E876" s="23"/>
      <c r="F876" s="23"/>
      <c r="G876" s="23">
        <f t="shared" si="63"/>
        <v>0</v>
      </c>
      <c r="H876" s="23" t="e" cm="1">
        <f t="array" ref="H876">INDEX('GLOBAL LOG'!#REF!,ROW()-169+15)</f>
        <v>#REF!</v>
      </c>
      <c r="I876" s="23" t="e">
        <f>_xlfn.XLOOKUP(H876,#REF!,#REF!,"",0,1)</f>
        <v>#REF!</v>
      </c>
      <c r="J876" s="23" t="str">
        <f>IFERROR(I876*#REF!,"")</f>
        <v/>
      </c>
      <c r="K876" s="23" t="e" cm="1">
        <f t="array" ref="K876">INDEX('GLOBAL LOG'!#REF!,ROW()-169+15)</f>
        <v>#REF!</v>
      </c>
      <c r="L876" s="23" t="e">
        <f>_xlfn.XLOOKUP(K876,#REF!,#REF!,"",0,1)</f>
        <v>#REF!</v>
      </c>
      <c r="M876" s="23" t="str">
        <f>IFERROR(L876*#REF!,"")</f>
        <v/>
      </c>
      <c r="N876" s="23">
        <f t="shared" si="64"/>
        <v>-1</v>
      </c>
      <c r="O876" s="23">
        <f t="shared" si="65"/>
        <v>-1</v>
      </c>
      <c r="P876" s="23">
        <f t="shared" si="66"/>
        <v>-1</v>
      </c>
      <c r="Q876" s="24">
        <f t="shared" si="67"/>
        <v>-1</v>
      </c>
      <c r="R876" s="3"/>
      <c r="S876" s="1">
        <v>0</v>
      </c>
      <c r="T876" s="24">
        <v>-1</v>
      </c>
      <c r="U876"/>
      <c r="V876" s="1">
        <v>0</v>
      </c>
      <c r="W876" s="24">
        <v>-1</v>
      </c>
      <c r="X876"/>
      <c r="Y876" s="1">
        <v>0</v>
      </c>
      <c r="Z876" s="24">
        <v>-1</v>
      </c>
      <c r="AA876"/>
      <c r="AB876" s="1">
        <v>0</v>
      </c>
      <c r="AC876" s="24">
        <v>-1</v>
      </c>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c r="CA876"/>
      <c r="CB876"/>
      <c r="CC876"/>
      <c r="CD876"/>
      <c r="CE876"/>
      <c r="CF876"/>
      <c r="CG876"/>
      <c r="CH876"/>
      <c r="CI876"/>
      <c r="CJ876"/>
      <c r="CK876"/>
      <c r="CL876"/>
      <c r="CM876"/>
      <c r="CN876"/>
      <c r="CO876"/>
      <c r="CP876"/>
      <c r="CQ876"/>
      <c r="CR876"/>
      <c r="CS876"/>
    </row>
    <row r="877" spans="2:97">
      <c r="B877"/>
      <c r="C877" s="15"/>
      <c r="D877" s="23"/>
      <c r="E877" s="23"/>
      <c r="F877" s="23"/>
      <c r="G877" s="23">
        <f t="shared" si="63"/>
        <v>0</v>
      </c>
      <c r="H877" s="23" t="e" cm="1">
        <f t="array" ref="H877">INDEX('GLOBAL LOG'!#REF!,ROW()-169+15)</f>
        <v>#REF!</v>
      </c>
      <c r="I877" s="23" t="e">
        <f>_xlfn.XLOOKUP(H877,#REF!,#REF!,"",0,1)</f>
        <v>#REF!</v>
      </c>
      <c r="J877" s="23" t="str">
        <f>IFERROR(I877*#REF!,"")</f>
        <v/>
      </c>
      <c r="K877" s="23" t="e" cm="1">
        <f t="array" ref="K877">INDEX('GLOBAL LOG'!#REF!,ROW()-169+15)</f>
        <v>#REF!</v>
      </c>
      <c r="L877" s="23" t="e">
        <f>_xlfn.XLOOKUP(K877,#REF!,#REF!,"",0,1)</f>
        <v>#REF!</v>
      </c>
      <c r="M877" s="23" t="str">
        <f>IFERROR(L877*#REF!,"")</f>
        <v/>
      </c>
      <c r="N877" s="23">
        <f t="shared" si="64"/>
        <v>-1</v>
      </c>
      <c r="O877" s="23">
        <f t="shared" si="65"/>
        <v>-1</v>
      </c>
      <c r="P877" s="23">
        <f t="shared" si="66"/>
        <v>-1</v>
      </c>
      <c r="Q877" s="24">
        <f t="shared" si="67"/>
        <v>-1</v>
      </c>
      <c r="R877" s="3"/>
      <c r="S877" s="1">
        <v>0</v>
      </c>
      <c r="T877" s="24">
        <v>-1</v>
      </c>
      <c r="U877"/>
      <c r="V877" s="1">
        <v>0</v>
      </c>
      <c r="W877" s="24">
        <v>-1</v>
      </c>
      <c r="X877"/>
      <c r="Y877" s="1">
        <v>0</v>
      </c>
      <c r="Z877" s="24">
        <v>-1</v>
      </c>
      <c r="AA877"/>
      <c r="AB877" s="1">
        <v>0</v>
      </c>
      <c r="AC877" s="24">
        <v>-1</v>
      </c>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c r="CA877"/>
      <c r="CB877"/>
      <c r="CC877"/>
      <c r="CD877"/>
      <c r="CE877"/>
      <c r="CF877"/>
      <c r="CG877"/>
      <c r="CH877"/>
      <c r="CI877"/>
      <c r="CJ877"/>
      <c r="CK877"/>
      <c r="CL877"/>
      <c r="CM877"/>
      <c r="CN877"/>
      <c r="CO877"/>
      <c r="CP877"/>
      <c r="CQ877"/>
      <c r="CR877"/>
      <c r="CS877"/>
    </row>
    <row r="878" spans="2:97">
      <c r="B878"/>
      <c r="C878" s="15"/>
      <c r="D878" s="23"/>
      <c r="E878" s="23"/>
      <c r="F878" s="23"/>
      <c r="G878" s="23">
        <f t="shared" si="63"/>
        <v>0</v>
      </c>
      <c r="H878" s="23" t="e" cm="1">
        <f t="array" ref="H878">INDEX('GLOBAL LOG'!#REF!,ROW()-169+15)</f>
        <v>#REF!</v>
      </c>
      <c r="I878" s="23" t="e">
        <f>_xlfn.XLOOKUP(H878,#REF!,#REF!,"",0,1)</f>
        <v>#REF!</v>
      </c>
      <c r="J878" s="23" t="str">
        <f>IFERROR(I878*#REF!,"")</f>
        <v/>
      </c>
      <c r="K878" s="23" t="e" cm="1">
        <f t="array" ref="K878">INDEX('GLOBAL LOG'!#REF!,ROW()-169+15)</f>
        <v>#REF!</v>
      </c>
      <c r="L878" s="23" t="e">
        <f>_xlfn.XLOOKUP(K878,#REF!,#REF!,"",0,1)</f>
        <v>#REF!</v>
      </c>
      <c r="M878" s="23" t="str">
        <f>IFERROR(L878*#REF!,"")</f>
        <v/>
      </c>
      <c r="N878" s="23">
        <f t="shared" si="64"/>
        <v>-1</v>
      </c>
      <c r="O878" s="23">
        <f t="shared" si="65"/>
        <v>-1</v>
      </c>
      <c r="P878" s="23">
        <f t="shared" si="66"/>
        <v>-1</v>
      </c>
      <c r="Q878" s="24">
        <f t="shared" si="67"/>
        <v>-1</v>
      </c>
      <c r="R878" s="3"/>
      <c r="S878" s="1">
        <v>0</v>
      </c>
      <c r="T878" s="24">
        <v>-1</v>
      </c>
      <c r="U878"/>
      <c r="V878" s="1">
        <v>0</v>
      </c>
      <c r="W878" s="24">
        <v>-1</v>
      </c>
      <c r="X878"/>
      <c r="Y878" s="1">
        <v>0</v>
      </c>
      <c r="Z878" s="24">
        <v>-1</v>
      </c>
      <c r="AA878"/>
      <c r="AB878" s="1">
        <v>0</v>
      </c>
      <c r="AC878" s="24">
        <v>-1</v>
      </c>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c r="CA878"/>
      <c r="CB878"/>
      <c r="CC878"/>
      <c r="CD878"/>
      <c r="CE878"/>
      <c r="CF878"/>
      <c r="CG878"/>
      <c r="CH878"/>
      <c r="CI878"/>
      <c r="CJ878"/>
      <c r="CK878"/>
      <c r="CL878"/>
      <c r="CM878"/>
      <c r="CN878"/>
      <c r="CO878"/>
      <c r="CP878"/>
      <c r="CQ878"/>
      <c r="CR878"/>
      <c r="CS878"/>
    </row>
    <row r="879" spans="2:97">
      <c r="B879"/>
      <c r="C879" s="15"/>
      <c r="D879" s="23"/>
      <c r="E879" s="23"/>
      <c r="F879" s="23"/>
      <c r="G879" s="23">
        <f t="shared" si="63"/>
        <v>0</v>
      </c>
      <c r="H879" s="23" t="e" cm="1">
        <f t="array" ref="H879">INDEX('GLOBAL LOG'!#REF!,ROW()-169+15)</f>
        <v>#REF!</v>
      </c>
      <c r="I879" s="23" t="e">
        <f>_xlfn.XLOOKUP(H879,#REF!,#REF!,"",0,1)</f>
        <v>#REF!</v>
      </c>
      <c r="J879" s="23" t="str">
        <f>IFERROR(I879*#REF!,"")</f>
        <v/>
      </c>
      <c r="K879" s="23" t="e" cm="1">
        <f t="array" ref="K879">INDEX('GLOBAL LOG'!#REF!,ROW()-169+15)</f>
        <v>#REF!</v>
      </c>
      <c r="L879" s="23" t="e">
        <f>_xlfn.XLOOKUP(K879,#REF!,#REF!,"",0,1)</f>
        <v>#REF!</v>
      </c>
      <c r="M879" s="23" t="str">
        <f>IFERROR(L879*#REF!,"")</f>
        <v/>
      </c>
      <c r="N879" s="23">
        <f t="shared" si="64"/>
        <v>-1</v>
      </c>
      <c r="O879" s="23">
        <f t="shared" si="65"/>
        <v>-1</v>
      </c>
      <c r="P879" s="23">
        <f t="shared" si="66"/>
        <v>-1</v>
      </c>
      <c r="Q879" s="24">
        <f t="shared" si="67"/>
        <v>-1</v>
      </c>
      <c r="R879" s="3"/>
      <c r="S879" s="1">
        <v>0</v>
      </c>
      <c r="T879" s="24">
        <v>-1</v>
      </c>
      <c r="U879"/>
      <c r="V879" s="1">
        <v>0</v>
      </c>
      <c r="W879" s="24">
        <v>-1</v>
      </c>
      <c r="X879"/>
      <c r="Y879" s="1">
        <v>0</v>
      </c>
      <c r="Z879" s="24">
        <v>-1</v>
      </c>
      <c r="AA879"/>
      <c r="AB879" s="1">
        <v>0</v>
      </c>
      <c r="AC879" s="24">
        <v>-1</v>
      </c>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c r="CA879"/>
      <c r="CB879"/>
      <c r="CC879"/>
      <c r="CD879"/>
      <c r="CE879"/>
      <c r="CF879"/>
      <c r="CG879"/>
      <c r="CH879"/>
      <c r="CI879"/>
      <c r="CJ879"/>
      <c r="CK879"/>
      <c r="CL879"/>
      <c r="CM879"/>
      <c r="CN879"/>
      <c r="CO879"/>
      <c r="CP879"/>
      <c r="CQ879"/>
      <c r="CR879"/>
      <c r="CS879"/>
    </row>
    <row r="880" spans="2:97">
      <c r="B880"/>
      <c r="C880" s="15"/>
      <c r="D880" s="23"/>
      <c r="E880" s="23"/>
      <c r="F880" s="23"/>
      <c r="G880" s="23">
        <f t="shared" si="63"/>
        <v>0</v>
      </c>
      <c r="H880" s="23" t="e" cm="1">
        <f t="array" ref="H880">INDEX('GLOBAL LOG'!#REF!,ROW()-169+15)</f>
        <v>#REF!</v>
      </c>
      <c r="I880" s="23" t="e">
        <f>_xlfn.XLOOKUP(H880,#REF!,#REF!,"",0,1)</f>
        <v>#REF!</v>
      </c>
      <c r="J880" s="23" t="str">
        <f>IFERROR(I880*#REF!,"")</f>
        <v/>
      </c>
      <c r="K880" s="23" t="e" cm="1">
        <f t="array" ref="K880">INDEX('GLOBAL LOG'!#REF!,ROW()-169+15)</f>
        <v>#REF!</v>
      </c>
      <c r="L880" s="23" t="e">
        <f>_xlfn.XLOOKUP(K880,#REF!,#REF!,"",0,1)</f>
        <v>#REF!</v>
      </c>
      <c r="M880" s="23" t="str">
        <f>IFERROR(L880*#REF!,"")</f>
        <v/>
      </c>
      <c r="N880" s="23">
        <f t="shared" si="64"/>
        <v>-1</v>
      </c>
      <c r="O880" s="23">
        <f t="shared" si="65"/>
        <v>-1</v>
      </c>
      <c r="P880" s="23">
        <f t="shared" si="66"/>
        <v>-1</v>
      </c>
      <c r="Q880" s="24">
        <f t="shared" si="67"/>
        <v>-1</v>
      </c>
      <c r="R880" s="3"/>
      <c r="S880" s="1">
        <v>0</v>
      </c>
      <c r="T880" s="24">
        <v>-1</v>
      </c>
      <c r="U880"/>
      <c r="V880" s="1">
        <v>0</v>
      </c>
      <c r="W880" s="24">
        <v>-1</v>
      </c>
      <c r="X880"/>
      <c r="Y880" s="1">
        <v>0</v>
      </c>
      <c r="Z880" s="24">
        <v>-1</v>
      </c>
      <c r="AA880"/>
      <c r="AB880" s="1">
        <v>0</v>
      </c>
      <c r="AC880" s="24">
        <v>-1</v>
      </c>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c r="CA880"/>
      <c r="CB880"/>
      <c r="CC880"/>
      <c r="CD880"/>
      <c r="CE880"/>
      <c r="CF880"/>
      <c r="CG880"/>
      <c r="CH880"/>
      <c r="CI880"/>
      <c r="CJ880"/>
      <c r="CK880"/>
      <c r="CL880"/>
      <c r="CM880"/>
      <c r="CN880"/>
      <c r="CO880"/>
      <c r="CP880"/>
      <c r="CQ880"/>
      <c r="CR880"/>
      <c r="CS880"/>
    </row>
    <row r="881" spans="2:97">
      <c r="B881"/>
      <c r="C881" s="15"/>
      <c r="D881" s="23"/>
      <c r="E881" s="23"/>
      <c r="F881" s="23"/>
      <c r="G881" s="23">
        <f t="shared" si="63"/>
        <v>0</v>
      </c>
      <c r="H881" s="23" t="e" cm="1">
        <f t="array" ref="H881">INDEX('GLOBAL LOG'!#REF!,ROW()-169+15)</f>
        <v>#REF!</v>
      </c>
      <c r="I881" s="23" t="e">
        <f>_xlfn.XLOOKUP(H881,#REF!,#REF!,"",0,1)</f>
        <v>#REF!</v>
      </c>
      <c r="J881" s="23" t="str">
        <f>IFERROR(I881*#REF!,"")</f>
        <v/>
      </c>
      <c r="K881" s="23" t="e" cm="1">
        <f t="array" ref="K881">INDEX('GLOBAL LOG'!#REF!,ROW()-169+15)</f>
        <v>#REF!</v>
      </c>
      <c r="L881" s="23" t="e">
        <f>_xlfn.XLOOKUP(K881,#REF!,#REF!,"",0,1)</f>
        <v>#REF!</v>
      </c>
      <c r="M881" s="23" t="str">
        <f>IFERROR(L881*#REF!,"")</f>
        <v/>
      </c>
      <c r="N881" s="23">
        <f t="shared" si="64"/>
        <v>-1</v>
      </c>
      <c r="O881" s="23">
        <f t="shared" si="65"/>
        <v>-1</v>
      </c>
      <c r="P881" s="23">
        <f t="shared" si="66"/>
        <v>-1</v>
      </c>
      <c r="Q881" s="24">
        <f t="shared" si="67"/>
        <v>-1</v>
      </c>
      <c r="R881" s="3"/>
      <c r="S881" s="1">
        <v>0</v>
      </c>
      <c r="T881" s="24">
        <v>-1</v>
      </c>
      <c r="U881"/>
      <c r="V881" s="1">
        <v>0</v>
      </c>
      <c r="W881" s="24">
        <v>-1</v>
      </c>
      <c r="X881"/>
      <c r="Y881" s="1">
        <v>0</v>
      </c>
      <c r="Z881" s="24">
        <v>-1</v>
      </c>
      <c r="AA881"/>
      <c r="AB881" s="1">
        <v>0</v>
      </c>
      <c r="AC881" s="24">
        <v>-1</v>
      </c>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c r="CA881"/>
      <c r="CB881"/>
      <c r="CC881"/>
      <c r="CD881"/>
      <c r="CE881"/>
      <c r="CF881"/>
      <c r="CG881"/>
      <c r="CH881"/>
      <c r="CI881"/>
      <c r="CJ881"/>
      <c r="CK881"/>
      <c r="CL881"/>
      <c r="CM881"/>
      <c r="CN881"/>
      <c r="CO881"/>
      <c r="CP881"/>
      <c r="CQ881"/>
      <c r="CR881"/>
      <c r="CS881"/>
    </row>
    <row r="882" spans="2:97">
      <c r="B882"/>
      <c r="C882" s="15"/>
      <c r="D882" s="23"/>
      <c r="E882" s="23"/>
      <c r="F882" s="23"/>
      <c r="G882" s="23">
        <f t="shared" si="63"/>
        <v>0</v>
      </c>
      <c r="H882" s="23" t="e" cm="1">
        <f t="array" ref="H882">INDEX('GLOBAL LOG'!#REF!,ROW()-169+15)</f>
        <v>#REF!</v>
      </c>
      <c r="I882" s="23" t="e">
        <f>_xlfn.XLOOKUP(H882,#REF!,#REF!,"",0,1)</f>
        <v>#REF!</v>
      </c>
      <c r="J882" s="23" t="str">
        <f>IFERROR(I882*#REF!,"")</f>
        <v/>
      </c>
      <c r="K882" s="23" t="e" cm="1">
        <f t="array" ref="K882">INDEX('GLOBAL LOG'!#REF!,ROW()-169+15)</f>
        <v>#REF!</v>
      </c>
      <c r="L882" s="23" t="e">
        <f>_xlfn.XLOOKUP(K882,#REF!,#REF!,"",0,1)</f>
        <v>#REF!</v>
      </c>
      <c r="M882" s="23" t="str">
        <f>IFERROR(L882*#REF!,"")</f>
        <v/>
      </c>
      <c r="N882" s="23">
        <f t="shared" si="64"/>
        <v>-1</v>
      </c>
      <c r="O882" s="23">
        <f t="shared" si="65"/>
        <v>-1</v>
      </c>
      <c r="P882" s="23">
        <f t="shared" si="66"/>
        <v>-1</v>
      </c>
      <c r="Q882" s="24">
        <f t="shared" si="67"/>
        <v>-1</v>
      </c>
      <c r="R882" s="3"/>
      <c r="S882" s="1">
        <v>0</v>
      </c>
      <c r="T882" s="24">
        <v>-1</v>
      </c>
      <c r="U882"/>
      <c r="V882" s="1">
        <v>0</v>
      </c>
      <c r="W882" s="24">
        <v>-1</v>
      </c>
      <c r="X882"/>
      <c r="Y882" s="1">
        <v>0</v>
      </c>
      <c r="Z882" s="24">
        <v>-1</v>
      </c>
      <c r="AA882"/>
      <c r="AB882" s="1">
        <v>0</v>
      </c>
      <c r="AC882" s="24">
        <v>-1</v>
      </c>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c r="CA882"/>
      <c r="CB882"/>
      <c r="CC882"/>
      <c r="CD882"/>
      <c r="CE882"/>
      <c r="CF882"/>
      <c r="CG882"/>
      <c r="CH882"/>
      <c r="CI882"/>
      <c r="CJ882"/>
      <c r="CK882"/>
      <c r="CL882"/>
      <c r="CM882"/>
      <c r="CN882"/>
      <c r="CO882"/>
      <c r="CP882"/>
      <c r="CQ882"/>
      <c r="CR882"/>
      <c r="CS882"/>
    </row>
    <row r="883" spans="2:97">
      <c r="B883"/>
      <c r="C883" s="15"/>
      <c r="D883" s="23"/>
      <c r="E883" s="23"/>
      <c r="F883" s="23"/>
      <c r="G883" s="23">
        <f t="shared" si="63"/>
        <v>0</v>
      </c>
      <c r="H883" s="23" t="e" cm="1">
        <f t="array" ref="H883">INDEX('GLOBAL LOG'!#REF!,ROW()-169+15)</f>
        <v>#REF!</v>
      </c>
      <c r="I883" s="23" t="e">
        <f>_xlfn.XLOOKUP(H883,#REF!,#REF!,"",0,1)</f>
        <v>#REF!</v>
      </c>
      <c r="J883" s="23" t="str">
        <f>IFERROR(I883*#REF!,"")</f>
        <v/>
      </c>
      <c r="K883" s="23" t="e" cm="1">
        <f t="array" ref="K883">INDEX('GLOBAL LOG'!#REF!,ROW()-169+15)</f>
        <v>#REF!</v>
      </c>
      <c r="L883" s="23" t="e">
        <f>_xlfn.XLOOKUP(K883,#REF!,#REF!,"",0,1)</f>
        <v>#REF!</v>
      </c>
      <c r="M883" s="23" t="str">
        <f>IFERROR(L883*#REF!,"")</f>
        <v/>
      </c>
      <c r="N883" s="23">
        <f t="shared" si="64"/>
        <v>-1</v>
      </c>
      <c r="O883" s="23">
        <f t="shared" si="65"/>
        <v>-1</v>
      </c>
      <c r="P883" s="23">
        <f t="shared" si="66"/>
        <v>-1</v>
      </c>
      <c r="Q883" s="24">
        <f t="shared" si="67"/>
        <v>-1</v>
      </c>
      <c r="R883" s="3"/>
      <c r="S883" s="1">
        <v>0</v>
      </c>
      <c r="T883" s="24">
        <v>-1</v>
      </c>
      <c r="U883"/>
      <c r="V883" s="1">
        <v>0</v>
      </c>
      <c r="W883" s="24">
        <v>-1</v>
      </c>
      <c r="X883"/>
      <c r="Y883" s="1">
        <v>0</v>
      </c>
      <c r="Z883" s="24">
        <v>-1</v>
      </c>
      <c r="AA883"/>
      <c r="AB883" s="1">
        <v>0</v>
      </c>
      <c r="AC883" s="24">
        <v>-1</v>
      </c>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c r="CA883"/>
      <c r="CB883"/>
      <c r="CC883"/>
      <c r="CD883"/>
      <c r="CE883"/>
      <c r="CF883"/>
      <c r="CG883"/>
      <c r="CH883"/>
      <c r="CI883"/>
      <c r="CJ883"/>
      <c r="CK883"/>
      <c r="CL883"/>
      <c r="CM883"/>
      <c r="CN883"/>
      <c r="CO883"/>
      <c r="CP883"/>
      <c r="CQ883"/>
      <c r="CR883"/>
      <c r="CS883"/>
    </row>
    <row r="884" spans="2:97">
      <c r="B884"/>
      <c r="C884" s="15"/>
      <c r="D884" s="23"/>
      <c r="E884" s="23"/>
      <c r="F884" s="23"/>
      <c r="G884" s="23">
        <f t="shared" si="63"/>
        <v>0</v>
      </c>
      <c r="H884" s="23" t="e" cm="1">
        <f t="array" ref="H884">INDEX('GLOBAL LOG'!#REF!,ROW()-169+15)</f>
        <v>#REF!</v>
      </c>
      <c r="I884" s="23" t="e">
        <f>_xlfn.XLOOKUP(H884,#REF!,#REF!,"",0,1)</f>
        <v>#REF!</v>
      </c>
      <c r="J884" s="23" t="str">
        <f>IFERROR(I884*#REF!,"")</f>
        <v/>
      </c>
      <c r="K884" s="23" t="e" cm="1">
        <f t="array" ref="K884">INDEX('GLOBAL LOG'!#REF!,ROW()-169+15)</f>
        <v>#REF!</v>
      </c>
      <c r="L884" s="23" t="e">
        <f>_xlfn.XLOOKUP(K884,#REF!,#REF!,"",0,1)</f>
        <v>#REF!</v>
      </c>
      <c r="M884" s="23" t="str">
        <f>IFERROR(L884*#REF!,"")</f>
        <v/>
      </c>
      <c r="N884" s="23">
        <f t="shared" si="64"/>
        <v>-1</v>
      </c>
      <c r="O884" s="23">
        <f t="shared" si="65"/>
        <v>-1</v>
      </c>
      <c r="P884" s="23">
        <f t="shared" si="66"/>
        <v>-1</v>
      </c>
      <c r="Q884" s="24">
        <f t="shared" si="67"/>
        <v>-1</v>
      </c>
      <c r="R884" s="3"/>
      <c r="S884" s="1">
        <v>0</v>
      </c>
      <c r="T884" s="24">
        <v>-1</v>
      </c>
      <c r="U884"/>
      <c r="V884" s="1">
        <v>0</v>
      </c>
      <c r="W884" s="24">
        <v>-1</v>
      </c>
      <c r="X884"/>
      <c r="Y884" s="1">
        <v>0</v>
      </c>
      <c r="Z884" s="24">
        <v>-1</v>
      </c>
      <c r="AA884"/>
      <c r="AB884" s="1">
        <v>0</v>
      </c>
      <c r="AC884" s="24">
        <v>-1</v>
      </c>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c r="CA884"/>
      <c r="CB884"/>
      <c r="CC884"/>
      <c r="CD884"/>
      <c r="CE884"/>
      <c r="CF884"/>
      <c r="CG884"/>
      <c r="CH884"/>
      <c r="CI884"/>
      <c r="CJ884"/>
      <c r="CK884"/>
      <c r="CL884"/>
      <c r="CM884"/>
      <c r="CN884"/>
      <c r="CO884"/>
      <c r="CP884"/>
      <c r="CQ884"/>
      <c r="CR884"/>
      <c r="CS884"/>
    </row>
    <row r="885" spans="2:97">
      <c r="B885"/>
      <c r="C885" s="15"/>
      <c r="D885" s="23"/>
      <c r="E885" s="23"/>
      <c r="F885" s="23"/>
      <c r="G885" s="23">
        <f t="shared" si="63"/>
        <v>0</v>
      </c>
      <c r="H885" s="23" t="e" cm="1">
        <f t="array" ref="H885">INDEX('GLOBAL LOG'!#REF!,ROW()-169+15)</f>
        <v>#REF!</v>
      </c>
      <c r="I885" s="23" t="e">
        <f>_xlfn.XLOOKUP(H885,#REF!,#REF!,"",0,1)</f>
        <v>#REF!</v>
      </c>
      <c r="J885" s="23" t="str">
        <f>IFERROR(I885*#REF!,"")</f>
        <v/>
      </c>
      <c r="K885" s="23" t="e" cm="1">
        <f t="array" ref="K885">INDEX('GLOBAL LOG'!#REF!,ROW()-169+15)</f>
        <v>#REF!</v>
      </c>
      <c r="L885" s="23" t="e">
        <f>_xlfn.XLOOKUP(K885,#REF!,#REF!,"",0,1)</f>
        <v>#REF!</v>
      </c>
      <c r="M885" s="23" t="str">
        <f>IFERROR(L885*#REF!,"")</f>
        <v/>
      </c>
      <c r="N885" s="23">
        <f t="shared" si="64"/>
        <v>-1</v>
      </c>
      <c r="O885" s="23">
        <f t="shared" si="65"/>
        <v>-1</v>
      </c>
      <c r="P885" s="23">
        <f t="shared" si="66"/>
        <v>-1</v>
      </c>
      <c r="Q885" s="24">
        <f t="shared" si="67"/>
        <v>-1</v>
      </c>
      <c r="R885" s="3"/>
      <c r="S885" s="1">
        <v>0</v>
      </c>
      <c r="T885" s="24">
        <v>-1</v>
      </c>
      <c r="U885"/>
      <c r="V885" s="1">
        <v>0</v>
      </c>
      <c r="W885" s="24">
        <v>-1</v>
      </c>
      <c r="X885"/>
      <c r="Y885" s="1">
        <v>0</v>
      </c>
      <c r="Z885" s="24">
        <v>-1</v>
      </c>
      <c r="AA885"/>
      <c r="AB885" s="1">
        <v>0</v>
      </c>
      <c r="AC885" s="24">
        <v>-1</v>
      </c>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c r="CA885"/>
      <c r="CB885"/>
      <c r="CC885"/>
      <c r="CD885"/>
      <c r="CE885"/>
      <c r="CF885"/>
      <c r="CG885"/>
      <c r="CH885"/>
      <c r="CI885"/>
      <c r="CJ885"/>
      <c r="CK885"/>
      <c r="CL885"/>
      <c r="CM885"/>
      <c r="CN885"/>
      <c r="CO885"/>
      <c r="CP885"/>
      <c r="CQ885"/>
      <c r="CR885"/>
      <c r="CS885"/>
    </row>
    <row r="886" spans="2:97">
      <c r="B886"/>
      <c r="C886" s="15"/>
      <c r="D886" s="23"/>
      <c r="E886" s="23"/>
      <c r="F886" s="23"/>
      <c r="G886" s="23">
        <f t="shared" si="63"/>
        <v>0</v>
      </c>
      <c r="H886" s="23" t="e" cm="1">
        <f t="array" ref="H886">INDEX('GLOBAL LOG'!#REF!,ROW()-169+15)</f>
        <v>#REF!</v>
      </c>
      <c r="I886" s="23" t="e">
        <f>_xlfn.XLOOKUP(H886,#REF!,#REF!,"",0,1)</f>
        <v>#REF!</v>
      </c>
      <c r="J886" s="23" t="str">
        <f>IFERROR(I886*#REF!,"")</f>
        <v/>
      </c>
      <c r="K886" s="23" t="e" cm="1">
        <f t="array" ref="K886">INDEX('GLOBAL LOG'!#REF!,ROW()-169+15)</f>
        <v>#REF!</v>
      </c>
      <c r="L886" s="23" t="e">
        <f>_xlfn.XLOOKUP(K886,#REF!,#REF!,"",0,1)</f>
        <v>#REF!</v>
      </c>
      <c r="M886" s="23" t="str">
        <f>IFERROR(L886*#REF!,"")</f>
        <v/>
      </c>
      <c r="N886" s="23">
        <f t="shared" si="64"/>
        <v>-1</v>
      </c>
      <c r="O886" s="23">
        <f t="shared" si="65"/>
        <v>-1</v>
      </c>
      <c r="P886" s="23">
        <f t="shared" si="66"/>
        <v>-1</v>
      </c>
      <c r="Q886" s="24">
        <f t="shared" si="67"/>
        <v>-1</v>
      </c>
      <c r="R886" s="3"/>
      <c r="S886" s="1">
        <v>0</v>
      </c>
      <c r="T886" s="24">
        <v>-1</v>
      </c>
      <c r="U886"/>
      <c r="V886" s="1">
        <v>0</v>
      </c>
      <c r="W886" s="24">
        <v>-1</v>
      </c>
      <c r="X886"/>
      <c r="Y886" s="1">
        <v>0</v>
      </c>
      <c r="Z886" s="24">
        <v>-1</v>
      </c>
      <c r="AA886"/>
      <c r="AB886" s="1">
        <v>0</v>
      </c>
      <c r="AC886" s="24">
        <v>-1</v>
      </c>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c r="CC886"/>
      <c r="CD886"/>
      <c r="CE886"/>
      <c r="CF886"/>
      <c r="CG886"/>
      <c r="CH886"/>
      <c r="CI886"/>
      <c r="CJ886"/>
      <c r="CK886"/>
      <c r="CL886"/>
      <c r="CM886"/>
      <c r="CN886"/>
      <c r="CO886"/>
      <c r="CP886"/>
      <c r="CQ886"/>
      <c r="CR886"/>
      <c r="CS886"/>
    </row>
    <row r="887" spans="2:97">
      <c r="B887"/>
      <c r="C887" s="15"/>
      <c r="D887" s="23"/>
      <c r="E887" s="23"/>
      <c r="F887" s="23"/>
      <c r="G887" s="23">
        <f t="shared" si="63"/>
        <v>0</v>
      </c>
      <c r="H887" s="23" t="e" cm="1">
        <f t="array" ref="H887">INDEX('GLOBAL LOG'!#REF!,ROW()-169+15)</f>
        <v>#REF!</v>
      </c>
      <c r="I887" s="23" t="e">
        <f>_xlfn.XLOOKUP(H887,#REF!,#REF!,"",0,1)</f>
        <v>#REF!</v>
      </c>
      <c r="J887" s="23" t="str">
        <f>IFERROR(I887*#REF!,"")</f>
        <v/>
      </c>
      <c r="K887" s="23" t="e" cm="1">
        <f t="array" ref="K887">INDEX('GLOBAL LOG'!#REF!,ROW()-169+15)</f>
        <v>#REF!</v>
      </c>
      <c r="L887" s="23" t="e">
        <f>_xlfn.XLOOKUP(K887,#REF!,#REF!,"",0,1)</f>
        <v>#REF!</v>
      </c>
      <c r="M887" s="23" t="str">
        <f>IFERROR(L887*#REF!,"")</f>
        <v/>
      </c>
      <c r="N887" s="23">
        <f t="shared" si="64"/>
        <v>-1</v>
      </c>
      <c r="O887" s="23">
        <f t="shared" si="65"/>
        <v>-1</v>
      </c>
      <c r="P887" s="23">
        <f t="shared" si="66"/>
        <v>-1</v>
      </c>
      <c r="Q887" s="24">
        <f t="shared" si="67"/>
        <v>-1</v>
      </c>
      <c r="R887" s="3"/>
      <c r="S887" s="1">
        <v>0</v>
      </c>
      <c r="T887" s="24">
        <v>-1</v>
      </c>
      <c r="U887"/>
      <c r="V887" s="1">
        <v>0</v>
      </c>
      <c r="W887" s="24">
        <v>-1</v>
      </c>
      <c r="X887"/>
      <c r="Y887" s="1">
        <v>0</v>
      </c>
      <c r="Z887" s="24">
        <v>-1</v>
      </c>
      <c r="AA887"/>
      <c r="AB887" s="1">
        <v>0</v>
      </c>
      <c r="AC887" s="24">
        <v>-1</v>
      </c>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c r="CA887"/>
      <c r="CB887"/>
      <c r="CC887"/>
      <c r="CD887"/>
      <c r="CE887"/>
      <c r="CF887"/>
      <c r="CG887"/>
      <c r="CH887"/>
      <c r="CI887"/>
      <c r="CJ887"/>
      <c r="CK887"/>
      <c r="CL887"/>
      <c r="CM887"/>
      <c r="CN887"/>
      <c r="CO887"/>
      <c r="CP887"/>
      <c r="CQ887"/>
      <c r="CR887"/>
      <c r="CS887"/>
    </row>
    <row r="888" spans="2:97">
      <c r="B888"/>
      <c r="C888" s="15"/>
      <c r="D888" s="23"/>
      <c r="E888" s="23"/>
      <c r="F888" s="23"/>
      <c r="G888" s="23">
        <f t="shared" si="63"/>
        <v>0</v>
      </c>
      <c r="H888" s="23" t="e" cm="1">
        <f t="array" ref="H888">INDEX('GLOBAL LOG'!#REF!,ROW()-169+15)</f>
        <v>#REF!</v>
      </c>
      <c r="I888" s="23" t="e">
        <f>_xlfn.XLOOKUP(H888,#REF!,#REF!,"",0,1)</f>
        <v>#REF!</v>
      </c>
      <c r="J888" s="23" t="str">
        <f>IFERROR(I888*#REF!,"")</f>
        <v/>
      </c>
      <c r="K888" s="23" t="e" cm="1">
        <f t="array" ref="K888">INDEX('GLOBAL LOG'!#REF!,ROW()-169+15)</f>
        <v>#REF!</v>
      </c>
      <c r="L888" s="23" t="e">
        <f>_xlfn.XLOOKUP(K888,#REF!,#REF!,"",0,1)</f>
        <v>#REF!</v>
      </c>
      <c r="M888" s="23" t="str">
        <f>IFERROR(L888*#REF!,"")</f>
        <v/>
      </c>
      <c r="N888" s="23">
        <f t="shared" si="64"/>
        <v>-1</v>
      </c>
      <c r="O888" s="23">
        <f t="shared" si="65"/>
        <v>-1</v>
      </c>
      <c r="P888" s="23">
        <f t="shared" si="66"/>
        <v>-1</v>
      </c>
      <c r="Q888" s="24">
        <f t="shared" si="67"/>
        <v>-1</v>
      </c>
      <c r="R888" s="3"/>
      <c r="S888" s="1">
        <v>0</v>
      </c>
      <c r="T888" s="24">
        <v>-1</v>
      </c>
      <c r="U888"/>
      <c r="V888" s="1">
        <v>0</v>
      </c>
      <c r="W888" s="24">
        <v>-1</v>
      </c>
      <c r="X888"/>
      <c r="Y888" s="1">
        <v>0</v>
      </c>
      <c r="Z888" s="24">
        <v>-1</v>
      </c>
      <c r="AA888"/>
      <c r="AB888" s="1">
        <v>0</v>
      </c>
      <c r="AC888" s="24">
        <v>-1</v>
      </c>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c r="CA888"/>
      <c r="CB888"/>
      <c r="CC888"/>
      <c r="CD888"/>
      <c r="CE888"/>
      <c r="CF888"/>
      <c r="CG888"/>
      <c r="CH888"/>
      <c r="CI888"/>
      <c r="CJ888"/>
      <c r="CK888"/>
      <c r="CL888"/>
      <c r="CM888"/>
      <c r="CN888"/>
      <c r="CO888"/>
      <c r="CP888"/>
      <c r="CQ888"/>
      <c r="CR888"/>
      <c r="CS888"/>
    </row>
    <row r="889" spans="2:97">
      <c r="B889"/>
      <c r="C889" s="15"/>
      <c r="D889" s="23"/>
      <c r="E889" s="23"/>
      <c r="F889" s="23"/>
      <c r="G889" s="23">
        <f t="shared" si="63"/>
        <v>0</v>
      </c>
      <c r="H889" s="23" t="e" cm="1">
        <f t="array" ref="H889">INDEX('GLOBAL LOG'!#REF!,ROW()-169+15)</f>
        <v>#REF!</v>
      </c>
      <c r="I889" s="23" t="e">
        <f>_xlfn.XLOOKUP(H889,#REF!,#REF!,"",0,1)</f>
        <v>#REF!</v>
      </c>
      <c r="J889" s="23" t="str">
        <f>IFERROR(I889*#REF!,"")</f>
        <v/>
      </c>
      <c r="K889" s="23" t="e" cm="1">
        <f t="array" ref="K889">INDEX('GLOBAL LOG'!#REF!,ROW()-169+15)</f>
        <v>#REF!</v>
      </c>
      <c r="L889" s="23" t="e">
        <f>_xlfn.XLOOKUP(K889,#REF!,#REF!,"",0,1)</f>
        <v>#REF!</v>
      </c>
      <c r="M889" s="23" t="str">
        <f>IFERROR(L889*#REF!,"")</f>
        <v/>
      </c>
      <c r="N889" s="23">
        <f t="shared" si="64"/>
        <v>-1</v>
      </c>
      <c r="O889" s="23">
        <f t="shared" si="65"/>
        <v>-1</v>
      </c>
      <c r="P889" s="23">
        <f t="shared" si="66"/>
        <v>-1</v>
      </c>
      <c r="Q889" s="24">
        <f t="shared" si="67"/>
        <v>-1</v>
      </c>
      <c r="R889" s="3"/>
      <c r="S889" s="1">
        <v>0</v>
      </c>
      <c r="T889" s="24">
        <v>-1</v>
      </c>
      <c r="U889"/>
      <c r="V889" s="1">
        <v>0</v>
      </c>
      <c r="W889" s="24">
        <v>-1</v>
      </c>
      <c r="X889"/>
      <c r="Y889" s="1">
        <v>0</v>
      </c>
      <c r="Z889" s="24">
        <v>-1</v>
      </c>
      <c r="AA889"/>
      <c r="AB889" s="1">
        <v>0</v>
      </c>
      <c r="AC889" s="24">
        <v>-1</v>
      </c>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c r="CA889"/>
      <c r="CB889"/>
      <c r="CC889"/>
      <c r="CD889"/>
      <c r="CE889"/>
      <c r="CF889"/>
      <c r="CG889"/>
      <c r="CH889"/>
      <c r="CI889"/>
      <c r="CJ889"/>
      <c r="CK889"/>
      <c r="CL889"/>
      <c r="CM889"/>
      <c r="CN889"/>
      <c r="CO889"/>
      <c r="CP889"/>
      <c r="CQ889"/>
      <c r="CR889"/>
      <c r="CS889"/>
    </row>
    <row r="890" spans="2:97">
      <c r="B890"/>
      <c r="C890" s="15"/>
      <c r="D890" s="23"/>
      <c r="E890" s="23"/>
      <c r="F890" s="23"/>
      <c r="G890" s="23">
        <f t="shared" si="63"/>
        <v>0</v>
      </c>
      <c r="H890" s="23" t="e" cm="1">
        <f t="array" ref="H890">INDEX('GLOBAL LOG'!#REF!,ROW()-169+15)</f>
        <v>#REF!</v>
      </c>
      <c r="I890" s="23" t="e">
        <f>_xlfn.XLOOKUP(H890,#REF!,#REF!,"",0,1)</f>
        <v>#REF!</v>
      </c>
      <c r="J890" s="23" t="str">
        <f>IFERROR(I890*#REF!,"")</f>
        <v/>
      </c>
      <c r="K890" s="23" t="e" cm="1">
        <f t="array" ref="K890">INDEX('GLOBAL LOG'!#REF!,ROW()-169+15)</f>
        <v>#REF!</v>
      </c>
      <c r="L890" s="23" t="e">
        <f>_xlfn.XLOOKUP(K890,#REF!,#REF!,"",0,1)</f>
        <v>#REF!</v>
      </c>
      <c r="M890" s="23" t="str">
        <f>IFERROR(L890*#REF!,"")</f>
        <v/>
      </c>
      <c r="N890" s="23">
        <f t="shared" si="64"/>
        <v>-1</v>
      </c>
      <c r="O890" s="23">
        <f t="shared" si="65"/>
        <v>-1</v>
      </c>
      <c r="P890" s="23">
        <f t="shared" si="66"/>
        <v>-1</v>
      </c>
      <c r="Q890" s="24">
        <f t="shared" si="67"/>
        <v>-1</v>
      </c>
      <c r="R890" s="3"/>
      <c r="S890" s="1">
        <v>0</v>
      </c>
      <c r="T890" s="24">
        <v>-1</v>
      </c>
      <c r="U890"/>
      <c r="V890" s="1">
        <v>0</v>
      </c>
      <c r="W890" s="24">
        <v>-1</v>
      </c>
      <c r="X890"/>
      <c r="Y890" s="1">
        <v>0</v>
      </c>
      <c r="Z890" s="24">
        <v>-1</v>
      </c>
      <c r="AA890"/>
      <c r="AB890" s="1">
        <v>0</v>
      </c>
      <c r="AC890" s="24">
        <v>-1</v>
      </c>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c r="CA890"/>
      <c r="CB890"/>
      <c r="CC890"/>
      <c r="CD890"/>
      <c r="CE890"/>
      <c r="CF890"/>
      <c r="CG890"/>
      <c r="CH890"/>
      <c r="CI890"/>
      <c r="CJ890"/>
      <c r="CK890"/>
      <c r="CL890"/>
      <c r="CM890"/>
      <c r="CN890"/>
      <c r="CO890"/>
      <c r="CP890"/>
      <c r="CQ890"/>
      <c r="CR890"/>
      <c r="CS890"/>
    </row>
    <row r="891" spans="2:97">
      <c r="B891"/>
      <c r="C891" s="15"/>
      <c r="D891" s="23"/>
      <c r="E891" s="23"/>
      <c r="F891" s="23"/>
      <c r="G891" s="23">
        <f t="shared" si="63"/>
        <v>0</v>
      </c>
      <c r="H891" s="23" t="e" cm="1">
        <f t="array" ref="H891">INDEX('GLOBAL LOG'!#REF!,ROW()-169+15)</f>
        <v>#REF!</v>
      </c>
      <c r="I891" s="23" t="e">
        <f>_xlfn.XLOOKUP(H891,#REF!,#REF!,"",0,1)</f>
        <v>#REF!</v>
      </c>
      <c r="J891" s="23" t="str">
        <f>IFERROR(I891*#REF!,"")</f>
        <v/>
      </c>
      <c r="K891" s="23" t="e" cm="1">
        <f t="array" ref="K891">INDEX('GLOBAL LOG'!#REF!,ROW()-169+15)</f>
        <v>#REF!</v>
      </c>
      <c r="L891" s="23" t="e">
        <f>_xlfn.XLOOKUP(K891,#REF!,#REF!,"",0,1)</f>
        <v>#REF!</v>
      </c>
      <c r="M891" s="23" t="str">
        <f>IFERROR(L891*#REF!,"")</f>
        <v/>
      </c>
      <c r="N891" s="23">
        <f t="shared" si="64"/>
        <v>-1</v>
      </c>
      <c r="O891" s="23">
        <f t="shared" si="65"/>
        <v>-1</v>
      </c>
      <c r="P891" s="23">
        <f t="shared" si="66"/>
        <v>-1</v>
      </c>
      <c r="Q891" s="24">
        <f t="shared" si="67"/>
        <v>-1</v>
      </c>
      <c r="R891" s="3"/>
      <c r="S891" s="1">
        <v>0</v>
      </c>
      <c r="T891" s="24">
        <v>-1</v>
      </c>
      <c r="U891"/>
      <c r="V891" s="1">
        <v>0</v>
      </c>
      <c r="W891" s="24">
        <v>-1</v>
      </c>
      <c r="X891"/>
      <c r="Y891" s="1">
        <v>0</v>
      </c>
      <c r="Z891" s="24">
        <v>-1</v>
      </c>
      <c r="AA891"/>
      <c r="AB891" s="1">
        <v>0</v>
      </c>
      <c r="AC891" s="24">
        <v>-1</v>
      </c>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c r="CA891"/>
      <c r="CB891"/>
      <c r="CC891"/>
      <c r="CD891"/>
      <c r="CE891"/>
      <c r="CF891"/>
      <c r="CG891"/>
      <c r="CH891"/>
      <c r="CI891"/>
      <c r="CJ891"/>
      <c r="CK891"/>
      <c r="CL891"/>
      <c r="CM891"/>
      <c r="CN891"/>
      <c r="CO891"/>
      <c r="CP891"/>
      <c r="CQ891"/>
      <c r="CR891"/>
      <c r="CS891"/>
    </row>
    <row r="892" spans="2:97">
      <c r="B892"/>
      <c r="C892" s="15"/>
      <c r="D892" s="23"/>
      <c r="E892" s="23"/>
      <c r="F892" s="23"/>
      <c r="G892" s="23">
        <f t="shared" si="63"/>
        <v>0</v>
      </c>
      <c r="H892" s="23" t="e" cm="1">
        <f t="array" ref="H892">INDEX('GLOBAL LOG'!#REF!,ROW()-169+15)</f>
        <v>#REF!</v>
      </c>
      <c r="I892" s="23" t="e">
        <f>_xlfn.XLOOKUP(H892,#REF!,#REF!,"",0,1)</f>
        <v>#REF!</v>
      </c>
      <c r="J892" s="23" t="str">
        <f>IFERROR(I892*#REF!,"")</f>
        <v/>
      </c>
      <c r="K892" s="23" t="e" cm="1">
        <f t="array" ref="K892">INDEX('GLOBAL LOG'!#REF!,ROW()-169+15)</f>
        <v>#REF!</v>
      </c>
      <c r="L892" s="23" t="e">
        <f>_xlfn.XLOOKUP(K892,#REF!,#REF!,"",0,1)</f>
        <v>#REF!</v>
      </c>
      <c r="M892" s="23" t="str">
        <f>IFERROR(L892*#REF!,"")</f>
        <v/>
      </c>
      <c r="N892" s="23">
        <f t="shared" si="64"/>
        <v>-1</v>
      </c>
      <c r="O892" s="23">
        <f t="shared" si="65"/>
        <v>-1</v>
      </c>
      <c r="P892" s="23">
        <f t="shared" si="66"/>
        <v>-1</v>
      </c>
      <c r="Q892" s="24">
        <f t="shared" si="67"/>
        <v>-1</v>
      </c>
      <c r="R892" s="3"/>
      <c r="S892" s="1">
        <v>0</v>
      </c>
      <c r="T892" s="24">
        <v>-1</v>
      </c>
      <c r="U892"/>
      <c r="V892" s="1">
        <v>0</v>
      </c>
      <c r="W892" s="24">
        <v>-1</v>
      </c>
      <c r="X892"/>
      <c r="Y892" s="1">
        <v>0</v>
      </c>
      <c r="Z892" s="24">
        <v>-1</v>
      </c>
      <c r="AA892"/>
      <c r="AB892" s="1">
        <v>0</v>
      </c>
      <c r="AC892" s="24">
        <v>-1</v>
      </c>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c r="CA892"/>
      <c r="CB892"/>
      <c r="CC892"/>
      <c r="CD892"/>
      <c r="CE892"/>
      <c r="CF892"/>
      <c r="CG892"/>
      <c r="CH892"/>
      <c r="CI892"/>
      <c r="CJ892"/>
      <c r="CK892"/>
      <c r="CL892"/>
      <c r="CM892"/>
      <c r="CN892"/>
      <c r="CO892"/>
      <c r="CP892"/>
      <c r="CQ892"/>
      <c r="CR892"/>
      <c r="CS892"/>
    </row>
    <row r="893" spans="2:97">
      <c r="B893"/>
      <c r="C893" s="15"/>
      <c r="D893" s="23"/>
      <c r="E893" s="23"/>
      <c r="F893" s="23"/>
      <c r="G893" s="23">
        <f t="shared" si="63"/>
        <v>0</v>
      </c>
      <c r="H893" s="23" t="e" cm="1">
        <f t="array" ref="H893">INDEX('GLOBAL LOG'!#REF!,ROW()-169+15)</f>
        <v>#REF!</v>
      </c>
      <c r="I893" s="23" t="e">
        <f>_xlfn.XLOOKUP(H893,#REF!,#REF!,"",0,1)</f>
        <v>#REF!</v>
      </c>
      <c r="J893" s="23" t="str">
        <f>IFERROR(I893*#REF!,"")</f>
        <v/>
      </c>
      <c r="K893" s="23" t="e" cm="1">
        <f t="array" ref="K893">INDEX('GLOBAL LOG'!#REF!,ROW()-169+15)</f>
        <v>#REF!</v>
      </c>
      <c r="L893" s="23" t="e">
        <f>_xlfn.XLOOKUP(K893,#REF!,#REF!,"",0,1)</f>
        <v>#REF!</v>
      </c>
      <c r="M893" s="23" t="str">
        <f>IFERROR(L893*#REF!,"")</f>
        <v/>
      </c>
      <c r="N893" s="23">
        <f t="shared" si="64"/>
        <v>-1</v>
      </c>
      <c r="O893" s="23">
        <f t="shared" si="65"/>
        <v>-1</v>
      </c>
      <c r="P893" s="23">
        <f t="shared" si="66"/>
        <v>-1</v>
      </c>
      <c r="Q893" s="24">
        <f t="shared" si="67"/>
        <v>-1</v>
      </c>
      <c r="R893" s="3"/>
      <c r="S893" s="1">
        <v>0</v>
      </c>
      <c r="T893" s="24">
        <v>-1</v>
      </c>
      <c r="U893"/>
      <c r="V893" s="1">
        <v>0</v>
      </c>
      <c r="W893" s="24">
        <v>-1</v>
      </c>
      <c r="X893"/>
      <c r="Y893" s="1">
        <v>0</v>
      </c>
      <c r="Z893" s="24">
        <v>-1</v>
      </c>
      <c r="AA893"/>
      <c r="AB893" s="1">
        <v>0</v>
      </c>
      <c r="AC893" s="24">
        <v>-1</v>
      </c>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c r="CA893"/>
      <c r="CB893"/>
      <c r="CC893"/>
      <c r="CD893"/>
      <c r="CE893"/>
      <c r="CF893"/>
      <c r="CG893"/>
      <c r="CH893"/>
      <c r="CI893"/>
      <c r="CJ893"/>
      <c r="CK893"/>
      <c r="CL893"/>
      <c r="CM893"/>
      <c r="CN893"/>
      <c r="CO893"/>
      <c r="CP893"/>
      <c r="CQ893"/>
      <c r="CR893"/>
      <c r="CS893"/>
    </row>
    <row r="894" spans="2:97">
      <c r="B894"/>
      <c r="C894" s="15"/>
      <c r="D894" s="23"/>
      <c r="E894" s="23"/>
      <c r="F894" s="23"/>
      <c r="G894" s="23">
        <f t="shared" si="63"/>
        <v>0</v>
      </c>
      <c r="H894" s="23" t="e" cm="1">
        <f t="array" ref="H894">INDEX('GLOBAL LOG'!#REF!,ROW()-169+15)</f>
        <v>#REF!</v>
      </c>
      <c r="I894" s="23" t="e">
        <f>_xlfn.XLOOKUP(H894,#REF!,#REF!,"",0,1)</f>
        <v>#REF!</v>
      </c>
      <c r="J894" s="23" t="str">
        <f>IFERROR(I894*#REF!,"")</f>
        <v/>
      </c>
      <c r="K894" s="23" t="e" cm="1">
        <f t="array" ref="K894">INDEX('GLOBAL LOG'!#REF!,ROW()-169+15)</f>
        <v>#REF!</v>
      </c>
      <c r="L894" s="23" t="e">
        <f>_xlfn.XLOOKUP(K894,#REF!,#REF!,"",0,1)</f>
        <v>#REF!</v>
      </c>
      <c r="M894" s="23" t="str">
        <f>IFERROR(L894*#REF!,"")</f>
        <v/>
      </c>
      <c r="N894" s="23">
        <f t="shared" si="64"/>
        <v>-1</v>
      </c>
      <c r="O894" s="23">
        <f t="shared" si="65"/>
        <v>-1</v>
      </c>
      <c r="P894" s="23">
        <f t="shared" si="66"/>
        <v>-1</v>
      </c>
      <c r="Q894" s="24">
        <f t="shared" si="67"/>
        <v>-1</v>
      </c>
      <c r="R894" s="3"/>
      <c r="S894" s="1">
        <v>0</v>
      </c>
      <c r="T894" s="24">
        <v>-1</v>
      </c>
      <c r="U894"/>
      <c r="V894" s="1">
        <v>0</v>
      </c>
      <c r="W894" s="24">
        <v>-1</v>
      </c>
      <c r="X894"/>
      <c r="Y894" s="1">
        <v>0</v>
      </c>
      <c r="Z894" s="24">
        <v>-1</v>
      </c>
      <c r="AA894"/>
      <c r="AB894" s="1">
        <v>0</v>
      </c>
      <c r="AC894" s="24">
        <v>-1</v>
      </c>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c r="CA894"/>
      <c r="CB894"/>
      <c r="CC894"/>
      <c r="CD894"/>
      <c r="CE894"/>
      <c r="CF894"/>
      <c r="CG894"/>
      <c r="CH894"/>
      <c r="CI894"/>
      <c r="CJ894"/>
      <c r="CK894"/>
      <c r="CL894"/>
      <c r="CM894"/>
      <c r="CN894"/>
      <c r="CO894"/>
      <c r="CP894"/>
      <c r="CQ894"/>
      <c r="CR894"/>
      <c r="CS894"/>
    </row>
    <row r="895" spans="2:97">
      <c r="B895"/>
      <c r="C895" s="15"/>
      <c r="D895" s="23"/>
      <c r="E895" s="23"/>
      <c r="F895" s="23"/>
      <c r="G895" s="23">
        <f t="shared" si="63"/>
        <v>0</v>
      </c>
      <c r="H895" s="23" t="e" cm="1">
        <f t="array" ref="H895">INDEX('GLOBAL LOG'!#REF!,ROW()-169+15)</f>
        <v>#REF!</v>
      </c>
      <c r="I895" s="23" t="e">
        <f>_xlfn.XLOOKUP(H895,#REF!,#REF!,"",0,1)</f>
        <v>#REF!</v>
      </c>
      <c r="J895" s="23" t="str">
        <f>IFERROR(I895*#REF!,"")</f>
        <v/>
      </c>
      <c r="K895" s="23" t="e" cm="1">
        <f t="array" ref="K895">INDEX('GLOBAL LOG'!#REF!,ROW()-169+15)</f>
        <v>#REF!</v>
      </c>
      <c r="L895" s="23" t="e">
        <f>_xlfn.XLOOKUP(K895,#REF!,#REF!,"",0,1)</f>
        <v>#REF!</v>
      </c>
      <c r="M895" s="23" t="str">
        <f>IFERROR(L895*#REF!,"")</f>
        <v/>
      </c>
      <c r="N895" s="23">
        <f t="shared" si="64"/>
        <v>-1</v>
      </c>
      <c r="O895" s="23">
        <f t="shared" si="65"/>
        <v>-1</v>
      </c>
      <c r="P895" s="23">
        <f t="shared" si="66"/>
        <v>-1</v>
      </c>
      <c r="Q895" s="24">
        <f t="shared" si="67"/>
        <v>-1</v>
      </c>
      <c r="R895" s="3"/>
      <c r="S895" s="1">
        <v>0</v>
      </c>
      <c r="T895" s="24">
        <v>-1</v>
      </c>
      <c r="U895"/>
      <c r="V895" s="1">
        <v>0</v>
      </c>
      <c r="W895" s="24">
        <v>-1</v>
      </c>
      <c r="X895"/>
      <c r="Y895" s="1">
        <v>0</v>
      </c>
      <c r="Z895" s="24">
        <v>-1</v>
      </c>
      <c r="AA895"/>
      <c r="AB895" s="1">
        <v>0</v>
      </c>
      <c r="AC895" s="24">
        <v>-1</v>
      </c>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c r="CA895"/>
      <c r="CB895"/>
      <c r="CC895"/>
      <c r="CD895"/>
      <c r="CE895"/>
      <c r="CF895"/>
      <c r="CG895"/>
      <c r="CH895"/>
      <c r="CI895"/>
      <c r="CJ895"/>
      <c r="CK895"/>
      <c r="CL895"/>
      <c r="CM895"/>
      <c r="CN895"/>
      <c r="CO895"/>
      <c r="CP895"/>
      <c r="CQ895"/>
      <c r="CR895"/>
      <c r="CS895"/>
    </row>
    <row r="896" spans="2:97">
      <c r="B896"/>
      <c r="C896" s="15"/>
      <c r="D896" s="23"/>
      <c r="E896" s="23"/>
      <c r="F896" s="23"/>
      <c r="G896" s="23">
        <f t="shared" si="63"/>
        <v>0</v>
      </c>
      <c r="H896" s="23" t="e" cm="1">
        <f t="array" ref="H896">INDEX('GLOBAL LOG'!#REF!,ROW()-169+15)</f>
        <v>#REF!</v>
      </c>
      <c r="I896" s="23" t="e">
        <f>_xlfn.XLOOKUP(H896,#REF!,#REF!,"",0,1)</f>
        <v>#REF!</v>
      </c>
      <c r="J896" s="23" t="str">
        <f>IFERROR(I896*#REF!,"")</f>
        <v/>
      </c>
      <c r="K896" s="23" t="e" cm="1">
        <f t="array" ref="K896">INDEX('GLOBAL LOG'!#REF!,ROW()-169+15)</f>
        <v>#REF!</v>
      </c>
      <c r="L896" s="23" t="e">
        <f>_xlfn.XLOOKUP(K896,#REF!,#REF!,"",0,1)</f>
        <v>#REF!</v>
      </c>
      <c r="M896" s="23" t="str">
        <f>IFERROR(L896*#REF!,"")</f>
        <v/>
      </c>
      <c r="N896" s="23">
        <f t="shared" si="64"/>
        <v>-1</v>
      </c>
      <c r="O896" s="23">
        <f t="shared" si="65"/>
        <v>-1</v>
      </c>
      <c r="P896" s="23">
        <f t="shared" si="66"/>
        <v>-1</v>
      </c>
      <c r="Q896" s="24">
        <f t="shared" si="67"/>
        <v>-1</v>
      </c>
      <c r="R896" s="3"/>
      <c r="S896" s="1">
        <v>0</v>
      </c>
      <c r="T896" s="24">
        <v>-1</v>
      </c>
      <c r="U896"/>
      <c r="V896" s="1">
        <v>0</v>
      </c>
      <c r="W896" s="24">
        <v>-1</v>
      </c>
      <c r="X896"/>
      <c r="Y896" s="1">
        <v>0</v>
      </c>
      <c r="Z896" s="24">
        <v>-1</v>
      </c>
      <c r="AA896"/>
      <c r="AB896" s="1">
        <v>0</v>
      </c>
      <c r="AC896" s="24">
        <v>-1</v>
      </c>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c r="CA896"/>
      <c r="CB896"/>
      <c r="CC896"/>
      <c r="CD896"/>
      <c r="CE896"/>
      <c r="CF896"/>
      <c r="CG896"/>
      <c r="CH896"/>
      <c r="CI896"/>
      <c r="CJ896"/>
      <c r="CK896"/>
      <c r="CL896"/>
      <c r="CM896"/>
      <c r="CN896"/>
      <c r="CO896"/>
      <c r="CP896"/>
      <c r="CQ896"/>
      <c r="CR896"/>
      <c r="CS896"/>
    </row>
    <row r="897" spans="2:97">
      <c r="B897"/>
      <c r="C897" s="15"/>
      <c r="D897" s="23"/>
      <c r="E897" s="23"/>
      <c r="F897" s="23"/>
      <c r="G897" s="23">
        <f t="shared" si="63"/>
        <v>0</v>
      </c>
      <c r="H897" s="23" t="e" cm="1">
        <f t="array" ref="H897">INDEX('GLOBAL LOG'!#REF!,ROW()-169+15)</f>
        <v>#REF!</v>
      </c>
      <c r="I897" s="23" t="e">
        <f>_xlfn.XLOOKUP(H897,#REF!,#REF!,"",0,1)</f>
        <v>#REF!</v>
      </c>
      <c r="J897" s="23" t="str">
        <f>IFERROR(I897*#REF!,"")</f>
        <v/>
      </c>
      <c r="K897" s="23" t="e" cm="1">
        <f t="array" ref="K897">INDEX('GLOBAL LOG'!#REF!,ROW()-169+15)</f>
        <v>#REF!</v>
      </c>
      <c r="L897" s="23" t="e">
        <f>_xlfn.XLOOKUP(K897,#REF!,#REF!,"",0,1)</f>
        <v>#REF!</v>
      </c>
      <c r="M897" s="23" t="str">
        <f>IFERROR(L897*#REF!,"")</f>
        <v/>
      </c>
      <c r="N897" s="23">
        <f t="shared" si="64"/>
        <v>-1</v>
      </c>
      <c r="O897" s="23">
        <f t="shared" si="65"/>
        <v>-1</v>
      </c>
      <c r="P897" s="23">
        <f t="shared" si="66"/>
        <v>-1</v>
      </c>
      <c r="Q897" s="24">
        <f t="shared" si="67"/>
        <v>-1</v>
      </c>
      <c r="R897" s="3"/>
      <c r="S897" s="1">
        <v>0</v>
      </c>
      <c r="T897" s="24">
        <v>-1</v>
      </c>
      <c r="U897"/>
      <c r="V897" s="1">
        <v>0</v>
      </c>
      <c r="W897" s="24">
        <v>-1</v>
      </c>
      <c r="X897"/>
      <c r="Y897" s="1">
        <v>0</v>
      </c>
      <c r="Z897" s="24">
        <v>-1</v>
      </c>
      <c r="AA897"/>
      <c r="AB897" s="1">
        <v>0</v>
      </c>
      <c r="AC897" s="24">
        <v>-1</v>
      </c>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c r="CA897"/>
      <c r="CB897"/>
      <c r="CC897"/>
      <c r="CD897"/>
      <c r="CE897"/>
      <c r="CF897"/>
      <c r="CG897"/>
      <c r="CH897"/>
      <c r="CI897"/>
      <c r="CJ897"/>
      <c r="CK897"/>
      <c r="CL897"/>
      <c r="CM897"/>
      <c r="CN897"/>
      <c r="CO897"/>
      <c r="CP897"/>
      <c r="CQ897"/>
      <c r="CR897"/>
      <c r="CS897"/>
    </row>
    <row r="898" spans="2:97">
      <c r="B898"/>
      <c r="C898" s="15"/>
      <c r="D898" s="23"/>
      <c r="E898" s="23"/>
      <c r="F898" s="23"/>
      <c r="G898" s="23">
        <f t="shared" si="63"/>
        <v>0</v>
      </c>
      <c r="H898" s="23" t="e" cm="1">
        <f t="array" ref="H898">INDEX('GLOBAL LOG'!#REF!,ROW()-169+15)</f>
        <v>#REF!</v>
      </c>
      <c r="I898" s="23" t="e">
        <f>_xlfn.XLOOKUP(H898,#REF!,#REF!,"",0,1)</f>
        <v>#REF!</v>
      </c>
      <c r="J898" s="23" t="str">
        <f>IFERROR(I898*#REF!,"")</f>
        <v/>
      </c>
      <c r="K898" s="23" t="e" cm="1">
        <f t="array" ref="K898">INDEX('GLOBAL LOG'!#REF!,ROW()-169+15)</f>
        <v>#REF!</v>
      </c>
      <c r="L898" s="23" t="e">
        <f>_xlfn.XLOOKUP(K898,#REF!,#REF!,"",0,1)</f>
        <v>#REF!</v>
      </c>
      <c r="M898" s="23" t="str">
        <f>IFERROR(L898*#REF!,"")</f>
        <v/>
      </c>
      <c r="N898" s="23">
        <f t="shared" si="64"/>
        <v>-1</v>
      </c>
      <c r="O898" s="23">
        <f t="shared" si="65"/>
        <v>-1</v>
      </c>
      <c r="P898" s="23">
        <f t="shared" si="66"/>
        <v>-1</v>
      </c>
      <c r="Q898" s="24">
        <f t="shared" si="67"/>
        <v>-1</v>
      </c>
      <c r="R898" s="3"/>
      <c r="S898" s="1">
        <v>0</v>
      </c>
      <c r="T898" s="24">
        <v>-1</v>
      </c>
      <c r="U898"/>
      <c r="V898" s="1">
        <v>0</v>
      </c>
      <c r="W898" s="24">
        <v>-1</v>
      </c>
      <c r="X898"/>
      <c r="Y898" s="1">
        <v>0</v>
      </c>
      <c r="Z898" s="24">
        <v>-1</v>
      </c>
      <c r="AA898"/>
      <c r="AB898" s="1">
        <v>0</v>
      </c>
      <c r="AC898" s="24">
        <v>-1</v>
      </c>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c r="CA898"/>
      <c r="CB898"/>
      <c r="CC898"/>
      <c r="CD898"/>
      <c r="CE898"/>
      <c r="CF898"/>
      <c r="CG898"/>
      <c r="CH898"/>
      <c r="CI898"/>
      <c r="CJ898"/>
      <c r="CK898"/>
      <c r="CL898"/>
      <c r="CM898"/>
      <c r="CN898"/>
      <c r="CO898"/>
      <c r="CP898"/>
      <c r="CQ898"/>
      <c r="CR898"/>
      <c r="CS898"/>
    </row>
    <row r="899" spans="2:97">
      <c r="B899"/>
      <c r="C899" s="15"/>
      <c r="D899" s="23"/>
      <c r="E899" s="23"/>
      <c r="F899" s="23"/>
      <c r="G899" s="23">
        <f t="shared" si="63"/>
        <v>0</v>
      </c>
      <c r="H899" s="23" t="e" cm="1">
        <f t="array" ref="H899">INDEX('GLOBAL LOG'!#REF!,ROW()-169+15)</f>
        <v>#REF!</v>
      </c>
      <c r="I899" s="23" t="e">
        <f>_xlfn.XLOOKUP(H899,#REF!,#REF!,"",0,1)</f>
        <v>#REF!</v>
      </c>
      <c r="J899" s="23" t="str">
        <f>IFERROR(I899*#REF!,"")</f>
        <v/>
      </c>
      <c r="K899" s="23" t="e" cm="1">
        <f t="array" ref="K899">INDEX('GLOBAL LOG'!#REF!,ROW()-169+15)</f>
        <v>#REF!</v>
      </c>
      <c r="L899" s="23" t="e">
        <f>_xlfn.XLOOKUP(K899,#REF!,#REF!,"",0,1)</f>
        <v>#REF!</v>
      </c>
      <c r="M899" s="23" t="str">
        <f>IFERROR(L899*#REF!,"")</f>
        <v/>
      </c>
      <c r="N899" s="23">
        <f t="shared" si="64"/>
        <v>-1</v>
      </c>
      <c r="O899" s="23">
        <f t="shared" si="65"/>
        <v>-1</v>
      </c>
      <c r="P899" s="23">
        <f t="shared" si="66"/>
        <v>-1</v>
      </c>
      <c r="Q899" s="24">
        <f t="shared" si="67"/>
        <v>-1</v>
      </c>
      <c r="R899" s="3"/>
      <c r="S899" s="1">
        <v>0</v>
      </c>
      <c r="T899" s="24">
        <v>-1</v>
      </c>
      <c r="U899"/>
      <c r="V899" s="1">
        <v>0</v>
      </c>
      <c r="W899" s="24">
        <v>-1</v>
      </c>
      <c r="X899"/>
      <c r="Y899" s="1">
        <v>0</v>
      </c>
      <c r="Z899" s="24">
        <v>-1</v>
      </c>
      <c r="AA899"/>
      <c r="AB899" s="1">
        <v>0</v>
      </c>
      <c r="AC899" s="24">
        <v>-1</v>
      </c>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c r="CA899"/>
      <c r="CB899"/>
      <c r="CC899"/>
      <c r="CD899"/>
      <c r="CE899"/>
      <c r="CF899"/>
      <c r="CG899"/>
      <c r="CH899"/>
      <c r="CI899"/>
      <c r="CJ899"/>
      <c r="CK899"/>
      <c r="CL899"/>
      <c r="CM899"/>
      <c r="CN899"/>
      <c r="CO899"/>
      <c r="CP899"/>
      <c r="CQ899"/>
      <c r="CR899"/>
      <c r="CS899"/>
    </row>
    <row r="900" spans="2:97">
      <c r="B900"/>
      <c r="C900" s="15"/>
      <c r="D900" s="23"/>
      <c r="E900" s="23"/>
      <c r="F900" s="23"/>
      <c r="G900" s="23">
        <f t="shared" si="63"/>
        <v>0</v>
      </c>
      <c r="H900" s="23" t="e" cm="1">
        <f t="array" ref="H900">INDEX('GLOBAL LOG'!#REF!,ROW()-169+15)</f>
        <v>#REF!</v>
      </c>
      <c r="I900" s="23" t="e">
        <f>_xlfn.XLOOKUP(H900,#REF!,#REF!,"",0,1)</f>
        <v>#REF!</v>
      </c>
      <c r="J900" s="23" t="str">
        <f>IFERROR(I900*#REF!,"")</f>
        <v/>
      </c>
      <c r="K900" s="23" t="e" cm="1">
        <f t="array" ref="K900">INDEX('GLOBAL LOG'!#REF!,ROW()-169+15)</f>
        <v>#REF!</v>
      </c>
      <c r="L900" s="23" t="e">
        <f>_xlfn.XLOOKUP(K900,#REF!,#REF!,"",0,1)</f>
        <v>#REF!</v>
      </c>
      <c r="M900" s="23" t="str">
        <f>IFERROR(L900*#REF!,"")</f>
        <v/>
      </c>
      <c r="N900" s="23">
        <f t="shared" si="64"/>
        <v>-1</v>
      </c>
      <c r="O900" s="23">
        <f t="shared" si="65"/>
        <v>-1</v>
      </c>
      <c r="P900" s="23">
        <f t="shared" si="66"/>
        <v>-1</v>
      </c>
      <c r="Q900" s="24">
        <f t="shared" si="67"/>
        <v>-1</v>
      </c>
      <c r="R900" s="3"/>
      <c r="S900" s="1">
        <v>0</v>
      </c>
      <c r="T900" s="24">
        <v>-1</v>
      </c>
      <c r="U900"/>
      <c r="V900" s="1">
        <v>0</v>
      </c>
      <c r="W900" s="24">
        <v>-1</v>
      </c>
      <c r="X900"/>
      <c r="Y900" s="1">
        <v>0</v>
      </c>
      <c r="Z900" s="24">
        <v>-1</v>
      </c>
      <c r="AA900"/>
      <c r="AB900" s="1">
        <v>0</v>
      </c>
      <c r="AC900" s="24">
        <v>-1</v>
      </c>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c r="CA900"/>
      <c r="CB900"/>
      <c r="CC900"/>
      <c r="CD900"/>
      <c r="CE900"/>
      <c r="CF900"/>
      <c r="CG900"/>
      <c r="CH900"/>
      <c r="CI900"/>
      <c r="CJ900"/>
      <c r="CK900"/>
      <c r="CL900"/>
      <c r="CM900"/>
      <c r="CN900"/>
      <c r="CO900"/>
      <c r="CP900"/>
      <c r="CQ900"/>
      <c r="CR900"/>
      <c r="CS900"/>
    </row>
    <row r="901" spans="2:97">
      <c r="B901"/>
      <c r="C901" s="15"/>
      <c r="D901" s="23"/>
      <c r="E901" s="23"/>
      <c r="F901" s="23"/>
      <c r="G901" s="23">
        <f t="shared" si="63"/>
        <v>0</v>
      </c>
      <c r="H901" s="23" t="e" cm="1">
        <f t="array" ref="H901">INDEX('GLOBAL LOG'!#REF!,ROW()-169+15)</f>
        <v>#REF!</v>
      </c>
      <c r="I901" s="23" t="e">
        <f>_xlfn.XLOOKUP(H901,#REF!,#REF!,"",0,1)</f>
        <v>#REF!</v>
      </c>
      <c r="J901" s="23" t="str">
        <f>IFERROR(I901*#REF!,"")</f>
        <v/>
      </c>
      <c r="K901" s="23" t="e" cm="1">
        <f t="array" ref="K901">INDEX('GLOBAL LOG'!#REF!,ROW()-169+15)</f>
        <v>#REF!</v>
      </c>
      <c r="L901" s="23" t="e">
        <f>_xlfn.XLOOKUP(K901,#REF!,#REF!,"",0,1)</f>
        <v>#REF!</v>
      </c>
      <c r="M901" s="23" t="str">
        <f>IFERROR(L901*#REF!,"")</f>
        <v/>
      </c>
      <c r="N901" s="23">
        <f t="shared" si="64"/>
        <v>-1</v>
      </c>
      <c r="O901" s="23">
        <f t="shared" si="65"/>
        <v>-1</v>
      </c>
      <c r="P901" s="23">
        <f t="shared" si="66"/>
        <v>-1</v>
      </c>
      <c r="Q901" s="24">
        <f t="shared" si="67"/>
        <v>-1</v>
      </c>
      <c r="R901" s="3"/>
      <c r="S901" s="1">
        <v>0</v>
      </c>
      <c r="T901" s="24">
        <v>-1</v>
      </c>
      <c r="U901"/>
      <c r="V901" s="1">
        <v>0</v>
      </c>
      <c r="W901" s="24">
        <v>-1</v>
      </c>
      <c r="X901"/>
      <c r="Y901" s="1">
        <v>0</v>
      </c>
      <c r="Z901" s="24">
        <v>-1</v>
      </c>
      <c r="AA901"/>
      <c r="AB901" s="1">
        <v>0</v>
      </c>
      <c r="AC901" s="24">
        <v>-1</v>
      </c>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c r="CA901"/>
      <c r="CB901"/>
      <c r="CC901"/>
      <c r="CD901"/>
      <c r="CE901"/>
      <c r="CF901"/>
      <c r="CG901"/>
      <c r="CH901"/>
      <c r="CI901"/>
      <c r="CJ901"/>
      <c r="CK901"/>
      <c r="CL901"/>
      <c r="CM901"/>
      <c r="CN901"/>
      <c r="CO901"/>
      <c r="CP901"/>
      <c r="CQ901"/>
      <c r="CR901"/>
      <c r="CS901"/>
    </row>
    <row r="902" spans="2:97">
      <c r="B902"/>
      <c r="C902" s="15"/>
      <c r="D902" s="23"/>
      <c r="E902" s="23"/>
      <c r="F902" s="23"/>
      <c r="G902" s="23">
        <f t="shared" si="63"/>
        <v>0</v>
      </c>
      <c r="H902" s="23" t="e" cm="1">
        <f t="array" ref="H902">INDEX('GLOBAL LOG'!#REF!,ROW()-169+15)</f>
        <v>#REF!</v>
      </c>
      <c r="I902" s="23" t="e">
        <f>_xlfn.XLOOKUP(H902,#REF!,#REF!,"",0,1)</f>
        <v>#REF!</v>
      </c>
      <c r="J902" s="23" t="str">
        <f>IFERROR(I902*#REF!,"")</f>
        <v/>
      </c>
      <c r="K902" s="23" t="e" cm="1">
        <f t="array" ref="K902">INDEX('GLOBAL LOG'!#REF!,ROW()-169+15)</f>
        <v>#REF!</v>
      </c>
      <c r="L902" s="23" t="e">
        <f>_xlfn.XLOOKUP(K902,#REF!,#REF!,"",0,1)</f>
        <v>#REF!</v>
      </c>
      <c r="M902" s="23" t="str">
        <f>IFERROR(L902*#REF!,"")</f>
        <v/>
      </c>
      <c r="N902" s="23">
        <f t="shared" si="64"/>
        <v>-1</v>
      </c>
      <c r="O902" s="23">
        <f t="shared" si="65"/>
        <v>-1</v>
      </c>
      <c r="P902" s="23">
        <f t="shared" si="66"/>
        <v>-1</v>
      </c>
      <c r="Q902" s="24">
        <f t="shared" si="67"/>
        <v>-1</v>
      </c>
      <c r="R902" s="3"/>
      <c r="S902" s="1">
        <v>0</v>
      </c>
      <c r="T902" s="24">
        <v>-1</v>
      </c>
      <c r="U902"/>
      <c r="V902" s="1">
        <v>0</v>
      </c>
      <c r="W902" s="24">
        <v>-1</v>
      </c>
      <c r="X902"/>
      <c r="Y902" s="1">
        <v>0</v>
      </c>
      <c r="Z902" s="24">
        <v>-1</v>
      </c>
      <c r="AA902"/>
      <c r="AB902" s="1">
        <v>0</v>
      </c>
      <c r="AC902" s="24">
        <v>-1</v>
      </c>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c r="CA902"/>
      <c r="CB902"/>
      <c r="CC902"/>
      <c r="CD902"/>
      <c r="CE902"/>
      <c r="CF902"/>
      <c r="CG902"/>
      <c r="CH902"/>
      <c r="CI902"/>
      <c r="CJ902"/>
      <c r="CK902"/>
      <c r="CL902"/>
      <c r="CM902"/>
      <c r="CN902"/>
      <c r="CO902"/>
      <c r="CP902"/>
      <c r="CQ902"/>
      <c r="CR902"/>
      <c r="CS902"/>
    </row>
    <row r="903" spans="2:97">
      <c r="B903"/>
      <c r="C903" s="15"/>
      <c r="D903" s="23"/>
      <c r="E903" s="23"/>
      <c r="F903" s="23"/>
      <c r="G903" s="23">
        <f t="shared" si="63"/>
        <v>0</v>
      </c>
      <c r="H903" s="23" t="e" cm="1">
        <f t="array" ref="H903">INDEX('GLOBAL LOG'!#REF!,ROW()-169+15)</f>
        <v>#REF!</v>
      </c>
      <c r="I903" s="23" t="e">
        <f>_xlfn.XLOOKUP(H903,#REF!,#REF!,"",0,1)</f>
        <v>#REF!</v>
      </c>
      <c r="J903" s="23" t="str">
        <f>IFERROR(I903*#REF!,"")</f>
        <v/>
      </c>
      <c r="K903" s="23" t="e" cm="1">
        <f t="array" ref="K903">INDEX('GLOBAL LOG'!#REF!,ROW()-169+15)</f>
        <v>#REF!</v>
      </c>
      <c r="L903" s="23" t="e">
        <f>_xlfn.XLOOKUP(K903,#REF!,#REF!,"",0,1)</f>
        <v>#REF!</v>
      </c>
      <c r="M903" s="23" t="str">
        <f>IFERROR(L903*#REF!,"")</f>
        <v/>
      </c>
      <c r="N903" s="23">
        <f t="shared" si="64"/>
        <v>-1</v>
      </c>
      <c r="O903" s="23">
        <f t="shared" si="65"/>
        <v>-1</v>
      </c>
      <c r="P903" s="23">
        <f t="shared" si="66"/>
        <v>-1</v>
      </c>
      <c r="Q903" s="24">
        <f t="shared" si="67"/>
        <v>-1</v>
      </c>
      <c r="R903" s="3"/>
      <c r="S903" s="1">
        <v>0</v>
      </c>
      <c r="T903" s="24">
        <v>-1</v>
      </c>
      <c r="U903"/>
      <c r="V903" s="1">
        <v>0</v>
      </c>
      <c r="W903" s="24">
        <v>-1</v>
      </c>
      <c r="X903"/>
      <c r="Y903" s="1">
        <v>0</v>
      </c>
      <c r="Z903" s="24">
        <v>-1</v>
      </c>
      <c r="AA903"/>
      <c r="AB903" s="1">
        <v>0</v>
      </c>
      <c r="AC903" s="24">
        <v>-1</v>
      </c>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c r="CA903"/>
      <c r="CB903"/>
      <c r="CC903"/>
      <c r="CD903"/>
      <c r="CE903"/>
      <c r="CF903"/>
      <c r="CG903"/>
      <c r="CH903"/>
      <c r="CI903"/>
      <c r="CJ903"/>
      <c r="CK903"/>
      <c r="CL903"/>
      <c r="CM903"/>
      <c r="CN903"/>
      <c r="CO903"/>
      <c r="CP903"/>
      <c r="CQ903"/>
      <c r="CR903"/>
      <c r="CS903"/>
    </row>
    <row r="904" spans="2:97">
      <c r="B904"/>
      <c r="C904" s="15"/>
      <c r="D904" s="23"/>
      <c r="E904" s="23"/>
      <c r="F904" s="23"/>
      <c r="G904" s="23">
        <f t="shared" si="63"/>
        <v>0</v>
      </c>
      <c r="H904" s="23" t="e" cm="1">
        <f t="array" ref="H904">INDEX('GLOBAL LOG'!#REF!,ROW()-169+15)</f>
        <v>#REF!</v>
      </c>
      <c r="I904" s="23" t="e">
        <f>_xlfn.XLOOKUP(H904,#REF!,#REF!,"",0,1)</f>
        <v>#REF!</v>
      </c>
      <c r="J904" s="23" t="str">
        <f>IFERROR(I904*#REF!,"")</f>
        <v/>
      </c>
      <c r="K904" s="23" t="e" cm="1">
        <f t="array" ref="K904">INDEX('GLOBAL LOG'!#REF!,ROW()-169+15)</f>
        <v>#REF!</v>
      </c>
      <c r="L904" s="23" t="e">
        <f>_xlfn.XLOOKUP(K904,#REF!,#REF!,"",0,1)</f>
        <v>#REF!</v>
      </c>
      <c r="M904" s="23" t="str">
        <f>IFERROR(L904*#REF!,"")</f>
        <v/>
      </c>
      <c r="N904" s="23">
        <f t="shared" si="64"/>
        <v>-1</v>
      </c>
      <c r="O904" s="23">
        <f t="shared" si="65"/>
        <v>-1</v>
      </c>
      <c r="P904" s="23">
        <f t="shared" si="66"/>
        <v>-1</v>
      </c>
      <c r="Q904" s="24">
        <f t="shared" si="67"/>
        <v>-1</v>
      </c>
      <c r="R904" s="3"/>
      <c r="S904" s="1">
        <v>0</v>
      </c>
      <c r="T904" s="24">
        <v>-1</v>
      </c>
      <c r="U904"/>
      <c r="V904" s="1">
        <v>0</v>
      </c>
      <c r="W904" s="24">
        <v>-1</v>
      </c>
      <c r="X904"/>
      <c r="Y904" s="1">
        <v>0</v>
      </c>
      <c r="Z904" s="24">
        <v>-1</v>
      </c>
      <c r="AA904"/>
      <c r="AB904" s="1">
        <v>0</v>
      </c>
      <c r="AC904" s="24">
        <v>-1</v>
      </c>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c r="CA904"/>
      <c r="CB904"/>
      <c r="CC904"/>
      <c r="CD904"/>
      <c r="CE904"/>
      <c r="CF904"/>
      <c r="CG904"/>
      <c r="CH904"/>
      <c r="CI904"/>
      <c r="CJ904"/>
      <c r="CK904"/>
      <c r="CL904"/>
      <c r="CM904"/>
      <c r="CN904"/>
      <c r="CO904"/>
      <c r="CP904"/>
      <c r="CQ904"/>
      <c r="CR904"/>
      <c r="CS904"/>
    </row>
    <row r="905" spans="2:97">
      <c r="B905"/>
      <c r="C905" s="15"/>
      <c r="D905" s="23"/>
      <c r="E905" s="23"/>
      <c r="F905" s="23"/>
      <c r="G905" s="23">
        <f t="shared" si="63"/>
        <v>0</v>
      </c>
      <c r="H905" s="23" t="e" cm="1">
        <f t="array" ref="H905">INDEX('GLOBAL LOG'!#REF!,ROW()-169+15)</f>
        <v>#REF!</v>
      </c>
      <c r="I905" s="23" t="e">
        <f>_xlfn.XLOOKUP(H905,#REF!,#REF!,"",0,1)</f>
        <v>#REF!</v>
      </c>
      <c r="J905" s="23" t="str">
        <f>IFERROR(I905*#REF!,"")</f>
        <v/>
      </c>
      <c r="K905" s="23" t="e" cm="1">
        <f t="array" ref="K905">INDEX('GLOBAL LOG'!#REF!,ROW()-169+15)</f>
        <v>#REF!</v>
      </c>
      <c r="L905" s="23" t="e">
        <f>_xlfn.XLOOKUP(K905,#REF!,#REF!,"",0,1)</f>
        <v>#REF!</v>
      </c>
      <c r="M905" s="23" t="str">
        <f>IFERROR(L905*#REF!,"")</f>
        <v/>
      </c>
      <c r="N905" s="23">
        <f t="shared" si="64"/>
        <v>-1</v>
      </c>
      <c r="O905" s="23">
        <f t="shared" si="65"/>
        <v>-1</v>
      </c>
      <c r="P905" s="23">
        <f t="shared" si="66"/>
        <v>-1</v>
      </c>
      <c r="Q905" s="24">
        <f t="shared" si="67"/>
        <v>-1</v>
      </c>
      <c r="R905" s="3"/>
      <c r="S905" s="1">
        <v>0</v>
      </c>
      <c r="T905" s="24">
        <v>-1</v>
      </c>
      <c r="U905"/>
      <c r="V905" s="1">
        <v>0</v>
      </c>
      <c r="W905" s="24">
        <v>-1</v>
      </c>
      <c r="X905"/>
      <c r="Y905" s="1">
        <v>0</v>
      </c>
      <c r="Z905" s="24">
        <v>-1</v>
      </c>
      <c r="AA905"/>
      <c r="AB905" s="1">
        <v>0</v>
      </c>
      <c r="AC905" s="24">
        <v>-1</v>
      </c>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c r="CA905"/>
      <c r="CB905"/>
      <c r="CC905"/>
      <c r="CD905"/>
      <c r="CE905"/>
      <c r="CF905"/>
      <c r="CG905"/>
      <c r="CH905"/>
      <c r="CI905"/>
      <c r="CJ905"/>
      <c r="CK905"/>
      <c r="CL905"/>
      <c r="CM905"/>
      <c r="CN905"/>
      <c r="CO905"/>
      <c r="CP905"/>
      <c r="CQ905"/>
      <c r="CR905"/>
      <c r="CS905"/>
    </row>
    <row r="906" spans="2:97">
      <c r="B906"/>
      <c r="C906" s="15"/>
      <c r="D906" s="23"/>
      <c r="E906" s="23"/>
      <c r="F906" s="23"/>
      <c r="G906" s="23">
        <f t="shared" si="63"/>
        <v>0</v>
      </c>
      <c r="H906" s="23" t="e" cm="1">
        <f t="array" ref="H906">INDEX('GLOBAL LOG'!#REF!,ROW()-169+15)</f>
        <v>#REF!</v>
      </c>
      <c r="I906" s="23" t="e">
        <f>_xlfn.XLOOKUP(H906,#REF!,#REF!,"",0,1)</f>
        <v>#REF!</v>
      </c>
      <c r="J906" s="23" t="str">
        <f>IFERROR(I906*#REF!,"")</f>
        <v/>
      </c>
      <c r="K906" s="23" t="e" cm="1">
        <f t="array" ref="K906">INDEX('GLOBAL LOG'!#REF!,ROW()-169+15)</f>
        <v>#REF!</v>
      </c>
      <c r="L906" s="23" t="e">
        <f>_xlfn.XLOOKUP(K906,#REF!,#REF!,"",0,1)</f>
        <v>#REF!</v>
      </c>
      <c r="M906" s="23" t="str">
        <f>IFERROR(L906*#REF!,"")</f>
        <v/>
      </c>
      <c r="N906" s="23">
        <f t="shared" si="64"/>
        <v>-1</v>
      </c>
      <c r="O906" s="23">
        <f t="shared" si="65"/>
        <v>-1</v>
      </c>
      <c r="P906" s="23">
        <f t="shared" si="66"/>
        <v>-1</v>
      </c>
      <c r="Q906" s="24">
        <f t="shared" si="67"/>
        <v>-1</v>
      </c>
      <c r="R906" s="3"/>
      <c r="S906" s="1">
        <v>0</v>
      </c>
      <c r="T906" s="24">
        <v>-1</v>
      </c>
      <c r="U906"/>
      <c r="V906" s="1">
        <v>0</v>
      </c>
      <c r="W906" s="24">
        <v>-1</v>
      </c>
      <c r="X906"/>
      <c r="Y906" s="1">
        <v>0</v>
      </c>
      <c r="Z906" s="24">
        <v>-1</v>
      </c>
      <c r="AA906"/>
      <c r="AB906" s="1">
        <v>0</v>
      </c>
      <c r="AC906" s="24">
        <v>-1</v>
      </c>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c r="CA906"/>
      <c r="CB906"/>
      <c r="CC906"/>
      <c r="CD906"/>
      <c r="CE906"/>
      <c r="CF906"/>
      <c r="CG906"/>
      <c r="CH906"/>
      <c r="CI906"/>
      <c r="CJ906"/>
      <c r="CK906"/>
      <c r="CL906"/>
      <c r="CM906"/>
      <c r="CN906"/>
      <c r="CO906"/>
      <c r="CP906"/>
      <c r="CQ906"/>
      <c r="CR906"/>
      <c r="CS906"/>
    </row>
    <row r="907" spans="2:97">
      <c r="B907"/>
      <c r="C907" s="15"/>
      <c r="D907" s="23"/>
      <c r="E907" s="23"/>
      <c r="F907" s="23"/>
      <c r="G907" s="23">
        <f t="shared" si="63"/>
        <v>0</v>
      </c>
      <c r="H907" s="23" t="e" cm="1">
        <f t="array" ref="H907">INDEX('GLOBAL LOG'!#REF!,ROW()-169+15)</f>
        <v>#REF!</v>
      </c>
      <c r="I907" s="23" t="e">
        <f>_xlfn.XLOOKUP(H907,#REF!,#REF!,"",0,1)</f>
        <v>#REF!</v>
      </c>
      <c r="J907" s="23" t="str">
        <f>IFERROR(I907*#REF!,"")</f>
        <v/>
      </c>
      <c r="K907" s="23" t="e" cm="1">
        <f t="array" ref="K907">INDEX('GLOBAL LOG'!#REF!,ROW()-169+15)</f>
        <v>#REF!</v>
      </c>
      <c r="L907" s="23" t="e">
        <f>_xlfn.XLOOKUP(K907,#REF!,#REF!,"",0,1)</f>
        <v>#REF!</v>
      </c>
      <c r="M907" s="23" t="str">
        <f>IFERROR(L907*#REF!,"")</f>
        <v/>
      </c>
      <c r="N907" s="23">
        <f t="shared" si="64"/>
        <v>-1</v>
      </c>
      <c r="O907" s="23">
        <f t="shared" si="65"/>
        <v>-1</v>
      </c>
      <c r="P907" s="23">
        <f t="shared" si="66"/>
        <v>-1</v>
      </c>
      <c r="Q907" s="24">
        <f t="shared" si="67"/>
        <v>-1</v>
      </c>
      <c r="R907" s="3"/>
      <c r="S907" s="1">
        <v>0</v>
      </c>
      <c r="T907" s="24">
        <v>-1</v>
      </c>
      <c r="U907"/>
      <c r="V907" s="1">
        <v>0</v>
      </c>
      <c r="W907" s="24">
        <v>-1</v>
      </c>
      <c r="X907"/>
      <c r="Y907" s="1">
        <v>0</v>
      </c>
      <c r="Z907" s="24">
        <v>-1</v>
      </c>
      <c r="AA907"/>
      <c r="AB907" s="1">
        <v>0</v>
      </c>
      <c r="AC907" s="24">
        <v>-1</v>
      </c>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c r="CA907"/>
      <c r="CB907"/>
      <c r="CC907"/>
      <c r="CD907"/>
      <c r="CE907"/>
      <c r="CF907"/>
      <c r="CG907"/>
      <c r="CH907"/>
      <c r="CI907"/>
      <c r="CJ907"/>
      <c r="CK907"/>
      <c r="CL907"/>
      <c r="CM907"/>
      <c r="CN907"/>
      <c r="CO907"/>
      <c r="CP907"/>
      <c r="CQ907"/>
      <c r="CR907"/>
      <c r="CS907"/>
    </row>
    <row r="908" spans="2:97">
      <c r="B908"/>
      <c r="C908" s="15"/>
      <c r="D908" s="23"/>
      <c r="E908" s="23"/>
      <c r="F908" s="23"/>
      <c r="G908" s="23">
        <f t="shared" si="63"/>
        <v>0</v>
      </c>
      <c r="H908" s="23" t="e" cm="1">
        <f t="array" ref="H908">INDEX('GLOBAL LOG'!#REF!,ROW()-169+15)</f>
        <v>#REF!</v>
      </c>
      <c r="I908" s="23" t="e">
        <f>_xlfn.XLOOKUP(H908,#REF!,#REF!,"",0,1)</f>
        <v>#REF!</v>
      </c>
      <c r="J908" s="23" t="str">
        <f>IFERROR(I908*#REF!,"")</f>
        <v/>
      </c>
      <c r="K908" s="23" t="e" cm="1">
        <f t="array" ref="K908">INDEX('GLOBAL LOG'!#REF!,ROW()-169+15)</f>
        <v>#REF!</v>
      </c>
      <c r="L908" s="23" t="e">
        <f>_xlfn.XLOOKUP(K908,#REF!,#REF!,"",0,1)</f>
        <v>#REF!</v>
      </c>
      <c r="M908" s="23" t="str">
        <f>IFERROR(L908*#REF!,"")</f>
        <v/>
      </c>
      <c r="N908" s="23">
        <f t="shared" si="64"/>
        <v>-1</v>
      </c>
      <c r="O908" s="23">
        <f t="shared" si="65"/>
        <v>-1</v>
      </c>
      <c r="P908" s="23">
        <f t="shared" si="66"/>
        <v>-1</v>
      </c>
      <c r="Q908" s="24">
        <f t="shared" si="67"/>
        <v>-1</v>
      </c>
      <c r="R908" s="3"/>
      <c r="S908" s="1">
        <v>0</v>
      </c>
      <c r="T908" s="24">
        <v>-1</v>
      </c>
      <c r="U908"/>
      <c r="V908" s="1">
        <v>0</v>
      </c>
      <c r="W908" s="24">
        <v>-1</v>
      </c>
      <c r="X908"/>
      <c r="Y908" s="1">
        <v>0</v>
      </c>
      <c r="Z908" s="24">
        <v>-1</v>
      </c>
      <c r="AA908"/>
      <c r="AB908" s="1">
        <v>0</v>
      </c>
      <c r="AC908" s="24">
        <v>-1</v>
      </c>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c r="CA908"/>
      <c r="CB908"/>
      <c r="CC908"/>
      <c r="CD908"/>
      <c r="CE908"/>
      <c r="CF908"/>
      <c r="CG908"/>
      <c r="CH908"/>
      <c r="CI908"/>
      <c r="CJ908"/>
      <c r="CK908"/>
      <c r="CL908"/>
      <c r="CM908"/>
      <c r="CN908"/>
      <c r="CO908"/>
      <c r="CP908"/>
      <c r="CQ908"/>
      <c r="CR908"/>
      <c r="CS908"/>
    </row>
    <row r="909" spans="2:97">
      <c r="B909"/>
      <c r="C909" s="15"/>
      <c r="D909" s="23"/>
      <c r="E909" s="23"/>
      <c r="F909" s="23"/>
      <c r="G909" s="23">
        <f t="shared" si="63"/>
        <v>0</v>
      </c>
      <c r="H909" s="23" t="e" cm="1">
        <f t="array" ref="H909">INDEX('GLOBAL LOG'!#REF!,ROW()-169+15)</f>
        <v>#REF!</v>
      </c>
      <c r="I909" s="23" t="e">
        <f>_xlfn.XLOOKUP(H909,#REF!,#REF!,"",0,1)</f>
        <v>#REF!</v>
      </c>
      <c r="J909" s="23" t="str">
        <f>IFERROR(I909*#REF!,"")</f>
        <v/>
      </c>
      <c r="K909" s="23" t="e" cm="1">
        <f t="array" ref="K909">INDEX('GLOBAL LOG'!#REF!,ROW()-169+15)</f>
        <v>#REF!</v>
      </c>
      <c r="L909" s="23" t="e">
        <f>_xlfn.XLOOKUP(K909,#REF!,#REF!,"",0,1)</f>
        <v>#REF!</v>
      </c>
      <c r="M909" s="23" t="str">
        <f>IFERROR(L909*#REF!,"")</f>
        <v/>
      </c>
      <c r="N909" s="23">
        <f t="shared" si="64"/>
        <v>-1</v>
      </c>
      <c r="O909" s="23">
        <f t="shared" si="65"/>
        <v>-1</v>
      </c>
      <c r="P909" s="23">
        <f t="shared" si="66"/>
        <v>-1</v>
      </c>
      <c r="Q909" s="24">
        <f t="shared" si="67"/>
        <v>-1</v>
      </c>
      <c r="R909" s="3"/>
      <c r="S909" s="1">
        <v>0</v>
      </c>
      <c r="T909" s="24">
        <v>-1</v>
      </c>
      <c r="U909"/>
      <c r="V909" s="1">
        <v>0</v>
      </c>
      <c r="W909" s="24">
        <v>-1</v>
      </c>
      <c r="X909"/>
      <c r="Y909" s="1">
        <v>0</v>
      </c>
      <c r="Z909" s="24">
        <v>-1</v>
      </c>
      <c r="AA909"/>
      <c r="AB909" s="1">
        <v>0</v>
      </c>
      <c r="AC909" s="24">
        <v>-1</v>
      </c>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c r="CA909"/>
      <c r="CB909"/>
      <c r="CC909"/>
      <c r="CD909"/>
      <c r="CE909"/>
      <c r="CF909"/>
      <c r="CG909"/>
      <c r="CH909"/>
      <c r="CI909"/>
      <c r="CJ909"/>
      <c r="CK909"/>
      <c r="CL909"/>
      <c r="CM909"/>
      <c r="CN909"/>
      <c r="CO909"/>
      <c r="CP909"/>
      <c r="CQ909"/>
      <c r="CR909"/>
      <c r="CS909"/>
    </row>
    <row r="910" spans="2:97">
      <c r="B910"/>
      <c r="C910" s="15"/>
      <c r="D910" s="23"/>
      <c r="E910" s="23"/>
      <c r="F910" s="23"/>
      <c r="G910" s="23">
        <f t="shared" si="63"/>
        <v>0</v>
      </c>
      <c r="H910" s="23" t="e" cm="1">
        <f t="array" ref="H910">INDEX('GLOBAL LOG'!#REF!,ROW()-169+15)</f>
        <v>#REF!</v>
      </c>
      <c r="I910" s="23" t="e">
        <f>_xlfn.XLOOKUP(H910,#REF!,#REF!,"",0,1)</f>
        <v>#REF!</v>
      </c>
      <c r="J910" s="23" t="str">
        <f>IFERROR(I910*#REF!,"")</f>
        <v/>
      </c>
      <c r="K910" s="23" t="e" cm="1">
        <f t="array" ref="K910">INDEX('GLOBAL LOG'!#REF!,ROW()-169+15)</f>
        <v>#REF!</v>
      </c>
      <c r="L910" s="23" t="e">
        <f>_xlfn.XLOOKUP(K910,#REF!,#REF!,"",0,1)</f>
        <v>#REF!</v>
      </c>
      <c r="M910" s="23" t="str">
        <f>IFERROR(L910*#REF!,"")</f>
        <v/>
      </c>
      <c r="N910" s="23">
        <f t="shared" si="64"/>
        <v>-1</v>
      </c>
      <c r="O910" s="23">
        <f t="shared" si="65"/>
        <v>-1</v>
      </c>
      <c r="P910" s="23">
        <f t="shared" si="66"/>
        <v>-1</v>
      </c>
      <c r="Q910" s="24">
        <f t="shared" si="67"/>
        <v>-1</v>
      </c>
      <c r="R910" s="3"/>
      <c r="S910" s="1">
        <v>0</v>
      </c>
      <c r="T910" s="24">
        <v>-1</v>
      </c>
      <c r="U910"/>
      <c r="V910" s="1">
        <v>0</v>
      </c>
      <c r="W910" s="24">
        <v>-1</v>
      </c>
      <c r="X910"/>
      <c r="Y910" s="1">
        <v>0</v>
      </c>
      <c r="Z910" s="24">
        <v>-1</v>
      </c>
      <c r="AA910"/>
      <c r="AB910" s="1">
        <v>0</v>
      </c>
      <c r="AC910" s="24">
        <v>-1</v>
      </c>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c r="CA910"/>
      <c r="CB910"/>
      <c r="CC910"/>
      <c r="CD910"/>
      <c r="CE910"/>
      <c r="CF910"/>
      <c r="CG910"/>
      <c r="CH910"/>
      <c r="CI910"/>
      <c r="CJ910"/>
      <c r="CK910"/>
      <c r="CL910"/>
      <c r="CM910"/>
      <c r="CN910"/>
      <c r="CO910"/>
      <c r="CP910"/>
      <c r="CQ910"/>
      <c r="CR910"/>
      <c r="CS910"/>
    </row>
    <row r="911" spans="2:97">
      <c r="B911"/>
      <c r="C911" s="15"/>
      <c r="D911" s="23"/>
      <c r="E911" s="23"/>
      <c r="F911" s="23"/>
      <c r="G911" s="23">
        <f t="shared" si="63"/>
        <v>0</v>
      </c>
      <c r="H911" s="23" t="e" cm="1">
        <f t="array" ref="H911">INDEX('GLOBAL LOG'!#REF!,ROW()-169+15)</f>
        <v>#REF!</v>
      </c>
      <c r="I911" s="23" t="e">
        <f>_xlfn.XLOOKUP(H911,#REF!,#REF!,"",0,1)</f>
        <v>#REF!</v>
      </c>
      <c r="J911" s="23" t="str">
        <f>IFERROR(I911*#REF!,"")</f>
        <v/>
      </c>
      <c r="K911" s="23" t="e" cm="1">
        <f t="array" ref="K911">INDEX('GLOBAL LOG'!#REF!,ROW()-169+15)</f>
        <v>#REF!</v>
      </c>
      <c r="L911" s="23" t="e">
        <f>_xlfn.XLOOKUP(K911,#REF!,#REF!,"",0,1)</f>
        <v>#REF!</v>
      </c>
      <c r="M911" s="23" t="str">
        <f>IFERROR(L911*#REF!,"")</f>
        <v/>
      </c>
      <c r="N911" s="23">
        <f t="shared" si="64"/>
        <v>-1</v>
      </c>
      <c r="O911" s="23">
        <f t="shared" si="65"/>
        <v>-1</v>
      </c>
      <c r="P911" s="23">
        <f t="shared" si="66"/>
        <v>-1</v>
      </c>
      <c r="Q911" s="24">
        <f t="shared" si="67"/>
        <v>-1</v>
      </c>
      <c r="R911" s="3"/>
      <c r="S911" s="1">
        <v>0</v>
      </c>
      <c r="T911" s="24">
        <v>-1</v>
      </c>
      <c r="U911"/>
      <c r="V911" s="1">
        <v>0</v>
      </c>
      <c r="W911" s="24">
        <v>-1</v>
      </c>
      <c r="X911"/>
      <c r="Y911" s="1">
        <v>0</v>
      </c>
      <c r="Z911" s="24">
        <v>-1</v>
      </c>
      <c r="AA911"/>
      <c r="AB911" s="1">
        <v>0</v>
      </c>
      <c r="AC911" s="24">
        <v>-1</v>
      </c>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c r="CA911"/>
      <c r="CB911"/>
      <c r="CC911"/>
      <c r="CD911"/>
      <c r="CE911"/>
      <c r="CF911"/>
      <c r="CG911"/>
      <c r="CH911"/>
      <c r="CI911"/>
      <c r="CJ911"/>
      <c r="CK911"/>
      <c r="CL911"/>
      <c r="CM911"/>
      <c r="CN911"/>
      <c r="CO911"/>
      <c r="CP911"/>
      <c r="CQ911"/>
      <c r="CR911"/>
      <c r="CS911"/>
    </row>
    <row r="912" spans="2:97">
      <c r="B912"/>
      <c r="C912" s="15"/>
      <c r="D912" s="23"/>
      <c r="E912" s="23"/>
      <c r="F912" s="23"/>
      <c r="G912" s="23">
        <f t="shared" si="63"/>
        <v>0</v>
      </c>
      <c r="H912" s="23" t="e" cm="1">
        <f t="array" ref="H912">INDEX('GLOBAL LOG'!#REF!,ROW()-169+15)</f>
        <v>#REF!</v>
      </c>
      <c r="I912" s="23" t="e">
        <f>_xlfn.XLOOKUP(H912,#REF!,#REF!,"",0,1)</f>
        <v>#REF!</v>
      </c>
      <c r="J912" s="23" t="str">
        <f>IFERROR(I912*#REF!,"")</f>
        <v/>
      </c>
      <c r="K912" s="23" t="e" cm="1">
        <f t="array" ref="K912">INDEX('GLOBAL LOG'!#REF!,ROW()-169+15)</f>
        <v>#REF!</v>
      </c>
      <c r="L912" s="23" t="e">
        <f>_xlfn.XLOOKUP(K912,#REF!,#REF!,"",0,1)</f>
        <v>#REF!</v>
      </c>
      <c r="M912" s="23" t="str">
        <f>IFERROR(L912*#REF!,"")</f>
        <v/>
      </c>
      <c r="N912" s="23">
        <f t="shared" si="64"/>
        <v>-1</v>
      </c>
      <c r="O912" s="23">
        <f t="shared" si="65"/>
        <v>-1</v>
      </c>
      <c r="P912" s="23">
        <f t="shared" si="66"/>
        <v>-1</v>
      </c>
      <c r="Q912" s="24">
        <f t="shared" si="67"/>
        <v>-1</v>
      </c>
      <c r="R912" s="3"/>
      <c r="S912" s="1">
        <v>0</v>
      </c>
      <c r="T912" s="24">
        <v>-1</v>
      </c>
      <c r="U912"/>
      <c r="V912" s="1">
        <v>0</v>
      </c>
      <c r="W912" s="24">
        <v>-1</v>
      </c>
      <c r="X912"/>
      <c r="Y912" s="1">
        <v>0</v>
      </c>
      <c r="Z912" s="24">
        <v>-1</v>
      </c>
      <c r="AA912"/>
      <c r="AB912" s="1">
        <v>0</v>
      </c>
      <c r="AC912" s="24">
        <v>-1</v>
      </c>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c r="CA912"/>
      <c r="CB912"/>
      <c r="CC912"/>
      <c r="CD912"/>
      <c r="CE912"/>
      <c r="CF912"/>
      <c r="CG912"/>
      <c r="CH912"/>
      <c r="CI912"/>
      <c r="CJ912"/>
      <c r="CK912"/>
      <c r="CL912"/>
      <c r="CM912"/>
      <c r="CN912"/>
      <c r="CO912"/>
      <c r="CP912"/>
      <c r="CQ912"/>
      <c r="CR912"/>
      <c r="CS912"/>
    </row>
    <row r="913" spans="2:97">
      <c r="B913"/>
      <c r="C913" s="15"/>
      <c r="D913" s="23"/>
      <c r="E913" s="23"/>
      <c r="F913" s="23"/>
      <c r="G913" s="23">
        <f t="shared" si="63"/>
        <v>0</v>
      </c>
      <c r="H913" s="23" t="e" cm="1">
        <f t="array" ref="H913">INDEX('GLOBAL LOG'!#REF!,ROW()-169+15)</f>
        <v>#REF!</v>
      </c>
      <c r="I913" s="23" t="e">
        <f>_xlfn.XLOOKUP(H913,#REF!,#REF!,"",0,1)</f>
        <v>#REF!</v>
      </c>
      <c r="J913" s="23" t="str">
        <f>IFERROR(I913*#REF!,"")</f>
        <v/>
      </c>
      <c r="K913" s="23" t="e" cm="1">
        <f t="array" ref="K913">INDEX('GLOBAL LOG'!#REF!,ROW()-169+15)</f>
        <v>#REF!</v>
      </c>
      <c r="L913" s="23" t="e">
        <f>_xlfn.XLOOKUP(K913,#REF!,#REF!,"",0,1)</f>
        <v>#REF!</v>
      </c>
      <c r="M913" s="23" t="str">
        <f>IFERROR(L913*#REF!,"")</f>
        <v/>
      </c>
      <c r="N913" s="23">
        <f t="shared" si="64"/>
        <v>-1</v>
      </c>
      <c r="O913" s="23">
        <f t="shared" si="65"/>
        <v>-1</v>
      </c>
      <c r="P913" s="23">
        <f t="shared" si="66"/>
        <v>-1</v>
      </c>
      <c r="Q913" s="24">
        <f t="shared" si="67"/>
        <v>-1</v>
      </c>
      <c r="R913" s="3"/>
      <c r="S913" s="1">
        <v>0</v>
      </c>
      <c r="T913" s="24">
        <v>-1</v>
      </c>
      <c r="U913"/>
      <c r="V913" s="1">
        <v>0</v>
      </c>
      <c r="W913" s="24">
        <v>-1</v>
      </c>
      <c r="X913"/>
      <c r="Y913" s="1">
        <v>0</v>
      </c>
      <c r="Z913" s="24">
        <v>-1</v>
      </c>
      <c r="AA913"/>
      <c r="AB913" s="1">
        <v>0</v>
      </c>
      <c r="AC913" s="24">
        <v>-1</v>
      </c>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c r="CA913"/>
      <c r="CB913"/>
      <c r="CC913"/>
      <c r="CD913"/>
      <c r="CE913"/>
      <c r="CF913"/>
      <c r="CG913"/>
      <c r="CH913"/>
      <c r="CI913"/>
      <c r="CJ913"/>
      <c r="CK913"/>
      <c r="CL913"/>
      <c r="CM913"/>
      <c r="CN913"/>
      <c r="CO913"/>
      <c r="CP913"/>
      <c r="CQ913"/>
      <c r="CR913"/>
      <c r="CS913"/>
    </row>
    <row r="914" spans="2:97">
      <c r="B914"/>
      <c r="C914" s="15"/>
      <c r="D914" s="23"/>
      <c r="E914" s="23"/>
      <c r="F914" s="23"/>
      <c r="G914" s="23">
        <f t="shared" si="63"/>
        <v>0</v>
      </c>
      <c r="H914" s="23" t="e" cm="1">
        <f t="array" ref="H914">INDEX('GLOBAL LOG'!#REF!,ROW()-169+15)</f>
        <v>#REF!</v>
      </c>
      <c r="I914" s="23" t="e">
        <f>_xlfn.XLOOKUP(H914,#REF!,#REF!,"",0,1)</f>
        <v>#REF!</v>
      </c>
      <c r="J914" s="23" t="str">
        <f>IFERROR(I914*#REF!,"")</f>
        <v/>
      </c>
      <c r="K914" s="23" t="e" cm="1">
        <f t="array" ref="K914">INDEX('GLOBAL LOG'!#REF!,ROW()-169+15)</f>
        <v>#REF!</v>
      </c>
      <c r="L914" s="23" t="e">
        <f>_xlfn.XLOOKUP(K914,#REF!,#REF!,"",0,1)</f>
        <v>#REF!</v>
      </c>
      <c r="M914" s="23" t="str">
        <f>IFERROR(L914*#REF!,"")</f>
        <v/>
      </c>
      <c r="N914" s="23">
        <f t="shared" si="64"/>
        <v>-1</v>
      </c>
      <c r="O914" s="23">
        <f t="shared" si="65"/>
        <v>-1</v>
      </c>
      <c r="P914" s="23">
        <f t="shared" si="66"/>
        <v>-1</v>
      </c>
      <c r="Q914" s="24">
        <f t="shared" si="67"/>
        <v>-1</v>
      </c>
      <c r="R914" s="3"/>
      <c r="S914" s="1">
        <v>0</v>
      </c>
      <c r="T914" s="24">
        <v>-1</v>
      </c>
      <c r="U914"/>
      <c r="V914" s="1">
        <v>0</v>
      </c>
      <c r="W914" s="24">
        <v>-1</v>
      </c>
      <c r="X914"/>
      <c r="Y914" s="1">
        <v>0</v>
      </c>
      <c r="Z914" s="24">
        <v>-1</v>
      </c>
      <c r="AA914"/>
      <c r="AB914" s="1">
        <v>0</v>
      </c>
      <c r="AC914" s="24">
        <v>-1</v>
      </c>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c r="CA914"/>
      <c r="CB914"/>
      <c r="CC914"/>
      <c r="CD914"/>
      <c r="CE914"/>
      <c r="CF914"/>
      <c r="CG914"/>
      <c r="CH914"/>
      <c r="CI914"/>
      <c r="CJ914"/>
      <c r="CK914"/>
      <c r="CL914"/>
      <c r="CM914"/>
      <c r="CN914"/>
      <c r="CO914"/>
      <c r="CP914"/>
      <c r="CQ914"/>
      <c r="CR914"/>
      <c r="CS914"/>
    </row>
    <row r="915" spans="2:97">
      <c r="B915"/>
      <c r="C915" s="15"/>
      <c r="D915" s="23"/>
      <c r="E915" s="23"/>
      <c r="F915" s="23"/>
      <c r="G915" s="23">
        <f t="shared" si="63"/>
        <v>0</v>
      </c>
      <c r="H915" s="23" t="e" cm="1">
        <f t="array" ref="H915">INDEX('GLOBAL LOG'!#REF!,ROW()-169+15)</f>
        <v>#REF!</v>
      </c>
      <c r="I915" s="23" t="e">
        <f>_xlfn.XLOOKUP(H915,#REF!,#REF!,"",0,1)</f>
        <v>#REF!</v>
      </c>
      <c r="J915" s="23" t="str">
        <f>IFERROR(I915*#REF!,"")</f>
        <v/>
      </c>
      <c r="K915" s="23" t="e" cm="1">
        <f t="array" ref="K915">INDEX('GLOBAL LOG'!#REF!,ROW()-169+15)</f>
        <v>#REF!</v>
      </c>
      <c r="L915" s="23" t="e">
        <f>_xlfn.XLOOKUP(K915,#REF!,#REF!,"",0,1)</f>
        <v>#REF!</v>
      </c>
      <c r="M915" s="23" t="str">
        <f>IFERROR(L915*#REF!,"")</f>
        <v/>
      </c>
      <c r="N915" s="23">
        <f t="shared" si="64"/>
        <v>-1</v>
      </c>
      <c r="O915" s="23">
        <f t="shared" si="65"/>
        <v>-1</v>
      </c>
      <c r="P915" s="23">
        <f t="shared" si="66"/>
        <v>-1</v>
      </c>
      <c r="Q915" s="24">
        <f t="shared" si="67"/>
        <v>-1</v>
      </c>
      <c r="R915" s="3"/>
      <c r="S915" s="1">
        <v>0</v>
      </c>
      <c r="T915" s="24">
        <v>-1</v>
      </c>
      <c r="U915"/>
      <c r="V915" s="1">
        <v>0</v>
      </c>
      <c r="W915" s="24">
        <v>-1</v>
      </c>
      <c r="X915"/>
      <c r="Y915" s="1">
        <v>0</v>
      </c>
      <c r="Z915" s="24">
        <v>-1</v>
      </c>
      <c r="AA915"/>
      <c r="AB915" s="1">
        <v>0</v>
      </c>
      <c r="AC915" s="24">
        <v>-1</v>
      </c>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c r="CA915"/>
      <c r="CB915"/>
      <c r="CC915"/>
      <c r="CD915"/>
      <c r="CE915"/>
      <c r="CF915"/>
      <c r="CG915"/>
      <c r="CH915"/>
      <c r="CI915"/>
      <c r="CJ915"/>
      <c r="CK915"/>
      <c r="CL915"/>
      <c r="CM915"/>
      <c r="CN915"/>
      <c r="CO915"/>
      <c r="CP915"/>
      <c r="CQ915"/>
      <c r="CR915"/>
      <c r="CS915"/>
    </row>
    <row r="916" spans="2:97">
      <c r="B916"/>
      <c r="C916" s="15"/>
      <c r="D916" s="23"/>
      <c r="E916" s="23"/>
      <c r="F916" s="23"/>
      <c r="G916" s="23">
        <f t="shared" si="63"/>
        <v>0</v>
      </c>
      <c r="H916" s="23" t="e" cm="1">
        <f t="array" ref="H916">INDEX('GLOBAL LOG'!#REF!,ROW()-169+15)</f>
        <v>#REF!</v>
      </c>
      <c r="I916" s="23" t="e">
        <f>_xlfn.XLOOKUP(H916,#REF!,#REF!,"",0,1)</f>
        <v>#REF!</v>
      </c>
      <c r="J916" s="23" t="str">
        <f>IFERROR(I916*#REF!,"")</f>
        <v/>
      </c>
      <c r="K916" s="23" t="e" cm="1">
        <f t="array" ref="K916">INDEX('GLOBAL LOG'!#REF!,ROW()-169+15)</f>
        <v>#REF!</v>
      </c>
      <c r="L916" s="23" t="e">
        <f>_xlfn.XLOOKUP(K916,#REF!,#REF!,"",0,1)</f>
        <v>#REF!</v>
      </c>
      <c r="M916" s="23" t="str">
        <f>IFERROR(L916*#REF!,"")</f>
        <v/>
      </c>
      <c r="N916" s="23">
        <f t="shared" si="64"/>
        <v>-1</v>
      </c>
      <c r="O916" s="23">
        <f t="shared" si="65"/>
        <v>-1</v>
      </c>
      <c r="P916" s="23">
        <f t="shared" si="66"/>
        <v>-1</v>
      </c>
      <c r="Q916" s="24">
        <f t="shared" si="67"/>
        <v>-1</v>
      </c>
      <c r="R916" s="3"/>
      <c r="S916" s="1">
        <v>0</v>
      </c>
      <c r="T916" s="24">
        <v>-1</v>
      </c>
      <c r="U916"/>
      <c r="V916" s="1">
        <v>0</v>
      </c>
      <c r="W916" s="24">
        <v>-1</v>
      </c>
      <c r="X916"/>
      <c r="Y916" s="1">
        <v>0</v>
      </c>
      <c r="Z916" s="24">
        <v>-1</v>
      </c>
      <c r="AA916"/>
      <c r="AB916" s="1">
        <v>0</v>
      </c>
      <c r="AC916" s="24">
        <v>-1</v>
      </c>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c r="CA916"/>
      <c r="CB916"/>
      <c r="CC916"/>
      <c r="CD916"/>
      <c r="CE916"/>
      <c r="CF916"/>
      <c r="CG916"/>
      <c r="CH916"/>
      <c r="CI916"/>
      <c r="CJ916"/>
      <c r="CK916"/>
      <c r="CL916"/>
      <c r="CM916"/>
      <c r="CN916"/>
      <c r="CO916"/>
      <c r="CP916"/>
      <c r="CQ916"/>
      <c r="CR916"/>
      <c r="CS916"/>
    </row>
    <row r="917" spans="2:97">
      <c r="B917"/>
      <c r="C917" s="15"/>
      <c r="D917" s="23"/>
      <c r="E917" s="23"/>
      <c r="F917" s="23"/>
      <c r="G917" s="23">
        <f t="shared" si="63"/>
        <v>0</v>
      </c>
      <c r="H917" s="23" t="e" cm="1">
        <f t="array" ref="H917">INDEX('GLOBAL LOG'!#REF!,ROW()-169+15)</f>
        <v>#REF!</v>
      </c>
      <c r="I917" s="23" t="e">
        <f>_xlfn.XLOOKUP(H917,#REF!,#REF!,"",0,1)</f>
        <v>#REF!</v>
      </c>
      <c r="J917" s="23" t="str">
        <f>IFERROR(I917*#REF!,"")</f>
        <v/>
      </c>
      <c r="K917" s="23" t="e" cm="1">
        <f t="array" ref="K917">INDEX('GLOBAL LOG'!#REF!,ROW()-169+15)</f>
        <v>#REF!</v>
      </c>
      <c r="L917" s="23" t="e">
        <f>_xlfn.XLOOKUP(K917,#REF!,#REF!,"",0,1)</f>
        <v>#REF!</v>
      </c>
      <c r="M917" s="23" t="str">
        <f>IFERROR(L917*#REF!,"")</f>
        <v/>
      </c>
      <c r="N917" s="23">
        <f t="shared" si="64"/>
        <v>-1</v>
      </c>
      <c r="O917" s="23">
        <f t="shared" si="65"/>
        <v>-1</v>
      </c>
      <c r="P917" s="23">
        <f t="shared" si="66"/>
        <v>-1</v>
      </c>
      <c r="Q917" s="24">
        <f t="shared" si="67"/>
        <v>-1</v>
      </c>
      <c r="R917" s="3"/>
      <c r="S917" s="1">
        <v>0</v>
      </c>
      <c r="T917" s="24">
        <v>-1</v>
      </c>
      <c r="U917"/>
      <c r="V917" s="1">
        <v>0</v>
      </c>
      <c r="W917" s="24">
        <v>-1</v>
      </c>
      <c r="X917"/>
      <c r="Y917" s="1">
        <v>0</v>
      </c>
      <c r="Z917" s="24">
        <v>-1</v>
      </c>
      <c r="AA917"/>
      <c r="AB917" s="1">
        <v>0</v>
      </c>
      <c r="AC917" s="24">
        <v>-1</v>
      </c>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c r="CA917"/>
      <c r="CB917"/>
      <c r="CC917"/>
      <c r="CD917"/>
      <c r="CE917"/>
      <c r="CF917"/>
      <c r="CG917"/>
      <c r="CH917"/>
      <c r="CI917"/>
      <c r="CJ917"/>
      <c r="CK917"/>
      <c r="CL917"/>
      <c r="CM917"/>
      <c r="CN917"/>
      <c r="CO917"/>
      <c r="CP917"/>
      <c r="CQ917"/>
      <c r="CR917"/>
      <c r="CS917"/>
    </row>
    <row r="918" spans="2:97">
      <c r="B918"/>
      <c r="C918" s="15"/>
      <c r="D918" s="23"/>
      <c r="E918" s="23"/>
      <c r="F918" s="23"/>
      <c r="G918" s="23">
        <f t="shared" si="63"/>
        <v>0</v>
      </c>
      <c r="H918" s="23" t="e" cm="1">
        <f t="array" ref="H918">INDEX('GLOBAL LOG'!#REF!,ROW()-169+15)</f>
        <v>#REF!</v>
      </c>
      <c r="I918" s="23" t="e">
        <f>_xlfn.XLOOKUP(H918,#REF!,#REF!,"",0,1)</f>
        <v>#REF!</v>
      </c>
      <c r="J918" s="23" t="str">
        <f>IFERROR(I918*#REF!,"")</f>
        <v/>
      </c>
      <c r="K918" s="23" t="e" cm="1">
        <f t="array" ref="K918">INDEX('GLOBAL LOG'!#REF!,ROW()-169+15)</f>
        <v>#REF!</v>
      </c>
      <c r="L918" s="23" t="e">
        <f>_xlfn.XLOOKUP(K918,#REF!,#REF!,"",0,1)</f>
        <v>#REF!</v>
      </c>
      <c r="M918" s="23" t="str">
        <f>IFERROR(L918*#REF!,"")</f>
        <v/>
      </c>
      <c r="N918" s="23">
        <f t="shared" si="64"/>
        <v>-1</v>
      </c>
      <c r="O918" s="23">
        <f t="shared" si="65"/>
        <v>-1</v>
      </c>
      <c r="P918" s="23">
        <f t="shared" si="66"/>
        <v>-1</v>
      </c>
      <c r="Q918" s="24">
        <f t="shared" si="67"/>
        <v>-1</v>
      </c>
      <c r="R918" s="3"/>
      <c r="S918" s="1">
        <v>0</v>
      </c>
      <c r="T918" s="24">
        <v>-1</v>
      </c>
      <c r="U918"/>
      <c r="V918" s="1">
        <v>0</v>
      </c>
      <c r="W918" s="24">
        <v>-1</v>
      </c>
      <c r="X918"/>
      <c r="Y918" s="1">
        <v>0</v>
      </c>
      <c r="Z918" s="24">
        <v>-1</v>
      </c>
      <c r="AA918"/>
      <c r="AB918" s="1">
        <v>0</v>
      </c>
      <c r="AC918" s="24">
        <v>-1</v>
      </c>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c r="CA918"/>
      <c r="CB918"/>
      <c r="CC918"/>
      <c r="CD918"/>
      <c r="CE918"/>
      <c r="CF918"/>
      <c r="CG918"/>
      <c r="CH918"/>
      <c r="CI918"/>
      <c r="CJ918"/>
      <c r="CK918"/>
      <c r="CL918"/>
      <c r="CM918"/>
      <c r="CN918"/>
      <c r="CO918"/>
      <c r="CP918"/>
      <c r="CQ918"/>
      <c r="CR918"/>
      <c r="CS918"/>
    </row>
    <row r="919" spans="2:97">
      <c r="B919"/>
      <c r="C919" s="15"/>
      <c r="D919" s="23"/>
      <c r="E919" s="23"/>
      <c r="F919" s="23"/>
      <c r="G919" s="23">
        <f t="shared" si="63"/>
        <v>0</v>
      </c>
      <c r="H919" s="23" t="e" cm="1">
        <f t="array" ref="H919">INDEX('GLOBAL LOG'!#REF!,ROW()-169+15)</f>
        <v>#REF!</v>
      </c>
      <c r="I919" s="23" t="e">
        <f>_xlfn.XLOOKUP(H919,#REF!,#REF!,"",0,1)</f>
        <v>#REF!</v>
      </c>
      <c r="J919" s="23" t="str">
        <f>IFERROR(I919*#REF!,"")</f>
        <v/>
      </c>
      <c r="K919" s="23" t="e" cm="1">
        <f t="array" ref="K919">INDEX('GLOBAL LOG'!#REF!,ROW()-169+15)</f>
        <v>#REF!</v>
      </c>
      <c r="L919" s="23" t="e">
        <f>_xlfn.XLOOKUP(K919,#REF!,#REF!,"",0,1)</f>
        <v>#REF!</v>
      </c>
      <c r="M919" s="23" t="str">
        <f>IFERROR(L919*#REF!,"")</f>
        <v/>
      </c>
      <c r="N919" s="23">
        <f t="shared" si="64"/>
        <v>-1</v>
      </c>
      <c r="O919" s="23">
        <f t="shared" si="65"/>
        <v>-1</v>
      </c>
      <c r="P919" s="23">
        <f t="shared" si="66"/>
        <v>-1</v>
      </c>
      <c r="Q919" s="24">
        <f t="shared" si="67"/>
        <v>-1</v>
      </c>
      <c r="R919" s="3"/>
      <c r="S919" s="1">
        <v>0</v>
      </c>
      <c r="T919" s="24">
        <v>-1</v>
      </c>
      <c r="U919"/>
      <c r="V919" s="1">
        <v>0</v>
      </c>
      <c r="W919" s="24">
        <v>-1</v>
      </c>
      <c r="X919"/>
      <c r="Y919" s="1">
        <v>0</v>
      </c>
      <c r="Z919" s="24">
        <v>-1</v>
      </c>
      <c r="AA919"/>
      <c r="AB919" s="1">
        <v>0</v>
      </c>
      <c r="AC919" s="24">
        <v>-1</v>
      </c>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c r="CA919"/>
      <c r="CB919"/>
      <c r="CC919"/>
      <c r="CD919"/>
      <c r="CE919"/>
      <c r="CF919"/>
      <c r="CG919"/>
      <c r="CH919"/>
      <c r="CI919"/>
      <c r="CJ919"/>
      <c r="CK919"/>
      <c r="CL919"/>
      <c r="CM919"/>
      <c r="CN919"/>
      <c r="CO919"/>
      <c r="CP919"/>
      <c r="CQ919"/>
      <c r="CR919"/>
      <c r="CS919"/>
    </row>
    <row r="920" spans="2:97">
      <c r="B920"/>
      <c r="C920" s="15"/>
      <c r="D920" s="23"/>
      <c r="E920" s="23"/>
      <c r="F920" s="23"/>
      <c r="G920" s="23">
        <f t="shared" si="63"/>
        <v>0</v>
      </c>
      <c r="H920" s="23" t="e" cm="1">
        <f t="array" ref="H920">INDEX('GLOBAL LOG'!#REF!,ROW()-169+15)</f>
        <v>#REF!</v>
      </c>
      <c r="I920" s="23" t="e">
        <f>_xlfn.XLOOKUP(H920,#REF!,#REF!,"",0,1)</f>
        <v>#REF!</v>
      </c>
      <c r="J920" s="23" t="str">
        <f>IFERROR(I920*#REF!,"")</f>
        <v/>
      </c>
      <c r="K920" s="23" t="e" cm="1">
        <f t="array" ref="K920">INDEX('GLOBAL LOG'!#REF!,ROW()-169+15)</f>
        <v>#REF!</v>
      </c>
      <c r="L920" s="23" t="e">
        <f>_xlfn.XLOOKUP(K920,#REF!,#REF!,"",0,1)</f>
        <v>#REF!</v>
      </c>
      <c r="M920" s="23" t="str">
        <f>IFERROR(L920*#REF!,"")</f>
        <v/>
      </c>
      <c r="N920" s="23">
        <f t="shared" si="64"/>
        <v>-1</v>
      </c>
      <c r="O920" s="23">
        <f t="shared" si="65"/>
        <v>-1</v>
      </c>
      <c r="P920" s="23">
        <f t="shared" si="66"/>
        <v>-1</v>
      </c>
      <c r="Q920" s="24">
        <f t="shared" si="67"/>
        <v>-1</v>
      </c>
      <c r="R920" s="3"/>
      <c r="S920" s="1">
        <v>0</v>
      </c>
      <c r="T920" s="24">
        <v>-1</v>
      </c>
      <c r="U920"/>
      <c r="V920" s="1">
        <v>0</v>
      </c>
      <c r="W920" s="24">
        <v>-1</v>
      </c>
      <c r="X920"/>
      <c r="Y920" s="1">
        <v>0</v>
      </c>
      <c r="Z920" s="24">
        <v>-1</v>
      </c>
      <c r="AA920"/>
      <c r="AB920" s="1">
        <v>0</v>
      </c>
      <c r="AC920" s="24">
        <v>-1</v>
      </c>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c r="CA920"/>
      <c r="CB920"/>
      <c r="CC920"/>
      <c r="CD920"/>
      <c r="CE920"/>
      <c r="CF920"/>
      <c r="CG920"/>
      <c r="CH920"/>
      <c r="CI920"/>
      <c r="CJ920"/>
      <c r="CK920"/>
      <c r="CL920"/>
      <c r="CM920"/>
      <c r="CN920"/>
      <c r="CO920"/>
      <c r="CP920"/>
      <c r="CQ920"/>
      <c r="CR920"/>
      <c r="CS920"/>
    </row>
    <row r="921" spans="2:97">
      <c r="B921"/>
      <c r="C921" s="15"/>
      <c r="D921" s="23"/>
      <c r="E921" s="23"/>
      <c r="F921" s="23"/>
      <c r="G921" s="23">
        <f t="shared" si="63"/>
        <v>0</v>
      </c>
      <c r="H921" s="23" t="e" cm="1">
        <f t="array" ref="H921">INDEX('GLOBAL LOG'!#REF!,ROW()-169+15)</f>
        <v>#REF!</v>
      </c>
      <c r="I921" s="23" t="e">
        <f>_xlfn.XLOOKUP(H921,#REF!,#REF!,"",0,1)</f>
        <v>#REF!</v>
      </c>
      <c r="J921" s="23" t="str">
        <f>IFERROR(I921*#REF!,"")</f>
        <v/>
      </c>
      <c r="K921" s="23" t="e" cm="1">
        <f t="array" ref="K921">INDEX('GLOBAL LOG'!#REF!,ROW()-169+15)</f>
        <v>#REF!</v>
      </c>
      <c r="L921" s="23" t="e">
        <f>_xlfn.XLOOKUP(K921,#REF!,#REF!,"",0,1)</f>
        <v>#REF!</v>
      </c>
      <c r="M921" s="23" t="str">
        <f>IFERROR(L921*#REF!,"")</f>
        <v/>
      </c>
      <c r="N921" s="23">
        <f t="shared" si="64"/>
        <v>-1</v>
      </c>
      <c r="O921" s="23">
        <f t="shared" si="65"/>
        <v>-1</v>
      </c>
      <c r="P921" s="23">
        <f t="shared" si="66"/>
        <v>-1</v>
      </c>
      <c r="Q921" s="24">
        <f t="shared" si="67"/>
        <v>-1</v>
      </c>
      <c r="R921" s="3"/>
      <c r="S921" s="1">
        <v>0</v>
      </c>
      <c r="T921" s="24">
        <v>-1</v>
      </c>
      <c r="U921"/>
      <c r="V921" s="1">
        <v>0</v>
      </c>
      <c r="W921" s="24">
        <v>-1</v>
      </c>
      <c r="X921"/>
      <c r="Y921" s="1">
        <v>0</v>
      </c>
      <c r="Z921" s="24">
        <v>-1</v>
      </c>
      <c r="AA921"/>
      <c r="AB921" s="1">
        <v>0</v>
      </c>
      <c r="AC921" s="24">
        <v>-1</v>
      </c>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c r="CA921"/>
      <c r="CB921"/>
      <c r="CC921"/>
      <c r="CD921"/>
      <c r="CE921"/>
      <c r="CF921"/>
      <c r="CG921"/>
      <c r="CH921"/>
      <c r="CI921"/>
      <c r="CJ921"/>
      <c r="CK921"/>
      <c r="CL921"/>
      <c r="CM921"/>
      <c r="CN921"/>
      <c r="CO921"/>
      <c r="CP921"/>
      <c r="CQ921"/>
      <c r="CR921"/>
      <c r="CS921"/>
    </row>
    <row r="922" spans="2:97">
      <c r="B922"/>
      <c r="C922" s="15"/>
      <c r="D922" s="23"/>
      <c r="E922" s="23"/>
      <c r="F922" s="23"/>
      <c r="G922" s="23">
        <f t="shared" si="63"/>
        <v>0</v>
      </c>
      <c r="H922" s="23" t="e" cm="1">
        <f t="array" ref="H922">INDEX('GLOBAL LOG'!#REF!,ROW()-169+15)</f>
        <v>#REF!</v>
      </c>
      <c r="I922" s="23" t="e">
        <f>_xlfn.XLOOKUP(H922,#REF!,#REF!,"",0,1)</f>
        <v>#REF!</v>
      </c>
      <c r="J922" s="23" t="str">
        <f>IFERROR(I922*#REF!,"")</f>
        <v/>
      </c>
      <c r="K922" s="23" t="e" cm="1">
        <f t="array" ref="K922">INDEX('GLOBAL LOG'!#REF!,ROW()-169+15)</f>
        <v>#REF!</v>
      </c>
      <c r="L922" s="23" t="e">
        <f>_xlfn.XLOOKUP(K922,#REF!,#REF!,"",0,1)</f>
        <v>#REF!</v>
      </c>
      <c r="M922" s="23" t="str">
        <f>IFERROR(L922*#REF!,"")</f>
        <v/>
      </c>
      <c r="N922" s="23">
        <f t="shared" si="64"/>
        <v>-1</v>
      </c>
      <c r="O922" s="23">
        <f t="shared" si="65"/>
        <v>-1</v>
      </c>
      <c r="P922" s="23">
        <f t="shared" si="66"/>
        <v>-1</v>
      </c>
      <c r="Q922" s="24">
        <f t="shared" si="67"/>
        <v>-1</v>
      </c>
      <c r="R922" s="3"/>
      <c r="S922" s="1">
        <v>0</v>
      </c>
      <c r="T922" s="24">
        <v>-1</v>
      </c>
      <c r="U922"/>
      <c r="V922" s="1">
        <v>0</v>
      </c>
      <c r="W922" s="24">
        <v>-1</v>
      </c>
      <c r="X922"/>
      <c r="Y922" s="1">
        <v>0</v>
      </c>
      <c r="Z922" s="24">
        <v>-1</v>
      </c>
      <c r="AA922"/>
      <c r="AB922" s="1">
        <v>0</v>
      </c>
      <c r="AC922" s="24">
        <v>-1</v>
      </c>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c r="CA922"/>
      <c r="CB922"/>
      <c r="CC922"/>
      <c r="CD922"/>
      <c r="CE922"/>
      <c r="CF922"/>
      <c r="CG922"/>
      <c r="CH922"/>
      <c r="CI922"/>
      <c r="CJ922"/>
      <c r="CK922"/>
      <c r="CL922"/>
      <c r="CM922"/>
      <c r="CN922"/>
      <c r="CO922"/>
      <c r="CP922"/>
      <c r="CQ922"/>
      <c r="CR922"/>
      <c r="CS922"/>
    </row>
    <row r="923" spans="2:97">
      <c r="B923"/>
      <c r="C923" s="15"/>
      <c r="D923" s="23"/>
      <c r="E923" s="23"/>
      <c r="F923" s="23"/>
      <c r="G923" s="23">
        <f t="shared" si="63"/>
        <v>0</v>
      </c>
      <c r="H923" s="23" t="e" cm="1">
        <f t="array" ref="H923">INDEX('GLOBAL LOG'!#REF!,ROW()-169+15)</f>
        <v>#REF!</v>
      </c>
      <c r="I923" s="23" t="e">
        <f>_xlfn.XLOOKUP(H923,#REF!,#REF!,"",0,1)</f>
        <v>#REF!</v>
      </c>
      <c r="J923" s="23" t="str">
        <f>IFERROR(I923*#REF!,"")</f>
        <v/>
      </c>
      <c r="K923" s="23" t="e" cm="1">
        <f t="array" ref="K923">INDEX('GLOBAL LOG'!#REF!,ROW()-169+15)</f>
        <v>#REF!</v>
      </c>
      <c r="L923" s="23" t="e">
        <f>_xlfn.XLOOKUP(K923,#REF!,#REF!,"",0,1)</f>
        <v>#REF!</v>
      </c>
      <c r="M923" s="23" t="str">
        <f>IFERROR(L923*#REF!,"")</f>
        <v/>
      </c>
      <c r="N923" s="23">
        <f t="shared" si="64"/>
        <v>-1</v>
      </c>
      <c r="O923" s="23">
        <f t="shared" si="65"/>
        <v>-1</v>
      </c>
      <c r="P923" s="23">
        <f t="shared" si="66"/>
        <v>-1</v>
      </c>
      <c r="Q923" s="24">
        <f t="shared" si="67"/>
        <v>-1</v>
      </c>
      <c r="R923" s="3"/>
      <c r="S923" s="1">
        <v>0</v>
      </c>
      <c r="T923" s="24">
        <v>-1</v>
      </c>
      <c r="U923"/>
      <c r="V923" s="1">
        <v>0</v>
      </c>
      <c r="W923" s="24">
        <v>-1</v>
      </c>
      <c r="X923"/>
      <c r="Y923" s="1">
        <v>0</v>
      </c>
      <c r="Z923" s="24">
        <v>-1</v>
      </c>
      <c r="AA923"/>
      <c r="AB923" s="1">
        <v>0</v>
      </c>
      <c r="AC923" s="24">
        <v>-1</v>
      </c>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c r="CA923"/>
      <c r="CB923"/>
      <c r="CC923"/>
      <c r="CD923"/>
      <c r="CE923"/>
      <c r="CF923"/>
      <c r="CG923"/>
      <c r="CH923"/>
      <c r="CI923"/>
      <c r="CJ923"/>
      <c r="CK923"/>
      <c r="CL923"/>
      <c r="CM923"/>
      <c r="CN923"/>
      <c r="CO923"/>
      <c r="CP923"/>
      <c r="CQ923"/>
      <c r="CR923"/>
      <c r="CS923"/>
    </row>
    <row r="924" spans="2:97">
      <c r="B924"/>
      <c r="C924" s="15"/>
      <c r="D924" s="23"/>
      <c r="E924" s="23"/>
      <c r="F924" s="23"/>
      <c r="G924" s="23">
        <f t="shared" si="63"/>
        <v>0</v>
      </c>
      <c r="H924" s="23" t="e" cm="1">
        <f t="array" ref="H924">INDEX('GLOBAL LOG'!#REF!,ROW()-169+15)</f>
        <v>#REF!</v>
      </c>
      <c r="I924" s="23" t="e">
        <f>_xlfn.XLOOKUP(H924,#REF!,#REF!,"",0,1)</f>
        <v>#REF!</v>
      </c>
      <c r="J924" s="23" t="str">
        <f>IFERROR(I924*#REF!,"")</f>
        <v/>
      </c>
      <c r="K924" s="23" t="e" cm="1">
        <f t="array" ref="K924">INDEX('GLOBAL LOG'!#REF!,ROW()-169+15)</f>
        <v>#REF!</v>
      </c>
      <c r="L924" s="23" t="e">
        <f>_xlfn.XLOOKUP(K924,#REF!,#REF!,"",0,1)</f>
        <v>#REF!</v>
      </c>
      <c r="M924" s="23" t="str">
        <f>IFERROR(L924*#REF!,"")</f>
        <v/>
      </c>
      <c r="N924" s="23">
        <f t="shared" si="64"/>
        <v>-1</v>
      </c>
      <c r="O924" s="23">
        <f t="shared" si="65"/>
        <v>-1</v>
      </c>
      <c r="P924" s="23">
        <f t="shared" si="66"/>
        <v>-1</v>
      </c>
      <c r="Q924" s="24">
        <f t="shared" si="67"/>
        <v>-1</v>
      </c>
      <c r="R924" s="3"/>
      <c r="S924" s="1">
        <v>0</v>
      </c>
      <c r="T924" s="24">
        <v>-1</v>
      </c>
      <c r="U924"/>
      <c r="V924" s="1">
        <v>0</v>
      </c>
      <c r="W924" s="24">
        <v>-1</v>
      </c>
      <c r="X924"/>
      <c r="Y924" s="1">
        <v>0</v>
      </c>
      <c r="Z924" s="24">
        <v>-1</v>
      </c>
      <c r="AA924"/>
      <c r="AB924" s="1">
        <v>0</v>
      </c>
      <c r="AC924" s="24">
        <v>-1</v>
      </c>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c r="CA924"/>
      <c r="CB924"/>
      <c r="CC924"/>
      <c r="CD924"/>
      <c r="CE924"/>
      <c r="CF924"/>
      <c r="CG924"/>
      <c r="CH924"/>
      <c r="CI924"/>
      <c r="CJ924"/>
      <c r="CK924"/>
      <c r="CL924"/>
      <c r="CM924"/>
      <c r="CN924"/>
      <c r="CO924"/>
      <c r="CP924"/>
      <c r="CQ924"/>
      <c r="CR924"/>
      <c r="CS924"/>
    </row>
    <row r="925" spans="2:97">
      <c r="B925"/>
      <c r="C925" s="15"/>
      <c r="D925" s="23"/>
      <c r="E925" s="23"/>
      <c r="F925" s="23"/>
      <c r="G925" s="23">
        <f t="shared" si="63"/>
        <v>0</v>
      </c>
      <c r="H925" s="23" t="e" cm="1">
        <f t="array" ref="H925">INDEX('GLOBAL LOG'!#REF!,ROW()-169+15)</f>
        <v>#REF!</v>
      </c>
      <c r="I925" s="23" t="e">
        <f>_xlfn.XLOOKUP(H925,#REF!,#REF!,"",0,1)</f>
        <v>#REF!</v>
      </c>
      <c r="J925" s="23" t="str">
        <f>IFERROR(I925*#REF!,"")</f>
        <v/>
      </c>
      <c r="K925" s="23" t="e" cm="1">
        <f t="array" ref="K925">INDEX('GLOBAL LOG'!#REF!,ROW()-169+15)</f>
        <v>#REF!</v>
      </c>
      <c r="L925" s="23" t="e">
        <f>_xlfn.XLOOKUP(K925,#REF!,#REF!,"",0,1)</f>
        <v>#REF!</v>
      </c>
      <c r="M925" s="23" t="str">
        <f>IFERROR(L925*#REF!,"")</f>
        <v/>
      </c>
      <c r="N925" s="23">
        <f t="shared" si="64"/>
        <v>-1</v>
      </c>
      <c r="O925" s="23">
        <f t="shared" si="65"/>
        <v>-1</v>
      </c>
      <c r="P925" s="23">
        <f t="shared" si="66"/>
        <v>-1</v>
      </c>
      <c r="Q925" s="24">
        <f t="shared" si="67"/>
        <v>-1</v>
      </c>
      <c r="R925" s="3"/>
      <c r="S925" s="1">
        <v>0</v>
      </c>
      <c r="T925" s="24">
        <v>-1</v>
      </c>
      <c r="U925"/>
      <c r="V925" s="1">
        <v>0</v>
      </c>
      <c r="W925" s="24">
        <v>-1</v>
      </c>
      <c r="X925"/>
      <c r="Y925" s="1">
        <v>0</v>
      </c>
      <c r="Z925" s="24">
        <v>-1</v>
      </c>
      <c r="AA925"/>
      <c r="AB925" s="1">
        <v>0</v>
      </c>
      <c r="AC925" s="24">
        <v>-1</v>
      </c>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c r="CA925"/>
      <c r="CB925"/>
      <c r="CC925"/>
      <c r="CD925"/>
      <c r="CE925"/>
      <c r="CF925"/>
      <c r="CG925"/>
      <c r="CH925"/>
      <c r="CI925"/>
      <c r="CJ925"/>
      <c r="CK925"/>
      <c r="CL925"/>
      <c r="CM925"/>
      <c r="CN925"/>
      <c r="CO925"/>
      <c r="CP925"/>
      <c r="CQ925"/>
      <c r="CR925"/>
      <c r="CS925"/>
    </row>
    <row r="926" spans="2:97">
      <c r="B926"/>
      <c r="C926" s="15"/>
      <c r="D926" s="23"/>
      <c r="E926" s="23"/>
      <c r="F926" s="23"/>
      <c r="G926" s="23">
        <f t="shared" si="63"/>
        <v>0</v>
      </c>
      <c r="H926" s="23" t="e" cm="1">
        <f t="array" ref="H926">INDEX('GLOBAL LOG'!#REF!,ROW()-169+15)</f>
        <v>#REF!</v>
      </c>
      <c r="I926" s="23" t="e">
        <f>_xlfn.XLOOKUP(H926,#REF!,#REF!,"",0,1)</f>
        <v>#REF!</v>
      </c>
      <c r="J926" s="23" t="str">
        <f>IFERROR(I926*#REF!,"")</f>
        <v/>
      </c>
      <c r="K926" s="23" t="e" cm="1">
        <f t="array" ref="K926">INDEX('GLOBAL LOG'!#REF!,ROW()-169+15)</f>
        <v>#REF!</v>
      </c>
      <c r="L926" s="23" t="e">
        <f>_xlfn.XLOOKUP(K926,#REF!,#REF!,"",0,1)</f>
        <v>#REF!</v>
      </c>
      <c r="M926" s="23" t="str">
        <f>IFERROR(L926*#REF!,"")</f>
        <v/>
      </c>
      <c r="N926" s="23">
        <f t="shared" si="64"/>
        <v>-1</v>
      </c>
      <c r="O926" s="23">
        <f t="shared" si="65"/>
        <v>-1</v>
      </c>
      <c r="P926" s="23">
        <f t="shared" si="66"/>
        <v>-1</v>
      </c>
      <c r="Q926" s="24">
        <f t="shared" si="67"/>
        <v>-1</v>
      </c>
      <c r="R926" s="3"/>
      <c r="S926" s="1">
        <v>0</v>
      </c>
      <c r="T926" s="24">
        <v>-1</v>
      </c>
      <c r="U926"/>
      <c r="V926" s="1">
        <v>0</v>
      </c>
      <c r="W926" s="24">
        <v>-1</v>
      </c>
      <c r="X926"/>
      <c r="Y926" s="1">
        <v>0</v>
      </c>
      <c r="Z926" s="24">
        <v>-1</v>
      </c>
      <c r="AA926"/>
      <c r="AB926" s="1">
        <v>0</v>
      </c>
      <c r="AC926" s="24">
        <v>-1</v>
      </c>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c r="CA926"/>
      <c r="CB926"/>
      <c r="CC926"/>
      <c r="CD926"/>
      <c r="CE926"/>
      <c r="CF926"/>
      <c r="CG926"/>
      <c r="CH926"/>
      <c r="CI926"/>
      <c r="CJ926"/>
      <c r="CK926"/>
      <c r="CL926"/>
      <c r="CM926"/>
      <c r="CN926"/>
      <c r="CO926"/>
      <c r="CP926"/>
      <c r="CQ926"/>
      <c r="CR926"/>
      <c r="CS926"/>
    </row>
    <row r="927" spans="2:97">
      <c r="B927"/>
      <c r="C927" s="15"/>
      <c r="D927" s="23"/>
      <c r="E927" s="23"/>
      <c r="F927" s="23"/>
      <c r="G927" s="23">
        <f t="shared" si="63"/>
        <v>0</v>
      </c>
      <c r="H927" s="23" t="e" cm="1">
        <f t="array" ref="H927">INDEX('GLOBAL LOG'!#REF!,ROW()-169+15)</f>
        <v>#REF!</v>
      </c>
      <c r="I927" s="23" t="e">
        <f>_xlfn.XLOOKUP(H927,#REF!,#REF!,"",0,1)</f>
        <v>#REF!</v>
      </c>
      <c r="J927" s="23" t="str">
        <f>IFERROR(I927*#REF!,"")</f>
        <v/>
      </c>
      <c r="K927" s="23" t="e" cm="1">
        <f t="array" ref="K927">INDEX('GLOBAL LOG'!#REF!,ROW()-169+15)</f>
        <v>#REF!</v>
      </c>
      <c r="L927" s="23" t="e">
        <f>_xlfn.XLOOKUP(K927,#REF!,#REF!,"",0,1)</f>
        <v>#REF!</v>
      </c>
      <c r="M927" s="23" t="str">
        <f>IFERROR(L927*#REF!,"")</f>
        <v/>
      </c>
      <c r="N927" s="23">
        <f t="shared" si="64"/>
        <v>-1</v>
      </c>
      <c r="O927" s="23">
        <f t="shared" si="65"/>
        <v>-1</v>
      </c>
      <c r="P927" s="23">
        <f t="shared" si="66"/>
        <v>-1</v>
      </c>
      <c r="Q927" s="24">
        <f t="shared" si="67"/>
        <v>-1</v>
      </c>
      <c r="R927" s="3"/>
      <c r="S927" s="1">
        <v>0</v>
      </c>
      <c r="T927" s="24">
        <v>-1</v>
      </c>
      <c r="U927"/>
      <c r="V927" s="1">
        <v>0</v>
      </c>
      <c r="W927" s="24">
        <v>-1</v>
      </c>
      <c r="X927"/>
      <c r="Y927" s="1">
        <v>0</v>
      </c>
      <c r="Z927" s="24">
        <v>-1</v>
      </c>
      <c r="AA927"/>
      <c r="AB927" s="1">
        <v>0</v>
      </c>
      <c r="AC927" s="24">
        <v>-1</v>
      </c>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c r="CA927"/>
      <c r="CB927"/>
      <c r="CC927"/>
      <c r="CD927"/>
      <c r="CE927"/>
      <c r="CF927"/>
      <c r="CG927"/>
      <c r="CH927"/>
      <c r="CI927"/>
      <c r="CJ927"/>
      <c r="CK927"/>
      <c r="CL927"/>
      <c r="CM927"/>
      <c r="CN927"/>
      <c r="CO927"/>
      <c r="CP927"/>
      <c r="CQ927"/>
      <c r="CR927"/>
      <c r="CS927"/>
    </row>
    <row r="928" spans="2:97">
      <c r="B928"/>
      <c r="C928" s="15"/>
      <c r="D928" s="23"/>
      <c r="E928" s="23"/>
      <c r="F928" s="23"/>
      <c r="G928" s="23">
        <f t="shared" si="63"/>
        <v>0</v>
      </c>
      <c r="H928" s="23" t="e" cm="1">
        <f t="array" ref="H928">INDEX('GLOBAL LOG'!#REF!,ROW()-169+15)</f>
        <v>#REF!</v>
      </c>
      <c r="I928" s="23" t="e">
        <f>_xlfn.XLOOKUP(H928,#REF!,#REF!,"",0,1)</f>
        <v>#REF!</v>
      </c>
      <c r="J928" s="23" t="str">
        <f>IFERROR(I928*#REF!,"")</f>
        <v/>
      </c>
      <c r="K928" s="23" t="e" cm="1">
        <f t="array" ref="K928">INDEX('GLOBAL LOG'!#REF!,ROW()-169+15)</f>
        <v>#REF!</v>
      </c>
      <c r="L928" s="23" t="e">
        <f>_xlfn.XLOOKUP(K928,#REF!,#REF!,"",0,1)</f>
        <v>#REF!</v>
      </c>
      <c r="M928" s="23" t="str">
        <f>IFERROR(L928*#REF!,"")</f>
        <v/>
      </c>
      <c r="N928" s="23">
        <f t="shared" si="64"/>
        <v>-1</v>
      </c>
      <c r="O928" s="23">
        <f t="shared" si="65"/>
        <v>-1</v>
      </c>
      <c r="P928" s="23">
        <f t="shared" si="66"/>
        <v>-1</v>
      </c>
      <c r="Q928" s="24">
        <f t="shared" si="67"/>
        <v>-1</v>
      </c>
      <c r="R928" s="3"/>
      <c r="S928" s="1">
        <v>0</v>
      </c>
      <c r="T928" s="24">
        <v>-1</v>
      </c>
      <c r="U928"/>
      <c r="V928" s="1">
        <v>0</v>
      </c>
      <c r="W928" s="24">
        <v>-1</v>
      </c>
      <c r="X928"/>
      <c r="Y928" s="1">
        <v>0</v>
      </c>
      <c r="Z928" s="24">
        <v>-1</v>
      </c>
      <c r="AA928"/>
      <c r="AB928" s="1">
        <v>0</v>
      </c>
      <c r="AC928" s="24">
        <v>-1</v>
      </c>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c r="CA928"/>
      <c r="CB928"/>
      <c r="CC928"/>
      <c r="CD928"/>
      <c r="CE928"/>
      <c r="CF928"/>
      <c r="CG928"/>
      <c r="CH928"/>
      <c r="CI928"/>
      <c r="CJ928"/>
      <c r="CK928"/>
      <c r="CL928"/>
      <c r="CM928"/>
      <c r="CN928"/>
      <c r="CO928"/>
      <c r="CP928"/>
      <c r="CQ928"/>
      <c r="CR928"/>
      <c r="CS928"/>
    </row>
    <row r="929" spans="2:97">
      <c r="B929"/>
      <c r="C929" s="15"/>
      <c r="D929" s="23"/>
      <c r="E929" s="23"/>
      <c r="F929" s="23"/>
      <c r="G929" s="23">
        <f t="shared" si="63"/>
        <v>0</v>
      </c>
      <c r="H929" s="23" t="e" cm="1">
        <f t="array" ref="H929">INDEX('GLOBAL LOG'!#REF!,ROW()-169+15)</f>
        <v>#REF!</v>
      </c>
      <c r="I929" s="23" t="e">
        <f>_xlfn.XLOOKUP(H929,#REF!,#REF!,"",0,1)</f>
        <v>#REF!</v>
      </c>
      <c r="J929" s="23" t="str">
        <f>IFERROR(I929*#REF!,"")</f>
        <v/>
      </c>
      <c r="K929" s="23" t="e" cm="1">
        <f t="array" ref="K929">INDEX('GLOBAL LOG'!#REF!,ROW()-169+15)</f>
        <v>#REF!</v>
      </c>
      <c r="L929" s="23" t="e">
        <f>_xlfn.XLOOKUP(K929,#REF!,#REF!,"",0,1)</f>
        <v>#REF!</v>
      </c>
      <c r="M929" s="23" t="str">
        <f>IFERROR(L929*#REF!,"")</f>
        <v/>
      </c>
      <c r="N929" s="23">
        <f t="shared" si="64"/>
        <v>-1</v>
      </c>
      <c r="O929" s="23">
        <f t="shared" si="65"/>
        <v>-1</v>
      </c>
      <c r="P929" s="23">
        <f t="shared" si="66"/>
        <v>-1</v>
      </c>
      <c r="Q929" s="24">
        <f t="shared" si="67"/>
        <v>-1</v>
      </c>
      <c r="R929" s="3"/>
      <c r="S929" s="1">
        <v>0</v>
      </c>
      <c r="T929" s="24">
        <v>-1</v>
      </c>
      <c r="U929"/>
      <c r="V929" s="1">
        <v>0</v>
      </c>
      <c r="W929" s="24">
        <v>-1</v>
      </c>
      <c r="X929"/>
      <c r="Y929" s="1">
        <v>0</v>
      </c>
      <c r="Z929" s="24">
        <v>-1</v>
      </c>
      <c r="AA929"/>
      <c r="AB929" s="1">
        <v>0</v>
      </c>
      <c r="AC929" s="24">
        <v>-1</v>
      </c>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c r="CA929"/>
      <c r="CB929"/>
      <c r="CC929"/>
      <c r="CD929"/>
      <c r="CE929"/>
      <c r="CF929"/>
      <c r="CG929"/>
      <c r="CH929"/>
      <c r="CI929"/>
      <c r="CJ929"/>
      <c r="CK929"/>
      <c r="CL929"/>
      <c r="CM929"/>
      <c r="CN929"/>
      <c r="CO929"/>
      <c r="CP929"/>
      <c r="CQ929"/>
      <c r="CR929"/>
      <c r="CS929"/>
    </row>
    <row r="930" spans="2:97">
      <c r="B930"/>
      <c r="C930" s="15"/>
      <c r="D930" s="23"/>
      <c r="E930" s="23"/>
      <c r="F930" s="23"/>
      <c r="G930" s="23">
        <f t="shared" si="63"/>
        <v>0</v>
      </c>
      <c r="H930" s="23" t="e" cm="1">
        <f t="array" ref="H930">INDEX('GLOBAL LOG'!#REF!,ROW()-169+15)</f>
        <v>#REF!</v>
      </c>
      <c r="I930" s="23" t="e">
        <f>_xlfn.XLOOKUP(H930,#REF!,#REF!,"",0,1)</f>
        <v>#REF!</v>
      </c>
      <c r="J930" s="23" t="str">
        <f>IFERROR(I930*#REF!,"")</f>
        <v/>
      </c>
      <c r="K930" s="23" t="e" cm="1">
        <f t="array" ref="K930">INDEX('GLOBAL LOG'!#REF!,ROW()-169+15)</f>
        <v>#REF!</v>
      </c>
      <c r="L930" s="23" t="e">
        <f>_xlfn.XLOOKUP(K930,#REF!,#REF!,"",0,1)</f>
        <v>#REF!</v>
      </c>
      <c r="M930" s="23" t="str">
        <f>IFERROR(L930*#REF!,"")</f>
        <v/>
      </c>
      <c r="N930" s="23">
        <f t="shared" si="64"/>
        <v>-1</v>
      </c>
      <c r="O930" s="23">
        <f t="shared" si="65"/>
        <v>-1</v>
      </c>
      <c r="P930" s="23">
        <f t="shared" si="66"/>
        <v>-1</v>
      </c>
      <c r="Q930" s="24">
        <f t="shared" si="67"/>
        <v>-1</v>
      </c>
      <c r="R930" s="3"/>
      <c r="S930" s="1">
        <v>0</v>
      </c>
      <c r="T930" s="24">
        <v>-1</v>
      </c>
      <c r="U930"/>
      <c r="V930" s="1">
        <v>0</v>
      </c>
      <c r="W930" s="24">
        <v>-1</v>
      </c>
      <c r="X930"/>
      <c r="Y930" s="1">
        <v>0</v>
      </c>
      <c r="Z930" s="24">
        <v>-1</v>
      </c>
      <c r="AA930"/>
      <c r="AB930" s="1">
        <v>0</v>
      </c>
      <c r="AC930" s="24">
        <v>-1</v>
      </c>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c r="CA930"/>
      <c r="CB930"/>
      <c r="CC930"/>
      <c r="CD930"/>
      <c r="CE930"/>
      <c r="CF930"/>
      <c r="CG930"/>
      <c r="CH930"/>
      <c r="CI930"/>
      <c r="CJ930"/>
      <c r="CK930"/>
      <c r="CL930"/>
      <c r="CM930"/>
      <c r="CN930"/>
      <c r="CO930"/>
      <c r="CP930"/>
      <c r="CQ930"/>
      <c r="CR930"/>
      <c r="CS930"/>
    </row>
    <row r="931" spans="2:97">
      <c r="B931"/>
      <c r="C931" s="15"/>
      <c r="D931" s="23"/>
      <c r="E931" s="23"/>
      <c r="F931" s="23"/>
      <c r="G931" s="23">
        <f t="shared" si="63"/>
        <v>0</v>
      </c>
      <c r="H931" s="23" t="e" cm="1">
        <f t="array" ref="H931">INDEX('GLOBAL LOG'!#REF!,ROW()-169+15)</f>
        <v>#REF!</v>
      </c>
      <c r="I931" s="23" t="e">
        <f>_xlfn.XLOOKUP(H931,#REF!,#REF!,"",0,1)</f>
        <v>#REF!</v>
      </c>
      <c r="J931" s="23" t="str">
        <f>IFERROR(I931*#REF!,"")</f>
        <v/>
      </c>
      <c r="K931" s="23" t="e" cm="1">
        <f t="array" ref="K931">INDEX('GLOBAL LOG'!#REF!,ROW()-169+15)</f>
        <v>#REF!</v>
      </c>
      <c r="L931" s="23" t="e">
        <f>_xlfn.XLOOKUP(K931,#REF!,#REF!,"",0,1)</f>
        <v>#REF!</v>
      </c>
      <c r="M931" s="23" t="str">
        <f>IFERROR(L931*#REF!,"")</f>
        <v/>
      </c>
      <c r="N931" s="23">
        <f t="shared" si="64"/>
        <v>-1</v>
      </c>
      <c r="O931" s="23">
        <f t="shared" si="65"/>
        <v>-1</v>
      </c>
      <c r="P931" s="23">
        <f t="shared" si="66"/>
        <v>-1</v>
      </c>
      <c r="Q931" s="24">
        <f t="shared" si="67"/>
        <v>-1</v>
      </c>
      <c r="R931" s="3"/>
      <c r="S931" s="1">
        <v>0</v>
      </c>
      <c r="T931" s="24">
        <v>-1</v>
      </c>
      <c r="U931"/>
      <c r="V931" s="1">
        <v>0</v>
      </c>
      <c r="W931" s="24">
        <v>-1</v>
      </c>
      <c r="X931"/>
      <c r="Y931" s="1">
        <v>0</v>
      </c>
      <c r="Z931" s="24">
        <v>-1</v>
      </c>
      <c r="AA931"/>
      <c r="AB931" s="1">
        <v>0</v>
      </c>
      <c r="AC931" s="24">
        <v>-1</v>
      </c>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c r="CA931"/>
      <c r="CB931"/>
      <c r="CC931"/>
      <c r="CD931"/>
      <c r="CE931"/>
      <c r="CF931"/>
      <c r="CG931"/>
      <c r="CH931"/>
      <c r="CI931"/>
      <c r="CJ931"/>
      <c r="CK931"/>
      <c r="CL931"/>
      <c r="CM931"/>
      <c r="CN931"/>
      <c r="CO931"/>
      <c r="CP931"/>
      <c r="CQ931"/>
      <c r="CR931"/>
      <c r="CS931"/>
    </row>
    <row r="932" spans="2:97">
      <c r="B932"/>
      <c r="C932" s="15"/>
      <c r="D932" s="23"/>
      <c r="E932" s="23"/>
      <c r="F932" s="23"/>
      <c r="G932" s="23">
        <f t="shared" si="63"/>
        <v>0</v>
      </c>
      <c r="H932" s="23" t="e" cm="1">
        <f t="array" ref="H932">INDEX('GLOBAL LOG'!#REF!,ROW()-169+15)</f>
        <v>#REF!</v>
      </c>
      <c r="I932" s="23" t="e">
        <f>_xlfn.XLOOKUP(H932,#REF!,#REF!,"",0,1)</f>
        <v>#REF!</v>
      </c>
      <c r="J932" s="23" t="str">
        <f>IFERROR(I932*#REF!,"")</f>
        <v/>
      </c>
      <c r="K932" s="23" t="e" cm="1">
        <f t="array" ref="K932">INDEX('GLOBAL LOG'!#REF!,ROW()-169+15)</f>
        <v>#REF!</v>
      </c>
      <c r="L932" s="23" t="e">
        <f>_xlfn.XLOOKUP(K932,#REF!,#REF!,"",0,1)</f>
        <v>#REF!</v>
      </c>
      <c r="M932" s="23" t="str">
        <f>IFERROR(L932*#REF!,"")</f>
        <v/>
      </c>
      <c r="N932" s="23">
        <f t="shared" si="64"/>
        <v>-1</v>
      </c>
      <c r="O932" s="23">
        <f t="shared" si="65"/>
        <v>-1</v>
      </c>
      <c r="P932" s="23">
        <f t="shared" si="66"/>
        <v>-1</v>
      </c>
      <c r="Q932" s="24">
        <f t="shared" si="67"/>
        <v>-1</v>
      </c>
      <c r="R932" s="3"/>
      <c r="S932" s="1">
        <v>0</v>
      </c>
      <c r="T932" s="24">
        <v>-1</v>
      </c>
      <c r="U932"/>
      <c r="V932" s="1">
        <v>0</v>
      </c>
      <c r="W932" s="24">
        <v>-1</v>
      </c>
      <c r="X932"/>
      <c r="Y932" s="1">
        <v>0</v>
      </c>
      <c r="Z932" s="24">
        <v>-1</v>
      </c>
      <c r="AA932"/>
      <c r="AB932" s="1">
        <v>0</v>
      </c>
      <c r="AC932" s="24">
        <v>-1</v>
      </c>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c r="CA932"/>
      <c r="CB932"/>
      <c r="CC932"/>
      <c r="CD932"/>
      <c r="CE932"/>
      <c r="CF932"/>
      <c r="CG932"/>
      <c r="CH932"/>
      <c r="CI932"/>
      <c r="CJ932"/>
      <c r="CK932"/>
      <c r="CL932"/>
      <c r="CM932"/>
      <c r="CN932"/>
      <c r="CO932"/>
      <c r="CP932"/>
      <c r="CQ932"/>
      <c r="CR932"/>
      <c r="CS932"/>
    </row>
    <row r="933" spans="2:97">
      <c r="B933"/>
      <c r="C933" s="15"/>
      <c r="D933" s="23"/>
      <c r="E933" s="23"/>
      <c r="F933" s="23"/>
      <c r="G933" s="23">
        <f t="shared" si="63"/>
        <v>0</v>
      </c>
      <c r="H933" s="23" t="e" cm="1">
        <f t="array" ref="H933">INDEX('GLOBAL LOG'!#REF!,ROW()-169+15)</f>
        <v>#REF!</v>
      </c>
      <c r="I933" s="23" t="e">
        <f>_xlfn.XLOOKUP(H933,#REF!,#REF!,"",0,1)</f>
        <v>#REF!</v>
      </c>
      <c r="J933" s="23" t="str">
        <f>IFERROR(I933*#REF!,"")</f>
        <v/>
      </c>
      <c r="K933" s="23" t="e" cm="1">
        <f t="array" ref="K933">INDEX('GLOBAL LOG'!#REF!,ROW()-169+15)</f>
        <v>#REF!</v>
      </c>
      <c r="L933" s="23" t="e">
        <f>_xlfn.XLOOKUP(K933,#REF!,#REF!,"",0,1)</f>
        <v>#REF!</v>
      </c>
      <c r="M933" s="23" t="str">
        <f>IFERROR(L933*#REF!,"")</f>
        <v/>
      </c>
      <c r="N933" s="23">
        <f t="shared" si="64"/>
        <v>-1</v>
      </c>
      <c r="O933" s="23">
        <f t="shared" si="65"/>
        <v>-1</v>
      </c>
      <c r="P933" s="23">
        <f t="shared" si="66"/>
        <v>-1</v>
      </c>
      <c r="Q933" s="24">
        <f t="shared" si="67"/>
        <v>-1</v>
      </c>
      <c r="R933" s="3"/>
      <c r="S933" s="1">
        <v>0</v>
      </c>
      <c r="T933" s="24">
        <v>-1</v>
      </c>
      <c r="U933"/>
      <c r="V933" s="1">
        <v>0</v>
      </c>
      <c r="W933" s="24">
        <v>-1</v>
      </c>
      <c r="X933"/>
      <c r="Y933" s="1">
        <v>0</v>
      </c>
      <c r="Z933" s="24">
        <v>-1</v>
      </c>
      <c r="AA933"/>
      <c r="AB933" s="1">
        <v>0</v>
      </c>
      <c r="AC933" s="24">
        <v>-1</v>
      </c>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c r="CA933"/>
      <c r="CB933"/>
      <c r="CC933"/>
      <c r="CD933"/>
      <c r="CE933"/>
      <c r="CF933"/>
      <c r="CG933"/>
      <c r="CH933"/>
      <c r="CI933"/>
      <c r="CJ933"/>
      <c r="CK933"/>
      <c r="CL933"/>
      <c r="CM933"/>
      <c r="CN933"/>
      <c r="CO933"/>
      <c r="CP933"/>
      <c r="CQ933"/>
      <c r="CR933"/>
      <c r="CS933"/>
    </row>
    <row r="934" spans="2:97">
      <c r="B934"/>
      <c r="C934" s="15"/>
      <c r="D934" s="23"/>
      <c r="E934" s="23"/>
      <c r="F934" s="23"/>
      <c r="G934" s="23">
        <f t="shared" si="63"/>
        <v>0</v>
      </c>
      <c r="H934" s="23" t="e" cm="1">
        <f t="array" ref="H934">INDEX('GLOBAL LOG'!#REF!,ROW()-169+15)</f>
        <v>#REF!</v>
      </c>
      <c r="I934" s="23" t="e">
        <f>_xlfn.XLOOKUP(H934,#REF!,#REF!,"",0,1)</f>
        <v>#REF!</v>
      </c>
      <c r="J934" s="23" t="str">
        <f>IFERROR(I934*#REF!,"")</f>
        <v/>
      </c>
      <c r="K934" s="23" t="e" cm="1">
        <f t="array" ref="K934">INDEX('GLOBAL LOG'!#REF!,ROW()-169+15)</f>
        <v>#REF!</v>
      </c>
      <c r="L934" s="23" t="e">
        <f>_xlfn.XLOOKUP(K934,#REF!,#REF!,"",0,1)</f>
        <v>#REF!</v>
      </c>
      <c r="M934" s="23" t="str">
        <f>IFERROR(L934*#REF!,"")</f>
        <v/>
      </c>
      <c r="N934" s="23">
        <f t="shared" si="64"/>
        <v>-1</v>
      </c>
      <c r="O934" s="23">
        <f t="shared" si="65"/>
        <v>-1</v>
      </c>
      <c r="P934" s="23">
        <f t="shared" si="66"/>
        <v>-1</v>
      </c>
      <c r="Q934" s="24">
        <f t="shared" si="67"/>
        <v>-1</v>
      </c>
      <c r="R934" s="3"/>
      <c r="S934" s="1">
        <v>0</v>
      </c>
      <c r="T934" s="24">
        <v>-1</v>
      </c>
      <c r="U934"/>
      <c r="V934" s="1">
        <v>0</v>
      </c>
      <c r="W934" s="24">
        <v>-1</v>
      </c>
      <c r="X934"/>
      <c r="Y934" s="1">
        <v>0</v>
      </c>
      <c r="Z934" s="24">
        <v>-1</v>
      </c>
      <c r="AA934"/>
      <c r="AB934" s="1">
        <v>0</v>
      </c>
      <c r="AC934" s="24">
        <v>-1</v>
      </c>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c r="CA934"/>
      <c r="CB934"/>
      <c r="CC934"/>
      <c r="CD934"/>
      <c r="CE934"/>
      <c r="CF934"/>
      <c r="CG934"/>
      <c r="CH934"/>
      <c r="CI934"/>
      <c r="CJ934"/>
      <c r="CK934"/>
      <c r="CL934"/>
      <c r="CM934"/>
      <c r="CN934"/>
      <c r="CO934"/>
      <c r="CP934"/>
      <c r="CQ934"/>
      <c r="CR934"/>
      <c r="CS934"/>
    </row>
    <row r="935" spans="2:97">
      <c r="B935"/>
      <c r="C935" s="15"/>
      <c r="D935" s="23"/>
      <c r="E935" s="23"/>
      <c r="F935" s="23"/>
      <c r="G935" s="23">
        <f t="shared" si="63"/>
        <v>0</v>
      </c>
      <c r="H935" s="23" t="e" cm="1">
        <f t="array" ref="H935">INDEX('GLOBAL LOG'!#REF!,ROW()-169+15)</f>
        <v>#REF!</v>
      </c>
      <c r="I935" s="23" t="e">
        <f>_xlfn.XLOOKUP(H935,#REF!,#REF!,"",0,1)</f>
        <v>#REF!</v>
      </c>
      <c r="J935" s="23" t="str">
        <f>IFERROR(I935*#REF!,"")</f>
        <v/>
      </c>
      <c r="K935" s="23" t="e" cm="1">
        <f t="array" ref="K935">INDEX('GLOBAL LOG'!#REF!,ROW()-169+15)</f>
        <v>#REF!</v>
      </c>
      <c r="L935" s="23" t="e">
        <f>_xlfn.XLOOKUP(K935,#REF!,#REF!,"",0,1)</f>
        <v>#REF!</v>
      </c>
      <c r="M935" s="23" t="str">
        <f>IFERROR(L935*#REF!,"")</f>
        <v/>
      </c>
      <c r="N935" s="23">
        <f t="shared" si="64"/>
        <v>-1</v>
      </c>
      <c r="O935" s="23">
        <f t="shared" si="65"/>
        <v>-1</v>
      </c>
      <c r="P935" s="23">
        <f t="shared" si="66"/>
        <v>-1</v>
      </c>
      <c r="Q935" s="24">
        <f t="shared" si="67"/>
        <v>-1</v>
      </c>
      <c r="R935" s="3"/>
      <c r="S935" s="1">
        <v>0</v>
      </c>
      <c r="T935" s="24">
        <v>-1</v>
      </c>
      <c r="U935"/>
      <c r="V935" s="1">
        <v>0</v>
      </c>
      <c r="W935" s="24">
        <v>-1</v>
      </c>
      <c r="X935"/>
      <c r="Y935" s="1">
        <v>0</v>
      </c>
      <c r="Z935" s="24">
        <v>-1</v>
      </c>
      <c r="AA935"/>
      <c r="AB935" s="1">
        <v>0</v>
      </c>
      <c r="AC935" s="24">
        <v>-1</v>
      </c>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c r="CA935"/>
      <c r="CB935"/>
      <c r="CC935"/>
      <c r="CD935"/>
      <c r="CE935"/>
      <c r="CF935"/>
      <c r="CG935"/>
      <c r="CH935"/>
      <c r="CI935"/>
      <c r="CJ935"/>
      <c r="CK935"/>
      <c r="CL935"/>
      <c r="CM935"/>
      <c r="CN935"/>
      <c r="CO935"/>
      <c r="CP935"/>
      <c r="CQ935"/>
      <c r="CR935"/>
      <c r="CS935"/>
    </row>
    <row r="936" spans="2:97">
      <c r="B936"/>
      <c r="C936" s="15"/>
      <c r="D936" s="23"/>
      <c r="E936" s="23"/>
      <c r="F936" s="23"/>
      <c r="G936" s="23">
        <f t="shared" si="63"/>
        <v>0</v>
      </c>
      <c r="H936" s="23" t="e" cm="1">
        <f t="array" ref="H936">INDEX('GLOBAL LOG'!#REF!,ROW()-169+15)</f>
        <v>#REF!</v>
      </c>
      <c r="I936" s="23" t="e">
        <f>_xlfn.XLOOKUP(H936,#REF!,#REF!,"",0,1)</f>
        <v>#REF!</v>
      </c>
      <c r="J936" s="23" t="str">
        <f>IFERROR(I936*#REF!,"")</f>
        <v/>
      </c>
      <c r="K936" s="23" t="e" cm="1">
        <f t="array" ref="K936">INDEX('GLOBAL LOG'!#REF!,ROW()-169+15)</f>
        <v>#REF!</v>
      </c>
      <c r="L936" s="23" t="e">
        <f>_xlfn.XLOOKUP(K936,#REF!,#REF!,"",0,1)</f>
        <v>#REF!</v>
      </c>
      <c r="M936" s="23" t="str">
        <f>IFERROR(L936*#REF!,"")</f>
        <v/>
      </c>
      <c r="N936" s="23">
        <f t="shared" si="64"/>
        <v>-1</v>
      </c>
      <c r="O936" s="23">
        <f t="shared" si="65"/>
        <v>-1</v>
      </c>
      <c r="P936" s="23">
        <f t="shared" si="66"/>
        <v>-1</v>
      </c>
      <c r="Q936" s="24">
        <f t="shared" si="67"/>
        <v>-1</v>
      </c>
      <c r="R936" s="3"/>
      <c r="S936" s="1">
        <v>0</v>
      </c>
      <c r="T936" s="24">
        <v>-1</v>
      </c>
      <c r="U936"/>
      <c r="V936" s="1">
        <v>0</v>
      </c>
      <c r="W936" s="24">
        <v>-1</v>
      </c>
      <c r="X936"/>
      <c r="Y936" s="1">
        <v>0</v>
      </c>
      <c r="Z936" s="24">
        <v>-1</v>
      </c>
      <c r="AA936"/>
      <c r="AB936" s="1">
        <v>0</v>
      </c>
      <c r="AC936" s="24">
        <v>-1</v>
      </c>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c r="CA936"/>
      <c r="CB936"/>
      <c r="CC936"/>
      <c r="CD936"/>
      <c r="CE936"/>
      <c r="CF936"/>
      <c r="CG936"/>
      <c r="CH936"/>
      <c r="CI936"/>
      <c r="CJ936"/>
      <c r="CK936"/>
      <c r="CL936"/>
      <c r="CM936"/>
      <c r="CN936"/>
      <c r="CO936"/>
      <c r="CP936"/>
      <c r="CQ936"/>
      <c r="CR936"/>
      <c r="CS936"/>
    </row>
    <row r="937" spans="2:97">
      <c r="B937"/>
      <c r="C937" s="15"/>
      <c r="D937" s="23"/>
      <c r="E937" s="23"/>
      <c r="F937" s="23"/>
      <c r="G937" s="23">
        <f t="shared" si="63"/>
        <v>0</v>
      </c>
      <c r="H937" s="23" t="e" cm="1">
        <f t="array" ref="H937">INDEX('GLOBAL LOG'!#REF!,ROW()-169+15)</f>
        <v>#REF!</v>
      </c>
      <c r="I937" s="23" t="e">
        <f>_xlfn.XLOOKUP(H937,#REF!,#REF!,"",0,1)</f>
        <v>#REF!</v>
      </c>
      <c r="J937" s="23" t="str">
        <f>IFERROR(I937*#REF!,"")</f>
        <v/>
      </c>
      <c r="K937" s="23" t="e" cm="1">
        <f t="array" ref="K937">INDEX('GLOBAL LOG'!#REF!,ROW()-169+15)</f>
        <v>#REF!</v>
      </c>
      <c r="L937" s="23" t="e">
        <f>_xlfn.XLOOKUP(K937,#REF!,#REF!,"",0,1)</f>
        <v>#REF!</v>
      </c>
      <c r="M937" s="23" t="str">
        <f>IFERROR(L937*#REF!,"")</f>
        <v/>
      </c>
      <c r="N937" s="23">
        <f t="shared" si="64"/>
        <v>-1</v>
      </c>
      <c r="O937" s="23">
        <f t="shared" si="65"/>
        <v>-1</v>
      </c>
      <c r="P937" s="23">
        <f t="shared" si="66"/>
        <v>-1</v>
      </c>
      <c r="Q937" s="24">
        <f t="shared" si="67"/>
        <v>-1</v>
      </c>
      <c r="R937" s="3"/>
      <c r="S937" s="1">
        <v>0</v>
      </c>
      <c r="T937" s="24">
        <v>-1</v>
      </c>
      <c r="U937"/>
      <c r="V937" s="1">
        <v>0</v>
      </c>
      <c r="W937" s="24">
        <v>-1</v>
      </c>
      <c r="X937"/>
      <c r="Y937" s="1">
        <v>0</v>
      </c>
      <c r="Z937" s="24">
        <v>-1</v>
      </c>
      <c r="AA937"/>
      <c r="AB937" s="1">
        <v>0</v>
      </c>
      <c r="AC937" s="24">
        <v>-1</v>
      </c>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c r="CA937"/>
      <c r="CB937"/>
      <c r="CC937"/>
      <c r="CD937"/>
      <c r="CE937"/>
      <c r="CF937"/>
      <c r="CG937"/>
      <c r="CH937"/>
      <c r="CI937"/>
      <c r="CJ937"/>
      <c r="CK937"/>
      <c r="CL937"/>
      <c r="CM937"/>
      <c r="CN937"/>
      <c r="CO937"/>
      <c r="CP937"/>
      <c r="CQ937"/>
      <c r="CR937"/>
      <c r="CS937"/>
    </row>
    <row r="938" spans="2:97">
      <c r="B938"/>
      <c r="C938" s="15"/>
      <c r="D938" s="23"/>
      <c r="E938" s="23"/>
      <c r="F938" s="23"/>
      <c r="G938" s="23">
        <f t="shared" ref="G938:G1001" si="68">E938+F938</f>
        <v>0</v>
      </c>
      <c r="H938" s="23" t="e" cm="1">
        <f t="array" ref="H938">INDEX('GLOBAL LOG'!#REF!,ROW()-169+15)</f>
        <v>#REF!</v>
      </c>
      <c r="I938" s="23" t="e">
        <f>_xlfn.XLOOKUP(H938,#REF!,#REF!,"",0,1)</f>
        <v>#REF!</v>
      </c>
      <c r="J938" s="23" t="str">
        <f>IFERROR(I938*#REF!,"")</f>
        <v/>
      </c>
      <c r="K938" s="23" t="e" cm="1">
        <f t="array" ref="K938">INDEX('GLOBAL LOG'!#REF!,ROW()-169+15)</f>
        <v>#REF!</v>
      </c>
      <c r="L938" s="23" t="e">
        <f>_xlfn.XLOOKUP(K938,#REF!,#REF!,"",0,1)</f>
        <v>#REF!</v>
      </c>
      <c r="M938" s="23" t="str">
        <f>IFERROR(L938*#REF!,"")</f>
        <v/>
      </c>
      <c r="N938" s="23">
        <f t="shared" ref="N938:N1001" si="69">IFERROR(D938*J938*M938,-1)</f>
        <v>-1</v>
      </c>
      <c r="O938" s="23">
        <f t="shared" ref="O938:O1001" si="70">IFERROR(E938*J938*M938,-1)</f>
        <v>-1</v>
      </c>
      <c r="P938" s="23">
        <f t="shared" ref="P938:P1001" si="71">IFERROR(F938*J938*M938,-1)</f>
        <v>-1</v>
      </c>
      <c r="Q938" s="24">
        <f t="shared" ref="Q938:Q1001" si="72">IFERROR(G938*J938*M938,-1)</f>
        <v>-1</v>
      </c>
      <c r="R938" s="3"/>
      <c r="S938" s="1">
        <v>0</v>
      </c>
      <c r="T938" s="24">
        <v>-1</v>
      </c>
      <c r="U938"/>
      <c r="V938" s="1">
        <v>0</v>
      </c>
      <c r="W938" s="24">
        <v>-1</v>
      </c>
      <c r="X938"/>
      <c r="Y938" s="1">
        <v>0</v>
      </c>
      <c r="Z938" s="24">
        <v>-1</v>
      </c>
      <c r="AA938"/>
      <c r="AB938" s="1">
        <v>0</v>
      </c>
      <c r="AC938" s="24">
        <v>-1</v>
      </c>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c r="CA938"/>
      <c r="CB938"/>
      <c r="CC938"/>
      <c r="CD938"/>
      <c r="CE938"/>
      <c r="CF938"/>
      <c r="CG938"/>
      <c r="CH938"/>
      <c r="CI938"/>
      <c r="CJ938"/>
      <c r="CK938"/>
      <c r="CL938"/>
      <c r="CM938"/>
      <c r="CN938"/>
      <c r="CO938"/>
      <c r="CP938"/>
      <c r="CQ938"/>
      <c r="CR938"/>
      <c r="CS938"/>
    </row>
    <row r="939" spans="2:97">
      <c r="B939"/>
      <c r="C939" s="15"/>
      <c r="D939" s="23"/>
      <c r="E939" s="23"/>
      <c r="F939" s="23"/>
      <c r="G939" s="23">
        <f t="shared" si="68"/>
        <v>0</v>
      </c>
      <c r="H939" s="23" t="e" cm="1">
        <f t="array" ref="H939">INDEX('GLOBAL LOG'!#REF!,ROW()-169+15)</f>
        <v>#REF!</v>
      </c>
      <c r="I939" s="23" t="e">
        <f>_xlfn.XLOOKUP(H939,#REF!,#REF!,"",0,1)</f>
        <v>#REF!</v>
      </c>
      <c r="J939" s="23" t="str">
        <f>IFERROR(I939*#REF!,"")</f>
        <v/>
      </c>
      <c r="K939" s="23" t="e" cm="1">
        <f t="array" ref="K939">INDEX('GLOBAL LOG'!#REF!,ROW()-169+15)</f>
        <v>#REF!</v>
      </c>
      <c r="L939" s="23" t="e">
        <f>_xlfn.XLOOKUP(K939,#REF!,#REF!,"",0,1)</f>
        <v>#REF!</v>
      </c>
      <c r="M939" s="23" t="str">
        <f>IFERROR(L939*#REF!,"")</f>
        <v/>
      </c>
      <c r="N939" s="23">
        <f t="shared" si="69"/>
        <v>-1</v>
      </c>
      <c r="O939" s="23">
        <f t="shared" si="70"/>
        <v>-1</v>
      </c>
      <c r="P939" s="23">
        <f t="shared" si="71"/>
        <v>-1</v>
      </c>
      <c r="Q939" s="24">
        <f t="shared" si="72"/>
        <v>-1</v>
      </c>
      <c r="R939" s="3"/>
      <c r="S939" s="1">
        <v>0</v>
      </c>
      <c r="T939" s="24">
        <v>-1</v>
      </c>
      <c r="U939"/>
      <c r="V939" s="1">
        <v>0</v>
      </c>
      <c r="W939" s="24">
        <v>-1</v>
      </c>
      <c r="X939"/>
      <c r="Y939" s="1">
        <v>0</v>
      </c>
      <c r="Z939" s="24">
        <v>-1</v>
      </c>
      <c r="AA939"/>
      <c r="AB939" s="1">
        <v>0</v>
      </c>
      <c r="AC939" s="24">
        <v>-1</v>
      </c>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c r="CA939"/>
      <c r="CB939"/>
      <c r="CC939"/>
      <c r="CD939"/>
      <c r="CE939"/>
      <c r="CF939"/>
      <c r="CG939"/>
      <c r="CH939"/>
      <c r="CI939"/>
      <c r="CJ939"/>
      <c r="CK939"/>
      <c r="CL939"/>
      <c r="CM939"/>
      <c r="CN939"/>
      <c r="CO939"/>
      <c r="CP939"/>
      <c r="CQ939"/>
      <c r="CR939"/>
      <c r="CS939"/>
    </row>
    <row r="940" spans="2:97">
      <c r="B940"/>
      <c r="C940" s="15"/>
      <c r="D940" s="23"/>
      <c r="E940" s="23"/>
      <c r="F940" s="23"/>
      <c r="G940" s="23">
        <f t="shared" si="68"/>
        <v>0</v>
      </c>
      <c r="H940" s="23" t="e" cm="1">
        <f t="array" ref="H940">INDEX('GLOBAL LOG'!#REF!,ROW()-169+15)</f>
        <v>#REF!</v>
      </c>
      <c r="I940" s="23" t="e">
        <f>_xlfn.XLOOKUP(H940,#REF!,#REF!,"",0,1)</f>
        <v>#REF!</v>
      </c>
      <c r="J940" s="23" t="str">
        <f>IFERROR(I940*#REF!,"")</f>
        <v/>
      </c>
      <c r="K940" s="23" t="e" cm="1">
        <f t="array" ref="K940">INDEX('GLOBAL LOG'!#REF!,ROW()-169+15)</f>
        <v>#REF!</v>
      </c>
      <c r="L940" s="23" t="e">
        <f>_xlfn.XLOOKUP(K940,#REF!,#REF!,"",0,1)</f>
        <v>#REF!</v>
      </c>
      <c r="M940" s="23" t="str">
        <f>IFERROR(L940*#REF!,"")</f>
        <v/>
      </c>
      <c r="N940" s="23">
        <f t="shared" si="69"/>
        <v>-1</v>
      </c>
      <c r="O940" s="23">
        <f t="shared" si="70"/>
        <v>-1</v>
      </c>
      <c r="P940" s="23">
        <f t="shared" si="71"/>
        <v>-1</v>
      </c>
      <c r="Q940" s="24">
        <f t="shared" si="72"/>
        <v>-1</v>
      </c>
      <c r="R940" s="3"/>
      <c r="S940" s="1">
        <v>0</v>
      </c>
      <c r="T940" s="24">
        <v>-1</v>
      </c>
      <c r="U940"/>
      <c r="V940" s="1">
        <v>0</v>
      </c>
      <c r="W940" s="24">
        <v>-1</v>
      </c>
      <c r="X940"/>
      <c r="Y940" s="1">
        <v>0</v>
      </c>
      <c r="Z940" s="24">
        <v>-1</v>
      </c>
      <c r="AA940"/>
      <c r="AB940" s="1">
        <v>0</v>
      </c>
      <c r="AC940" s="24">
        <v>-1</v>
      </c>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c r="CA940"/>
      <c r="CB940"/>
      <c r="CC940"/>
      <c r="CD940"/>
      <c r="CE940"/>
      <c r="CF940"/>
      <c r="CG940"/>
      <c r="CH940"/>
      <c r="CI940"/>
      <c r="CJ940"/>
      <c r="CK940"/>
      <c r="CL940"/>
      <c r="CM940"/>
      <c r="CN940"/>
      <c r="CO940"/>
      <c r="CP940"/>
      <c r="CQ940"/>
      <c r="CR940"/>
      <c r="CS940"/>
    </row>
    <row r="941" spans="2:97">
      <c r="B941"/>
      <c r="C941" s="15"/>
      <c r="D941" s="23"/>
      <c r="E941" s="23"/>
      <c r="F941" s="23"/>
      <c r="G941" s="23">
        <f t="shared" si="68"/>
        <v>0</v>
      </c>
      <c r="H941" s="23" t="e" cm="1">
        <f t="array" ref="H941">INDEX('GLOBAL LOG'!#REF!,ROW()-169+15)</f>
        <v>#REF!</v>
      </c>
      <c r="I941" s="23" t="e">
        <f>_xlfn.XLOOKUP(H941,#REF!,#REF!,"",0,1)</f>
        <v>#REF!</v>
      </c>
      <c r="J941" s="23" t="str">
        <f>IFERROR(I941*#REF!,"")</f>
        <v/>
      </c>
      <c r="K941" s="23" t="e" cm="1">
        <f t="array" ref="K941">INDEX('GLOBAL LOG'!#REF!,ROW()-169+15)</f>
        <v>#REF!</v>
      </c>
      <c r="L941" s="23" t="e">
        <f>_xlfn.XLOOKUP(K941,#REF!,#REF!,"",0,1)</f>
        <v>#REF!</v>
      </c>
      <c r="M941" s="23" t="str">
        <f>IFERROR(L941*#REF!,"")</f>
        <v/>
      </c>
      <c r="N941" s="23">
        <f t="shared" si="69"/>
        <v>-1</v>
      </c>
      <c r="O941" s="23">
        <f t="shared" si="70"/>
        <v>-1</v>
      </c>
      <c r="P941" s="23">
        <f t="shared" si="71"/>
        <v>-1</v>
      </c>
      <c r="Q941" s="24">
        <f t="shared" si="72"/>
        <v>-1</v>
      </c>
      <c r="R941" s="3"/>
      <c r="S941" s="1">
        <v>0</v>
      </c>
      <c r="T941" s="24">
        <v>-1</v>
      </c>
      <c r="U941"/>
      <c r="V941" s="1">
        <v>0</v>
      </c>
      <c r="W941" s="24">
        <v>-1</v>
      </c>
      <c r="X941"/>
      <c r="Y941" s="1">
        <v>0</v>
      </c>
      <c r="Z941" s="24">
        <v>-1</v>
      </c>
      <c r="AA941"/>
      <c r="AB941" s="1">
        <v>0</v>
      </c>
      <c r="AC941" s="24">
        <v>-1</v>
      </c>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c r="CA941"/>
      <c r="CB941"/>
      <c r="CC941"/>
      <c r="CD941"/>
      <c r="CE941"/>
      <c r="CF941"/>
      <c r="CG941"/>
      <c r="CH941"/>
      <c r="CI941"/>
      <c r="CJ941"/>
      <c r="CK941"/>
      <c r="CL941"/>
      <c r="CM941"/>
      <c r="CN941"/>
      <c r="CO941"/>
      <c r="CP941"/>
      <c r="CQ941"/>
      <c r="CR941"/>
      <c r="CS941"/>
    </row>
    <row r="942" spans="2:97">
      <c r="B942"/>
      <c r="C942" s="15"/>
      <c r="D942" s="23"/>
      <c r="E942" s="23"/>
      <c r="F942" s="23"/>
      <c r="G942" s="23">
        <f t="shared" si="68"/>
        <v>0</v>
      </c>
      <c r="H942" s="23" t="e" cm="1">
        <f t="array" ref="H942">INDEX('GLOBAL LOG'!#REF!,ROW()-169+15)</f>
        <v>#REF!</v>
      </c>
      <c r="I942" s="23" t="e">
        <f>_xlfn.XLOOKUP(H942,#REF!,#REF!,"",0,1)</f>
        <v>#REF!</v>
      </c>
      <c r="J942" s="23" t="str">
        <f>IFERROR(I942*#REF!,"")</f>
        <v/>
      </c>
      <c r="K942" s="23" t="e" cm="1">
        <f t="array" ref="K942">INDEX('GLOBAL LOG'!#REF!,ROW()-169+15)</f>
        <v>#REF!</v>
      </c>
      <c r="L942" s="23" t="e">
        <f>_xlfn.XLOOKUP(K942,#REF!,#REF!,"",0,1)</f>
        <v>#REF!</v>
      </c>
      <c r="M942" s="23" t="str">
        <f>IFERROR(L942*#REF!,"")</f>
        <v/>
      </c>
      <c r="N942" s="23">
        <f t="shared" si="69"/>
        <v>-1</v>
      </c>
      <c r="O942" s="23">
        <f t="shared" si="70"/>
        <v>-1</v>
      </c>
      <c r="P942" s="23">
        <f t="shared" si="71"/>
        <v>-1</v>
      </c>
      <c r="Q942" s="24">
        <f t="shared" si="72"/>
        <v>-1</v>
      </c>
      <c r="R942" s="3"/>
      <c r="S942" s="1">
        <v>0</v>
      </c>
      <c r="T942" s="24">
        <v>-1</v>
      </c>
      <c r="U942"/>
      <c r="V942" s="1">
        <v>0</v>
      </c>
      <c r="W942" s="24">
        <v>-1</v>
      </c>
      <c r="X942"/>
      <c r="Y942" s="1">
        <v>0</v>
      </c>
      <c r="Z942" s="24">
        <v>-1</v>
      </c>
      <c r="AA942"/>
      <c r="AB942" s="1">
        <v>0</v>
      </c>
      <c r="AC942" s="24">
        <v>-1</v>
      </c>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c r="CA942"/>
      <c r="CB942"/>
      <c r="CC942"/>
      <c r="CD942"/>
      <c r="CE942"/>
      <c r="CF942"/>
      <c r="CG942"/>
      <c r="CH942"/>
      <c r="CI942"/>
      <c r="CJ942"/>
      <c r="CK942"/>
      <c r="CL942"/>
      <c r="CM942"/>
      <c r="CN942"/>
      <c r="CO942"/>
      <c r="CP942"/>
      <c r="CQ942"/>
      <c r="CR942"/>
      <c r="CS942"/>
    </row>
    <row r="943" spans="2:97">
      <c r="B943"/>
      <c r="C943" s="15"/>
      <c r="D943" s="23"/>
      <c r="E943" s="23"/>
      <c r="F943" s="23"/>
      <c r="G943" s="23">
        <f t="shared" si="68"/>
        <v>0</v>
      </c>
      <c r="H943" s="23" t="e" cm="1">
        <f t="array" ref="H943">INDEX('GLOBAL LOG'!#REF!,ROW()-169+15)</f>
        <v>#REF!</v>
      </c>
      <c r="I943" s="23" t="e">
        <f>_xlfn.XLOOKUP(H943,#REF!,#REF!,"",0,1)</f>
        <v>#REF!</v>
      </c>
      <c r="J943" s="23" t="str">
        <f>IFERROR(I943*#REF!,"")</f>
        <v/>
      </c>
      <c r="K943" s="23" t="e" cm="1">
        <f t="array" ref="K943">INDEX('GLOBAL LOG'!#REF!,ROW()-169+15)</f>
        <v>#REF!</v>
      </c>
      <c r="L943" s="23" t="e">
        <f>_xlfn.XLOOKUP(K943,#REF!,#REF!,"",0,1)</f>
        <v>#REF!</v>
      </c>
      <c r="M943" s="23" t="str">
        <f>IFERROR(L943*#REF!,"")</f>
        <v/>
      </c>
      <c r="N943" s="23">
        <f t="shared" si="69"/>
        <v>-1</v>
      </c>
      <c r="O943" s="23">
        <f t="shared" si="70"/>
        <v>-1</v>
      </c>
      <c r="P943" s="23">
        <f t="shared" si="71"/>
        <v>-1</v>
      </c>
      <c r="Q943" s="24">
        <f t="shared" si="72"/>
        <v>-1</v>
      </c>
      <c r="R943" s="3"/>
      <c r="S943" s="1">
        <v>0</v>
      </c>
      <c r="T943" s="24">
        <v>-1</v>
      </c>
      <c r="U943"/>
      <c r="V943" s="1">
        <v>0</v>
      </c>
      <c r="W943" s="24">
        <v>-1</v>
      </c>
      <c r="X943"/>
      <c r="Y943" s="1">
        <v>0</v>
      </c>
      <c r="Z943" s="24">
        <v>-1</v>
      </c>
      <c r="AA943"/>
      <c r="AB943" s="1">
        <v>0</v>
      </c>
      <c r="AC943" s="24">
        <v>-1</v>
      </c>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c r="CA943"/>
      <c r="CB943"/>
      <c r="CC943"/>
      <c r="CD943"/>
      <c r="CE943"/>
      <c r="CF943"/>
      <c r="CG943"/>
      <c r="CH943"/>
      <c r="CI943"/>
      <c r="CJ943"/>
      <c r="CK943"/>
      <c r="CL943"/>
      <c r="CM943"/>
      <c r="CN943"/>
      <c r="CO943"/>
      <c r="CP943"/>
      <c r="CQ943"/>
      <c r="CR943"/>
      <c r="CS943"/>
    </row>
    <row r="944" spans="2:97">
      <c r="B944"/>
      <c r="C944" s="15"/>
      <c r="D944" s="23"/>
      <c r="E944" s="23"/>
      <c r="F944" s="23"/>
      <c r="G944" s="23">
        <f t="shared" si="68"/>
        <v>0</v>
      </c>
      <c r="H944" s="23" t="e" cm="1">
        <f t="array" ref="H944">INDEX('GLOBAL LOG'!#REF!,ROW()-169+15)</f>
        <v>#REF!</v>
      </c>
      <c r="I944" s="23" t="e">
        <f>_xlfn.XLOOKUP(H944,#REF!,#REF!,"",0,1)</f>
        <v>#REF!</v>
      </c>
      <c r="J944" s="23" t="str">
        <f>IFERROR(I944*#REF!,"")</f>
        <v/>
      </c>
      <c r="K944" s="23" t="e" cm="1">
        <f t="array" ref="K944">INDEX('GLOBAL LOG'!#REF!,ROW()-169+15)</f>
        <v>#REF!</v>
      </c>
      <c r="L944" s="23" t="e">
        <f>_xlfn.XLOOKUP(K944,#REF!,#REF!,"",0,1)</f>
        <v>#REF!</v>
      </c>
      <c r="M944" s="23" t="str">
        <f>IFERROR(L944*#REF!,"")</f>
        <v/>
      </c>
      <c r="N944" s="23">
        <f t="shared" si="69"/>
        <v>-1</v>
      </c>
      <c r="O944" s="23">
        <f t="shared" si="70"/>
        <v>-1</v>
      </c>
      <c r="P944" s="23">
        <f t="shared" si="71"/>
        <v>-1</v>
      </c>
      <c r="Q944" s="24">
        <f t="shared" si="72"/>
        <v>-1</v>
      </c>
      <c r="R944" s="3"/>
      <c r="S944" s="1">
        <v>0</v>
      </c>
      <c r="T944" s="24">
        <v>-1</v>
      </c>
      <c r="U944"/>
      <c r="V944" s="1">
        <v>0</v>
      </c>
      <c r="W944" s="24">
        <v>-1</v>
      </c>
      <c r="X944"/>
      <c r="Y944" s="1">
        <v>0</v>
      </c>
      <c r="Z944" s="24">
        <v>-1</v>
      </c>
      <c r="AA944"/>
      <c r="AB944" s="1">
        <v>0</v>
      </c>
      <c r="AC944" s="24">
        <v>-1</v>
      </c>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c r="CA944"/>
      <c r="CB944"/>
      <c r="CC944"/>
      <c r="CD944"/>
      <c r="CE944"/>
      <c r="CF944"/>
      <c r="CG944"/>
      <c r="CH944"/>
      <c r="CI944"/>
      <c r="CJ944"/>
      <c r="CK944"/>
      <c r="CL944"/>
      <c r="CM944"/>
      <c r="CN944"/>
      <c r="CO944"/>
      <c r="CP944"/>
      <c r="CQ944"/>
      <c r="CR944"/>
      <c r="CS944"/>
    </row>
    <row r="945" spans="2:97">
      <c r="B945"/>
      <c r="C945" s="15"/>
      <c r="D945" s="23"/>
      <c r="E945" s="23"/>
      <c r="F945" s="23"/>
      <c r="G945" s="23">
        <f t="shared" si="68"/>
        <v>0</v>
      </c>
      <c r="H945" s="23" t="e" cm="1">
        <f t="array" ref="H945">INDEX('GLOBAL LOG'!#REF!,ROW()-169+15)</f>
        <v>#REF!</v>
      </c>
      <c r="I945" s="23" t="e">
        <f>_xlfn.XLOOKUP(H945,#REF!,#REF!,"",0,1)</f>
        <v>#REF!</v>
      </c>
      <c r="J945" s="23" t="str">
        <f>IFERROR(I945*#REF!,"")</f>
        <v/>
      </c>
      <c r="K945" s="23" t="e" cm="1">
        <f t="array" ref="K945">INDEX('GLOBAL LOG'!#REF!,ROW()-169+15)</f>
        <v>#REF!</v>
      </c>
      <c r="L945" s="23" t="e">
        <f>_xlfn.XLOOKUP(K945,#REF!,#REF!,"",0,1)</f>
        <v>#REF!</v>
      </c>
      <c r="M945" s="23" t="str">
        <f>IFERROR(L945*#REF!,"")</f>
        <v/>
      </c>
      <c r="N945" s="23">
        <f t="shared" si="69"/>
        <v>-1</v>
      </c>
      <c r="O945" s="23">
        <f t="shared" si="70"/>
        <v>-1</v>
      </c>
      <c r="P945" s="23">
        <f t="shared" si="71"/>
        <v>-1</v>
      </c>
      <c r="Q945" s="24">
        <f t="shared" si="72"/>
        <v>-1</v>
      </c>
      <c r="R945" s="3"/>
      <c r="S945" s="1">
        <v>0</v>
      </c>
      <c r="T945" s="24">
        <v>-1</v>
      </c>
      <c r="U945"/>
      <c r="V945" s="1">
        <v>0</v>
      </c>
      <c r="W945" s="24">
        <v>-1</v>
      </c>
      <c r="X945"/>
      <c r="Y945" s="1">
        <v>0</v>
      </c>
      <c r="Z945" s="24">
        <v>-1</v>
      </c>
      <c r="AA945"/>
      <c r="AB945" s="1">
        <v>0</v>
      </c>
      <c r="AC945" s="24">
        <v>-1</v>
      </c>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c r="CA945"/>
      <c r="CB945"/>
      <c r="CC945"/>
      <c r="CD945"/>
      <c r="CE945"/>
      <c r="CF945"/>
      <c r="CG945"/>
      <c r="CH945"/>
      <c r="CI945"/>
      <c r="CJ945"/>
      <c r="CK945"/>
      <c r="CL945"/>
      <c r="CM945"/>
      <c r="CN945"/>
      <c r="CO945"/>
      <c r="CP945"/>
      <c r="CQ945"/>
      <c r="CR945"/>
      <c r="CS945"/>
    </row>
    <row r="946" spans="2:97">
      <c r="B946"/>
      <c r="C946" s="15"/>
      <c r="D946" s="23"/>
      <c r="E946" s="23"/>
      <c r="F946" s="23"/>
      <c r="G946" s="23">
        <f t="shared" si="68"/>
        <v>0</v>
      </c>
      <c r="H946" s="23" t="e" cm="1">
        <f t="array" ref="H946">INDEX('GLOBAL LOG'!#REF!,ROW()-169+15)</f>
        <v>#REF!</v>
      </c>
      <c r="I946" s="23" t="e">
        <f>_xlfn.XLOOKUP(H946,#REF!,#REF!,"",0,1)</f>
        <v>#REF!</v>
      </c>
      <c r="J946" s="23" t="str">
        <f>IFERROR(I946*#REF!,"")</f>
        <v/>
      </c>
      <c r="K946" s="23" t="e" cm="1">
        <f t="array" ref="K946">INDEX('GLOBAL LOG'!#REF!,ROW()-169+15)</f>
        <v>#REF!</v>
      </c>
      <c r="L946" s="23" t="e">
        <f>_xlfn.XLOOKUP(K946,#REF!,#REF!,"",0,1)</f>
        <v>#REF!</v>
      </c>
      <c r="M946" s="23" t="str">
        <f>IFERROR(L946*#REF!,"")</f>
        <v/>
      </c>
      <c r="N946" s="23">
        <f t="shared" si="69"/>
        <v>-1</v>
      </c>
      <c r="O946" s="23">
        <f t="shared" si="70"/>
        <v>-1</v>
      </c>
      <c r="P946" s="23">
        <f t="shared" si="71"/>
        <v>-1</v>
      </c>
      <c r="Q946" s="24">
        <f t="shared" si="72"/>
        <v>-1</v>
      </c>
      <c r="R946" s="3"/>
      <c r="S946" s="1">
        <v>0</v>
      </c>
      <c r="T946" s="24">
        <v>-1</v>
      </c>
      <c r="U946"/>
      <c r="V946" s="1">
        <v>0</v>
      </c>
      <c r="W946" s="24">
        <v>-1</v>
      </c>
      <c r="X946"/>
      <c r="Y946" s="1">
        <v>0</v>
      </c>
      <c r="Z946" s="24">
        <v>-1</v>
      </c>
      <c r="AA946"/>
      <c r="AB946" s="1">
        <v>0</v>
      </c>
      <c r="AC946" s="24">
        <v>-1</v>
      </c>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c r="CA946"/>
      <c r="CB946"/>
      <c r="CC946"/>
      <c r="CD946"/>
      <c r="CE946"/>
      <c r="CF946"/>
      <c r="CG946"/>
      <c r="CH946"/>
      <c r="CI946"/>
      <c r="CJ946"/>
      <c r="CK946"/>
      <c r="CL946"/>
      <c r="CM946"/>
      <c r="CN946"/>
      <c r="CO946"/>
      <c r="CP946"/>
      <c r="CQ946"/>
      <c r="CR946"/>
      <c r="CS946"/>
    </row>
    <row r="947" spans="2:97">
      <c r="B947"/>
      <c r="C947" s="15"/>
      <c r="D947" s="23"/>
      <c r="E947" s="23"/>
      <c r="F947" s="23"/>
      <c r="G947" s="23">
        <f t="shared" si="68"/>
        <v>0</v>
      </c>
      <c r="H947" s="23" t="e" cm="1">
        <f t="array" ref="H947">INDEX('GLOBAL LOG'!#REF!,ROW()-169+15)</f>
        <v>#REF!</v>
      </c>
      <c r="I947" s="23" t="e">
        <f>_xlfn.XLOOKUP(H947,#REF!,#REF!,"",0,1)</f>
        <v>#REF!</v>
      </c>
      <c r="J947" s="23" t="str">
        <f>IFERROR(I947*#REF!,"")</f>
        <v/>
      </c>
      <c r="K947" s="23" t="e" cm="1">
        <f t="array" ref="K947">INDEX('GLOBAL LOG'!#REF!,ROW()-169+15)</f>
        <v>#REF!</v>
      </c>
      <c r="L947" s="23" t="e">
        <f>_xlfn.XLOOKUP(K947,#REF!,#REF!,"",0,1)</f>
        <v>#REF!</v>
      </c>
      <c r="M947" s="23" t="str">
        <f>IFERROR(L947*#REF!,"")</f>
        <v/>
      </c>
      <c r="N947" s="23">
        <f t="shared" si="69"/>
        <v>-1</v>
      </c>
      <c r="O947" s="23">
        <f t="shared" si="70"/>
        <v>-1</v>
      </c>
      <c r="P947" s="23">
        <f t="shared" si="71"/>
        <v>-1</v>
      </c>
      <c r="Q947" s="24">
        <f t="shared" si="72"/>
        <v>-1</v>
      </c>
      <c r="R947" s="3"/>
      <c r="S947" s="1">
        <v>0</v>
      </c>
      <c r="T947" s="24">
        <v>-1</v>
      </c>
      <c r="U947"/>
      <c r="V947" s="1">
        <v>0</v>
      </c>
      <c r="W947" s="24">
        <v>-1</v>
      </c>
      <c r="X947"/>
      <c r="Y947" s="1">
        <v>0</v>
      </c>
      <c r="Z947" s="24">
        <v>-1</v>
      </c>
      <c r="AA947"/>
      <c r="AB947" s="1">
        <v>0</v>
      </c>
      <c r="AC947" s="24">
        <v>-1</v>
      </c>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c r="CA947"/>
      <c r="CB947"/>
      <c r="CC947"/>
      <c r="CD947"/>
      <c r="CE947"/>
      <c r="CF947"/>
      <c r="CG947"/>
      <c r="CH947"/>
      <c r="CI947"/>
      <c r="CJ947"/>
      <c r="CK947"/>
      <c r="CL947"/>
      <c r="CM947"/>
      <c r="CN947"/>
      <c r="CO947"/>
      <c r="CP947"/>
      <c r="CQ947"/>
      <c r="CR947"/>
      <c r="CS947"/>
    </row>
    <row r="948" spans="2:97">
      <c r="B948"/>
      <c r="C948" s="15"/>
      <c r="D948" s="23"/>
      <c r="E948" s="23"/>
      <c r="F948" s="23"/>
      <c r="G948" s="23">
        <f t="shared" si="68"/>
        <v>0</v>
      </c>
      <c r="H948" s="23" t="e" cm="1">
        <f t="array" ref="H948">INDEX('GLOBAL LOG'!#REF!,ROW()-169+15)</f>
        <v>#REF!</v>
      </c>
      <c r="I948" s="23" t="e">
        <f>_xlfn.XLOOKUP(H948,#REF!,#REF!,"",0,1)</f>
        <v>#REF!</v>
      </c>
      <c r="J948" s="23" t="str">
        <f>IFERROR(I948*#REF!,"")</f>
        <v/>
      </c>
      <c r="K948" s="23" t="e" cm="1">
        <f t="array" ref="K948">INDEX('GLOBAL LOG'!#REF!,ROW()-169+15)</f>
        <v>#REF!</v>
      </c>
      <c r="L948" s="23" t="e">
        <f>_xlfn.XLOOKUP(K948,#REF!,#REF!,"",0,1)</f>
        <v>#REF!</v>
      </c>
      <c r="M948" s="23" t="str">
        <f>IFERROR(L948*#REF!,"")</f>
        <v/>
      </c>
      <c r="N948" s="23">
        <f t="shared" si="69"/>
        <v>-1</v>
      </c>
      <c r="O948" s="23">
        <f t="shared" si="70"/>
        <v>-1</v>
      </c>
      <c r="P948" s="23">
        <f t="shared" si="71"/>
        <v>-1</v>
      </c>
      <c r="Q948" s="24">
        <f t="shared" si="72"/>
        <v>-1</v>
      </c>
      <c r="R948" s="3"/>
      <c r="S948" s="1">
        <v>0</v>
      </c>
      <c r="T948" s="24">
        <v>-1</v>
      </c>
      <c r="U948"/>
      <c r="V948" s="1">
        <v>0</v>
      </c>
      <c r="W948" s="24">
        <v>-1</v>
      </c>
      <c r="X948"/>
      <c r="Y948" s="1">
        <v>0</v>
      </c>
      <c r="Z948" s="24">
        <v>-1</v>
      </c>
      <c r="AA948"/>
      <c r="AB948" s="1">
        <v>0</v>
      </c>
      <c r="AC948" s="24">
        <v>-1</v>
      </c>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c r="CA948"/>
      <c r="CB948"/>
      <c r="CC948"/>
      <c r="CD948"/>
      <c r="CE948"/>
      <c r="CF948"/>
      <c r="CG948"/>
      <c r="CH948"/>
      <c r="CI948"/>
      <c r="CJ948"/>
      <c r="CK948"/>
      <c r="CL948"/>
      <c r="CM948"/>
      <c r="CN948"/>
      <c r="CO948"/>
      <c r="CP948"/>
      <c r="CQ948"/>
      <c r="CR948"/>
      <c r="CS948"/>
    </row>
    <row r="949" spans="2:97">
      <c r="B949"/>
      <c r="C949" s="15"/>
      <c r="D949" s="23"/>
      <c r="E949" s="23"/>
      <c r="F949" s="23"/>
      <c r="G949" s="23">
        <f t="shared" si="68"/>
        <v>0</v>
      </c>
      <c r="H949" s="23" t="e" cm="1">
        <f t="array" ref="H949">INDEX('GLOBAL LOG'!#REF!,ROW()-169+15)</f>
        <v>#REF!</v>
      </c>
      <c r="I949" s="23" t="e">
        <f>_xlfn.XLOOKUP(H949,#REF!,#REF!,"",0,1)</f>
        <v>#REF!</v>
      </c>
      <c r="J949" s="23" t="str">
        <f>IFERROR(I949*#REF!,"")</f>
        <v/>
      </c>
      <c r="K949" s="23" t="e" cm="1">
        <f t="array" ref="K949">INDEX('GLOBAL LOG'!#REF!,ROW()-169+15)</f>
        <v>#REF!</v>
      </c>
      <c r="L949" s="23" t="e">
        <f>_xlfn.XLOOKUP(K949,#REF!,#REF!,"",0,1)</f>
        <v>#REF!</v>
      </c>
      <c r="M949" s="23" t="str">
        <f>IFERROR(L949*#REF!,"")</f>
        <v/>
      </c>
      <c r="N949" s="23">
        <f t="shared" si="69"/>
        <v>-1</v>
      </c>
      <c r="O949" s="23">
        <f t="shared" si="70"/>
        <v>-1</v>
      </c>
      <c r="P949" s="23">
        <f t="shared" si="71"/>
        <v>-1</v>
      </c>
      <c r="Q949" s="24">
        <f t="shared" si="72"/>
        <v>-1</v>
      </c>
      <c r="R949" s="3"/>
      <c r="S949" s="1">
        <v>0</v>
      </c>
      <c r="T949" s="24">
        <v>-1</v>
      </c>
      <c r="U949"/>
      <c r="V949" s="1">
        <v>0</v>
      </c>
      <c r="W949" s="24">
        <v>-1</v>
      </c>
      <c r="X949"/>
      <c r="Y949" s="1">
        <v>0</v>
      </c>
      <c r="Z949" s="24">
        <v>-1</v>
      </c>
      <c r="AA949"/>
      <c r="AB949" s="1">
        <v>0</v>
      </c>
      <c r="AC949" s="24">
        <v>-1</v>
      </c>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c r="CA949"/>
      <c r="CB949"/>
      <c r="CC949"/>
      <c r="CD949"/>
      <c r="CE949"/>
      <c r="CF949"/>
      <c r="CG949"/>
      <c r="CH949"/>
      <c r="CI949"/>
      <c r="CJ949"/>
      <c r="CK949"/>
      <c r="CL949"/>
      <c r="CM949"/>
      <c r="CN949"/>
      <c r="CO949"/>
      <c r="CP949"/>
      <c r="CQ949"/>
      <c r="CR949"/>
      <c r="CS949"/>
    </row>
    <row r="950" spans="2:97">
      <c r="B950"/>
      <c r="C950" s="15"/>
      <c r="D950" s="23"/>
      <c r="E950" s="23"/>
      <c r="F950" s="23"/>
      <c r="G950" s="23">
        <f t="shared" si="68"/>
        <v>0</v>
      </c>
      <c r="H950" s="23" t="e" cm="1">
        <f t="array" ref="H950">INDEX('GLOBAL LOG'!#REF!,ROW()-169+15)</f>
        <v>#REF!</v>
      </c>
      <c r="I950" s="23" t="e">
        <f>_xlfn.XLOOKUP(H950,#REF!,#REF!,"",0,1)</f>
        <v>#REF!</v>
      </c>
      <c r="J950" s="23" t="str">
        <f>IFERROR(I950*#REF!,"")</f>
        <v/>
      </c>
      <c r="K950" s="23" t="e" cm="1">
        <f t="array" ref="K950">INDEX('GLOBAL LOG'!#REF!,ROW()-169+15)</f>
        <v>#REF!</v>
      </c>
      <c r="L950" s="23" t="e">
        <f>_xlfn.XLOOKUP(K950,#REF!,#REF!,"",0,1)</f>
        <v>#REF!</v>
      </c>
      <c r="M950" s="23" t="str">
        <f>IFERROR(L950*#REF!,"")</f>
        <v/>
      </c>
      <c r="N950" s="23">
        <f t="shared" si="69"/>
        <v>-1</v>
      </c>
      <c r="O950" s="23">
        <f t="shared" si="70"/>
        <v>-1</v>
      </c>
      <c r="P950" s="23">
        <f t="shared" si="71"/>
        <v>-1</v>
      </c>
      <c r="Q950" s="24">
        <f t="shared" si="72"/>
        <v>-1</v>
      </c>
      <c r="R950" s="3"/>
      <c r="S950" s="1">
        <v>0</v>
      </c>
      <c r="T950" s="24">
        <v>-1</v>
      </c>
      <c r="U950"/>
      <c r="V950" s="1">
        <v>0</v>
      </c>
      <c r="W950" s="24">
        <v>-1</v>
      </c>
      <c r="X950"/>
      <c r="Y950" s="1">
        <v>0</v>
      </c>
      <c r="Z950" s="24">
        <v>-1</v>
      </c>
      <c r="AA950"/>
      <c r="AB950" s="1">
        <v>0</v>
      </c>
      <c r="AC950" s="24">
        <v>-1</v>
      </c>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c r="CA950"/>
      <c r="CB950"/>
      <c r="CC950"/>
      <c r="CD950"/>
      <c r="CE950"/>
      <c r="CF950"/>
      <c r="CG950"/>
      <c r="CH950"/>
      <c r="CI950"/>
      <c r="CJ950"/>
      <c r="CK950"/>
      <c r="CL950"/>
      <c r="CM950"/>
      <c r="CN950"/>
      <c r="CO950"/>
      <c r="CP950"/>
      <c r="CQ950"/>
      <c r="CR950"/>
      <c r="CS950"/>
    </row>
    <row r="951" spans="2:97">
      <c r="B951"/>
      <c r="C951" s="15"/>
      <c r="D951" s="23"/>
      <c r="E951" s="23"/>
      <c r="F951" s="23"/>
      <c r="G951" s="23">
        <f t="shared" si="68"/>
        <v>0</v>
      </c>
      <c r="H951" s="23" t="e" cm="1">
        <f t="array" ref="H951">INDEX('GLOBAL LOG'!#REF!,ROW()-169+15)</f>
        <v>#REF!</v>
      </c>
      <c r="I951" s="23" t="e">
        <f>_xlfn.XLOOKUP(H951,#REF!,#REF!,"",0,1)</f>
        <v>#REF!</v>
      </c>
      <c r="J951" s="23" t="str">
        <f>IFERROR(I951*#REF!,"")</f>
        <v/>
      </c>
      <c r="K951" s="23" t="e" cm="1">
        <f t="array" ref="K951">INDEX('GLOBAL LOG'!#REF!,ROW()-169+15)</f>
        <v>#REF!</v>
      </c>
      <c r="L951" s="23" t="e">
        <f>_xlfn.XLOOKUP(K951,#REF!,#REF!,"",0,1)</f>
        <v>#REF!</v>
      </c>
      <c r="M951" s="23" t="str">
        <f>IFERROR(L951*#REF!,"")</f>
        <v/>
      </c>
      <c r="N951" s="23">
        <f t="shared" si="69"/>
        <v>-1</v>
      </c>
      <c r="O951" s="23">
        <f t="shared" si="70"/>
        <v>-1</v>
      </c>
      <c r="P951" s="23">
        <f t="shared" si="71"/>
        <v>-1</v>
      </c>
      <c r="Q951" s="24">
        <f t="shared" si="72"/>
        <v>-1</v>
      </c>
      <c r="R951" s="3"/>
      <c r="S951" s="1">
        <v>0</v>
      </c>
      <c r="T951" s="24">
        <v>-1</v>
      </c>
      <c r="U951"/>
      <c r="V951" s="1">
        <v>0</v>
      </c>
      <c r="W951" s="24">
        <v>-1</v>
      </c>
      <c r="X951"/>
      <c r="Y951" s="1">
        <v>0</v>
      </c>
      <c r="Z951" s="24">
        <v>-1</v>
      </c>
      <c r="AA951"/>
      <c r="AB951" s="1">
        <v>0</v>
      </c>
      <c r="AC951" s="24">
        <v>-1</v>
      </c>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c r="CA951"/>
      <c r="CB951"/>
      <c r="CC951"/>
      <c r="CD951"/>
      <c r="CE951"/>
      <c r="CF951"/>
      <c r="CG951"/>
      <c r="CH951"/>
      <c r="CI951"/>
      <c r="CJ951"/>
      <c r="CK951"/>
      <c r="CL951"/>
      <c r="CM951"/>
      <c r="CN951"/>
      <c r="CO951"/>
      <c r="CP951"/>
      <c r="CQ951"/>
      <c r="CR951"/>
      <c r="CS951"/>
    </row>
    <row r="952" spans="2:97">
      <c r="B952"/>
      <c r="C952" s="15"/>
      <c r="D952" s="23"/>
      <c r="E952" s="23"/>
      <c r="F952" s="23"/>
      <c r="G952" s="23">
        <f t="shared" si="68"/>
        <v>0</v>
      </c>
      <c r="H952" s="23" t="e" cm="1">
        <f t="array" ref="H952">INDEX('GLOBAL LOG'!#REF!,ROW()-169+15)</f>
        <v>#REF!</v>
      </c>
      <c r="I952" s="23" t="e">
        <f>_xlfn.XLOOKUP(H952,#REF!,#REF!,"",0,1)</f>
        <v>#REF!</v>
      </c>
      <c r="J952" s="23" t="str">
        <f>IFERROR(I952*#REF!,"")</f>
        <v/>
      </c>
      <c r="K952" s="23" t="e" cm="1">
        <f t="array" ref="K952">INDEX('GLOBAL LOG'!#REF!,ROW()-169+15)</f>
        <v>#REF!</v>
      </c>
      <c r="L952" s="23" t="e">
        <f>_xlfn.XLOOKUP(K952,#REF!,#REF!,"",0,1)</f>
        <v>#REF!</v>
      </c>
      <c r="M952" s="23" t="str">
        <f>IFERROR(L952*#REF!,"")</f>
        <v/>
      </c>
      <c r="N952" s="23">
        <f t="shared" si="69"/>
        <v>-1</v>
      </c>
      <c r="O952" s="23">
        <f t="shared" si="70"/>
        <v>-1</v>
      </c>
      <c r="P952" s="23">
        <f t="shared" si="71"/>
        <v>-1</v>
      </c>
      <c r="Q952" s="24">
        <f t="shared" si="72"/>
        <v>-1</v>
      </c>
      <c r="R952" s="3"/>
      <c r="S952" s="1">
        <v>0</v>
      </c>
      <c r="T952" s="24">
        <v>-1</v>
      </c>
      <c r="U952"/>
      <c r="V952" s="1">
        <v>0</v>
      </c>
      <c r="W952" s="24">
        <v>-1</v>
      </c>
      <c r="X952"/>
      <c r="Y952" s="1">
        <v>0</v>
      </c>
      <c r="Z952" s="24">
        <v>-1</v>
      </c>
      <c r="AA952"/>
      <c r="AB952" s="1">
        <v>0</v>
      </c>
      <c r="AC952" s="24">
        <v>-1</v>
      </c>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c r="CA952"/>
      <c r="CB952"/>
      <c r="CC952"/>
      <c r="CD952"/>
      <c r="CE952"/>
      <c r="CF952"/>
      <c r="CG952"/>
      <c r="CH952"/>
      <c r="CI952"/>
      <c r="CJ952"/>
      <c r="CK952"/>
      <c r="CL952"/>
      <c r="CM952"/>
      <c r="CN952"/>
      <c r="CO952"/>
      <c r="CP952"/>
      <c r="CQ952"/>
      <c r="CR952"/>
      <c r="CS952"/>
    </row>
    <row r="953" spans="2:97">
      <c r="B953"/>
      <c r="C953" s="15"/>
      <c r="D953" s="23"/>
      <c r="E953" s="23"/>
      <c r="F953" s="23"/>
      <c r="G953" s="23">
        <f t="shared" si="68"/>
        <v>0</v>
      </c>
      <c r="H953" s="23" t="e" cm="1">
        <f t="array" ref="H953">INDEX('GLOBAL LOG'!#REF!,ROW()-169+15)</f>
        <v>#REF!</v>
      </c>
      <c r="I953" s="23" t="e">
        <f>_xlfn.XLOOKUP(H953,#REF!,#REF!,"",0,1)</f>
        <v>#REF!</v>
      </c>
      <c r="J953" s="23" t="str">
        <f>IFERROR(I953*#REF!,"")</f>
        <v/>
      </c>
      <c r="K953" s="23" t="e" cm="1">
        <f t="array" ref="K953">INDEX('GLOBAL LOG'!#REF!,ROW()-169+15)</f>
        <v>#REF!</v>
      </c>
      <c r="L953" s="23" t="e">
        <f>_xlfn.XLOOKUP(K953,#REF!,#REF!,"",0,1)</f>
        <v>#REF!</v>
      </c>
      <c r="M953" s="23" t="str">
        <f>IFERROR(L953*#REF!,"")</f>
        <v/>
      </c>
      <c r="N953" s="23">
        <f t="shared" si="69"/>
        <v>-1</v>
      </c>
      <c r="O953" s="23">
        <f t="shared" si="70"/>
        <v>-1</v>
      </c>
      <c r="P953" s="23">
        <f t="shared" si="71"/>
        <v>-1</v>
      </c>
      <c r="Q953" s="24">
        <f t="shared" si="72"/>
        <v>-1</v>
      </c>
      <c r="R953" s="3"/>
      <c r="S953" s="1">
        <v>0</v>
      </c>
      <c r="T953" s="24">
        <v>-1</v>
      </c>
      <c r="U953"/>
      <c r="V953" s="1">
        <v>0</v>
      </c>
      <c r="W953" s="24">
        <v>-1</v>
      </c>
      <c r="X953"/>
      <c r="Y953" s="1">
        <v>0</v>
      </c>
      <c r="Z953" s="24">
        <v>-1</v>
      </c>
      <c r="AA953"/>
      <c r="AB953" s="1">
        <v>0</v>
      </c>
      <c r="AC953" s="24">
        <v>-1</v>
      </c>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c r="CA953"/>
      <c r="CB953"/>
      <c r="CC953"/>
      <c r="CD953"/>
      <c r="CE953"/>
      <c r="CF953"/>
      <c r="CG953"/>
      <c r="CH953"/>
      <c r="CI953"/>
      <c r="CJ953"/>
      <c r="CK953"/>
      <c r="CL953"/>
      <c r="CM953"/>
      <c r="CN953"/>
      <c r="CO953"/>
      <c r="CP953"/>
      <c r="CQ953"/>
      <c r="CR953"/>
      <c r="CS953"/>
    </row>
    <row r="954" spans="2:97">
      <c r="B954"/>
      <c r="C954" s="15"/>
      <c r="D954" s="23"/>
      <c r="E954" s="23"/>
      <c r="F954" s="23"/>
      <c r="G954" s="23">
        <f t="shared" si="68"/>
        <v>0</v>
      </c>
      <c r="H954" s="23" t="e" cm="1">
        <f t="array" ref="H954">INDEX('GLOBAL LOG'!#REF!,ROW()-169+15)</f>
        <v>#REF!</v>
      </c>
      <c r="I954" s="23" t="e">
        <f>_xlfn.XLOOKUP(H954,#REF!,#REF!,"",0,1)</f>
        <v>#REF!</v>
      </c>
      <c r="J954" s="23" t="str">
        <f>IFERROR(I954*#REF!,"")</f>
        <v/>
      </c>
      <c r="K954" s="23" t="e" cm="1">
        <f t="array" ref="K954">INDEX('GLOBAL LOG'!#REF!,ROW()-169+15)</f>
        <v>#REF!</v>
      </c>
      <c r="L954" s="23" t="e">
        <f>_xlfn.XLOOKUP(K954,#REF!,#REF!,"",0,1)</f>
        <v>#REF!</v>
      </c>
      <c r="M954" s="23" t="str">
        <f>IFERROR(L954*#REF!,"")</f>
        <v/>
      </c>
      <c r="N954" s="23">
        <f t="shared" si="69"/>
        <v>-1</v>
      </c>
      <c r="O954" s="23">
        <f t="shared" si="70"/>
        <v>-1</v>
      </c>
      <c r="P954" s="23">
        <f t="shared" si="71"/>
        <v>-1</v>
      </c>
      <c r="Q954" s="24">
        <f t="shared" si="72"/>
        <v>-1</v>
      </c>
      <c r="R954" s="3"/>
      <c r="S954" s="1">
        <v>0</v>
      </c>
      <c r="T954" s="24">
        <v>-1</v>
      </c>
      <c r="U954"/>
      <c r="V954" s="1">
        <v>0</v>
      </c>
      <c r="W954" s="24">
        <v>-1</v>
      </c>
      <c r="X954"/>
      <c r="Y954" s="1">
        <v>0</v>
      </c>
      <c r="Z954" s="24">
        <v>-1</v>
      </c>
      <c r="AA954"/>
      <c r="AB954" s="1">
        <v>0</v>
      </c>
      <c r="AC954" s="24">
        <v>-1</v>
      </c>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c r="CA954"/>
      <c r="CB954"/>
      <c r="CC954"/>
      <c r="CD954"/>
      <c r="CE954"/>
      <c r="CF954"/>
      <c r="CG954"/>
      <c r="CH954"/>
      <c r="CI954"/>
      <c r="CJ954"/>
      <c r="CK954"/>
      <c r="CL954"/>
      <c r="CM954"/>
      <c r="CN954"/>
      <c r="CO954"/>
      <c r="CP954"/>
      <c r="CQ954"/>
      <c r="CR954"/>
      <c r="CS954"/>
    </row>
    <row r="955" spans="2:97">
      <c r="B955"/>
      <c r="C955" s="15"/>
      <c r="D955" s="23"/>
      <c r="E955" s="23"/>
      <c r="F955" s="23"/>
      <c r="G955" s="23">
        <f t="shared" si="68"/>
        <v>0</v>
      </c>
      <c r="H955" s="23" t="e" cm="1">
        <f t="array" ref="H955">INDEX('GLOBAL LOG'!#REF!,ROW()-169+15)</f>
        <v>#REF!</v>
      </c>
      <c r="I955" s="23" t="e">
        <f>_xlfn.XLOOKUP(H955,#REF!,#REF!,"",0,1)</f>
        <v>#REF!</v>
      </c>
      <c r="J955" s="23" t="str">
        <f>IFERROR(I955*#REF!,"")</f>
        <v/>
      </c>
      <c r="K955" s="23" t="e" cm="1">
        <f t="array" ref="K955">INDEX('GLOBAL LOG'!#REF!,ROW()-169+15)</f>
        <v>#REF!</v>
      </c>
      <c r="L955" s="23" t="e">
        <f>_xlfn.XLOOKUP(K955,#REF!,#REF!,"",0,1)</f>
        <v>#REF!</v>
      </c>
      <c r="M955" s="23" t="str">
        <f>IFERROR(L955*#REF!,"")</f>
        <v/>
      </c>
      <c r="N955" s="23">
        <f t="shared" si="69"/>
        <v>-1</v>
      </c>
      <c r="O955" s="23">
        <f t="shared" si="70"/>
        <v>-1</v>
      </c>
      <c r="P955" s="23">
        <f t="shared" si="71"/>
        <v>-1</v>
      </c>
      <c r="Q955" s="24">
        <f t="shared" si="72"/>
        <v>-1</v>
      </c>
      <c r="R955" s="3"/>
      <c r="S955" s="1">
        <v>0</v>
      </c>
      <c r="T955" s="24">
        <v>-1</v>
      </c>
      <c r="U955"/>
      <c r="V955" s="1">
        <v>0</v>
      </c>
      <c r="W955" s="24">
        <v>-1</v>
      </c>
      <c r="X955"/>
      <c r="Y955" s="1">
        <v>0</v>
      </c>
      <c r="Z955" s="24">
        <v>-1</v>
      </c>
      <c r="AA955"/>
      <c r="AB955" s="1">
        <v>0</v>
      </c>
      <c r="AC955" s="24">
        <v>-1</v>
      </c>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c r="CA955"/>
      <c r="CB955"/>
      <c r="CC955"/>
      <c r="CD955"/>
      <c r="CE955"/>
      <c r="CF955"/>
      <c r="CG955"/>
      <c r="CH955"/>
      <c r="CI955"/>
      <c r="CJ955"/>
      <c r="CK955"/>
      <c r="CL955"/>
      <c r="CM955"/>
      <c r="CN955"/>
      <c r="CO955"/>
      <c r="CP955"/>
      <c r="CQ955"/>
      <c r="CR955"/>
      <c r="CS955"/>
    </row>
    <row r="956" spans="2:97">
      <c r="B956"/>
      <c r="C956" s="15"/>
      <c r="D956" s="23"/>
      <c r="E956" s="23"/>
      <c r="F956" s="23"/>
      <c r="G956" s="23">
        <f t="shared" si="68"/>
        <v>0</v>
      </c>
      <c r="H956" s="23" t="e" cm="1">
        <f t="array" ref="H956">INDEX('GLOBAL LOG'!#REF!,ROW()-169+15)</f>
        <v>#REF!</v>
      </c>
      <c r="I956" s="23" t="e">
        <f>_xlfn.XLOOKUP(H956,#REF!,#REF!,"",0,1)</f>
        <v>#REF!</v>
      </c>
      <c r="J956" s="23" t="str">
        <f>IFERROR(I956*#REF!,"")</f>
        <v/>
      </c>
      <c r="K956" s="23" t="e" cm="1">
        <f t="array" ref="K956">INDEX('GLOBAL LOG'!#REF!,ROW()-169+15)</f>
        <v>#REF!</v>
      </c>
      <c r="L956" s="23" t="e">
        <f>_xlfn.XLOOKUP(K956,#REF!,#REF!,"",0,1)</f>
        <v>#REF!</v>
      </c>
      <c r="M956" s="23" t="str">
        <f>IFERROR(L956*#REF!,"")</f>
        <v/>
      </c>
      <c r="N956" s="23">
        <f t="shared" si="69"/>
        <v>-1</v>
      </c>
      <c r="O956" s="23">
        <f t="shared" si="70"/>
        <v>-1</v>
      </c>
      <c r="P956" s="23">
        <f t="shared" si="71"/>
        <v>-1</v>
      </c>
      <c r="Q956" s="24">
        <f t="shared" si="72"/>
        <v>-1</v>
      </c>
      <c r="R956" s="3"/>
      <c r="S956" s="1">
        <v>0</v>
      </c>
      <c r="T956" s="24">
        <v>-1</v>
      </c>
      <c r="U956"/>
      <c r="V956" s="1">
        <v>0</v>
      </c>
      <c r="W956" s="24">
        <v>-1</v>
      </c>
      <c r="X956"/>
      <c r="Y956" s="1">
        <v>0</v>
      </c>
      <c r="Z956" s="24">
        <v>-1</v>
      </c>
      <c r="AA956"/>
      <c r="AB956" s="1">
        <v>0</v>
      </c>
      <c r="AC956" s="24">
        <v>-1</v>
      </c>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c r="CA956"/>
      <c r="CB956"/>
      <c r="CC956"/>
      <c r="CD956"/>
      <c r="CE956"/>
      <c r="CF956"/>
      <c r="CG956"/>
      <c r="CH956"/>
      <c r="CI956"/>
      <c r="CJ956"/>
      <c r="CK956"/>
      <c r="CL956"/>
      <c r="CM956"/>
      <c r="CN956"/>
      <c r="CO956"/>
      <c r="CP956"/>
      <c r="CQ956"/>
      <c r="CR956"/>
      <c r="CS956"/>
    </row>
    <row r="957" spans="2:97">
      <c r="B957"/>
      <c r="C957" s="15"/>
      <c r="D957" s="23"/>
      <c r="E957" s="23"/>
      <c r="F957" s="23"/>
      <c r="G957" s="23">
        <f t="shared" si="68"/>
        <v>0</v>
      </c>
      <c r="H957" s="23" t="e" cm="1">
        <f t="array" ref="H957">INDEX('GLOBAL LOG'!#REF!,ROW()-169+15)</f>
        <v>#REF!</v>
      </c>
      <c r="I957" s="23" t="e">
        <f>_xlfn.XLOOKUP(H957,#REF!,#REF!,"",0,1)</f>
        <v>#REF!</v>
      </c>
      <c r="J957" s="23" t="str">
        <f>IFERROR(I957*#REF!,"")</f>
        <v/>
      </c>
      <c r="K957" s="23" t="e" cm="1">
        <f t="array" ref="K957">INDEX('GLOBAL LOG'!#REF!,ROW()-169+15)</f>
        <v>#REF!</v>
      </c>
      <c r="L957" s="23" t="e">
        <f>_xlfn.XLOOKUP(K957,#REF!,#REF!,"",0,1)</f>
        <v>#REF!</v>
      </c>
      <c r="M957" s="23" t="str">
        <f>IFERROR(L957*#REF!,"")</f>
        <v/>
      </c>
      <c r="N957" s="23">
        <f t="shared" si="69"/>
        <v>-1</v>
      </c>
      <c r="O957" s="23">
        <f t="shared" si="70"/>
        <v>-1</v>
      </c>
      <c r="P957" s="23">
        <f t="shared" si="71"/>
        <v>-1</v>
      </c>
      <c r="Q957" s="24">
        <f t="shared" si="72"/>
        <v>-1</v>
      </c>
      <c r="R957" s="3"/>
      <c r="S957" s="1">
        <v>0</v>
      </c>
      <c r="T957" s="24">
        <v>-1</v>
      </c>
      <c r="U957"/>
      <c r="V957" s="1">
        <v>0</v>
      </c>
      <c r="W957" s="24">
        <v>-1</v>
      </c>
      <c r="X957"/>
      <c r="Y957" s="1">
        <v>0</v>
      </c>
      <c r="Z957" s="24">
        <v>-1</v>
      </c>
      <c r="AA957"/>
      <c r="AB957" s="1">
        <v>0</v>
      </c>
      <c r="AC957" s="24">
        <v>-1</v>
      </c>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c r="CA957"/>
      <c r="CB957"/>
      <c r="CC957"/>
      <c r="CD957"/>
      <c r="CE957"/>
      <c r="CF957"/>
      <c r="CG957"/>
      <c r="CH957"/>
      <c r="CI957"/>
      <c r="CJ957"/>
      <c r="CK957"/>
      <c r="CL957"/>
      <c r="CM957"/>
      <c r="CN957"/>
      <c r="CO957"/>
      <c r="CP957"/>
      <c r="CQ957"/>
      <c r="CR957"/>
      <c r="CS957"/>
    </row>
    <row r="958" spans="2:97">
      <c r="B958"/>
      <c r="C958" s="15"/>
      <c r="D958" s="23"/>
      <c r="E958" s="23"/>
      <c r="F958" s="23"/>
      <c r="G958" s="23">
        <f t="shared" si="68"/>
        <v>0</v>
      </c>
      <c r="H958" s="23" t="e" cm="1">
        <f t="array" ref="H958">INDEX('GLOBAL LOG'!#REF!,ROW()-169+15)</f>
        <v>#REF!</v>
      </c>
      <c r="I958" s="23" t="e">
        <f>_xlfn.XLOOKUP(H958,#REF!,#REF!,"",0,1)</f>
        <v>#REF!</v>
      </c>
      <c r="J958" s="23" t="str">
        <f>IFERROR(I958*#REF!,"")</f>
        <v/>
      </c>
      <c r="K958" s="23" t="e" cm="1">
        <f t="array" ref="K958">INDEX('GLOBAL LOG'!#REF!,ROW()-169+15)</f>
        <v>#REF!</v>
      </c>
      <c r="L958" s="23" t="e">
        <f>_xlfn.XLOOKUP(K958,#REF!,#REF!,"",0,1)</f>
        <v>#REF!</v>
      </c>
      <c r="M958" s="23" t="str">
        <f>IFERROR(L958*#REF!,"")</f>
        <v/>
      </c>
      <c r="N958" s="23">
        <f t="shared" si="69"/>
        <v>-1</v>
      </c>
      <c r="O958" s="23">
        <f t="shared" si="70"/>
        <v>-1</v>
      </c>
      <c r="P958" s="23">
        <f t="shared" si="71"/>
        <v>-1</v>
      </c>
      <c r="Q958" s="24">
        <f t="shared" si="72"/>
        <v>-1</v>
      </c>
      <c r="R958" s="3"/>
      <c r="S958" s="1">
        <v>0</v>
      </c>
      <c r="T958" s="24">
        <v>-1</v>
      </c>
      <c r="U958"/>
      <c r="V958" s="1">
        <v>0</v>
      </c>
      <c r="W958" s="24">
        <v>-1</v>
      </c>
      <c r="X958"/>
      <c r="Y958" s="1">
        <v>0</v>
      </c>
      <c r="Z958" s="24">
        <v>-1</v>
      </c>
      <c r="AA958"/>
      <c r="AB958" s="1">
        <v>0</v>
      </c>
      <c r="AC958" s="24">
        <v>-1</v>
      </c>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c r="CA958"/>
      <c r="CB958"/>
      <c r="CC958"/>
      <c r="CD958"/>
      <c r="CE958"/>
      <c r="CF958"/>
      <c r="CG958"/>
      <c r="CH958"/>
      <c r="CI958"/>
      <c r="CJ958"/>
      <c r="CK958"/>
      <c r="CL958"/>
      <c r="CM958"/>
      <c r="CN958"/>
      <c r="CO958"/>
      <c r="CP958"/>
      <c r="CQ958"/>
      <c r="CR958"/>
      <c r="CS958"/>
    </row>
    <row r="959" spans="2:97">
      <c r="B959"/>
      <c r="C959" s="15"/>
      <c r="D959" s="23"/>
      <c r="E959" s="23"/>
      <c r="F959" s="23"/>
      <c r="G959" s="23">
        <f t="shared" si="68"/>
        <v>0</v>
      </c>
      <c r="H959" s="23" t="e" cm="1">
        <f t="array" ref="H959">INDEX('GLOBAL LOG'!#REF!,ROW()-169+15)</f>
        <v>#REF!</v>
      </c>
      <c r="I959" s="23" t="e">
        <f>_xlfn.XLOOKUP(H959,#REF!,#REF!,"",0,1)</f>
        <v>#REF!</v>
      </c>
      <c r="J959" s="23" t="str">
        <f>IFERROR(I959*#REF!,"")</f>
        <v/>
      </c>
      <c r="K959" s="23" t="e" cm="1">
        <f t="array" ref="K959">INDEX('GLOBAL LOG'!#REF!,ROW()-169+15)</f>
        <v>#REF!</v>
      </c>
      <c r="L959" s="23" t="e">
        <f>_xlfn.XLOOKUP(K959,#REF!,#REF!,"",0,1)</f>
        <v>#REF!</v>
      </c>
      <c r="M959" s="23" t="str">
        <f>IFERROR(L959*#REF!,"")</f>
        <v/>
      </c>
      <c r="N959" s="23">
        <f t="shared" si="69"/>
        <v>-1</v>
      </c>
      <c r="O959" s="23">
        <f t="shared" si="70"/>
        <v>-1</v>
      </c>
      <c r="P959" s="23">
        <f t="shared" si="71"/>
        <v>-1</v>
      </c>
      <c r="Q959" s="24">
        <f t="shared" si="72"/>
        <v>-1</v>
      </c>
      <c r="R959" s="3"/>
      <c r="S959" s="1">
        <v>0</v>
      </c>
      <c r="T959" s="24">
        <v>-1</v>
      </c>
      <c r="U959"/>
      <c r="V959" s="1">
        <v>0</v>
      </c>
      <c r="W959" s="24">
        <v>-1</v>
      </c>
      <c r="X959"/>
      <c r="Y959" s="1">
        <v>0</v>
      </c>
      <c r="Z959" s="24">
        <v>-1</v>
      </c>
      <c r="AA959"/>
      <c r="AB959" s="1">
        <v>0</v>
      </c>
      <c r="AC959" s="24">
        <v>-1</v>
      </c>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c r="CA959"/>
      <c r="CB959"/>
      <c r="CC959"/>
      <c r="CD959"/>
      <c r="CE959"/>
      <c r="CF959"/>
      <c r="CG959"/>
      <c r="CH959"/>
      <c r="CI959"/>
      <c r="CJ959"/>
      <c r="CK959"/>
      <c r="CL959"/>
      <c r="CM959"/>
      <c r="CN959"/>
      <c r="CO959"/>
      <c r="CP959"/>
      <c r="CQ959"/>
      <c r="CR959"/>
      <c r="CS959"/>
    </row>
    <row r="960" spans="2:97">
      <c r="B960"/>
      <c r="C960" s="15"/>
      <c r="D960" s="23"/>
      <c r="E960" s="23"/>
      <c r="F960" s="23"/>
      <c r="G960" s="23">
        <f t="shared" si="68"/>
        <v>0</v>
      </c>
      <c r="H960" s="23" t="e" cm="1">
        <f t="array" ref="H960">INDEX('GLOBAL LOG'!#REF!,ROW()-169+15)</f>
        <v>#REF!</v>
      </c>
      <c r="I960" s="23" t="e">
        <f>_xlfn.XLOOKUP(H960,#REF!,#REF!,"",0,1)</f>
        <v>#REF!</v>
      </c>
      <c r="J960" s="23" t="str">
        <f>IFERROR(I960*#REF!,"")</f>
        <v/>
      </c>
      <c r="K960" s="23" t="e" cm="1">
        <f t="array" ref="K960">INDEX('GLOBAL LOG'!#REF!,ROW()-169+15)</f>
        <v>#REF!</v>
      </c>
      <c r="L960" s="23" t="e">
        <f>_xlfn.XLOOKUP(K960,#REF!,#REF!,"",0,1)</f>
        <v>#REF!</v>
      </c>
      <c r="M960" s="23" t="str">
        <f>IFERROR(L960*#REF!,"")</f>
        <v/>
      </c>
      <c r="N960" s="23">
        <f t="shared" si="69"/>
        <v>-1</v>
      </c>
      <c r="O960" s="23">
        <f t="shared" si="70"/>
        <v>-1</v>
      </c>
      <c r="P960" s="23">
        <f t="shared" si="71"/>
        <v>-1</v>
      </c>
      <c r="Q960" s="24">
        <f t="shared" si="72"/>
        <v>-1</v>
      </c>
      <c r="R960" s="3"/>
      <c r="S960" s="1">
        <v>0</v>
      </c>
      <c r="T960" s="24">
        <v>-1</v>
      </c>
      <c r="U960"/>
      <c r="V960" s="1">
        <v>0</v>
      </c>
      <c r="W960" s="24">
        <v>-1</v>
      </c>
      <c r="X960"/>
      <c r="Y960" s="1">
        <v>0</v>
      </c>
      <c r="Z960" s="24">
        <v>-1</v>
      </c>
      <c r="AA960"/>
      <c r="AB960" s="1">
        <v>0</v>
      </c>
      <c r="AC960" s="24">
        <v>-1</v>
      </c>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c r="CA960"/>
      <c r="CB960"/>
      <c r="CC960"/>
      <c r="CD960"/>
      <c r="CE960"/>
      <c r="CF960"/>
      <c r="CG960"/>
      <c r="CH960"/>
      <c r="CI960"/>
      <c r="CJ960"/>
      <c r="CK960"/>
      <c r="CL960"/>
      <c r="CM960"/>
      <c r="CN960"/>
      <c r="CO960"/>
      <c r="CP960"/>
      <c r="CQ960"/>
      <c r="CR960"/>
      <c r="CS960"/>
    </row>
    <row r="961" spans="2:97">
      <c r="B961"/>
      <c r="C961" s="15"/>
      <c r="D961" s="23"/>
      <c r="E961" s="23"/>
      <c r="F961" s="23"/>
      <c r="G961" s="23">
        <f t="shared" si="68"/>
        <v>0</v>
      </c>
      <c r="H961" s="23" t="e" cm="1">
        <f t="array" ref="H961">INDEX('GLOBAL LOG'!#REF!,ROW()-169+15)</f>
        <v>#REF!</v>
      </c>
      <c r="I961" s="23" t="e">
        <f>_xlfn.XLOOKUP(H961,#REF!,#REF!,"",0,1)</f>
        <v>#REF!</v>
      </c>
      <c r="J961" s="23" t="str">
        <f>IFERROR(I961*#REF!,"")</f>
        <v/>
      </c>
      <c r="K961" s="23" t="e" cm="1">
        <f t="array" ref="K961">INDEX('GLOBAL LOG'!#REF!,ROW()-169+15)</f>
        <v>#REF!</v>
      </c>
      <c r="L961" s="23" t="e">
        <f>_xlfn.XLOOKUP(K961,#REF!,#REF!,"",0,1)</f>
        <v>#REF!</v>
      </c>
      <c r="M961" s="23" t="str">
        <f>IFERROR(L961*#REF!,"")</f>
        <v/>
      </c>
      <c r="N961" s="23">
        <f t="shared" si="69"/>
        <v>-1</v>
      </c>
      <c r="O961" s="23">
        <f t="shared" si="70"/>
        <v>-1</v>
      </c>
      <c r="P961" s="23">
        <f t="shared" si="71"/>
        <v>-1</v>
      </c>
      <c r="Q961" s="24">
        <f t="shared" si="72"/>
        <v>-1</v>
      </c>
      <c r="R961" s="3"/>
      <c r="S961" s="1">
        <v>0</v>
      </c>
      <c r="T961" s="24">
        <v>-1</v>
      </c>
      <c r="U961"/>
      <c r="V961" s="1">
        <v>0</v>
      </c>
      <c r="W961" s="24">
        <v>-1</v>
      </c>
      <c r="X961"/>
      <c r="Y961" s="1">
        <v>0</v>
      </c>
      <c r="Z961" s="24">
        <v>-1</v>
      </c>
      <c r="AA961"/>
      <c r="AB961" s="1">
        <v>0</v>
      </c>
      <c r="AC961" s="24">
        <v>-1</v>
      </c>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c r="CA961"/>
      <c r="CB961"/>
      <c r="CC961"/>
      <c r="CD961"/>
      <c r="CE961"/>
      <c r="CF961"/>
      <c r="CG961"/>
      <c r="CH961"/>
      <c r="CI961"/>
      <c r="CJ961"/>
      <c r="CK961"/>
      <c r="CL961"/>
      <c r="CM961"/>
      <c r="CN961"/>
      <c r="CO961"/>
      <c r="CP961"/>
      <c r="CQ961"/>
      <c r="CR961"/>
      <c r="CS961"/>
    </row>
    <row r="962" spans="2:97">
      <c r="B962"/>
      <c r="C962" s="15"/>
      <c r="D962" s="23"/>
      <c r="E962" s="23"/>
      <c r="F962" s="23"/>
      <c r="G962" s="23">
        <f t="shared" si="68"/>
        <v>0</v>
      </c>
      <c r="H962" s="23" t="e" cm="1">
        <f t="array" ref="H962">INDEX('GLOBAL LOG'!#REF!,ROW()-169+15)</f>
        <v>#REF!</v>
      </c>
      <c r="I962" s="23" t="e">
        <f>_xlfn.XLOOKUP(H962,#REF!,#REF!,"",0,1)</f>
        <v>#REF!</v>
      </c>
      <c r="J962" s="23" t="str">
        <f>IFERROR(I962*#REF!,"")</f>
        <v/>
      </c>
      <c r="K962" s="23" t="e" cm="1">
        <f t="array" ref="K962">INDEX('GLOBAL LOG'!#REF!,ROW()-169+15)</f>
        <v>#REF!</v>
      </c>
      <c r="L962" s="23" t="e">
        <f>_xlfn.XLOOKUP(K962,#REF!,#REF!,"",0,1)</f>
        <v>#REF!</v>
      </c>
      <c r="M962" s="23" t="str">
        <f>IFERROR(L962*#REF!,"")</f>
        <v/>
      </c>
      <c r="N962" s="23">
        <f t="shared" si="69"/>
        <v>-1</v>
      </c>
      <c r="O962" s="23">
        <f t="shared" si="70"/>
        <v>-1</v>
      </c>
      <c r="P962" s="23">
        <f t="shared" si="71"/>
        <v>-1</v>
      </c>
      <c r="Q962" s="24">
        <f t="shared" si="72"/>
        <v>-1</v>
      </c>
      <c r="R962" s="3"/>
      <c r="S962" s="1">
        <v>0</v>
      </c>
      <c r="T962" s="24">
        <v>-1</v>
      </c>
      <c r="U962"/>
      <c r="V962" s="1">
        <v>0</v>
      </c>
      <c r="W962" s="24">
        <v>-1</v>
      </c>
      <c r="X962"/>
      <c r="Y962" s="1">
        <v>0</v>
      </c>
      <c r="Z962" s="24">
        <v>-1</v>
      </c>
      <c r="AA962"/>
      <c r="AB962" s="1">
        <v>0</v>
      </c>
      <c r="AC962" s="24">
        <v>-1</v>
      </c>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c r="CA962"/>
      <c r="CB962"/>
      <c r="CC962"/>
      <c r="CD962"/>
      <c r="CE962"/>
      <c r="CF962"/>
      <c r="CG962"/>
      <c r="CH962"/>
      <c r="CI962"/>
      <c r="CJ962"/>
      <c r="CK962"/>
      <c r="CL962"/>
      <c r="CM962"/>
      <c r="CN962"/>
      <c r="CO962"/>
      <c r="CP962"/>
      <c r="CQ962"/>
      <c r="CR962"/>
      <c r="CS962"/>
    </row>
    <row r="963" spans="2:97">
      <c r="B963"/>
      <c r="C963" s="15"/>
      <c r="D963" s="23"/>
      <c r="E963" s="23"/>
      <c r="F963" s="23"/>
      <c r="G963" s="23">
        <f t="shared" si="68"/>
        <v>0</v>
      </c>
      <c r="H963" s="23" t="e" cm="1">
        <f t="array" ref="H963">INDEX('GLOBAL LOG'!#REF!,ROW()-169+15)</f>
        <v>#REF!</v>
      </c>
      <c r="I963" s="23" t="e">
        <f>_xlfn.XLOOKUP(H963,#REF!,#REF!,"",0,1)</f>
        <v>#REF!</v>
      </c>
      <c r="J963" s="23" t="str">
        <f>IFERROR(I963*#REF!,"")</f>
        <v/>
      </c>
      <c r="K963" s="23" t="e" cm="1">
        <f t="array" ref="K963">INDEX('GLOBAL LOG'!#REF!,ROW()-169+15)</f>
        <v>#REF!</v>
      </c>
      <c r="L963" s="23" t="e">
        <f>_xlfn.XLOOKUP(K963,#REF!,#REF!,"",0,1)</f>
        <v>#REF!</v>
      </c>
      <c r="M963" s="23" t="str">
        <f>IFERROR(L963*#REF!,"")</f>
        <v/>
      </c>
      <c r="N963" s="23">
        <f t="shared" si="69"/>
        <v>-1</v>
      </c>
      <c r="O963" s="23">
        <f t="shared" si="70"/>
        <v>-1</v>
      </c>
      <c r="P963" s="23">
        <f t="shared" si="71"/>
        <v>-1</v>
      </c>
      <c r="Q963" s="24">
        <f t="shared" si="72"/>
        <v>-1</v>
      </c>
      <c r="R963" s="3"/>
      <c r="S963" s="1">
        <v>0</v>
      </c>
      <c r="T963" s="24">
        <v>-1</v>
      </c>
      <c r="U963"/>
      <c r="V963" s="1">
        <v>0</v>
      </c>
      <c r="W963" s="24">
        <v>-1</v>
      </c>
      <c r="X963"/>
      <c r="Y963" s="1">
        <v>0</v>
      </c>
      <c r="Z963" s="24">
        <v>-1</v>
      </c>
      <c r="AA963"/>
      <c r="AB963" s="1">
        <v>0</v>
      </c>
      <c r="AC963" s="24">
        <v>-1</v>
      </c>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c r="CA963"/>
      <c r="CB963"/>
      <c r="CC963"/>
      <c r="CD963"/>
      <c r="CE963"/>
      <c r="CF963"/>
      <c r="CG963"/>
      <c r="CH963"/>
      <c r="CI963"/>
      <c r="CJ963"/>
      <c r="CK963"/>
      <c r="CL963"/>
      <c r="CM963"/>
      <c r="CN963"/>
      <c r="CO963"/>
      <c r="CP963"/>
      <c r="CQ963"/>
      <c r="CR963"/>
      <c r="CS963"/>
    </row>
    <row r="964" spans="2:97">
      <c r="B964"/>
      <c r="C964" s="15"/>
      <c r="D964" s="23"/>
      <c r="E964" s="23"/>
      <c r="F964" s="23"/>
      <c r="G964" s="23">
        <f t="shared" si="68"/>
        <v>0</v>
      </c>
      <c r="H964" s="23" t="e" cm="1">
        <f t="array" ref="H964">INDEX('GLOBAL LOG'!#REF!,ROW()-169+15)</f>
        <v>#REF!</v>
      </c>
      <c r="I964" s="23" t="e">
        <f>_xlfn.XLOOKUP(H964,#REF!,#REF!,"",0,1)</f>
        <v>#REF!</v>
      </c>
      <c r="J964" s="23" t="str">
        <f>IFERROR(I964*#REF!,"")</f>
        <v/>
      </c>
      <c r="K964" s="23" t="e" cm="1">
        <f t="array" ref="K964">INDEX('GLOBAL LOG'!#REF!,ROW()-169+15)</f>
        <v>#REF!</v>
      </c>
      <c r="L964" s="23" t="e">
        <f>_xlfn.XLOOKUP(K964,#REF!,#REF!,"",0,1)</f>
        <v>#REF!</v>
      </c>
      <c r="M964" s="23" t="str">
        <f>IFERROR(L964*#REF!,"")</f>
        <v/>
      </c>
      <c r="N964" s="23">
        <f t="shared" si="69"/>
        <v>-1</v>
      </c>
      <c r="O964" s="23">
        <f t="shared" si="70"/>
        <v>-1</v>
      </c>
      <c r="P964" s="23">
        <f t="shared" si="71"/>
        <v>-1</v>
      </c>
      <c r="Q964" s="24">
        <f t="shared" si="72"/>
        <v>-1</v>
      </c>
      <c r="R964" s="3"/>
      <c r="S964" s="1">
        <v>0</v>
      </c>
      <c r="T964" s="24">
        <v>-1</v>
      </c>
      <c r="U964"/>
      <c r="V964" s="1">
        <v>0</v>
      </c>
      <c r="W964" s="24">
        <v>-1</v>
      </c>
      <c r="X964"/>
      <c r="Y964" s="1">
        <v>0</v>
      </c>
      <c r="Z964" s="24">
        <v>-1</v>
      </c>
      <c r="AA964"/>
      <c r="AB964" s="1">
        <v>0</v>
      </c>
      <c r="AC964" s="24">
        <v>-1</v>
      </c>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c r="CA964"/>
      <c r="CB964"/>
      <c r="CC964"/>
      <c r="CD964"/>
      <c r="CE964"/>
      <c r="CF964"/>
      <c r="CG964"/>
      <c r="CH964"/>
      <c r="CI964"/>
      <c r="CJ964"/>
      <c r="CK964"/>
      <c r="CL964"/>
      <c r="CM964"/>
      <c r="CN964"/>
      <c r="CO964"/>
      <c r="CP964"/>
      <c r="CQ964"/>
      <c r="CR964"/>
      <c r="CS964"/>
    </row>
    <row r="965" spans="2:97">
      <c r="B965"/>
      <c r="C965" s="15"/>
      <c r="D965" s="23"/>
      <c r="E965" s="23"/>
      <c r="F965" s="23"/>
      <c r="G965" s="23">
        <f t="shared" si="68"/>
        <v>0</v>
      </c>
      <c r="H965" s="23" t="e" cm="1">
        <f t="array" ref="H965">INDEX('GLOBAL LOG'!#REF!,ROW()-169+15)</f>
        <v>#REF!</v>
      </c>
      <c r="I965" s="23" t="e">
        <f>_xlfn.XLOOKUP(H965,#REF!,#REF!,"",0,1)</f>
        <v>#REF!</v>
      </c>
      <c r="J965" s="23" t="str">
        <f>IFERROR(I965*#REF!,"")</f>
        <v/>
      </c>
      <c r="K965" s="23" t="e" cm="1">
        <f t="array" ref="K965">INDEX('GLOBAL LOG'!#REF!,ROW()-169+15)</f>
        <v>#REF!</v>
      </c>
      <c r="L965" s="23" t="e">
        <f>_xlfn.XLOOKUP(K965,#REF!,#REF!,"",0,1)</f>
        <v>#REF!</v>
      </c>
      <c r="M965" s="23" t="str">
        <f>IFERROR(L965*#REF!,"")</f>
        <v/>
      </c>
      <c r="N965" s="23">
        <f t="shared" si="69"/>
        <v>-1</v>
      </c>
      <c r="O965" s="23">
        <f t="shared" si="70"/>
        <v>-1</v>
      </c>
      <c r="P965" s="23">
        <f t="shared" si="71"/>
        <v>-1</v>
      </c>
      <c r="Q965" s="24">
        <f t="shared" si="72"/>
        <v>-1</v>
      </c>
      <c r="R965" s="3"/>
      <c r="S965" s="1">
        <v>0</v>
      </c>
      <c r="T965" s="24">
        <v>-1</v>
      </c>
      <c r="U965"/>
      <c r="V965" s="1">
        <v>0</v>
      </c>
      <c r="W965" s="24">
        <v>-1</v>
      </c>
      <c r="X965"/>
      <c r="Y965" s="1">
        <v>0</v>
      </c>
      <c r="Z965" s="24">
        <v>-1</v>
      </c>
      <c r="AA965"/>
      <c r="AB965" s="1">
        <v>0</v>
      </c>
      <c r="AC965" s="24">
        <v>-1</v>
      </c>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c r="CA965"/>
      <c r="CB965"/>
      <c r="CC965"/>
      <c r="CD965"/>
      <c r="CE965"/>
      <c r="CF965"/>
      <c r="CG965"/>
      <c r="CH965"/>
      <c r="CI965"/>
      <c r="CJ965"/>
      <c r="CK965"/>
      <c r="CL965"/>
      <c r="CM965"/>
      <c r="CN965"/>
      <c r="CO965"/>
      <c r="CP965"/>
      <c r="CQ965"/>
      <c r="CR965"/>
      <c r="CS965"/>
    </row>
    <row r="966" spans="2:97">
      <c r="B966"/>
      <c r="C966" s="15"/>
      <c r="D966" s="23"/>
      <c r="E966" s="23"/>
      <c r="F966" s="23"/>
      <c r="G966" s="23">
        <f t="shared" si="68"/>
        <v>0</v>
      </c>
      <c r="H966" s="23" t="e" cm="1">
        <f t="array" ref="H966">INDEX('GLOBAL LOG'!#REF!,ROW()-169+15)</f>
        <v>#REF!</v>
      </c>
      <c r="I966" s="23" t="e">
        <f>_xlfn.XLOOKUP(H966,#REF!,#REF!,"",0,1)</f>
        <v>#REF!</v>
      </c>
      <c r="J966" s="23" t="str">
        <f>IFERROR(I966*#REF!,"")</f>
        <v/>
      </c>
      <c r="K966" s="23" t="e" cm="1">
        <f t="array" ref="K966">INDEX('GLOBAL LOG'!#REF!,ROW()-169+15)</f>
        <v>#REF!</v>
      </c>
      <c r="L966" s="23" t="e">
        <f>_xlfn.XLOOKUP(K966,#REF!,#REF!,"",0,1)</f>
        <v>#REF!</v>
      </c>
      <c r="M966" s="23" t="str">
        <f>IFERROR(L966*#REF!,"")</f>
        <v/>
      </c>
      <c r="N966" s="23">
        <f t="shared" si="69"/>
        <v>-1</v>
      </c>
      <c r="O966" s="23">
        <f t="shared" si="70"/>
        <v>-1</v>
      </c>
      <c r="P966" s="23">
        <f t="shared" si="71"/>
        <v>-1</v>
      </c>
      <c r="Q966" s="24">
        <f t="shared" si="72"/>
        <v>-1</v>
      </c>
      <c r="R966" s="3"/>
      <c r="S966" s="1">
        <v>0</v>
      </c>
      <c r="T966" s="24">
        <v>-1</v>
      </c>
      <c r="U966"/>
      <c r="V966" s="1">
        <v>0</v>
      </c>
      <c r="W966" s="24">
        <v>-1</v>
      </c>
      <c r="X966"/>
      <c r="Y966" s="1">
        <v>0</v>
      </c>
      <c r="Z966" s="24">
        <v>-1</v>
      </c>
      <c r="AA966"/>
      <c r="AB966" s="1">
        <v>0</v>
      </c>
      <c r="AC966" s="24">
        <v>-1</v>
      </c>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c r="CA966"/>
      <c r="CB966"/>
      <c r="CC966"/>
      <c r="CD966"/>
      <c r="CE966"/>
      <c r="CF966"/>
      <c r="CG966"/>
      <c r="CH966"/>
      <c r="CI966"/>
      <c r="CJ966"/>
      <c r="CK966"/>
      <c r="CL966"/>
      <c r="CM966"/>
      <c r="CN966"/>
      <c r="CO966"/>
      <c r="CP966"/>
      <c r="CQ966"/>
      <c r="CR966"/>
      <c r="CS966"/>
    </row>
    <row r="967" spans="2:97">
      <c r="B967"/>
      <c r="C967" s="15"/>
      <c r="D967" s="23"/>
      <c r="E967" s="23"/>
      <c r="F967" s="23"/>
      <c r="G967" s="23">
        <f t="shared" si="68"/>
        <v>0</v>
      </c>
      <c r="H967" s="23" t="e" cm="1">
        <f t="array" ref="H967">INDEX('GLOBAL LOG'!#REF!,ROW()-169+15)</f>
        <v>#REF!</v>
      </c>
      <c r="I967" s="23" t="e">
        <f>_xlfn.XLOOKUP(H967,#REF!,#REF!,"",0,1)</f>
        <v>#REF!</v>
      </c>
      <c r="J967" s="23" t="str">
        <f>IFERROR(I967*#REF!,"")</f>
        <v/>
      </c>
      <c r="K967" s="23" t="e" cm="1">
        <f t="array" ref="K967">INDEX('GLOBAL LOG'!#REF!,ROW()-169+15)</f>
        <v>#REF!</v>
      </c>
      <c r="L967" s="23" t="e">
        <f>_xlfn.XLOOKUP(K967,#REF!,#REF!,"",0,1)</f>
        <v>#REF!</v>
      </c>
      <c r="M967" s="23" t="str">
        <f>IFERROR(L967*#REF!,"")</f>
        <v/>
      </c>
      <c r="N967" s="23">
        <f t="shared" si="69"/>
        <v>-1</v>
      </c>
      <c r="O967" s="23">
        <f t="shared" si="70"/>
        <v>-1</v>
      </c>
      <c r="P967" s="23">
        <f t="shared" si="71"/>
        <v>-1</v>
      </c>
      <c r="Q967" s="24">
        <f t="shared" si="72"/>
        <v>-1</v>
      </c>
      <c r="R967" s="3"/>
      <c r="S967" s="1">
        <v>0</v>
      </c>
      <c r="T967" s="24">
        <v>-1</v>
      </c>
      <c r="U967"/>
      <c r="V967" s="1">
        <v>0</v>
      </c>
      <c r="W967" s="24">
        <v>-1</v>
      </c>
      <c r="X967"/>
      <c r="Y967" s="1">
        <v>0</v>
      </c>
      <c r="Z967" s="24">
        <v>-1</v>
      </c>
      <c r="AA967"/>
      <c r="AB967" s="1">
        <v>0</v>
      </c>
      <c r="AC967" s="24">
        <v>-1</v>
      </c>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c r="CA967"/>
      <c r="CB967"/>
      <c r="CC967"/>
      <c r="CD967"/>
      <c r="CE967"/>
      <c r="CF967"/>
      <c r="CG967"/>
      <c r="CH967"/>
      <c r="CI967"/>
      <c r="CJ967"/>
      <c r="CK967"/>
      <c r="CL967"/>
      <c r="CM967"/>
      <c r="CN967"/>
      <c r="CO967"/>
      <c r="CP967"/>
      <c r="CQ967"/>
      <c r="CR967"/>
      <c r="CS967"/>
    </row>
    <row r="968" spans="2:97">
      <c r="B968"/>
      <c r="C968" s="15"/>
      <c r="D968" s="23"/>
      <c r="E968" s="23"/>
      <c r="F968" s="23"/>
      <c r="G968" s="23">
        <f t="shared" si="68"/>
        <v>0</v>
      </c>
      <c r="H968" s="23" t="e" cm="1">
        <f t="array" ref="H968">INDEX('GLOBAL LOG'!#REF!,ROW()-169+15)</f>
        <v>#REF!</v>
      </c>
      <c r="I968" s="23" t="e">
        <f>_xlfn.XLOOKUP(H968,#REF!,#REF!,"",0,1)</f>
        <v>#REF!</v>
      </c>
      <c r="J968" s="23" t="str">
        <f>IFERROR(I968*#REF!,"")</f>
        <v/>
      </c>
      <c r="K968" s="23" t="e" cm="1">
        <f t="array" ref="K968">INDEX('GLOBAL LOG'!#REF!,ROW()-169+15)</f>
        <v>#REF!</v>
      </c>
      <c r="L968" s="23" t="e">
        <f>_xlfn.XLOOKUP(K968,#REF!,#REF!,"",0,1)</f>
        <v>#REF!</v>
      </c>
      <c r="M968" s="23" t="str">
        <f>IFERROR(L968*#REF!,"")</f>
        <v/>
      </c>
      <c r="N968" s="23">
        <f t="shared" si="69"/>
        <v>-1</v>
      </c>
      <c r="O968" s="23">
        <f t="shared" si="70"/>
        <v>-1</v>
      </c>
      <c r="P968" s="23">
        <f t="shared" si="71"/>
        <v>-1</v>
      </c>
      <c r="Q968" s="24">
        <f t="shared" si="72"/>
        <v>-1</v>
      </c>
      <c r="R968" s="3"/>
      <c r="S968" s="1">
        <v>0</v>
      </c>
      <c r="T968" s="24">
        <v>-1</v>
      </c>
      <c r="U968"/>
      <c r="V968" s="1">
        <v>0</v>
      </c>
      <c r="W968" s="24">
        <v>-1</v>
      </c>
      <c r="X968"/>
      <c r="Y968" s="1">
        <v>0</v>
      </c>
      <c r="Z968" s="24">
        <v>-1</v>
      </c>
      <c r="AA968"/>
      <c r="AB968" s="1">
        <v>0</v>
      </c>
      <c r="AC968" s="24">
        <v>-1</v>
      </c>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c r="CA968"/>
      <c r="CB968"/>
      <c r="CC968"/>
      <c r="CD968"/>
      <c r="CE968"/>
      <c r="CF968"/>
      <c r="CG968"/>
      <c r="CH968"/>
      <c r="CI968"/>
      <c r="CJ968"/>
      <c r="CK968"/>
      <c r="CL968"/>
      <c r="CM968"/>
      <c r="CN968"/>
      <c r="CO968"/>
      <c r="CP968"/>
      <c r="CQ968"/>
      <c r="CR968"/>
      <c r="CS968"/>
    </row>
    <row r="969" spans="2:97">
      <c r="B969"/>
      <c r="C969" s="15"/>
      <c r="D969" s="23"/>
      <c r="E969" s="23"/>
      <c r="F969" s="23"/>
      <c r="G969" s="23">
        <f t="shared" si="68"/>
        <v>0</v>
      </c>
      <c r="H969" s="23" t="e" cm="1">
        <f t="array" ref="H969">INDEX('GLOBAL LOG'!#REF!,ROW()-169+15)</f>
        <v>#REF!</v>
      </c>
      <c r="I969" s="23" t="e">
        <f>_xlfn.XLOOKUP(H969,#REF!,#REF!,"",0,1)</f>
        <v>#REF!</v>
      </c>
      <c r="J969" s="23" t="str">
        <f>IFERROR(I969*#REF!,"")</f>
        <v/>
      </c>
      <c r="K969" s="23" t="e" cm="1">
        <f t="array" ref="K969">INDEX('GLOBAL LOG'!#REF!,ROW()-169+15)</f>
        <v>#REF!</v>
      </c>
      <c r="L969" s="23" t="e">
        <f>_xlfn.XLOOKUP(K969,#REF!,#REF!,"",0,1)</f>
        <v>#REF!</v>
      </c>
      <c r="M969" s="23" t="str">
        <f>IFERROR(L969*#REF!,"")</f>
        <v/>
      </c>
      <c r="N969" s="23">
        <f t="shared" si="69"/>
        <v>-1</v>
      </c>
      <c r="O969" s="23">
        <f t="shared" si="70"/>
        <v>-1</v>
      </c>
      <c r="P969" s="23">
        <f t="shared" si="71"/>
        <v>-1</v>
      </c>
      <c r="Q969" s="24">
        <f t="shared" si="72"/>
        <v>-1</v>
      </c>
      <c r="R969" s="3"/>
      <c r="S969" s="1">
        <v>0</v>
      </c>
      <c r="T969" s="24">
        <v>-1</v>
      </c>
      <c r="U969"/>
      <c r="V969" s="1">
        <v>0</v>
      </c>
      <c r="W969" s="24">
        <v>-1</v>
      </c>
      <c r="X969"/>
      <c r="Y969" s="1">
        <v>0</v>
      </c>
      <c r="Z969" s="24">
        <v>-1</v>
      </c>
      <c r="AA969"/>
      <c r="AB969" s="1">
        <v>0</v>
      </c>
      <c r="AC969" s="24">
        <v>-1</v>
      </c>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c r="CA969"/>
      <c r="CB969"/>
      <c r="CC969"/>
      <c r="CD969"/>
      <c r="CE969"/>
      <c r="CF969"/>
      <c r="CG969"/>
      <c r="CH969"/>
      <c r="CI969"/>
      <c r="CJ969"/>
      <c r="CK969"/>
      <c r="CL969"/>
      <c r="CM969"/>
      <c r="CN969"/>
      <c r="CO969"/>
      <c r="CP969"/>
      <c r="CQ969"/>
      <c r="CR969"/>
      <c r="CS969"/>
    </row>
    <row r="970" spans="2:97">
      <c r="B970"/>
      <c r="C970" s="15"/>
      <c r="D970" s="23"/>
      <c r="E970" s="23"/>
      <c r="F970" s="23"/>
      <c r="G970" s="23">
        <f t="shared" si="68"/>
        <v>0</v>
      </c>
      <c r="H970" s="23" t="e" cm="1">
        <f t="array" ref="H970">INDEX('GLOBAL LOG'!#REF!,ROW()-169+15)</f>
        <v>#REF!</v>
      </c>
      <c r="I970" s="23" t="e">
        <f>_xlfn.XLOOKUP(H970,#REF!,#REF!,"",0,1)</f>
        <v>#REF!</v>
      </c>
      <c r="J970" s="23" t="str">
        <f>IFERROR(I970*#REF!,"")</f>
        <v/>
      </c>
      <c r="K970" s="23" t="e" cm="1">
        <f t="array" ref="K970">INDEX('GLOBAL LOG'!#REF!,ROW()-169+15)</f>
        <v>#REF!</v>
      </c>
      <c r="L970" s="23" t="e">
        <f>_xlfn.XLOOKUP(K970,#REF!,#REF!,"",0,1)</f>
        <v>#REF!</v>
      </c>
      <c r="M970" s="23" t="str">
        <f>IFERROR(L970*#REF!,"")</f>
        <v/>
      </c>
      <c r="N970" s="23">
        <f t="shared" si="69"/>
        <v>-1</v>
      </c>
      <c r="O970" s="23">
        <f t="shared" si="70"/>
        <v>-1</v>
      </c>
      <c r="P970" s="23">
        <f t="shared" si="71"/>
        <v>-1</v>
      </c>
      <c r="Q970" s="24">
        <f t="shared" si="72"/>
        <v>-1</v>
      </c>
      <c r="R970" s="3"/>
      <c r="S970" s="1">
        <v>0</v>
      </c>
      <c r="T970" s="24">
        <v>-1</v>
      </c>
      <c r="U970"/>
      <c r="V970" s="1">
        <v>0</v>
      </c>
      <c r="W970" s="24">
        <v>-1</v>
      </c>
      <c r="X970"/>
      <c r="Y970" s="1">
        <v>0</v>
      </c>
      <c r="Z970" s="24">
        <v>-1</v>
      </c>
      <c r="AA970"/>
      <c r="AB970" s="1">
        <v>0</v>
      </c>
      <c r="AC970" s="24">
        <v>-1</v>
      </c>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c r="CA970"/>
      <c r="CB970"/>
      <c r="CC970"/>
      <c r="CD970"/>
      <c r="CE970"/>
      <c r="CF970"/>
      <c r="CG970"/>
      <c r="CH970"/>
      <c r="CI970"/>
      <c r="CJ970"/>
      <c r="CK970"/>
      <c r="CL970"/>
      <c r="CM970"/>
      <c r="CN970"/>
      <c r="CO970"/>
      <c r="CP970"/>
      <c r="CQ970"/>
      <c r="CR970"/>
      <c r="CS970"/>
    </row>
    <row r="971" spans="2:97">
      <c r="B971"/>
      <c r="C971" s="15"/>
      <c r="D971" s="23"/>
      <c r="E971" s="23"/>
      <c r="F971" s="23"/>
      <c r="G971" s="23">
        <f t="shared" si="68"/>
        <v>0</v>
      </c>
      <c r="H971" s="23" t="e" cm="1">
        <f t="array" ref="H971">INDEX('GLOBAL LOG'!#REF!,ROW()-169+15)</f>
        <v>#REF!</v>
      </c>
      <c r="I971" s="23" t="e">
        <f>_xlfn.XLOOKUP(H971,#REF!,#REF!,"",0,1)</f>
        <v>#REF!</v>
      </c>
      <c r="J971" s="23" t="str">
        <f>IFERROR(I971*#REF!,"")</f>
        <v/>
      </c>
      <c r="K971" s="23" t="e" cm="1">
        <f t="array" ref="K971">INDEX('GLOBAL LOG'!#REF!,ROW()-169+15)</f>
        <v>#REF!</v>
      </c>
      <c r="L971" s="23" t="e">
        <f>_xlfn.XLOOKUP(K971,#REF!,#REF!,"",0,1)</f>
        <v>#REF!</v>
      </c>
      <c r="M971" s="23" t="str">
        <f>IFERROR(L971*#REF!,"")</f>
        <v/>
      </c>
      <c r="N971" s="23">
        <f t="shared" si="69"/>
        <v>-1</v>
      </c>
      <c r="O971" s="23">
        <f t="shared" si="70"/>
        <v>-1</v>
      </c>
      <c r="P971" s="23">
        <f t="shared" si="71"/>
        <v>-1</v>
      </c>
      <c r="Q971" s="24">
        <f t="shared" si="72"/>
        <v>-1</v>
      </c>
      <c r="R971" s="3"/>
      <c r="S971" s="1">
        <v>0</v>
      </c>
      <c r="T971" s="24">
        <v>-1</v>
      </c>
      <c r="U971"/>
      <c r="V971" s="1">
        <v>0</v>
      </c>
      <c r="W971" s="24">
        <v>-1</v>
      </c>
      <c r="X971"/>
      <c r="Y971" s="1">
        <v>0</v>
      </c>
      <c r="Z971" s="24">
        <v>-1</v>
      </c>
      <c r="AA971"/>
      <c r="AB971" s="1">
        <v>0</v>
      </c>
      <c r="AC971" s="24">
        <v>-1</v>
      </c>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c r="CA971"/>
      <c r="CB971"/>
      <c r="CC971"/>
      <c r="CD971"/>
      <c r="CE971"/>
      <c r="CF971"/>
      <c r="CG971"/>
      <c r="CH971"/>
      <c r="CI971"/>
      <c r="CJ971"/>
      <c r="CK971"/>
      <c r="CL971"/>
      <c r="CM971"/>
      <c r="CN971"/>
      <c r="CO971"/>
      <c r="CP971"/>
      <c r="CQ971"/>
      <c r="CR971"/>
      <c r="CS971"/>
    </row>
    <row r="972" spans="2:97">
      <c r="B972"/>
      <c r="C972" s="15"/>
      <c r="D972" s="23"/>
      <c r="E972" s="23"/>
      <c r="F972" s="23"/>
      <c r="G972" s="23">
        <f t="shared" si="68"/>
        <v>0</v>
      </c>
      <c r="H972" s="23" t="e" cm="1">
        <f t="array" ref="H972">INDEX('GLOBAL LOG'!#REF!,ROW()-169+15)</f>
        <v>#REF!</v>
      </c>
      <c r="I972" s="23" t="e">
        <f>_xlfn.XLOOKUP(H972,#REF!,#REF!,"",0,1)</f>
        <v>#REF!</v>
      </c>
      <c r="J972" s="23" t="str">
        <f>IFERROR(I972*#REF!,"")</f>
        <v/>
      </c>
      <c r="K972" s="23" t="e" cm="1">
        <f t="array" ref="K972">INDEX('GLOBAL LOG'!#REF!,ROW()-169+15)</f>
        <v>#REF!</v>
      </c>
      <c r="L972" s="23" t="e">
        <f>_xlfn.XLOOKUP(K972,#REF!,#REF!,"",0,1)</f>
        <v>#REF!</v>
      </c>
      <c r="M972" s="23" t="str">
        <f>IFERROR(L972*#REF!,"")</f>
        <v/>
      </c>
      <c r="N972" s="23">
        <f t="shared" si="69"/>
        <v>-1</v>
      </c>
      <c r="O972" s="23">
        <f t="shared" si="70"/>
        <v>-1</v>
      </c>
      <c r="P972" s="23">
        <f t="shared" si="71"/>
        <v>-1</v>
      </c>
      <c r="Q972" s="24">
        <f t="shared" si="72"/>
        <v>-1</v>
      </c>
      <c r="R972" s="3"/>
      <c r="S972" s="1">
        <v>0</v>
      </c>
      <c r="T972" s="24">
        <v>-1</v>
      </c>
      <c r="U972"/>
      <c r="V972" s="1">
        <v>0</v>
      </c>
      <c r="W972" s="24">
        <v>-1</v>
      </c>
      <c r="X972"/>
      <c r="Y972" s="1">
        <v>0</v>
      </c>
      <c r="Z972" s="24">
        <v>-1</v>
      </c>
      <c r="AA972"/>
      <c r="AB972" s="1">
        <v>0</v>
      </c>
      <c r="AC972" s="24">
        <v>-1</v>
      </c>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c r="CA972"/>
      <c r="CB972"/>
      <c r="CC972"/>
      <c r="CD972"/>
      <c r="CE972"/>
      <c r="CF972"/>
      <c r="CG972"/>
      <c r="CH972"/>
      <c r="CI972"/>
      <c r="CJ972"/>
      <c r="CK972"/>
      <c r="CL972"/>
      <c r="CM972"/>
      <c r="CN972"/>
      <c r="CO972"/>
      <c r="CP972"/>
      <c r="CQ972"/>
      <c r="CR972"/>
      <c r="CS972"/>
    </row>
    <row r="973" spans="2:97">
      <c r="B973"/>
      <c r="C973" s="15"/>
      <c r="D973" s="23"/>
      <c r="E973" s="23"/>
      <c r="F973" s="23"/>
      <c r="G973" s="23">
        <f t="shared" si="68"/>
        <v>0</v>
      </c>
      <c r="H973" s="23" t="e" cm="1">
        <f t="array" ref="H973">INDEX('GLOBAL LOG'!#REF!,ROW()-169+15)</f>
        <v>#REF!</v>
      </c>
      <c r="I973" s="23" t="e">
        <f>_xlfn.XLOOKUP(H973,#REF!,#REF!,"",0,1)</f>
        <v>#REF!</v>
      </c>
      <c r="J973" s="23" t="str">
        <f>IFERROR(I973*#REF!,"")</f>
        <v/>
      </c>
      <c r="K973" s="23" t="e" cm="1">
        <f t="array" ref="K973">INDEX('GLOBAL LOG'!#REF!,ROW()-169+15)</f>
        <v>#REF!</v>
      </c>
      <c r="L973" s="23" t="e">
        <f>_xlfn.XLOOKUP(K973,#REF!,#REF!,"",0,1)</f>
        <v>#REF!</v>
      </c>
      <c r="M973" s="23" t="str">
        <f>IFERROR(L973*#REF!,"")</f>
        <v/>
      </c>
      <c r="N973" s="23">
        <f t="shared" si="69"/>
        <v>-1</v>
      </c>
      <c r="O973" s="23">
        <f t="shared" si="70"/>
        <v>-1</v>
      </c>
      <c r="P973" s="23">
        <f t="shared" si="71"/>
        <v>-1</v>
      </c>
      <c r="Q973" s="24">
        <f t="shared" si="72"/>
        <v>-1</v>
      </c>
      <c r="R973" s="3"/>
      <c r="S973" s="1">
        <v>0</v>
      </c>
      <c r="T973" s="24">
        <v>-1</v>
      </c>
      <c r="U973"/>
      <c r="V973" s="1">
        <v>0</v>
      </c>
      <c r="W973" s="24">
        <v>-1</v>
      </c>
      <c r="X973"/>
      <c r="Y973" s="1">
        <v>0</v>
      </c>
      <c r="Z973" s="24">
        <v>-1</v>
      </c>
      <c r="AA973"/>
      <c r="AB973" s="1">
        <v>0</v>
      </c>
      <c r="AC973" s="24">
        <v>-1</v>
      </c>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c r="CA973"/>
      <c r="CB973"/>
      <c r="CC973"/>
      <c r="CD973"/>
      <c r="CE973"/>
      <c r="CF973"/>
      <c r="CG973"/>
      <c r="CH973"/>
      <c r="CI973"/>
      <c r="CJ973"/>
      <c r="CK973"/>
      <c r="CL973"/>
      <c r="CM973"/>
      <c r="CN973"/>
      <c r="CO973"/>
      <c r="CP973"/>
      <c r="CQ973"/>
      <c r="CR973"/>
      <c r="CS973"/>
    </row>
    <row r="974" spans="2:97">
      <c r="B974"/>
      <c r="C974" s="15"/>
      <c r="D974" s="23"/>
      <c r="E974" s="23"/>
      <c r="F974" s="23"/>
      <c r="G974" s="23">
        <f t="shared" si="68"/>
        <v>0</v>
      </c>
      <c r="H974" s="23" t="e" cm="1">
        <f t="array" ref="H974">INDEX('GLOBAL LOG'!#REF!,ROW()-169+15)</f>
        <v>#REF!</v>
      </c>
      <c r="I974" s="23" t="e">
        <f>_xlfn.XLOOKUP(H974,#REF!,#REF!,"",0,1)</f>
        <v>#REF!</v>
      </c>
      <c r="J974" s="23" t="str">
        <f>IFERROR(I974*#REF!,"")</f>
        <v/>
      </c>
      <c r="K974" s="23" t="e" cm="1">
        <f t="array" ref="K974">INDEX('GLOBAL LOG'!#REF!,ROW()-169+15)</f>
        <v>#REF!</v>
      </c>
      <c r="L974" s="23" t="e">
        <f>_xlfn.XLOOKUP(K974,#REF!,#REF!,"",0,1)</f>
        <v>#REF!</v>
      </c>
      <c r="M974" s="23" t="str">
        <f>IFERROR(L974*#REF!,"")</f>
        <v/>
      </c>
      <c r="N974" s="23">
        <f t="shared" si="69"/>
        <v>-1</v>
      </c>
      <c r="O974" s="23">
        <f t="shared" si="70"/>
        <v>-1</v>
      </c>
      <c r="P974" s="23">
        <f t="shared" si="71"/>
        <v>-1</v>
      </c>
      <c r="Q974" s="24">
        <f t="shared" si="72"/>
        <v>-1</v>
      </c>
      <c r="R974" s="3"/>
      <c r="S974" s="1">
        <v>0</v>
      </c>
      <c r="T974" s="24">
        <v>-1</v>
      </c>
      <c r="U974"/>
      <c r="V974" s="1">
        <v>0</v>
      </c>
      <c r="W974" s="24">
        <v>-1</v>
      </c>
      <c r="X974"/>
      <c r="Y974" s="1">
        <v>0</v>
      </c>
      <c r="Z974" s="24">
        <v>-1</v>
      </c>
      <c r="AA974"/>
      <c r="AB974" s="1">
        <v>0</v>
      </c>
      <c r="AC974" s="24">
        <v>-1</v>
      </c>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c r="CA974"/>
      <c r="CB974"/>
      <c r="CC974"/>
      <c r="CD974"/>
      <c r="CE974"/>
      <c r="CF974"/>
      <c r="CG974"/>
      <c r="CH974"/>
      <c r="CI974"/>
      <c r="CJ974"/>
      <c r="CK974"/>
      <c r="CL974"/>
      <c r="CM974"/>
      <c r="CN974"/>
      <c r="CO974"/>
      <c r="CP974"/>
      <c r="CQ974"/>
      <c r="CR974"/>
      <c r="CS974"/>
    </row>
    <row r="975" spans="2:97">
      <c r="B975"/>
      <c r="C975" s="15"/>
      <c r="D975" s="23"/>
      <c r="E975" s="23"/>
      <c r="F975" s="23"/>
      <c r="G975" s="23">
        <f t="shared" si="68"/>
        <v>0</v>
      </c>
      <c r="H975" s="23" t="e" cm="1">
        <f t="array" ref="H975">INDEX('GLOBAL LOG'!#REF!,ROW()-169+15)</f>
        <v>#REF!</v>
      </c>
      <c r="I975" s="23" t="e">
        <f>_xlfn.XLOOKUP(H975,#REF!,#REF!,"",0,1)</f>
        <v>#REF!</v>
      </c>
      <c r="J975" s="23" t="str">
        <f>IFERROR(I975*#REF!,"")</f>
        <v/>
      </c>
      <c r="K975" s="23" t="e" cm="1">
        <f t="array" ref="K975">INDEX('GLOBAL LOG'!#REF!,ROW()-169+15)</f>
        <v>#REF!</v>
      </c>
      <c r="L975" s="23" t="e">
        <f>_xlfn.XLOOKUP(K975,#REF!,#REF!,"",0,1)</f>
        <v>#REF!</v>
      </c>
      <c r="M975" s="23" t="str">
        <f>IFERROR(L975*#REF!,"")</f>
        <v/>
      </c>
      <c r="N975" s="23">
        <f t="shared" si="69"/>
        <v>-1</v>
      </c>
      <c r="O975" s="23">
        <f t="shared" si="70"/>
        <v>-1</v>
      </c>
      <c r="P975" s="23">
        <f t="shared" si="71"/>
        <v>-1</v>
      </c>
      <c r="Q975" s="24">
        <f t="shared" si="72"/>
        <v>-1</v>
      </c>
      <c r="R975" s="3"/>
      <c r="S975" s="1">
        <v>0</v>
      </c>
      <c r="T975" s="24">
        <v>-1</v>
      </c>
      <c r="U975"/>
      <c r="V975" s="1">
        <v>0</v>
      </c>
      <c r="W975" s="24">
        <v>-1</v>
      </c>
      <c r="X975"/>
      <c r="Y975" s="1">
        <v>0</v>
      </c>
      <c r="Z975" s="24">
        <v>-1</v>
      </c>
      <c r="AA975"/>
      <c r="AB975" s="1">
        <v>0</v>
      </c>
      <c r="AC975" s="24">
        <v>-1</v>
      </c>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c r="CA975"/>
      <c r="CB975"/>
      <c r="CC975"/>
      <c r="CD975"/>
      <c r="CE975"/>
      <c r="CF975"/>
      <c r="CG975"/>
      <c r="CH975"/>
      <c r="CI975"/>
      <c r="CJ975"/>
      <c r="CK975"/>
      <c r="CL975"/>
      <c r="CM975"/>
      <c r="CN975"/>
      <c r="CO975"/>
      <c r="CP975"/>
      <c r="CQ975"/>
      <c r="CR975"/>
      <c r="CS975"/>
    </row>
    <row r="976" spans="2:97">
      <c r="B976"/>
      <c r="C976" s="15"/>
      <c r="D976" s="23"/>
      <c r="E976" s="23"/>
      <c r="F976" s="23"/>
      <c r="G976" s="23">
        <f t="shared" si="68"/>
        <v>0</v>
      </c>
      <c r="H976" s="23" t="e" cm="1">
        <f t="array" ref="H976">INDEX('GLOBAL LOG'!#REF!,ROW()-169+15)</f>
        <v>#REF!</v>
      </c>
      <c r="I976" s="23" t="e">
        <f>_xlfn.XLOOKUP(H976,#REF!,#REF!,"",0,1)</f>
        <v>#REF!</v>
      </c>
      <c r="J976" s="23" t="str">
        <f>IFERROR(I976*#REF!,"")</f>
        <v/>
      </c>
      <c r="K976" s="23" t="e" cm="1">
        <f t="array" ref="K976">INDEX('GLOBAL LOG'!#REF!,ROW()-169+15)</f>
        <v>#REF!</v>
      </c>
      <c r="L976" s="23" t="e">
        <f>_xlfn.XLOOKUP(K976,#REF!,#REF!,"",0,1)</f>
        <v>#REF!</v>
      </c>
      <c r="M976" s="23" t="str">
        <f>IFERROR(L976*#REF!,"")</f>
        <v/>
      </c>
      <c r="N976" s="23">
        <f t="shared" si="69"/>
        <v>-1</v>
      </c>
      <c r="O976" s="23">
        <f t="shared" si="70"/>
        <v>-1</v>
      </c>
      <c r="P976" s="23">
        <f t="shared" si="71"/>
        <v>-1</v>
      </c>
      <c r="Q976" s="24">
        <f t="shared" si="72"/>
        <v>-1</v>
      </c>
      <c r="R976" s="3"/>
      <c r="S976" s="1">
        <v>0</v>
      </c>
      <c r="T976" s="24">
        <v>-1</v>
      </c>
      <c r="U976"/>
      <c r="V976" s="1">
        <v>0</v>
      </c>
      <c r="W976" s="24">
        <v>-1</v>
      </c>
      <c r="X976"/>
      <c r="Y976" s="1">
        <v>0</v>
      </c>
      <c r="Z976" s="24">
        <v>-1</v>
      </c>
      <c r="AA976"/>
      <c r="AB976" s="1">
        <v>0</v>
      </c>
      <c r="AC976" s="24">
        <v>-1</v>
      </c>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c r="CA976"/>
      <c r="CB976"/>
      <c r="CC976"/>
      <c r="CD976"/>
      <c r="CE976"/>
      <c r="CF976"/>
      <c r="CG976"/>
      <c r="CH976"/>
      <c r="CI976"/>
      <c r="CJ976"/>
      <c r="CK976"/>
      <c r="CL976"/>
      <c r="CM976"/>
      <c r="CN976"/>
      <c r="CO976"/>
      <c r="CP976"/>
      <c r="CQ976"/>
      <c r="CR976"/>
      <c r="CS976"/>
    </row>
    <row r="977" spans="2:97">
      <c r="B977"/>
      <c r="C977" s="15"/>
      <c r="D977" s="23"/>
      <c r="E977" s="23"/>
      <c r="F977" s="23"/>
      <c r="G977" s="23">
        <f t="shared" si="68"/>
        <v>0</v>
      </c>
      <c r="H977" s="23" t="e" cm="1">
        <f t="array" ref="H977">INDEX('GLOBAL LOG'!#REF!,ROW()-169+15)</f>
        <v>#REF!</v>
      </c>
      <c r="I977" s="23" t="e">
        <f>_xlfn.XLOOKUP(H977,#REF!,#REF!,"",0,1)</f>
        <v>#REF!</v>
      </c>
      <c r="J977" s="23" t="str">
        <f>IFERROR(I977*#REF!,"")</f>
        <v/>
      </c>
      <c r="K977" s="23" t="e" cm="1">
        <f t="array" ref="K977">INDEX('GLOBAL LOG'!#REF!,ROW()-169+15)</f>
        <v>#REF!</v>
      </c>
      <c r="L977" s="23" t="e">
        <f>_xlfn.XLOOKUP(K977,#REF!,#REF!,"",0,1)</f>
        <v>#REF!</v>
      </c>
      <c r="M977" s="23" t="str">
        <f>IFERROR(L977*#REF!,"")</f>
        <v/>
      </c>
      <c r="N977" s="23">
        <f t="shared" si="69"/>
        <v>-1</v>
      </c>
      <c r="O977" s="23">
        <f t="shared" si="70"/>
        <v>-1</v>
      </c>
      <c r="P977" s="23">
        <f t="shared" si="71"/>
        <v>-1</v>
      </c>
      <c r="Q977" s="24">
        <f t="shared" si="72"/>
        <v>-1</v>
      </c>
      <c r="R977" s="3"/>
      <c r="S977" s="1">
        <v>0</v>
      </c>
      <c r="T977" s="24">
        <v>-1</v>
      </c>
      <c r="U977"/>
      <c r="V977" s="1">
        <v>0</v>
      </c>
      <c r="W977" s="24">
        <v>-1</v>
      </c>
      <c r="X977"/>
      <c r="Y977" s="1">
        <v>0</v>
      </c>
      <c r="Z977" s="24">
        <v>-1</v>
      </c>
      <c r="AA977"/>
      <c r="AB977" s="1">
        <v>0</v>
      </c>
      <c r="AC977" s="24">
        <v>-1</v>
      </c>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c r="CA977"/>
      <c r="CB977"/>
      <c r="CC977"/>
      <c r="CD977"/>
      <c r="CE977"/>
      <c r="CF977"/>
      <c r="CG977"/>
      <c r="CH977"/>
      <c r="CI977"/>
      <c r="CJ977"/>
      <c r="CK977"/>
      <c r="CL977"/>
      <c r="CM977"/>
      <c r="CN977"/>
      <c r="CO977"/>
      <c r="CP977"/>
      <c r="CQ977"/>
      <c r="CR977"/>
      <c r="CS977"/>
    </row>
    <row r="978" spans="2:97">
      <c r="B978"/>
      <c r="C978" s="15"/>
      <c r="D978" s="23"/>
      <c r="E978" s="23"/>
      <c r="F978" s="23"/>
      <c r="G978" s="23">
        <f t="shared" si="68"/>
        <v>0</v>
      </c>
      <c r="H978" s="23" t="e" cm="1">
        <f t="array" ref="H978">INDEX('GLOBAL LOG'!#REF!,ROW()-169+15)</f>
        <v>#REF!</v>
      </c>
      <c r="I978" s="23" t="e">
        <f>_xlfn.XLOOKUP(H978,#REF!,#REF!,"",0,1)</f>
        <v>#REF!</v>
      </c>
      <c r="J978" s="23" t="str">
        <f>IFERROR(I978*#REF!,"")</f>
        <v/>
      </c>
      <c r="K978" s="23" t="e" cm="1">
        <f t="array" ref="K978">INDEX('GLOBAL LOG'!#REF!,ROW()-169+15)</f>
        <v>#REF!</v>
      </c>
      <c r="L978" s="23" t="e">
        <f>_xlfn.XLOOKUP(K978,#REF!,#REF!,"",0,1)</f>
        <v>#REF!</v>
      </c>
      <c r="M978" s="23" t="str">
        <f>IFERROR(L978*#REF!,"")</f>
        <v/>
      </c>
      <c r="N978" s="23">
        <f t="shared" si="69"/>
        <v>-1</v>
      </c>
      <c r="O978" s="23">
        <f t="shared" si="70"/>
        <v>-1</v>
      </c>
      <c r="P978" s="23">
        <f t="shared" si="71"/>
        <v>-1</v>
      </c>
      <c r="Q978" s="24">
        <f t="shared" si="72"/>
        <v>-1</v>
      </c>
      <c r="R978" s="3"/>
      <c r="S978" s="1">
        <v>0</v>
      </c>
      <c r="T978" s="24">
        <v>-1</v>
      </c>
      <c r="U978"/>
      <c r="V978" s="1">
        <v>0</v>
      </c>
      <c r="W978" s="24">
        <v>-1</v>
      </c>
      <c r="X978"/>
      <c r="Y978" s="1">
        <v>0</v>
      </c>
      <c r="Z978" s="24">
        <v>-1</v>
      </c>
      <c r="AA978"/>
      <c r="AB978" s="1">
        <v>0</v>
      </c>
      <c r="AC978" s="24">
        <v>-1</v>
      </c>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c r="CA978"/>
      <c r="CB978"/>
      <c r="CC978"/>
      <c r="CD978"/>
      <c r="CE978"/>
      <c r="CF978"/>
      <c r="CG978"/>
      <c r="CH978"/>
      <c r="CI978"/>
      <c r="CJ978"/>
      <c r="CK978"/>
      <c r="CL978"/>
      <c r="CM978"/>
      <c r="CN978"/>
      <c r="CO978"/>
      <c r="CP978"/>
      <c r="CQ978"/>
      <c r="CR978"/>
      <c r="CS978"/>
    </row>
    <row r="979" spans="2:97">
      <c r="B979"/>
      <c r="C979" s="15"/>
      <c r="D979" s="23"/>
      <c r="E979" s="23"/>
      <c r="F979" s="23"/>
      <c r="G979" s="23">
        <f t="shared" si="68"/>
        <v>0</v>
      </c>
      <c r="H979" s="23" t="e" cm="1">
        <f t="array" ref="H979">INDEX('GLOBAL LOG'!#REF!,ROW()-169+15)</f>
        <v>#REF!</v>
      </c>
      <c r="I979" s="23" t="e">
        <f>_xlfn.XLOOKUP(H979,#REF!,#REF!,"",0,1)</f>
        <v>#REF!</v>
      </c>
      <c r="J979" s="23" t="str">
        <f>IFERROR(I979*#REF!,"")</f>
        <v/>
      </c>
      <c r="K979" s="23" t="e" cm="1">
        <f t="array" ref="K979">INDEX('GLOBAL LOG'!#REF!,ROW()-169+15)</f>
        <v>#REF!</v>
      </c>
      <c r="L979" s="23" t="e">
        <f>_xlfn.XLOOKUP(K979,#REF!,#REF!,"",0,1)</f>
        <v>#REF!</v>
      </c>
      <c r="M979" s="23" t="str">
        <f>IFERROR(L979*#REF!,"")</f>
        <v/>
      </c>
      <c r="N979" s="23">
        <f t="shared" si="69"/>
        <v>-1</v>
      </c>
      <c r="O979" s="23">
        <f t="shared" si="70"/>
        <v>-1</v>
      </c>
      <c r="P979" s="23">
        <f t="shared" si="71"/>
        <v>-1</v>
      </c>
      <c r="Q979" s="24">
        <f t="shared" si="72"/>
        <v>-1</v>
      </c>
      <c r="R979" s="3"/>
      <c r="S979" s="1">
        <v>0</v>
      </c>
      <c r="T979" s="24">
        <v>-1</v>
      </c>
      <c r="U979"/>
      <c r="V979" s="1">
        <v>0</v>
      </c>
      <c r="W979" s="24">
        <v>-1</v>
      </c>
      <c r="X979"/>
      <c r="Y979" s="1">
        <v>0</v>
      </c>
      <c r="Z979" s="24">
        <v>-1</v>
      </c>
      <c r="AA979"/>
      <c r="AB979" s="1">
        <v>0</v>
      </c>
      <c r="AC979" s="24">
        <v>-1</v>
      </c>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c r="CA979"/>
      <c r="CB979"/>
      <c r="CC979"/>
      <c r="CD979"/>
      <c r="CE979"/>
      <c r="CF979"/>
      <c r="CG979"/>
      <c r="CH979"/>
      <c r="CI979"/>
      <c r="CJ979"/>
      <c r="CK979"/>
      <c r="CL979"/>
      <c r="CM979"/>
      <c r="CN979"/>
      <c r="CO979"/>
      <c r="CP979"/>
      <c r="CQ979"/>
      <c r="CR979"/>
      <c r="CS979"/>
    </row>
    <row r="980" spans="2:97">
      <c r="B980"/>
      <c r="C980" s="15"/>
      <c r="D980" s="23"/>
      <c r="E980" s="23"/>
      <c r="F980" s="23"/>
      <c r="G980" s="23">
        <f t="shared" si="68"/>
        <v>0</v>
      </c>
      <c r="H980" s="23" t="e" cm="1">
        <f t="array" ref="H980">INDEX('GLOBAL LOG'!#REF!,ROW()-169+15)</f>
        <v>#REF!</v>
      </c>
      <c r="I980" s="23" t="e">
        <f>_xlfn.XLOOKUP(H980,#REF!,#REF!,"",0,1)</f>
        <v>#REF!</v>
      </c>
      <c r="J980" s="23" t="str">
        <f>IFERROR(I980*#REF!,"")</f>
        <v/>
      </c>
      <c r="K980" s="23" t="e" cm="1">
        <f t="array" ref="K980">INDEX('GLOBAL LOG'!#REF!,ROW()-169+15)</f>
        <v>#REF!</v>
      </c>
      <c r="L980" s="23" t="e">
        <f>_xlfn.XLOOKUP(K980,#REF!,#REF!,"",0,1)</f>
        <v>#REF!</v>
      </c>
      <c r="M980" s="23" t="str">
        <f>IFERROR(L980*#REF!,"")</f>
        <v/>
      </c>
      <c r="N980" s="23">
        <f t="shared" si="69"/>
        <v>-1</v>
      </c>
      <c r="O980" s="23">
        <f t="shared" si="70"/>
        <v>-1</v>
      </c>
      <c r="P980" s="23">
        <f t="shared" si="71"/>
        <v>-1</v>
      </c>
      <c r="Q980" s="24">
        <f t="shared" si="72"/>
        <v>-1</v>
      </c>
      <c r="R980" s="3"/>
      <c r="S980" s="1">
        <v>0</v>
      </c>
      <c r="T980" s="24">
        <v>-1</v>
      </c>
      <c r="U980"/>
      <c r="V980" s="1">
        <v>0</v>
      </c>
      <c r="W980" s="24">
        <v>-1</v>
      </c>
      <c r="X980"/>
      <c r="Y980" s="1">
        <v>0</v>
      </c>
      <c r="Z980" s="24">
        <v>-1</v>
      </c>
      <c r="AA980"/>
      <c r="AB980" s="1">
        <v>0</v>
      </c>
      <c r="AC980" s="24">
        <v>-1</v>
      </c>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c r="CA980"/>
      <c r="CB980"/>
      <c r="CC980"/>
      <c r="CD980"/>
      <c r="CE980"/>
      <c r="CF980"/>
      <c r="CG980"/>
      <c r="CH980"/>
      <c r="CI980"/>
      <c r="CJ980"/>
      <c r="CK980"/>
      <c r="CL980"/>
      <c r="CM980"/>
      <c r="CN980"/>
      <c r="CO980"/>
      <c r="CP980"/>
      <c r="CQ980"/>
      <c r="CR980"/>
      <c r="CS980"/>
    </row>
    <row r="981" spans="2:97">
      <c r="B981"/>
      <c r="C981" s="15"/>
      <c r="D981" s="23"/>
      <c r="E981" s="23"/>
      <c r="F981" s="23"/>
      <c r="G981" s="23">
        <f t="shared" si="68"/>
        <v>0</v>
      </c>
      <c r="H981" s="23" t="e" cm="1">
        <f t="array" ref="H981">INDEX('GLOBAL LOG'!#REF!,ROW()-169+15)</f>
        <v>#REF!</v>
      </c>
      <c r="I981" s="23" t="e">
        <f>_xlfn.XLOOKUP(H981,#REF!,#REF!,"",0,1)</f>
        <v>#REF!</v>
      </c>
      <c r="J981" s="23" t="str">
        <f>IFERROR(I981*#REF!,"")</f>
        <v/>
      </c>
      <c r="K981" s="23" t="e" cm="1">
        <f t="array" ref="K981">INDEX('GLOBAL LOG'!#REF!,ROW()-169+15)</f>
        <v>#REF!</v>
      </c>
      <c r="L981" s="23" t="e">
        <f>_xlfn.XLOOKUP(K981,#REF!,#REF!,"",0,1)</f>
        <v>#REF!</v>
      </c>
      <c r="M981" s="23" t="str">
        <f>IFERROR(L981*#REF!,"")</f>
        <v/>
      </c>
      <c r="N981" s="23">
        <f t="shared" si="69"/>
        <v>-1</v>
      </c>
      <c r="O981" s="23">
        <f t="shared" si="70"/>
        <v>-1</v>
      </c>
      <c r="P981" s="23">
        <f t="shared" si="71"/>
        <v>-1</v>
      </c>
      <c r="Q981" s="24">
        <f t="shared" si="72"/>
        <v>-1</v>
      </c>
      <c r="R981" s="3"/>
      <c r="S981" s="1">
        <v>0</v>
      </c>
      <c r="T981" s="24">
        <v>-1</v>
      </c>
      <c r="U981"/>
      <c r="V981" s="1">
        <v>0</v>
      </c>
      <c r="W981" s="24">
        <v>-1</v>
      </c>
      <c r="X981"/>
      <c r="Y981" s="1">
        <v>0</v>
      </c>
      <c r="Z981" s="24">
        <v>-1</v>
      </c>
      <c r="AA981"/>
      <c r="AB981" s="1">
        <v>0</v>
      </c>
      <c r="AC981" s="24">
        <v>-1</v>
      </c>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c r="CA981"/>
      <c r="CB981"/>
      <c r="CC981"/>
      <c r="CD981"/>
      <c r="CE981"/>
      <c r="CF981"/>
      <c r="CG981"/>
      <c r="CH981"/>
      <c r="CI981"/>
      <c r="CJ981"/>
      <c r="CK981"/>
      <c r="CL981"/>
      <c r="CM981"/>
      <c r="CN981"/>
      <c r="CO981"/>
      <c r="CP981"/>
      <c r="CQ981"/>
      <c r="CR981"/>
      <c r="CS981"/>
    </row>
    <row r="982" spans="2:97">
      <c r="B982"/>
      <c r="C982" s="15"/>
      <c r="D982" s="23"/>
      <c r="E982" s="23"/>
      <c r="F982" s="23"/>
      <c r="G982" s="23">
        <f t="shared" si="68"/>
        <v>0</v>
      </c>
      <c r="H982" s="23" t="e" cm="1">
        <f t="array" ref="H982">INDEX('GLOBAL LOG'!#REF!,ROW()-169+15)</f>
        <v>#REF!</v>
      </c>
      <c r="I982" s="23" t="e">
        <f>_xlfn.XLOOKUP(H982,#REF!,#REF!,"",0,1)</f>
        <v>#REF!</v>
      </c>
      <c r="J982" s="23" t="str">
        <f>IFERROR(I982*#REF!,"")</f>
        <v/>
      </c>
      <c r="K982" s="23" t="e" cm="1">
        <f t="array" ref="K982">INDEX('GLOBAL LOG'!#REF!,ROW()-169+15)</f>
        <v>#REF!</v>
      </c>
      <c r="L982" s="23" t="e">
        <f>_xlfn.XLOOKUP(K982,#REF!,#REF!,"",0,1)</f>
        <v>#REF!</v>
      </c>
      <c r="M982" s="23" t="str">
        <f>IFERROR(L982*#REF!,"")</f>
        <v/>
      </c>
      <c r="N982" s="23">
        <f t="shared" si="69"/>
        <v>-1</v>
      </c>
      <c r="O982" s="23">
        <f t="shared" si="70"/>
        <v>-1</v>
      </c>
      <c r="P982" s="23">
        <f t="shared" si="71"/>
        <v>-1</v>
      </c>
      <c r="Q982" s="24">
        <f t="shared" si="72"/>
        <v>-1</v>
      </c>
      <c r="R982" s="3"/>
      <c r="S982" s="1">
        <v>0</v>
      </c>
      <c r="T982" s="24">
        <v>-1</v>
      </c>
      <c r="U982"/>
      <c r="V982" s="1">
        <v>0</v>
      </c>
      <c r="W982" s="24">
        <v>-1</v>
      </c>
      <c r="X982"/>
      <c r="Y982" s="1">
        <v>0</v>
      </c>
      <c r="Z982" s="24">
        <v>-1</v>
      </c>
      <c r="AA982"/>
      <c r="AB982" s="1">
        <v>0</v>
      </c>
      <c r="AC982" s="24">
        <v>-1</v>
      </c>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c r="CA982"/>
      <c r="CB982"/>
      <c r="CC982"/>
      <c r="CD982"/>
      <c r="CE982"/>
      <c r="CF982"/>
      <c r="CG982"/>
      <c r="CH982"/>
      <c r="CI982"/>
      <c r="CJ982"/>
      <c r="CK982"/>
      <c r="CL982"/>
      <c r="CM982"/>
      <c r="CN982"/>
      <c r="CO982"/>
      <c r="CP982"/>
      <c r="CQ982"/>
      <c r="CR982"/>
      <c r="CS982"/>
    </row>
    <row r="983" spans="2:97">
      <c r="B983"/>
      <c r="C983" s="15"/>
      <c r="D983" s="23"/>
      <c r="E983" s="23"/>
      <c r="F983" s="23"/>
      <c r="G983" s="23">
        <f t="shared" si="68"/>
        <v>0</v>
      </c>
      <c r="H983" s="23" t="e" cm="1">
        <f t="array" ref="H983">INDEX('GLOBAL LOG'!#REF!,ROW()-169+15)</f>
        <v>#REF!</v>
      </c>
      <c r="I983" s="23" t="e">
        <f>_xlfn.XLOOKUP(H983,#REF!,#REF!,"",0,1)</f>
        <v>#REF!</v>
      </c>
      <c r="J983" s="23" t="str">
        <f>IFERROR(I983*#REF!,"")</f>
        <v/>
      </c>
      <c r="K983" s="23" t="e" cm="1">
        <f t="array" ref="K983">INDEX('GLOBAL LOG'!#REF!,ROW()-169+15)</f>
        <v>#REF!</v>
      </c>
      <c r="L983" s="23" t="e">
        <f>_xlfn.XLOOKUP(K983,#REF!,#REF!,"",0,1)</f>
        <v>#REF!</v>
      </c>
      <c r="M983" s="23" t="str">
        <f>IFERROR(L983*#REF!,"")</f>
        <v/>
      </c>
      <c r="N983" s="23">
        <f t="shared" si="69"/>
        <v>-1</v>
      </c>
      <c r="O983" s="23">
        <f t="shared" si="70"/>
        <v>-1</v>
      </c>
      <c r="P983" s="23">
        <f t="shared" si="71"/>
        <v>-1</v>
      </c>
      <c r="Q983" s="24">
        <f t="shared" si="72"/>
        <v>-1</v>
      </c>
      <c r="R983" s="3"/>
      <c r="S983" s="1">
        <v>0</v>
      </c>
      <c r="T983" s="24">
        <v>-1</v>
      </c>
      <c r="U983"/>
      <c r="V983" s="1">
        <v>0</v>
      </c>
      <c r="W983" s="24">
        <v>-1</v>
      </c>
      <c r="X983"/>
      <c r="Y983" s="1">
        <v>0</v>
      </c>
      <c r="Z983" s="24">
        <v>-1</v>
      </c>
      <c r="AA983"/>
      <c r="AB983" s="1">
        <v>0</v>
      </c>
      <c r="AC983" s="24">
        <v>-1</v>
      </c>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c r="CA983"/>
      <c r="CB983"/>
      <c r="CC983"/>
      <c r="CD983"/>
      <c r="CE983"/>
      <c r="CF983"/>
      <c r="CG983"/>
      <c r="CH983"/>
      <c r="CI983"/>
      <c r="CJ983"/>
      <c r="CK983"/>
      <c r="CL983"/>
      <c r="CM983"/>
      <c r="CN983"/>
      <c r="CO983"/>
      <c r="CP983"/>
      <c r="CQ983"/>
      <c r="CR983"/>
      <c r="CS983"/>
    </row>
    <row r="984" spans="2:97">
      <c r="B984"/>
      <c r="C984" s="15"/>
      <c r="D984" s="23"/>
      <c r="E984" s="23"/>
      <c r="F984" s="23"/>
      <c r="G984" s="23">
        <f t="shared" si="68"/>
        <v>0</v>
      </c>
      <c r="H984" s="23" t="e" cm="1">
        <f t="array" ref="H984">INDEX('GLOBAL LOG'!#REF!,ROW()-169+15)</f>
        <v>#REF!</v>
      </c>
      <c r="I984" s="23" t="e">
        <f>_xlfn.XLOOKUP(H984,#REF!,#REF!,"",0,1)</f>
        <v>#REF!</v>
      </c>
      <c r="J984" s="23" t="str">
        <f>IFERROR(I984*#REF!,"")</f>
        <v/>
      </c>
      <c r="K984" s="23" t="e" cm="1">
        <f t="array" ref="K984">INDEX('GLOBAL LOG'!#REF!,ROW()-169+15)</f>
        <v>#REF!</v>
      </c>
      <c r="L984" s="23" t="e">
        <f>_xlfn.XLOOKUP(K984,#REF!,#REF!,"",0,1)</f>
        <v>#REF!</v>
      </c>
      <c r="M984" s="23" t="str">
        <f>IFERROR(L984*#REF!,"")</f>
        <v/>
      </c>
      <c r="N984" s="23">
        <f t="shared" si="69"/>
        <v>-1</v>
      </c>
      <c r="O984" s="23">
        <f t="shared" si="70"/>
        <v>-1</v>
      </c>
      <c r="P984" s="23">
        <f t="shared" si="71"/>
        <v>-1</v>
      </c>
      <c r="Q984" s="24">
        <f t="shared" si="72"/>
        <v>-1</v>
      </c>
      <c r="R984" s="3"/>
      <c r="S984" s="1">
        <v>0</v>
      </c>
      <c r="T984" s="24">
        <v>-1</v>
      </c>
      <c r="U984"/>
      <c r="V984" s="1">
        <v>0</v>
      </c>
      <c r="W984" s="24">
        <v>-1</v>
      </c>
      <c r="X984"/>
      <c r="Y984" s="1">
        <v>0</v>
      </c>
      <c r="Z984" s="24">
        <v>-1</v>
      </c>
      <c r="AA984"/>
      <c r="AB984" s="1">
        <v>0</v>
      </c>
      <c r="AC984" s="24">
        <v>-1</v>
      </c>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c r="CA984"/>
      <c r="CB984"/>
      <c r="CC984"/>
      <c r="CD984"/>
      <c r="CE984"/>
      <c r="CF984"/>
      <c r="CG984"/>
      <c r="CH984"/>
      <c r="CI984"/>
      <c r="CJ984"/>
      <c r="CK984"/>
      <c r="CL984"/>
      <c r="CM984"/>
      <c r="CN984"/>
      <c r="CO984"/>
      <c r="CP984"/>
      <c r="CQ984"/>
      <c r="CR984"/>
      <c r="CS984"/>
    </row>
    <row r="985" spans="2:97">
      <c r="B985"/>
      <c r="C985" s="15"/>
      <c r="D985" s="23"/>
      <c r="E985" s="23"/>
      <c r="F985" s="23"/>
      <c r="G985" s="23">
        <f t="shared" si="68"/>
        <v>0</v>
      </c>
      <c r="H985" s="23" t="e" cm="1">
        <f t="array" ref="H985">INDEX('GLOBAL LOG'!#REF!,ROW()-169+15)</f>
        <v>#REF!</v>
      </c>
      <c r="I985" s="23" t="e">
        <f>_xlfn.XLOOKUP(H985,#REF!,#REF!,"",0,1)</f>
        <v>#REF!</v>
      </c>
      <c r="J985" s="23" t="str">
        <f>IFERROR(I985*#REF!,"")</f>
        <v/>
      </c>
      <c r="K985" s="23" t="e" cm="1">
        <f t="array" ref="K985">INDEX('GLOBAL LOG'!#REF!,ROW()-169+15)</f>
        <v>#REF!</v>
      </c>
      <c r="L985" s="23" t="e">
        <f>_xlfn.XLOOKUP(K985,#REF!,#REF!,"",0,1)</f>
        <v>#REF!</v>
      </c>
      <c r="M985" s="23" t="str">
        <f>IFERROR(L985*#REF!,"")</f>
        <v/>
      </c>
      <c r="N985" s="23">
        <f t="shared" si="69"/>
        <v>-1</v>
      </c>
      <c r="O985" s="23">
        <f t="shared" si="70"/>
        <v>-1</v>
      </c>
      <c r="P985" s="23">
        <f t="shared" si="71"/>
        <v>-1</v>
      </c>
      <c r="Q985" s="24">
        <f t="shared" si="72"/>
        <v>-1</v>
      </c>
      <c r="R985" s="3"/>
      <c r="S985" s="1">
        <v>0</v>
      </c>
      <c r="T985" s="24">
        <v>-1</v>
      </c>
      <c r="U985"/>
      <c r="V985" s="1">
        <v>0</v>
      </c>
      <c r="W985" s="24">
        <v>-1</v>
      </c>
      <c r="X985"/>
      <c r="Y985" s="1">
        <v>0</v>
      </c>
      <c r="Z985" s="24">
        <v>-1</v>
      </c>
      <c r="AA985"/>
      <c r="AB985" s="1">
        <v>0</v>
      </c>
      <c r="AC985" s="24">
        <v>-1</v>
      </c>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c r="CA985"/>
      <c r="CB985"/>
      <c r="CC985"/>
      <c r="CD985"/>
      <c r="CE985"/>
      <c r="CF985"/>
      <c r="CG985"/>
      <c r="CH985"/>
      <c r="CI985"/>
      <c r="CJ985"/>
      <c r="CK985"/>
      <c r="CL985"/>
      <c r="CM985"/>
      <c r="CN985"/>
      <c r="CO985"/>
      <c r="CP985"/>
      <c r="CQ985"/>
      <c r="CR985"/>
      <c r="CS985"/>
    </row>
    <row r="986" spans="2:97">
      <c r="B986"/>
      <c r="C986" s="15"/>
      <c r="D986" s="23"/>
      <c r="E986" s="23"/>
      <c r="F986" s="23"/>
      <c r="G986" s="23">
        <f t="shared" si="68"/>
        <v>0</v>
      </c>
      <c r="H986" s="23" t="e" cm="1">
        <f t="array" ref="H986">INDEX('GLOBAL LOG'!#REF!,ROW()-169+15)</f>
        <v>#REF!</v>
      </c>
      <c r="I986" s="23" t="e">
        <f>_xlfn.XLOOKUP(H986,#REF!,#REF!,"",0,1)</f>
        <v>#REF!</v>
      </c>
      <c r="J986" s="23" t="str">
        <f>IFERROR(I986*#REF!,"")</f>
        <v/>
      </c>
      <c r="K986" s="23" t="e" cm="1">
        <f t="array" ref="K986">INDEX('GLOBAL LOG'!#REF!,ROW()-169+15)</f>
        <v>#REF!</v>
      </c>
      <c r="L986" s="23" t="e">
        <f>_xlfn.XLOOKUP(K986,#REF!,#REF!,"",0,1)</f>
        <v>#REF!</v>
      </c>
      <c r="M986" s="23" t="str">
        <f>IFERROR(L986*#REF!,"")</f>
        <v/>
      </c>
      <c r="N986" s="23">
        <f t="shared" si="69"/>
        <v>-1</v>
      </c>
      <c r="O986" s="23">
        <f t="shared" si="70"/>
        <v>-1</v>
      </c>
      <c r="P986" s="23">
        <f t="shared" si="71"/>
        <v>-1</v>
      </c>
      <c r="Q986" s="24">
        <f t="shared" si="72"/>
        <v>-1</v>
      </c>
      <c r="R986" s="3"/>
      <c r="S986" s="1">
        <v>0</v>
      </c>
      <c r="T986" s="24">
        <v>-1</v>
      </c>
      <c r="U986"/>
      <c r="V986" s="1">
        <v>0</v>
      </c>
      <c r="W986" s="24">
        <v>-1</v>
      </c>
      <c r="X986"/>
      <c r="Y986" s="1">
        <v>0</v>
      </c>
      <c r="Z986" s="24">
        <v>-1</v>
      </c>
      <c r="AA986"/>
      <c r="AB986" s="1">
        <v>0</v>
      </c>
      <c r="AC986" s="24">
        <v>-1</v>
      </c>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c r="CA986"/>
      <c r="CB986"/>
      <c r="CC986"/>
      <c r="CD986"/>
      <c r="CE986"/>
      <c r="CF986"/>
      <c r="CG986"/>
      <c r="CH986"/>
      <c r="CI986"/>
      <c r="CJ986"/>
      <c r="CK986"/>
      <c r="CL986"/>
      <c r="CM986"/>
      <c r="CN986"/>
      <c r="CO986"/>
      <c r="CP986"/>
      <c r="CQ986"/>
      <c r="CR986"/>
      <c r="CS986"/>
    </row>
    <row r="987" spans="2:97">
      <c r="B987"/>
      <c r="C987" s="15"/>
      <c r="D987" s="23"/>
      <c r="E987" s="23"/>
      <c r="F987" s="23"/>
      <c r="G987" s="23">
        <f t="shared" si="68"/>
        <v>0</v>
      </c>
      <c r="H987" s="23" t="e" cm="1">
        <f t="array" ref="H987">INDEX('GLOBAL LOG'!#REF!,ROW()-169+15)</f>
        <v>#REF!</v>
      </c>
      <c r="I987" s="23" t="e">
        <f>_xlfn.XLOOKUP(H987,#REF!,#REF!,"",0,1)</f>
        <v>#REF!</v>
      </c>
      <c r="J987" s="23" t="str">
        <f>IFERROR(I987*#REF!,"")</f>
        <v/>
      </c>
      <c r="K987" s="23" t="e" cm="1">
        <f t="array" ref="K987">INDEX('GLOBAL LOG'!#REF!,ROW()-169+15)</f>
        <v>#REF!</v>
      </c>
      <c r="L987" s="23" t="e">
        <f>_xlfn.XLOOKUP(K987,#REF!,#REF!,"",0,1)</f>
        <v>#REF!</v>
      </c>
      <c r="M987" s="23" t="str">
        <f>IFERROR(L987*#REF!,"")</f>
        <v/>
      </c>
      <c r="N987" s="23">
        <f t="shared" si="69"/>
        <v>-1</v>
      </c>
      <c r="O987" s="23">
        <f t="shared" si="70"/>
        <v>-1</v>
      </c>
      <c r="P987" s="23">
        <f t="shared" si="71"/>
        <v>-1</v>
      </c>
      <c r="Q987" s="24">
        <f t="shared" si="72"/>
        <v>-1</v>
      </c>
      <c r="R987" s="3"/>
      <c r="S987" s="1">
        <v>0</v>
      </c>
      <c r="T987" s="24">
        <v>-1</v>
      </c>
      <c r="U987"/>
      <c r="V987" s="1">
        <v>0</v>
      </c>
      <c r="W987" s="24">
        <v>-1</v>
      </c>
      <c r="X987"/>
      <c r="Y987" s="1">
        <v>0</v>
      </c>
      <c r="Z987" s="24">
        <v>-1</v>
      </c>
      <c r="AA987"/>
      <c r="AB987" s="1">
        <v>0</v>
      </c>
      <c r="AC987" s="24">
        <v>-1</v>
      </c>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c r="CA987"/>
      <c r="CB987"/>
      <c r="CC987"/>
      <c r="CD987"/>
      <c r="CE987"/>
      <c r="CF987"/>
      <c r="CG987"/>
      <c r="CH987"/>
      <c r="CI987"/>
      <c r="CJ987"/>
      <c r="CK987"/>
      <c r="CL987"/>
      <c r="CM987"/>
      <c r="CN987"/>
      <c r="CO987"/>
      <c r="CP987"/>
      <c r="CQ987"/>
      <c r="CR987"/>
      <c r="CS987"/>
    </row>
    <row r="988" spans="2:97">
      <c r="B988"/>
      <c r="C988" s="15"/>
      <c r="D988" s="23"/>
      <c r="E988" s="23"/>
      <c r="F988" s="23"/>
      <c r="G988" s="23">
        <f t="shared" si="68"/>
        <v>0</v>
      </c>
      <c r="H988" s="23" t="e" cm="1">
        <f t="array" ref="H988">INDEX('GLOBAL LOG'!#REF!,ROW()-169+15)</f>
        <v>#REF!</v>
      </c>
      <c r="I988" s="23" t="e">
        <f>_xlfn.XLOOKUP(H988,#REF!,#REF!,"",0,1)</f>
        <v>#REF!</v>
      </c>
      <c r="J988" s="23" t="str">
        <f>IFERROR(I988*#REF!,"")</f>
        <v/>
      </c>
      <c r="K988" s="23" t="e" cm="1">
        <f t="array" ref="K988">INDEX('GLOBAL LOG'!#REF!,ROW()-169+15)</f>
        <v>#REF!</v>
      </c>
      <c r="L988" s="23" t="e">
        <f>_xlfn.XLOOKUP(K988,#REF!,#REF!,"",0,1)</f>
        <v>#REF!</v>
      </c>
      <c r="M988" s="23" t="str">
        <f>IFERROR(L988*#REF!,"")</f>
        <v/>
      </c>
      <c r="N988" s="23">
        <f t="shared" si="69"/>
        <v>-1</v>
      </c>
      <c r="O988" s="23">
        <f t="shared" si="70"/>
        <v>-1</v>
      </c>
      <c r="P988" s="23">
        <f t="shared" si="71"/>
        <v>-1</v>
      </c>
      <c r="Q988" s="24">
        <f t="shared" si="72"/>
        <v>-1</v>
      </c>
      <c r="R988" s="3"/>
      <c r="S988" s="1">
        <v>0</v>
      </c>
      <c r="T988" s="24">
        <v>-1</v>
      </c>
      <c r="U988"/>
      <c r="V988" s="1">
        <v>0</v>
      </c>
      <c r="W988" s="24">
        <v>-1</v>
      </c>
      <c r="X988"/>
      <c r="Y988" s="1">
        <v>0</v>
      </c>
      <c r="Z988" s="24">
        <v>-1</v>
      </c>
      <c r="AA988"/>
      <c r="AB988" s="1">
        <v>0</v>
      </c>
      <c r="AC988" s="24">
        <v>-1</v>
      </c>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c r="CA988"/>
      <c r="CB988"/>
      <c r="CC988"/>
      <c r="CD988"/>
      <c r="CE988"/>
      <c r="CF988"/>
      <c r="CG988"/>
      <c r="CH988"/>
      <c r="CI988"/>
      <c r="CJ988"/>
      <c r="CK988"/>
      <c r="CL988"/>
      <c r="CM988"/>
      <c r="CN988"/>
      <c r="CO988"/>
      <c r="CP988"/>
      <c r="CQ988"/>
      <c r="CR988"/>
      <c r="CS988"/>
    </row>
    <row r="989" spans="2:97">
      <c r="B989"/>
      <c r="C989" s="15"/>
      <c r="D989" s="23"/>
      <c r="E989" s="23"/>
      <c r="F989" s="23"/>
      <c r="G989" s="23">
        <f t="shared" si="68"/>
        <v>0</v>
      </c>
      <c r="H989" s="23" t="e" cm="1">
        <f t="array" ref="H989">INDEX('GLOBAL LOG'!#REF!,ROW()-169+15)</f>
        <v>#REF!</v>
      </c>
      <c r="I989" s="23" t="e">
        <f>_xlfn.XLOOKUP(H989,#REF!,#REF!,"",0,1)</f>
        <v>#REF!</v>
      </c>
      <c r="J989" s="23" t="str">
        <f>IFERROR(I989*#REF!,"")</f>
        <v/>
      </c>
      <c r="K989" s="23" t="e" cm="1">
        <f t="array" ref="K989">INDEX('GLOBAL LOG'!#REF!,ROW()-169+15)</f>
        <v>#REF!</v>
      </c>
      <c r="L989" s="23" t="e">
        <f>_xlfn.XLOOKUP(K989,#REF!,#REF!,"",0,1)</f>
        <v>#REF!</v>
      </c>
      <c r="M989" s="23" t="str">
        <f>IFERROR(L989*#REF!,"")</f>
        <v/>
      </c>
      <c r="N989" s="23">
        <f t="shared" si="69"/>
        <v>-1</v>
      </c>
      <c r="O989" s="23">
        <f t="shared" si="70"/>
        <v>-1</v>
      </c>
      <c r="P989" s="23">
        <f t="shared" si="71"/>
        <v>-1</v>
      </c>
      <c r="Q989" s="24">
        <f t="shared" si="72"/>
        <v>-1</v>
      </c>
      <c r="R989" s="3"/>
      <c r="S989" s="1">
        <v>0</v>
      </c>
      <c r="T989" s="24">
        <v>-1</v>
      </c>
      <c r="U989"/>
      <c r="V989" s="1">
        <v>0</v>
      </c>
      <c r="W989" s="24">
        <v>-1</v>
      </c>
      <c r="X989"/>
      <c r="Y989" s="1">
        <v>0</v>
      </c>
      <c r="Z989" s="24">
        <v>-1</v>
      </c>
      <c r="AA989"/>
      <c r="AB989" s="1">
        <v>0</v>
      </c>
      <c r="AC989" s="24">
        <v>-1</v>
      </c>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c r="CA989"/>
      <c r="CB989"/>
      <c r="CC989"/>
      <c r="CD989"/>
      <c r="CE989"/>
      <c r="CF989"/>
      <c r="CG989"/>
      <c r="CH989"/>
      <c r="CI989"/>
      <c r="CJ989"/>
      <c r="CK989"/>
      <c r="CL989"/>
      <c r="CM989"/>
      <c r="CN989"/>
      <c r="CO989"/>
      <c r="CP989"/>
      <c r="CQ989"/>
      <c r="CR989"/>
      <c r="CS989"/>
    </row>
    <row r="990" spans="2:97">
      <c r="B990"/>
      <c r="C990" s="15"/>
      <c r="D990" s="23"/>
      <c r="E990" s="23"/>
      <c r="F990" s="23"/>
      <c r="G990" s="23">
        <f t="shared" si="68"/>
        <v>0</v>
      </c>
      <c r="H990" s="23" t="e" cm="1">
        <f t="array" ref="H990">INDEX('GLOBAL LOG'!#REF!,ROW()-169+15)</f>
        <v>#REF!</v>
      </c>
      <c r="I990" s="23" t="e">
        <f>_xlfn.XLOOKUP(H990,#REF!,#REF!,"",0,1)</f>
        <v>#REF!</v>
      </c>
      <c r="J990" s="23" t="str">
        <f>IFERROR(I990*#REF!,"")</f>
        <v/>
      </c>
      <c r="K990" s="23" t="e" cm="1">
        <f t="array" ref="K990">INDEX('GLOBAL LOG'!#REF!,ROW()-169+15)</f>
        <v>#REF!</v>
      </c>
      <c r="L990" s="23" t="e">
        <f>_xlfn.XLOOKUP(K990,#REF!,#REF!,"",0,1)</f>
        <v>#REF!</v>
      </c>
      <c r="M990" s="23" t="str">
        <f>IFERROR(L990*#REF!,"")</f>
        <v/>
      </c>
      <c r="N990" s="23">
        <f t="shared" si="69"/>
        <v>-1</v>
      </c>
      <c r="O990" s="23">
        <f t="shared" si="70"/>
        <v>-1</v>
      </c>
      <c r="P990" s="23">
        <f t="shared" si="71"/>
        <v>-1</v>
      </c>
      <c r="Q990" s="24">
        <f t="shared" si="72"/>
        <v>-1</v>
      </c>
      <c r="R990" s="3"/>
      <c r="S990" s="1">
        <v>0</v>
      </c>
      <c r="T990" s="24">
        <v>-1</v>
      </c>
      <c r="U990"/>
      <c r="V990" s="1">
        <v>0</v>
      </c>
      <c r="W990" s="24">
        <v>-1</v>
      </c>
      <c r="X990"/>
      <c r="Y990" s="1">
        <v>0</v>
      </c>
      <c r="Z990" s="24">
        <v>-1</v>
      </c>
      <c r="AA990"/>
      <c r="AB990" s="1">
        <v>0</v>
      </c>
      <c r="AC990" s="24">
        <v>-1</v>
      </c>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c r="CA990"/>
      <c r="CB990"/>
      <c r="CC990"/>
      <c r="CD990"/>
      <c r="CE990"/>
      <c r="CF990"/>
      <c r="CG990"/>
      <c r="CH990"/>
      <c r="CI990"/>
      <c r="CJ990"/>
      <c r="CK990"/>
      <c r="CL990"/>
      <c r="CM990"/>
      <c r="CN990"/>
      <c r="CO990"/>
      <c r="CP990"/>
      <c r="CQ990"/>
      <c r="CR990"/>
      <c r="CS990"/>
    </row>
    <row r="991" spans="2:97">
      <c r="B991"/>
      <c r="C991" s="15"/>
      <c r="D991" s="23"/>
      <c r="E991" s="23"/>
      <c r="F991" s="23"/>
      <c r="G991" s="23">
        <f t="shared" si="68"/>
        <v>0</v>
      </c>
      <c r="H991" s="23" t="e" cm="1">
        <f t="array" ref="H991">INDEX('GLOBAL LOG'!#REF!,ROW()-169+15)</f>
        <v>#REF!</v>
      </c>
      <c r="I991" s="23" t="e">
        <f>_xlfn.XLOOKUP(H991,#REF!,#REF!,"",0,1)</f>
        <v>#REF!</v>
      </c>
      <c r="J991" s="23" t="str">
        <f>IFERROR(I991*#REF!,"")</f>
        <v/>
      </c>
      <c r="K991" s="23" t="e" cm="1">
        <f t="array" ref="K991">INDEX('GLOBAL LOG'!#REF!,ROW()-169+15)</f>
        <v>#REF!</v>
      </c>
      <c r="L991" s="23" t="e">
        <f>_xlfn.XLOOKUP(K991,#REF!,#REF!,"",0,1)</f>
        <v>#REF!</v>
      </c>
      <c r="M991" s="23" t="str">
        <f>IFERROR(L991*#REF!,"")</f>
        <v/>
      </c>
      <c r="N991" s="23">
        <f t="shared" si="69"/>
        <v>-1</v>
      </c>
      <c r="O991" s="23">
        <f t="shared" si="70"/>
        <v>-1</v>
      </c>
      <c r="P991" s="23">
        <f t="shared" si="71"/>
        <v>-1</v>
      </c>
      <c r="Q991" s="24">
        <f t="shared" si="72"/>
        <v>-1</v>
      </c>
      <c r="R991" s="3"/>
      <c r="S991" s="1">
        <v>0</v>
      </c>
      <c r="T991" s="24">
        <v>-1</v>
      </c>
      <c r="U991"/>
      <c r="V991" s="1">
        <v>0</v>
      </c>
      <c r="W991" s="24">
        <v>-1</v>
      </c>
      <c r="X991"/>
      <c r="Y991" s="1">
        <v>0</v>
      </c>
      <c r="Z991" s="24">
        <v>-1</v>
      </c>
      <c r="AA991"/>
      <c r="AB991" s="1">
        <v>0</v>
      </c>
      <c r="AC991" s="24">
        <v>-1</v>
      </c>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c r="CA991"/>
      <c r="CB991"/>
      <c r="CC991"/>
      <c r="CD991"/>
      <c r="CE991"/>
      <c r="CF991"/>
      <c r="CG991"/>
      <c r="CH991"/>
      <c r="CI991"/>
      <c r="CJ991"/>
      <c r="CK991"/>
      <c r="CL991"/>
      <c r="CM991"/>
      <c r="CN991"/>
      <c r="CO991"/>
      <c r="CP991"/>
      <c r="CQ991"/>
      <c r="CR991"/>
      <c r="CS991"/>
    </row>
    <row r="992" spans="2:97">
      <c r="B992"/>
      <c r="C992" s="15"/>
      <c r="D992" s="23"/>
      <c r="E992" s="23"/>
      <c r="F992" s="23"/>
      <c r="G992" s="23">
        <f t="shared" si="68"/>
        <v>0</v>
      </c>
      <c r="H992" s="23" t="e" cm="1">
        <f t="array" ref="H992">INDEX('GLOBAL LOG'!#REF!,ROW()-169+15)</f>
        <v>#REF!</v>
      </c>
      <c r="I992" s="23" t="e">
        <f>_xlfn.XLOOKUP(H992,#REF!,#REF!,"",0,1)</f>
        <v>#REF!</v>
      </c>
      <c r="J992" s="23" t="str">
        <f>IFERROR(I992*#REF!,"")</f>
        <v/>
      </c>
      <c r="K992" s="23" t="e" cm="1">
        <f t="array" ref="K992">INDEX('GLOBAL LOG'!#REF!,ROW()-169+15)</f>
        <v>#REF!</v>
      </c>
      <c r="L992" s="23" t="e">
        <f>_xlfn.XLOOKUP(K992,#REF!,#REF!,"",0,1)</f>
        <v>#REF!</v>
      </c>
      <c r="M992" s="23" t="str">
        <f>IFERROR(L992*#REF!,"")</f>
        <v/>
      </c>
      <c r="N992" s="23">
        <f t="shared" si="69"/>
        <v>-1</v>
      </c>
      <c r="O992" s="23">
        <f t="shared" si="70"/>
        <v>-1</v>
      </c>
      <c r="P992" s="23">
        <f t="shared" si="71"/>
        <v>-1</v>
      </c>
      <c r="Q992" s="24">
        <f t="shared" si="72"/>
        <v>-1</v>
      </c>
      <c r="R992" s="3"/>
      <c r="S992" s="1">
        <v>0</v>
      </c>
      <c r="T992" s="24">
        <v>-1</v>
      </c>
      <c r="U992"/>
      <c r="V992" s="1">
        <v>0</v>
      </c>
      <c r="W992" s="24">
        <v>-1</v>
      </c>
      <c r="X992"/>
      <c r="Y992" s="1">
        <v>0</v>
      </c>
      <c r="Z992" s="24">
        <v>-1</v>
      </c>
      <c r="AA992"/>
      <c r="AB992" s="1">
        <v>0</v>
      </c>
      <c r="AC992" s="24">
        <v>-1</v>
      </c>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c r="CA992"/>
      <c r="CB992"/>
      <c r="CC992"/>
      <c r="CD992"/>
      <c r="CE992"/>
      <c r="CF992"/>
      <c r="CG992"/>
      <c r="CH992"/>
      <c r="CI992"/>
      <c r="CJ992"/>
      <c r="CK992"/>
      <c r="CL992"/>
      <c r="CM992"/>
      <c r="CN992"/>
      <c r="CO992"/>
      <c r="CP992"/>
      <c r="CQ992"/>
      <c r="CR992"/>
      <c r="CS992"/>
    </row>
    <row r="993" spans="2:97">
      <c r="B993"/>
      <c r="C993" s="15"/>
      <c r="D993" s="23"/>
      <c r="E993" s="23"/>
      <c r="F993" s="23"/>
      <c r="G993" s="23">
        <f t="shared" si="68"/>
        <v>0</v>
      </c>
      <c r="H993" s="23" t="e" cm="1">
        <f t="array" ref="H993">INDEX('GLOBAL LOG'!#REF!,ROW()-169+15)</f>
        <v>#REF!</v>
      </c>
      <c r="I993" s="23" t="e">
        <f>_xlfn.XLOOKUP(H993,#REF!,#REF!,"",0,1)</f>
        <v>#REF!</v>
      </c>
      <c r="J993" s="23" t="str">
        <f>IFERROR(I993*#REF!,"")</f>
        <v/>
      </c>
      <c r="K993" s="23" t="e" cm="1">
        <f t="array" ref="K993">INDEX('GLOBAL LOG'!#REF!,ROW()-169+15)</f>
        <v>#REF!</v>
      </c>
      <c r="L993" s="23" t="e">
        <f>_xlfn.XLOOKUP(K993,#REF!,#REF!,"",0,1)</f>
        <v>#REF!</v>
      </c>
      <c r="M993" s="23" t="str">
        <f>IFERROR(L993*#REF!,"")</f>
        <v/>
      </c>
      <c r="N993" s="23">
        <f t="shared" si="69"/>
        <v>-1</v>
      </c>
      <c r="O993" s="23">
        <f t="shared" si="70"/>
        <v>-1</v>
      </c>
      <c r="P993" s="23">
        <f t="shared" si="71"/>
        <v>-1</v>
      </c>
      <c r="Q993" s="24">
        <f t="shared" si="72"/>
        <v>-1</v>
      </c>
      <c r="R993" s="3"/>
      <c r="S993" s="1">
        <v>0</v>
      </c>
      <c r="T993" s="24">
        <v>-1</v>
      </c>
      <c r="U993"/>
      <c r="V993" s="1">
        <v>0</v>
      </c>
      <c r="W993" s="24">
        <v>-1</v>
      </c>
      <c r="X993"/>
      <c r="Y993" s="1">
        <v>0</v>
      </c>
      <c r="Z993" s="24">
        <v>-1</v>
      </c>
      <c r="AA993"/>
      <c r="AB993" s="1">
        <v>0</v>
      </c>
      <c r="AC993" s="24">
        <v>-1</v>
      </c>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c r="CA993"/>
      <c r="CB993"/>
      <c r="CC993"/>
      <c r="CD993"/>
      <c r="CE993"/>
      <c r="CF993"/>
      <c r="CG993"/>
      <c r="CH993"/>
      <c r="CI993"/>
      <c r="CJ993"/>
      <c r="CK993"/>
      <c r="CL993"/>
      <c r="CM993"/>
      <c r="CN993"/>
      <c r="CO993"/>
      <c r="CP993"/>
      <c r="CQ993"/>
      <c r="CR993"/>
      <c r="CS993"/>
    </row>
    <row r="994" spans="2:97">
      <c r="B994"/>
      <c r="C994" s="15"/>
      <c r="D994" s="23"/>
      <c r="E994" s="23"/>
      <c r="F994" s="23"/>
      <c r="G994" s="23">
        <f t="shared" si="68"/>
        <v>0</v>
      </c>
      <c r="H994" s="23" t="e" cm="1">
        <f t="array" ref="H994">INDEX('GLOBAL LOG'!#REF!,ROW()-169+15)</f>
        <v>#REF!</v>
      </c>
      <c r="I994" s="23" t="e">
        <f>_xlfn.XLOOKUP(H994,#REF!,#REF!,"",0,1)</f>
        <v>#REF!</v>
      </c>
      <c r="J994" s="23" t="str">
        <f>IFERROR(I994*#REF!,"")</f>
        <v/>
      </c>
      <c r="K994" s="23" t="e" cm="1">
        <f t="array" ref="K994">INDEX('GLOBAL LOG'!#REF!,ROW()-169+15)</f>
        <v>#REF!</v>
      </c>
      <c r="L994" s="23" t="e">
        <f>_xlfn.XLOOKUP(K994,#REF!,#REF!,"",0,1)</f>
        <v>#REF!</v>
      </c>
      <c r="M994" s="23" t="str">
        <f>IFERROR(L994*#REF!,"")</f>
        <v/>
      </c>
      <c r="N994" s="23">
        <f t="shared" si="69"/>
        <v>-1</v>
      </c>
      <c r="O994" s="23">
        <f t="shared" si="70"/>
        <v>-1</v>
      </c>
      <c r="P994" s="23">
        <f t="shared" si="71"/>
        <v>-1</v>
      </c>
      <c r="Q994" s="24">
        <f t="shared" si="72"/>
        <v>-1</v>
      </c>
      <c r="R994" s="3"/>
      <c r="S994" s="1">
        <v>0</v>
      </c>
      <c r="T994" s="24">
        <v>-1</v>
      </c>
      <c r="U994"/>
      <c r="V994" s="1">
        <v>0</v>
      </c>
      <c r="W994" s="24">
        <v>-1</v>
      </c>
      <c r="X994"/>
      <c r="Y994" s="1">
        <v>0</v>
      </c>
      <c r="Z994" s="24">
        <v>-1</v>
      </c>
      <c r="AA994"/>
      <c r="AB994" s="1">
        <v>0</v>
      </c>
      <c r="AC994" s="24">
        <v>-1</v>
      </c>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c r="CA994"/>
      <c r="CB994"/>
      <c r="CC994"/>
      <c r="CD994"/>
      <c r="CE994"/>
      <c r="CF994"/>
      <c r="CG994"/>
      <c r="CH994"/>
      <c r="CI994"/>
      <c r="CJ994"/>
      <c r="CK994"/>
      <c r="CL994"/>
      <c r="CM994"/>
      <c r="CN994"/>
      <c r="CO994"/>
      <c r="CP994"/>
      <c r="CQ994"/>
      <c r="CR994"/>
      <c r="CS994"/>
    </row>
    <row r="995" spans="2:97">
      <c r="B995"/>
      <c r="C995" s="15"/>
      <c r="D995" s="23"/>
      <c r="E995" s="23"/>
      <c r="F995" s="23"/>
      <c r="G995" s="23">
        <f t="shared" si="68"/>
        <v>0</v>
      </c>
      <c r="H995" s="23" t="e" cm="1">
        <f t="array" ref="H995">INDEX('GLOBAL LOG'!#REF!,ROW()-169+15)</f>
        <v>#REF!</v>
      </c>
      <c r="I995" s="23" t="e">
        <f>_xlfn.XLOOKUP(H995,#REF!,#REF!,"",0,1)</f>
        <v>#REF!</v>
      </c>
      <c r="J995" s="23" t="str">
        <f>IFERROR(I995*#REF!,"")</f>
        <v/>
      </c>
      <c r="K995" s="23" t="e" cm="1">
        <f t="array" ref="K995">INDEX('GLOBAL LOG'!#REF!,ROW()-169+15)</f>
        <v>#REF!</v>
      </c>
      <c r="L995" s="23" t="e">
        <f>_xlfn.XLOOKUP(K995,#REF!,#REF!,"",0,1)</f>
        <v>#REF!</v>
      </c>
      <c r="M995" s="23" t="str">
        <f>IFERROR(L995*#REF!,"")</f>
        <v/>
      </c>
      <c r="N995" s="23">
        <f t="shared" si="69"/>
        <v>-1</v>
      </c>
      <c r="O995" s="23">
        <f t="shared" si="70"/>
        <v>-1</v>
      </c>
      <c r="P995" s="23">
        <f t="shared" si="71"/>
        <v>-1</v>
      </c>
      <c r="Q995" s="24">
        <f t="shared" si="72"/>
        <v>-1</v>
      </c>
      <c r="R995" s="3"/>
      <c r="S995" s="1">
        <v>0</v>
      </c>
      <c r="T995" s="24">
        <v>-1</v>
      </c>
      <c r="U995"/>
      <c r="V995" s="1">
        <v>0</v>
      </c>
      <c r="W995" s="24">
        <v>-1</v>
      </c>
      <c r="X995"/>
      <c r="Y995" s="1">
        <v>0</v>
      </c>
      <c r="Z995" s="24">
        <v>-1</v>
      </c>
      <c r="AA995"/>
      <c r="AB995" s="1">
        <v>0</v>
      </c>
      <c r="AC995" s="24">
        <v>-1</v>
      </c>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c r="CA995"/>
      <c r="CB995"/>
      <c r="CC995"/>
      <c r="CD995"/>
      <c r="CE995"/>
      <c r="CF995"/>
      <c r="CG995"/>
      <c r="CH995"/>
      <c r="CI995"/>
      <c r="CJ995"/>
      <c r="CK995"/>
      <c r="CL995"/>
      <c r="CM995"/>
      <c r="CN995"/>
      <c r="CO995"/>
      <c r="CP995"/>
      <c r="CQ995"/>
      <c r="CR995"/>
      <c r="CS995"/>
    </row>
    <row r="996" spans="2:97">
      <c r="B996"/>
      <c r="C996" s="15"/>
      <c r="D996" s="23"/>
      <c r="E996" s="23"/>
      <c r="F996" s="23"/>
      <c r="G996" s="23">
        <f t="shared" si="68"/>
        <v>0</v>
      </c>
      <c r="H996" s="23" t="e" cm="1">
        <f t="array" ref="H996">INDEX('GLOBAL LOG'!#REF!,ROW()-169+15)</f>
        <v>#REF!</v>
      </c>
      <c r="I996" s="23" t="e">
        <f>_xlfn.XLOOKUP(H996,#REF!,#REF!,"",0,1)</f>
        <v>#REF!</v>
      </c>
      <c r="J996" s="23" t="str">
        <f>IFERROR(I996*#REF!,"")</f>
        <v/>
      </c>
      <c r="K996" s="23" t="e" cm="1">
        <f t="array" ref="K996">INDEX('GLOBAL LOG'!#REF!,ROW()-169+15)</f>
        <v>#REF!</v>
      </c>
      <c r="L996" s="23" t="e">
        <f>_xlfn.XLOOKUP(K996,#REF!,#REF!,"",0,1)</f>
        <v>#REF!</v>
      </c>
      <c r="M996" s="23" t="str">
        <f>IFERROR(L996*#REF!,"")</f>
        <v/>
      </c>
      <c r="N996" s="23">
        <f t="shared" si="69"/>
        <v>-1</v>
      </c>
      <c r="O996" s="23">
        <f t="shared" si="70"/>
        <v>-1</v>
      </c>
      <c r="P996" s="23">
        <f t="shared" si="71"/>
        <v>-1</v>
      </c>
      <c r="Q996" s="24">
        <f t="shared" si="72"/>
        <v>-1</v>
      </c>
      <c r="R996" s="3"/>
      <c r="S996" s="1">
        <v>0</v>
      </c>
      <c r="T996" s="24">
        <v>-1</v>
      </c>
      <c r="U996"/>
      <c r="V996" s="1">
        <v>0</v>
      </c>
      <c r="W996" s="24">
        <v>-1</v>
      </c>
      <c r="X996"/>
      <c r="Y996" s="1">
        <v>0</v>
      </c>
      <c r="Z996" s="24">
        <v>-1</v>
      </c>
      <c r="AA996"/>
      <c r="AB996" s="1">
        <v>0</v>
      </c>
      <c r="AC996" s="24">
        <v>-1</v>
      </c>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c r="CA996"/>
      <c r="CB996"/>
      <c r="CC996"/>
      <c r="CD996"/>
      <c r="CE996"/>
      <c r="CF996"/>
      <c r="CG996"/>
      <c r="CH996"/>
      <c r="CI996"/>
      <c r="CJ996"/>
      <c r="CK996"/>
      <c r="CL996"/>
      <c r="CM996"/>
      <c r="CN996"/>
      <c r="CO996"/>
      <c r="CP996"/>
      <c r="CQ996"/>
      <c r="CR996"/>
      <c r="CS996"/>
    </row>
    <row r="997" spans="2:97">
      <c r="B997"/>
      <c r="C997" s="15"/>
      <c r="D997" s="23"/>
      <c r="E997" s="23"/>
      <c r="F997" s="23"/>
      <c r="G997" s="23">
        <f t="shared" si="68"/>
        <v>0</v>
      </c>
      <c r="H997" s="23" t="e" cm="1">
        <f t="array" ref="H997">INDEX('GLOBAL LOG'!#REF!,ROW()-169+15)</f>
        <v>#REF!</v>
      </c>
      <c r="I997" s="23" t="e">
        <f>_xlfn.XLOOKUP(H997,#REF!,#REF!,"",0,1)</f>
        <v>#REF!</v>
      </c>
      <c r="J997" s="23" t="str">
        <f>IFERROR(I997*#REF!,"")</f>
        <v/>
      </c>
      <c r="K997" s="23" t="e" cm="1">
        <f t="array" ref="K997">INDEX('GLOBAL LOG'!#REF!,ROW()-169+15)</f>
        <v>#REF!</v>
      </c>
      <c r="L997" s="23" t="e">
        <f>_xlfn.XLOOKUP(K997,#REF!,#REF!,"",0,1)</f>
        <v>#REF!</v>
      </c>
      <c r="M997" s="23" t="str">
        <f>IFERROR(L997*#REF!,"")</f>
        <v/>
      </c>
      <c r="N997" s="23">
        <f t="shared" si="69"/>
        <v>-1</v>
      </c>
      <c r="O997" s="23">
        <f t="shared" si="70"/>
        <v>-1</v>
      </c>
      <c r="P997" s="23">
        <f t="shared" si="71"/>
        <v>-1</v>
      </c>
      <c r="Q997" s="24">
        <f t="shared" si="72"/>
        <v>-1</v>
      </c>
      <c r="R997" s="3"/>
      <c r="S997" s="1">
        <v>0</v>
      </c>
      <c r="T997" s="24">
        <v>-1</v>
      </c>
      <c r="U997"/>
      <c r="V997" s="1">
        <v>0</v>
      </c>
      <c r="W997" s="24">
        <v>-1</v>
      </c>
      <c r="X997"/>
      <c r="Y997" s="1">
        <v>0</v>
      </c>
      <c r="Z997" s="24">
        <v>-1</v>
      </c>
      <c r="AA997"/>
      <c r="AB997" s="1">
        <v>0</v>
      </c>
      <c r="AC997" s="24">
        <v>-1</v>
      </c>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c r="CA997"/>
      <c r="CB997"/>
      <c r="CC997"/>
      <c r="CD997"/>
      <c r="CE997"/>
      <c r="CF997"/>
      <c r="CG997"/>
      <c r="CH997"/>
      <c r="CI997"/>
      <c r="CJ997"/>
      <c r="CK997"/>
      <c r="CL997"/>
      <c r="CM997"/>
      <c r="CN997"/>
      <c r="CO997"/>
      <c r="CP997"/>
      <c r="CQ997"/>
      <c r="CR997"/>
      <c r="CS997"/>
    </row>
    <row r="998" spans="2:97">
      <c r="B998"/>
      <c r="C998" s="15"/>
      <c r="D998" s="23"/>
      <c r="E998" s="23"/>
      <c r="F998" s="23"/>
      <c r="G998" s="23">
        <f t="shared" si="68"/>
        <v>0</v>
      </c>
      <c r="H998" s="23" t="e" cm="1">
        <f t="array" ref="H998">INDEX('GLOBAL LOG'!#REF!,ROW()-169+15)</f>
        <v>#REF!</v>
      </c>
      <c r="I998" s="23" t="e">
        <f>_xlfn.XLOOKUP(H998,#REF!,#REF!,"",0,1)</f>
        <v>#REF!</v>
      </c>
      <c r="J998" s="23" t="str">
        <f>IFERROR(I998*#REF!,"")</f>
        <v/>
      </c>
      <c r="K998" s="23" t="e" cm="1">
        <f t="array" ref="K998">INDEX('GLOBAL LOG'!#REF!,ROW()-169+15)</f>
        <v>#REF!</v>
      </c>
      <c r="L998" s="23" t="e">
        <f>_xlfn.XLOOKUP(K998,#REF!,#REF!,"",0,1)</f>
        <v>#REF!</v>
      </c>
      <c r="M998" s="23" t="str">
        <f>IFERROR(L998*#REF!,"")</f>
        <v/>
      </c>
      <c r="N998" s="23">
        <f t="shared" si="69"/>
        <v>-1</v>
      </c>
      <c r="O998" s="23">
        <f t="shared" si="70"/>
        <v>-1</v>
      </c>
      <c r="P998" s="23">
        <f t="shared" si="71"/>
        <v>-1</v>
      </c>
      <c r="Q998" s="24">
        <f t="shared" si="72"/>
        <v>-1</v>
      </c>
      <c r="R998" s="3"/>
      <c r="S998" s="1">
        <v>0</v>
      </c>
      <c r="T998" s="24">
        <v>-1</v>
      </c>
      <c r="U998"/>
      <c r="V998" s="1">
        <v>0</v>
      </c>
      <c r="W998" s="24">
        <v>-1</v>
      </c>
      <c r="X998"/>
      <c r="Y998" s="1">
        <v>0</v>
      </c>
      <c r="Z998" s="24">
        <v>-1</v>
      </c>
      <c r="AA998"/>
      <c r="AB998" s="1">
        <v>0</v>
      </c>
      <c r="AC998" s="24">
        <v>-1</v>
      </c>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c r="CA998"/>
      <c r="CB998"/>
      <c r="CC998"/>
      <c r="CD998"/>
      <c r="CE998"/>
      <c r="CF998"/>
      <c r="CG998"/>
      <c r="CH998"/>
      <c r="CI998"/>
      <c r="CJ998"/>
      <c r="CK998"/>
      <c r="CL998"/>
      <c r="CM998"/>
      <c r="CN998"/>
      <c r="CO998"/>
      <c r="CP998"/>
      <c r="CQ998"/>
      <c r="CR998"/>
      <c r="CS998"/>
    </row>
    <row r="999" spans="2:97">
      <c r="B999"/>
      <c r="C999" s="15"/>
      <c r="D999" s="23"/>
      <c r="E999" s="23"/>
      <c r="F999" s="23"/>
      <c r="G999" s="23">
        <f t="shared" si="68"/>
        <v>0</v>
      </c>
      <c r="H999" s="23" t="e" cm="1">
        <f t="array" ref="H999">INDEX('GLOBAL LOG'!#REF!,ROW()-169+15)</f>
        <v>#REF!</v>
      </c>
      <c r="I999" s="23" t="e">
        <f>_xlfn.XLOOKUP(H999,#REF!,#REF!,"",0,1)</f>
        <v>#REF!</v>
      </c>
      <c r="J999" s="23" t="str">
        <f>IFERROR(I999*#REF!,"")</f>
        <v/>
      </c>
      <c r="K999" s="23" t="e" cm="1">
        <f t="array" ref="K999">INDEX('GLOBAL LOG'!#REF!,ROW()-169+15)</f>
        <v>#REF!</v>
      </c>
      <c r="L999" s="23" t="e">
        <f>_xlfn.XLOOKUP(K999,#REF!,#REF!,"",0,1)</f>
        <v>#REF!</v>
      </c>
      <c r="M999" s="23" t="str">
        <f>IFERROR(L999*#REF!,"")</f>
        <v/>
      </c>
      <c r="N999" s="23">
        <f t="shared" si="69"/>
        <v>-1</v>
      </c>
      <c r="O999" s="23">
        <f t="shared" si="70"/>
        <v>-1</v>
      </c>
      <c r="P999" s="23">
        <f t="shared" si="71"/>
        <v>-1</v>
      </c>
      <c r="Q999" s="24">
        <f t="shared" si="72"/>
        <v>-1</v>
      </c>
      <c r="R999" s="3"/>
      <c r="S999" s="1">
        <v>0</v>
      </c>
      <c r="T999" s="24">
        <v>-1</v>
      </c>
      <c r="U999"/>
      <c r="V999" s="1">
        <v>0</v>
      </c>
      <c r="W999" s="24">
        <v>-1</v>
      </c>
      <c r="X999"/>
      <c r="Y999" s="1">
        <v>0</v>
      </c>
      <c r="Z999" s="24">
        <v>-1</v>
      </c>
      <c r="AA999"/>
      <c r="AB999" s="1">
        <v>0</v>
      </c>
      <c r="AC999" s="24">
        <v>-1</v>
      </c>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c r="CA999"/>
      <c r="CB999"/>
      <c r="CC999"/>
      <c r="CD999"/>
      <c r="CE999"/>
      <c r="CF999"/>
      <c r="CG999"/>
      <c r="CH999"/>
      <c r="CI999"/>
      <c r="CJ999"/>
      <c r="CK999"/>
      <c r="CL999"/>
      <c r="CM999"/>
      <c r="CN999"/>
      <c r="CO999"/>
      <c r="CP999"/>
      <c r="CQ999"/>
      <c r="CR999"/>
      <c r="CS999"/>
    </row>
    <row r="1000" spans="2:97">
      <c r="B1000"/>
      <c r="C1000" s="15"/>
      <c r="D1000" s="23"/>
      <c r="E1000" s="23"/>
      <c r="F1000" s="23"/>
      <c r="G1000" s="23">
        <f t="shared" si="68"/>
        <v>0</v>
      </c>
      <c r="H1000" s="23" t="e" cm="1">
        <f t="array" ref="H1000">INDEX('GLOBAL LOG'!#REF!,ROW()-169+15)</f>
        <v>#REF!</v>
      </c>
      <c r="I1000" s="23" t="e">
        <f>_xlfn.XLOOKUP(H1000,#REF!,#REF!,"",0,1)</f>
        <v>#REF!</v>
      </c>
      <c r="J1000" s="23" t="str">
        <f>IFERROR(I1000*#REF!,"")</f>
        <v/>
      </c>
      <c r="K1000" s="23" t="e" cm="1">
        <f t="array" ref="K1000">INDEX('GLOBAL LOG'!#REF!,ROW()-169+15)</f>
        <v>#REF!</v>
      </c>
      <c r="L1000" s="23" t="e">
        <f>_xlfn.XLOOKUP(K1000,#REF!,#REF!,"",0,1)</f>
        <v>#REF!</v>
      </c>
      <c r="M1000" s="23" t="str">
        <f>IFERROR(L1000*#REF!,"")</f>
        <v/>
      </c>
      <c r="N1000" s="23">
        <f t="shared" si="69"/>
        <v>-1</v>
      </c>
      <c r="O1000" s="23">
        <f t="shared" si="70"/>
        <v>-1</v>
      </c>
      <c r="P1000" s="23">
        <f t="shared" si="71"/>
        <v>-1</v>
      </c>
      <c r="Q1000" s="24">
        <f t="shared" si="72"/>
        <v>-1</v>
      </c>
      <c r="R1000" s="3"/>
      <c r="S1000" s="1">
        <v>0</v>
      </c>
      <c r="T1000" s="24">
        <v>-1</v>
      </c>
      <c r="U1000"/>
      <c r="V1000" s="1">
        <v>0</v>
      </c>
      <c r="W1000" s="24">
        <v>-1</v>
      </c>
      <c r="X1000"/>
      <c r="Y1000" s="1">
        <v>0</v>
      </c>
      <c r="Z1000" s="24">
        <v>-1</v>
      </c>
      <c r="AA1000"/>
      <c r="AB1000" s="1">
        <v>0</v>
      </c>
      <c r="AC1000" s="24">
        <v>-1</v>
      </c>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c r="CA1000"/>
      <c r="CB1000"/>
      <c r="CC1000"/>
      <c r="CD1000"/>
      <c r="CE1000"/>
      <c r="CF1000"/>
      <c r="CG1000"/>
      <c r="CH1000"/>
      <c r="CI1000"/>
      <c r="CJ1000"/>
      <c r="CK1000"/>
      <c r="CL1000"/>
      <c r="CM1000"/>
      <c r="CN1000"/>
      <c r="CO1000"/>
      <c r="CP1000"/>
      <c r="CQ1000"/>
      <c r="CR1000"/>
      <c r="CS1000"/>
    </row>
    <row r="1001" spans="2:97">
      <c r="B1001"/>
      <c r="C1001" s="15"/>
      <c r="D1001" s="23"/>
      <c r="E1001" s="23"/>
      <c r="F1001" s="23"/>
      <c r="G1001" s="23">
        <f t="shared" si="68"/>
        <v>0</v>
      </c>
      <c r="H1001" s="23" t="e" cm="1">
        <f t="array" ref="H1001">INDEX('GLOBAL LOG'!#REF!,ROW()-169+15)</f>
        <v>#REF!</v>
      </c>
      <c r="I1001" s="23" t="e">
        <f>_xlfn.XLOOKUP(H1001,#REF!,#REF!,"",0,1)</f>
        <v>#REF!</v>
      </c>
      <c r="J1001" s="23" t="str">
        <f>IFERROR(I1001*#REF!,"")</f>
        <v/>
      </c>
      <c r="K1001" s="23" t="e" cm="1">
        <f t="array" ref="K1001">INDEX('GLOBAL LOG'!#REF!,ROW()-169+15)</f>
        <v>#REF!</v>
      </c>
      <c r="L1001" s="23" t="e">
        <f>_xlfn.XLOOKUP(K1001,#REF!,#REF!,"",0,1)</f>
        <v>#REF!</v>
      </c>
      <c r="M1001" s="23" t="str">
        <f>IFERROR(L1001*#REF!,"")</f>
        <v/>
      </c>
      <c r="N1001" s="23">
        <f t="shared" si="69"/>
        <v>-1</v>
      </c>
      <c r="O1001" s="23">
        <f t="shared" si="70"/>
        <v>-1</v>
      </c>
      <c r="P1001" s="23">
        <f t="shared" si="71"/>
        <v>-1</v>
      </c>
      <c r="Q1001" s="24">
        <f t="shared" si="72"/>
        <v>-1</v>
      </c>
      <c r="R1001" s="3"/>
      <c r="S1001" s="1">
        <v>0</v>
      </c>
      <c r="T1001" s="24">
        <v>-1</v>
      </c>
      <c r="U1001"/>
      <c r="V1001" s="1">
        <v>0</v>
      </c>
      <c r="W1001" s="24">
        <v>-1</v>
      </c>
      <c r="X1001"/>
      <c r="Y1001" s="1">
        <v>0</v>
      </c>
      <c r="Z1001" s="24">
        <v>-1</v>
      </c>
      <c r="AA1001"/>
      <c r="AB1001" s="1">
        <v>0</v>
      </c>
      <c r="AC1001" s="24">
        <v>-1</v>
      </c>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c r="CA1001"/>
      <c r="CB1001"/>
      <c r="CC1001"/>
      <c r="CD1001"/>
      <c r="CE1001"/>
      <c r="CF1001"/>
      <c r="CG1001"/>
      <c r="CH1001"/>
      <c r="CI1001"/>
      <c r="CJ1001"/>
      <c r="CK1001"/>
      <c r="CL1001"/>
      <c r="CM1001"/>
      <c r="CN1001"/>
      <c r="CO1001"/>
      <c r="CP1001"/>
      <c r="CQ1001"/>
      <c r="CR1001"/>
      <c r="CS1001"/>
    </row>
    <row r="1002" spans="2:97">
      <c r="B1002"/>
      <c r="C1002" s="15"/>
      <c r="D1002" s="23"/>
      <c r="E1002" s="23"/>
      <c r="F1002" s="23"/>
      <c r="G1002" s="23">
        <f t="shared" ref="G1002:G1065" si="73">E1002+F1002</f>
        <v>0</v>
      </c>
      <c r="H1002" s="23" t="e" cm="1">
        <f t="array" ref="H1002">INDEX('GLOBAL LOG'!#REF!,ROW()-169+15)</f>
        <v>#REF!</v>
      </c>
      <c r="I1002" s="23" t="e">
        <f>_xlfn.XLOOKUP(H1002,#REF!,#REF!,"",0,1)</f>
        <v>#REF!</v>
      </c>
      <c r="J1002" s="23" t="str">
        <f>IFERROR(I1002*#REF!,"")</f>
        <v/>
      </c>
      <c r="K1002" s="23" t="e" cm="1">
        <f t="array" ref="K1002">INDEX('GLOBAL LOG'!#REF!,ROW()-169+15)</f>
        <v>#REF!</v>
      </c>
      <c r="L1002" s="23" t="e">
        <f>_xlfn.XLOOKUP(K1002,#REF!,#REF!,"",0,1)</f>
        <v>#REF!</v>
      </c>
      <c r="M1002" s="23" t="str">
        <f>IFERROR(L1002*#REF!,"")</f>
        <v/>
      </c>
      <c r="N1002" s="23">
        <f t="shared" ref="N1002:N1065" si="74">IFERROR(D1002*J1002*M1002,-1)</f>
        <v>-1</v>
      </c>
      <c r="O1002" s="23">
        <f t="shared" ref="O1002:O1065" si="75">IFERROR(E1002*J1002*M1002,-1)</f>
        <v>-1</v>
      </c>
      <c r="P1002" s="23">
        <f t="shared" ref="P1002:P1065" si="76">IFERROR(F1002*J1002*M1002,-1)</f>
        <v>-1</v>
      </c>
      <c r="Q1002" s="24">
        <f t="shared" ref="Q1002:Q1065" si="77">IFERROR(G1002*J1002*M1002,-1)</f>
        <v>-1</v>
      </c>
      <c r="R1002" s="3"/>
      <c r="S1002" s="1">
        <v>0</v>
      </c>
      <c r="T1002" s="24">
        <v>-1</v>
      </c>
      <c r="U1002"/>
      <c r="V1002" s="1">
        <v>0</v>
      </c>
      <c r="W1002" s="24">
        <v>-1</v>
      </c>
      <c r="X1002"/>
      <c r="Y1002" s="1">
        <v>0</v>
      </c>
      <c r="Z1002" s="24">
        <v>-1</v>
      </c>
      <c r="AA1002"/>
      <c r="AB1002" s="1">
        <v>0</v>
      </c>
      <c r="AC1002" s="24">
        <v>-1</v>
      </c>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c r="CA1002"/>
      <c r="CB1002"/>
      <c r="CC1002"/>
      <c r="CD1002"/>
      <c r="CE1002"/>
      <c r="CF1002"/>
      <c r="CG1002"/>
      <c r="CH1002"/>
      <c r="CI1002"/>
      <c r="CJ1002"/>
      <c r="CK1002"/>
      <c r="CL1002"/>
      <c r="CM1002"/>
      <c r="CN1002"/>
      <c r="CO1002"/>
      <c r="CP1002"/>
      <c r="CQ1002"/>
      <c r="CR1002"/>
      <c r="CS1002"/>
    </row>
    <row r="1003" spans="2:97">
      <c r="B1003"/>
      <c r="C1003" s="15"/>
      <c r="D1003" s="23"/>
      <c r="E1003" s="23"/>
      <c r="F1003" s="23"/>
      <c r="G1003" s="23">
        <f t="shared" si="73"/>
        <v>0</v>
      </c>
      <c r="H1003" s="23" t="e" cm="1">
        <f t="array" ref="H1003">INDEX('GLOBAL LOG'!#REF!,ROW()-169+15)</f>
        <v>#REF!</v>
      </c>
      <c r="I1003" s="23" t="e">
        <f>_xlfn.XLOOKUP(H1003,#REF!,#REF!,"",0,1)</f>
        <v>#REF!</v>
      </c>
      <c r="J1003" s="23" t="str">
        <f>IFERROR(I1003*#REF!,"")</f>
        <v/>
      </c>
      <c r="K1003" s="23" t="e" cm="1">
        <f t="array" ref="K1003">INDEX('GLOBAL LOG'!#REF!,ROW()-169+15)</f>
        <v>#REF!</v>
      </c>
      <c r="L1003" s="23" t="e">
        <f>_xlfn.XLOOKUP(K1003,#REF!,#REF!,"",0,1)</f>
        <v>#REF!</v>
      </c>
      <c r="M1003" s="23" t="str">
        <f>IFERROR(L1003*#REF!,"")</f>
        <v/>
      </c>
      <c r="N1003" s="23">
        <f t="shared" si="74"/>
        <v>-1</v>
      </c>
      <c r="O1003" s="23">
        <f t="shared" si="75"/>
        <v>-1</v>
      </c>
      <c r="P1003" s="23">
        <f t="shared" si="76"/>
        <v>-1</v>
      </c>
      <c r="Q1003" s="24">
        <f t="shared" si="77"/>
        <v>-1</v>
      </c>
      <c r="R1003" s="3"/>
      <c r="S1003" s="1">
        <v>0</v>
      </c>
      <c r="T1003" s="24">
        <v>-1</v>
      </c>
      <c r="U1003"/>
      <c r="V1003" s="1">
        <v>0</v>
      </c>
      <c r="W1003" s="24">
        <v>-1</v>
      </c>
      <c r="X1003"/>
      <c r="Y1003" s="1">
        <v>0</v>
      </c>
      <c r="Z1003" s="24">
        <v>-1</v>
      </c>
      <c r="AA1003"/>
      <c r="AB1003" s="1">
        <v>0</v>
      </c>
      <c r="AC1003" s="24">
        <v>-1</v>
      </c>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c r="CA1003"/>
      <c r="CB1003"/>
      <c r="CC1003"/>
      <c r="CD1003"/>
      <c r="CE1003"/>
      <c r="CF1003"/>
      <c r="CG1003"/>
      <c r="CH1003"/>
      <c r="CI1003"/>
      <c r="CJ1003"/>
      <c r="CK1003"/>
      <c r="CL1003"/>
      <c r="CM1003"/>
      <c r="CN1003"/>
      <c r="CO1003"/>
      <c r="CP1003"/>
      <c r="CQ1003"/>
      <c r="CR1003"/>
      <c r="CS1003"/>
    </row>
    <row r="1004" spans="2:97">
      <c r="B1004"/>
      <c r="C1004" s="15"/>
      <c r="D1004" s="23"/>
      <c r="E1004" s="23"/>
      <c r="F1004" s="23"/>
      <c r="G1004" s="23">
        <f t="shared" si="73"/>
        <v>0</v>
      </c>
      <c r="H1004" s="23" t="e" cm="1">
        <f t="array" ref="H1004">INDEX('GLOBAL LOG'!#REF!,ROW()-169+15)</f>
        <v>#REF!</v>
      </c>
      <c r="I1004" s="23" t="e">
        <f>_xlfn.XLOOKUP(H1004,#REF!,#REF!,"",0,1)</f>
        <v>#REF!</v>
      </c>
      <c r="J1004" s="23" t="str">
        <f>IFERROR(I1004*#REF!,"")</f>
        <v/>
      </c>
      <c r="K1004" s="23" t="e" cm="1">
        <f t="array" ref="K1004">INDEX('GLOBAL LOG'!#REF!,ROW()-169+15)</f>
        <v>#REF!</v>
      </c>
      <c r="L1004" s="23" t="e">
        <f>_xlfn.XLOOKUP(K1004,#REF!,#REF!,"",0,1)</f>
        <v>#REF!</v>
      </c>
      <c r="M1004" s="23" t="str">
        <f>IFERROR(L1004*#REF!,"")</f>
        <v/>
      </c>
      <c r="N1004" s="23">
        <f t="shared" si="74"/>
        <v>-1</v>
      </c>
      <c r="O1004" s="23">
        <f t="shared" si="75"/>
        <v>-1</v>
      </c>
      <c r="P1004" s="23">
        <f t="shared" si="76"/>
        <v>-1</v>
      </c>
      <c r="Q1004" s="24">
        <f t="shared" si="77"/>
        <v>-1</v>
      </c>
      <c r="R1004" s="3"/>
      <c r="S1004" s="1">
        <v>0</v>
      </c>
      <c r="T1004" s="24">
        <v>-1</v>
      </c>
      <c r="U1004"/>
      <c r="V1004" s="1">
        <v>0</v>
      </c>
      <c r="W1004" s="24">
        <v>-1</v>
      </c>
      <c r="X1004"/>
      <c r="Y1004" s="1">
        <v>0</v>
      </c>
      <c r="Z1004" s="24">
        <v>-1</v>
      </c>
      <c r="AA1004"/>
      <c r="AB1004" s="1">
        <v>0</v>
      </c>
      <c r="AC1004" s="24">
        <v>-1</v>
      </c>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c r="CA1004"/>
      <c r="CB1004"/>
      <c r="CC1004"/>
      <c r="CD1004"/>
      <c r="CE1004"/>
      <c r="CF1004"/>
      <c r="CG1004"/>
      <c r="CH1004"/>
      <c r="CI1004"/>
      <c r="CJ1004"/>
      <c r="CK1004"/>
      <c r="CL1004"/>
      <c r="CM1004"/>
      <c r="CN1004"/>
      <c r="CO1004"/>
      <c r="CP1004"/>
      <c r="CQ1004"/>
      <c r="CR1004"/>
      <c r="CS1004"/>
    </row>
    <row r="1005" spans="2:97">
      <c r="B1005"/>
      <c r="C1005" s="15"/>
      <c r="D1005" s="23"/>
      <c r="E1005" s="23"/>
      <c r="F1005" s="23"/>
      <c r="G1005" s="23">
        <f t="shared" si="73"/>
        <v>0</v>
      </c>
      <c r="H1005" s="23" t="e" cm="1">
        <f t="array" ref="H1005">INDEX('GLOBAL LOG'!#REF!,ROW()-169+15)</f>
        <v>#REF!</v>
      </c>
      <c r="I1005" s="23" t="e">
        <f>_xlfn.XLOOKUP(H1005,#REF!,#REF!,"",0,1)</f>
        <v>#REF!</v>
      </c>
      <c r="J1005" s="23" t="str">
        <f>IFERROR(I1005*#REF!,"")</f>
        <v/>
      </c>
      <c r="K1005" s="23" t="e" cm="1">
        <f t="array" ref="K1005">INDEX('GLOBAL LOG'!#REF!,ROW()-169+15)</f>
        <v>#REF!</v>
      </c>
      <c r="L1005" s="23" t="e">
        <f>_xlfn.XLOOKUP(K1005,#REF!,#REF!,"",0,1)</f>
        <v>#REF!</v>
      </c>
      <c r="M1005" s="23" t="str">
        <f>IFERROR(L1005*#REF!,"")</f>
        <v/>
      </c>
      <c r="N1005" s="23">
        <f t="shared" si="74"/>
        <v>-1</v>
      </c>
      <c r="O1005" s="23">
        <f t="shared" si="75"/>
        <v>-1</v>
      </c>
      <c r="P1005" s="23">
        <f t="shared" si="76"/>
        <v>-1</v>
      </c>
      <c r="Q1005" s="24">
        <f t="shared" si="77"/>
        <v>-1</v>
      </c>
      <c r="R1005" s="3"/>
      <c r="S1005" s="1">
        <v>0</v>
      </c>
      <c r="T1005" s="24">
        <v>-1</v>
      </c>
      <c r="U1005"/>
      <c r="V1005" s="1">
        <v>0</v>
      </c>
      <c r="W1005" s="24">
        <v>-1</v>
      </c>
      <c r="X1005"/>
      <c r="Y1005" s="1">
        <v>0</v>
      </c>
      <c r="Z1005" s="24">
        <v>-1</v>
      </c>
      <c r="AA1005"/>
      <c r="AB1005" s="1">
        <v>0</v>
      </c>
      <c r="AC1005" s="24">
        <v>-1</v>
      </c>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c r="CA1005"/>
      <c r="CB1005"/>
      <c r="CC1005"/>
      <c r="CD1005"/>
      <c r="CE1005"/>
      <c r="CF1005"/>
      <c r="CG1005"/>
      <c r="CH1005"/>
      <c r="CI1005"/>
      <c r="CJ1005"/>
      <c r="CK1005"/>
      <c r="CL1005"/>
      <c r="CM1005"/>
      <c r="CN1005"/>
      <c r="CO1005"/>
      <c r="CP1005"/>
      <c r="CQ1005"/>
      <c r="CR1005"/>
      <c r="CS1005"/>
    </row>
    <row r="1006" spans="2:97">
      <c r="B1006"/>
      <c r="C1006" s="15"/>
      <c r="D1006" s="23"/>
      <c r="E1006" s="23"/>
      <c r="F1006" s="23"/>
      <c r="G1006" s="23">
        <f t="shared" si="73"/>
        <v>0</v>
      </c>
      <c r="H1006" s="23" t="e" cm="1">
        <f t="array" ref="H1006">INDEX('GLOBAL LOG'!#REF!,ROW()-169+15)</f>
        <v>#REF!</v>
      </c>
      <c r="I1006" s="23" t="e">
        <f>_xlfn.XLOOKUP(H1006,#REF!,#REF!,"",0,1)</f>
        <v>#REF!</v>
      </c>
      <c r="J1006" s="23" t="str">
        <f>IFERROR(I1006*#REF!,"")</f>
        <v/>
      </c>
      <c r="K1006" s="23" t="e" cm="1">
        <f t="array" ref="K1006">INDEX('GLOBAL LOG'!#REF!,ROW()-169+15)</f>
        <v>#REF!</v>
      </c>
      <c r="L1006" s="23" t="e">
        <f>_xlfn.XLOOKUP(K1006,#REF!,#REF!,"",0,1)</f>
        <v>#REF!</v>
      </c>
      <c r="M1006" s="23" t="str">
        <f>IFERROR(L1006*#REF!,"")</f>
        <v/>
      </c>
      <c r="N1006" s="23">
        <f t="shared" si="74"/>
        <v>-1</v>
      </c>
      <c r="O1006" s="23">
        <f t="shared" si="75"/>
        <v>-1</v>
      </c>
      <c r="P1006" s="23">
        <f t="shared" si="76"/>
        <v>-1</v>
      </c>
      <c r="Q1006" s="24">
        <f t="shared" si="77"/>
        <v>-1</v>
      </c>
      <c r="R1006" s="3"/>
      <c r="S1006" s="1">
        <v>0</v>
      </c>
      <c r="T1006" s="24">
        <v>-1</v>
      </c>
      <c r="U1006"/>
      <c r="V1006" s="1">
        <v>0</v>
      </c>
      <c r="W1006" s="24">
        <v>-1</v>
      </c>
      <c r="X1006"/>
      <c r="Y1006" s="1">
        <v>0</v>
      </c>
      <c r="Z1006" s="24">
        <v>-1</v>
      </c>
      <c r="AA1006"/>
      <c r="AB1006" s="1">
        <v>0</v>
      </c>
      <c r="AC1006" s="24">
        <v>-1</v>
      </c>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c r="CA1006"/>
      <c r="CB1006"/>
      <c r="CC1006"/>
      <c r="CD1006"/>
      <c r="CE1006"/>
      <c r="CF1006"/>
      <c r="CG1006"/>
      <c r="CH1006"/>
      <c r="CI1006"/>
      <c r="CJ1006"/>
      <c r="CK1006"/>
      <c r="CL1006"/>
      <c r="CM1006"/>
      <c r="CN1006"/>
      <c r="CO1006"/>
      <c r="CP1006"/>
      <c r="CQ1006"/>
      <c r="CR1006"/>
      <c r="CS1006"/>
    </row>
    <row r="1007" spans="2:97">
      <c r="B1007"/>
      <c r="C1007" s="15"/>
      <c r="D1007" s="23"/>
      <c r="E1007" s="23"/>
      <c r="F1007" s="23"/>
      <c r="G1007" s="23">
        <f t="shared" si="73"/>
        <v>0</v>
      </c>
      <c r="H1007" s="23" t="e" cm="1">
        <f t="array" ref="H1007">INDEX('GLOBAL LOG'!#REF!,ROW()-169+15)</f>
        <v>#REF!</v>
      </c>
      <c r="I1007" s="23" t="e">
        <f>_xlfn.XLOOKUP(H1007,#REF!,#REF!,"",0,1)</f>
        <v>#REF!</v>
      </c>
      <c r="J1007" s="23" t="str">
        <f>IFERROR(I1007*#REF!,"")</f>
        <v/>
      </c>
      <c r="K1007" s="23" t="e" cm="1">
        <f t="array" ref="K1007">INDEX('GLOBAL LOG'!#REF!,ROW()-169+15)</f>
        <v>#REF!</v>
      </c>
      <c r="L1007" s="23" t="e">
        <f>_xlfn.XLOOKUP(K1007,#REF!,#REF!,"",0,1)</f>
        <v>#REF!</v>
      </c>
      <c r="M1007" s="23" t="str">
        <f>IFERROR(L1007*#REF!,"")</f>
        <v/>
      </c>
      <c r="N1007" s="23">
        <f t="shared" si="74"/>
        <v>-1</v>
      </c>
      <c r="O1007" s="23">
        <f t="shared" si="75"/>
        <v>-1</v>
      </c>
      <c r="P1007" s="23">
        <f t="shared" si="76"/>
        <v>-1</v>
      </c>
      <c r="Q1007" s="24">
        <f t="shared" si="77"/>
        <v>-1</v>
      </c>
      <c r="R1007" s="3"/>
      <c r="S1007" s="1">
        <v>0</v>
      </c>
      <c r="T1007" s="24">
        <v>-1</v>
      </c>
      <c r="U1007"/>
      <c r="V1007" s="1">
        <v>0</v>
      </c>
      <c r="W1007" s="24">
        <v>-1</v>
      </c>
      <c r="X1007"/>
      <c r="Y1007" s="1">
        <v>0</v>
      </c>
      <c r="Z1007" s="24">
        <v>-1</v>
      </c>
      <c r="AA1007"/>
      <c r="AB1007" s="1">
        <v>0</v>
      </c>
      <c r="AC1007" s="24">
        <v>-1</v>
      </c>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c r="CA1007"/>
      <c r="CB1007"/>
      <c r="CC1007"/>
      <c r="CD1007"/>
      <c r="CE1007"/>
      <c r="CF1007"/>
      <c r="CG1007"/>
      <c r="CH1007"/>
      <c r="CI1007"/>
      <c r="CJ1007"/>
      <c r="CK1007"/>
      <c r="CL1007"/>
      <c r="CM1007"/>
      <c r="CN1007"/>
      <c r="CO1007"/>
      <c r="CP1007"/>
      <c r="CQ1007"/>
      <c r="CR1007"/>
      <c r="CS1007"/>
    </row>
    <row r="1008" spans="2:97">
      <c r="B1008"/>
      <c r="C1008" s="15"/>
      <c r="D1008" s="23"/>
      <c r="E1008" s="23"/>
      <c r="F1008" s="23"/>
      <c r="G1008" s="23">
        <f t="shared" si="73"/>
        <v>0</v>
      </c>
      <c r="H1008" s="23" t="e" cm="1">
        <f t="array" ref="H1008">INDEX('GLOBAL LOG'!#REF!,ROW()-169+15)</f>
        <v>#REF!</v>
      </c>
      <c r="I1008" s="23" t="e">
        <f>_xlfn.XLOOKUP(H1008,#REF!,#REF!,"",0,1)</f>
        <v>#REF!</v>
      </c>
      <c r="J1008" s="23" t="str">
        <f>IFERROR(I1008*#REF!,"")</f>
        <v/>
      </c>
      <c r="K1008" s="23" t="e" cm="1">
        <f t="array" ref="K1008">INDEX('GLOBAL LOG'!#REF!,ROW()-169+15)</f>
        <v>#REF!</v>
      </c>
      <c r="L1008" s="23" t="e">
        <f>_xlfn.XLOOKUP(K1008,#REF!,#REF!,"",0,1)</f>
        <v>#REF!</v>
      </c>
      <c r="M1008" s="23" t="str">
        <f>IFERROR(L1008*#REF!,"")</f>
        <v/>
      </c>
      <c r="N1008" s="23">
        <f t="shared" si="74"/>
        <v>-1</v>
      </c>
      <c r="O1008" s="23">
        <f t="shared" si="75"/>
        <v>-1</v>
      </c>
      <c r="P1008" s="23">
        <f t="shared" si="76"/>
        <v>-1</v>
      </c>
      <c r="Q1008" s="24">
        <f t="shared" si="77"/>
        <v>-1</v>
      </c>
      <c r="R1008" s="3"/>
      <c r="S1008" s="1">
        <v>0</v>
      </c>
      <c r="T1008" s="24">
        <v>-1</v>
      </c>
      <c r="U1008"/>
      <c r="V1008" s="1">
        <v>0</v>
      </c>
      <c r="W1008" s="24">
        <v>-1</v>
      </c>
      <c r="X1008"/>
      <c r="Y1008" s="1">
        <v>0</v>
      </c>
      <c r="Z1008" s="24">
        <v>-1</v>
      </c>
      <c r="AA1008"/>
      <c r="AB1008" s="1">
        <v>0</v>
      </c>
      <c r="AC1008" s="24">
        <v>-1</v>
      </c>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c r="CA1008"/>
      <c r="CB1008"/>
      <c r="CC1008"/>
      <c r="CD1008"/>
      <c r="CE1008"/>
      <c r="CF1008"/>
      <c r="CG1008"/>
      <c r="CH1008"/>
      <c r="CI1008"/>
      <c r="CJ1008"/>
      <c r="CK1008"/>
      <c r="CL1008"/>
      <c r="CM1008"/>
      <c r="CN1008"/>
      <c r="CO1008"/>
      <c r="CP1008"/>
      <c r="CQ1008"/>
      <c r="CR1008"/>
      <c r="CS1008"/>
    </row>
    <row r="1009" spans="2:97">
      <c r="B1009"/>
      <c r="C1009" s="15"/>
      <c r="D1009" s="23"/>
      <c r="E1009" s="23"/>
      <c r="F1009" s="23"/>
      <c r="G1009" s="23">
        <f t="shared" si="73"/>
        <v>0</v>
      </c>
      <c r="H1009" s="23" t="e" cm="1">
        <f t="array" ref="H1009">INDEX('GLOBAL LOG'!#REF!,ROW()-169+15)</f>
        <v>#REF!</v>
      </c>
      <c r="I1009" s="23" t="e">
        <f>_xlfn.XLOOKUP(H1009,#REF!,#REF!,"",0,1)</f>
        <v>#REF!</v>
      </c>
      <c r="J1009" s="23" t="str">
        <f>IFERROR(I1009*#REF!,"")</f>
        <v/>
      </c>
      <c r="K1009" s="23" t="e" cm="1">
        <f t="array" ref="K1009">INDEX('GLOBAL LOG'!#REF!,ROW()-169+15)</f>
        <v>#REF!</v>
      </c>
      <c r="L1009" s="23" t="e">
        <f>_xlfn.XLOOKUP(K1009,#REF!,#REF!,"",0,1)</f>
        <v>#REF!</v>
      </c>
      <c r="M1009" s="23" t="str">
        <f>IFERROR(L1009*#REF!,"")</f>
        <v/>
      </c>
      <c r="N1009" s="23">
        <f t="shared" si="74"/>
        <v>-1</v>
      </c>
      <c r="O1009" s="23">
        <f t="shared" si="75"/>
        <v>-1</v>
      </c>
      <c r="P1009" s="23">
        <f t="shared" si="76"/>
        <v>-1</v>
      </c>
      <c r="Q1009" s="24">
        <f t="shared" si="77"/>
        <v>-1</v>
      </c>
      <c r="R1009" s="3"/>
      <c r="S1009" s="1">
        <v>0</v>
      </c>
      <c r="T1009" s="24">
        <v>-1</v>
      </c>
      <c r="U1009"/>
      <c r="V1009" s="1">
        <v>0</v>
      </c>
      <c r="W1009" s="24">
        <v>-1</v>
      </c>
      <c r="X1009"/>
      <c r="Y1009" s="1">
        <v>0</v>
      </c>
      <c r="Z1009" s="24">
        <v>-1</v>
      </c>
      <c r="AA1009"/>
      <c r="AB1009" s="1">
        <v>0</v>
      </c>
      <c r="AC1009" s="24">
        <v>-1</v>
      </c>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c r="CA1009"/>
      <c r="CB1009"/>
      <c r="CC1009"/>
      <c r="CD1009"/>
      <c r="CE1009"/>
      <c r="CF1009"/>
      <c r="CG1009"/>
      <c r="CH1009"/>
      <c r="CI1009"/>
      <c r="CJ1009"/>
      <c r="CK1009"/>
      <c r="CL1009"/>
      <c r="CM1009"/>
      <c r="CN1009"/>
      <c r="CO1009"/>
      <c r="CP1009"/>
      <c r="CQ1009"/>
      <c r="CR1009"/>
      <c r="CS1009"/>
    </row>
    <row r="1010" spans="2:97">
      <c r="B1010"/>
      <c r="C1010" s="15"/>
      <c r="D1010" s="23"/>
      <c r="E1010" s="23"/>
      <c r="F1010" s="23"/>
      <c r="G1010" s="23">
        <f t="shared" si="73"/>
        <v>0</v>
      </c>
      <c r="H1010" s="23" t="e" cm="1">
        <f t="array" ref="H1010">INDEX('GLOBAL LOG'!#REF!,ROW()-169+15)</f>
        <v>#REF!</v>
      </c>
      <c r="I1010" s="23" t="e">
        <f>_xlfn.XLOOKUP(H1010,#REF!,#REF!,"",0,1)</f>
        <v>#REF!</v>
      </c>
      <c r="J1010" s="23" t="str">
        <f>IFERROR(I1010*#REF!,"")</f>
        <v/>
      </c>
      <c r="K1010" s="23" t="e" cm="1">
        <f t="array" ref="K1010">INDEX('GLOBAL LOG'!#REF!,ROW()-169+15)</f>
        <v>#REF!</v>
      </c>
      <c r="L1010" s="23" t="e">
        <f>_xlfn.XLOOKUP(K1010,#REF!,#REF!,"",0,1)</f>
        <v>#REF!</v>
      </c>
      <c r="M1010" s="23" t="str">
        <f>IFERROR(L1010*#REF!,"")</f>
        <v/>
      </c>
      <c r="N1010" s="23">
        <f t="shared" si="74"/>
        <v>-1</v>
      </c>
      <c r="O1010" s="23">
        <f t="shared" si="75"/>
        <v>-1</v>
      </c>
      <c r="P1010" s="23">
        <f t="shared" si="76"/>
        <v>-1</v>
      </c>
      <c r="Q1010" s="24">
        <f t="shared" si="77"/>
        <v>-1</v>
      </c>
      <c r="R1010" s="3"/>
      <c r="S1010" s="1">
        <v>0</v>
      </c>
      <c r="T1010" s="24">
        <v>-1</v>
      </c>
      <c r="U1010"/>
      <c r="V1010" s="1">
        <v>0</v>
      </c>
      <c r="W1010" s="24">
        <v>-1</v>
      </c>
      <c r="X1010"/>
      <c r="Y1010" s="1">
        <v>0</v>
      </c>
      <c r="Z1010" s="24">
        <v>-1</v>
      </c>
      <c r="AA1010"/>
      <c r="AB1010" s="1">
        <v>0</v>
      </c>
      <c r="AC1010" s="24">
        <v>-1</v>
      </c>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c r="CA1010"/>
      <c r="CB1010"/>
      <c r="CC1010"/>
      <c r="CD1010"/>
      <c r="CE1010"/>
      <c r="CF1010"/>
      <c r="CG1010"/>
      <c r="CH1010"/>
      <c r="CI1010"/>
      <c r="CJ1010"/>
      <c r="CK1010"/>
      <c r="CL1010"/>
      <c r="CM1010"/>
      <c r="CN1010"/>
      <c r="CO1010"/>
      <c r="CP1010"/>
      <c r="CQ1010"/>
      <c r="CR1010"/>
      <c r="CS1010"/>
    </row>
    <row r="1011" spans="2:97">
      <c r="B1011"/>
      <c r="C1011" s="15"/>
      <c r="D1011" s="23"/>
      <c r="E1011" s="23"/>
      <c r="F1011" s="23"/>
      <c r="G1011" s="23">
        <f t="shared" si="73"/>
        <v>0</v>
      </c>
      <c r="H1011" s="23" t="e" cm="1">
        <f t="array" ref="H1011">INDEX('GLOBAL LOG'!#REF!,ROW()-169+15)</f>
        <v>#REF!</v>
      </c>
      <c r="I1011" s="23" t="e">
        <f>_xlfn.XLOOKUP(H1011,#REF!,#REF!,"",0,1)</f>
        <v>#REF!</v>
      </c>
      <c r="J1011" s="23" t="str">
        <f>IFERROR(I1011*#REF!,"")</f>
        <v/>
      </c>
      <c r="K1011" s="23" t="e" cm="1">
        <f t="array" ref="K1011">INDEX('GLOBAL LOG'!#REF!,ROW()-169+15)</f>
        <v>#REF!</v>
      </c>
      <c r="L1011" s="23" t="e">
        <f>_xlfn.XLOOKUP(K1011,#REF!,#REF!,"",0,1)</f>
        <v>#REF!</v>
      </c>
      <c r="M1011" s="23" t="str">
        <f>IFERROR(L1011*#REF!,"")</f>
        <v/>
      </c>
      <c r="N1011" s="23">
        <f t="shared" si="74"/>
        <v>-1</v>
      </c>
      <c r="O1011" s="23">
        <f t="shared" si="75"/>
        <v>-1</v>
      </c>
      <c r="P1011" s="23">
        <f t="shared" si="76"/>
        <v>-1</v>
      </c>
      <c r="Q1011" s="24">
        <f t="shared" si="77"/>
        <v>-1</v>
      </c>
      <c r="R1011" s="3"/>
      <c r="S1011" s="1">
        <v>0</v>
      </c>
      <c r="T1011" s="24">
        <v>-1</v>
      </c>
      <c r="U1011"/>
      <c r="V1011" s="1">
        <v>0</v>
      </c>
      <c r="W1011" s="24">
        <v>-1</v>
      </c>
      <c r="X1011"/>
      <c r="Y1011" s="1">
        <v>0</v>
      </c>
      <c r="Z1011" s="24">
        <v>-1</v>
      </c>
      <c r="AA1011"/>
      <c r="AB1011" s="1">
        <v>0</v>
      </c>
      <c r="AC1011" s="24">
        <v>-1</v>
      </c>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c r="CA1011"/>
      <c r="CB1011"/>
      <c r="CC1011"/>
      <c r="CD1011"/>
      <c r="CE1011"/>
      <c r="CF1011"/>
      <c r="CG1011"/>
      <c r="CH1011"/>
      <c r="CI1011"/>
      <c r="CJ1011"/>
      <c r="CK1011"/>
      <c r="CL1011"/>
      <c r="CM1011"/>
      <c r="CN1011"/>
      <c r="CO1011"/>
      <c r="CP1011"/>
      <c r="CQ1011"/>
      <c r="CR1011"/>
      <c r="CS1011"/>
    </row>
    <row r="1012" spans="2:97">
      <c r="B1012"/>
      <c r="C1012" s="15"/>
      <c r="D1012" s="23"/>
      <c r="E1012" s="23"/>
      <c r="F1012" s="23"/>
      <c r="G1012" s="23">
        <f t="shared" si="73"/>
        <v>0</v>
      </c>
      <c r="H1012" s="23" t="e" cm="1">
        <f t="array" ref="H1012">INDEX('GLOBAL LOG'!#REF!,ROW()-169+15)</f>
        <v>#REF!</v>
      </c>
      <c r="I1012" s="23" t="e">
        <f>_xlfn.XLOOKUP(H1012,#REF!,#REF!,"",0,1)</f>
        <v>#REF!</v>
      </c>
      <c r="J1012" s="23" t="str">
        <f>IFERROR(I1012*#REF!,"")</f>
        <v/>
      </c>
      <c r="K1012" s="23" t="e" cm="1">
        <f t="array" ref="K1012">INDEX('GLOBAL LOG'!#REF!,ROW()-169+15)</f>
        <v>#REF!</v>
      </c>
      <c r="L1012" s="23" t="e">
        <f>_xlfn.XLOOKUP(K1012,#REF!,#REF!,"",0,1)</f>
        <v>#REF!</v>
      </c>
      <c r="M1012" s="23" t="str">
        <f>IFERROR(L1012*#REF!,"")</f>
        <v/>
      </c>
      <c r="N1012" s="23">
        <f t="shared" si="74"/>
        <v>-1</v>
      </c>
      <c r="O1012" s="23">
        <f t="shared" si="75"/>
        <v>-1</v>
      </c>
      <c r="P1012" s="23">
        <f t="shared" si="76"/>
        <v>-1</v>
      </c>
      <c r="Q1012" s="24">
        <f t="shared" si="77"/>
        <v>-1</v>
      </c>
      <c r="R1012" s="3"/>
      <c r="S1012" s="1">
        <v>0</v>
      </c>
      <c r="T1012" s="24">
        <v>-1</v>
      </c>
      <c r="U1012"/>
      <c r="V1012" s="1">
        <v>0</v>
      </c>
      <c r="W1012" s="24">
        <v>-1</v>
      </c>
      <c r="X1012"/>
      <c r="Y1012" s="1">
        <v>0</v>
      </c>
      <c r="Z1012" s="24">
        <v>-1</v>
      </c>
      <c r="AA1012"/>
      <c r="AB1012" s="1">
        <v>0</v>
      </c>
      <c r="AC1012" s="24">
        <v>-1</v>
      </c>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c r="CA1012"/>
      <c r="CB1012"/>
      <c r="CC1012"/>
      <c r="CD1012"/>
      <c r="CE1012"/>
      <c r="CF1012"/>
      <c r="CG1012"/>
      <c r="CH1012"/>
      <c r="CI1012"/>
      <c r="CJ1012"/>
      <c r="CK1012"/>
      <c r="CL1012"/>
      <c r="CM1012"/>
      <c r="CN1012"/>
      <c r="CO1012"/>
      <c r="CP1012"/>
      <c r="CQ1012"/>
      <c r="CR1012"/>
      <c r="CS1012"/>
    </row>
    <row r="1013" spans="2:97">
      <c r="B1013"/>
      <c r="C1013" s="15"/>
      <c r="D1013" s="23"/>
      <c r="E1013" s="23"/>
      <c r="F1013" s="23"/>
      <c r="G1013" s="23">
        <f t="shared" si="73"/>
        <v>0</v>
      </c>
      <c r="H1013" s="23" t="e" cm="1">
        <f t="array" ref="H1013">INDEX('GLOBAL LOG'!#REF!,ROW()-169+15)</f>
        <v>#REF!</v>
      </c>
      <c r="I1013" s="23" t="e">
        <f>_xlfn.XLOOKUP(H1013,#REF!,#REF!,"",0,1)</f>
        <v>#REF!</v>
      </c>
      <c r="J1013" s="23" t="str">
        <f>IFERROR(I1013*#REF!,"")</f>
        <v/>
      </c>
      <c r="K1013" s="23" t="e" cm="1">
        <f t="array" ref="K1013">INDEX('GLOBAL LOG'!#REF!,ROW()-169+15)</f>
        <v>#REF!</v>
      </c>
      <c r="L1013" s="23" t="e">
        <f>_xlfn.XLOOKUP(K1013,#REF!,#REF!,"",0,1)</f>
        <v>#REF!</v>
      </c>
      <c r="M1013" s="23" t="str">
        <f>IFERROR(L1013*#REF!,"")</f>
        <v/>
      </c>
      <c r="N1013" s="23">
        <f t="shared" si="74"/>
        <v>-1</v>
      </c>
      <c r="O1013" s="23">
        <f t="shared" si="75"/>
        <v>-1</v>
      </c>
      <c r="P1013" s="23">
        <f t="shared" si="76"/>
        <v>-1</v>
      </c>
      <c r="Q1013" s="24">
        <f t="shared" si="77"/>
        <v>-1</v>
      </c>
      <c r="R1013" s="3"/>
      <c r="S1013" s="1">
        <v>0</v>
      </c>
      <c r="T1013" s="24">
        <v>-1</v>
      </c>
      <c r="U1013"/>
      <c r="V1013" s="1">
        <v>0</v>
      </c>
      <c r="W1013" s="24">
        <v>-1</v>
      </c>
      <c r="X1013"/>
      <c r="Y1013" s="1">
        <v>0</v>
      </c>
      <c r="Z1013" s="24">
        <v>-1</v>
      </c>
      <c r="AA1013"/>
      <c r="AB1013" s="1">
        <v>0</v>
      </c>
      <c r="AC1013" s="24">
        <v>-1</v>
      </c>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c r="CA1013"/>
      <c r="CB1013"/>
      <c r="CC1013"/>
      <c r="CD1013"/>
      <c r="CE1013"/>
      <c r="CF1013"/>
      <c r="CG1013"/>
      <c r="CH1013"/>
      <c r="CI1013"/>
      <c r="CJ1013"/>
      <c r="CK1013"/>
      <c r="CL1013"/>
      <c r="CM1013"/>
      <c r="CN1013"/>
      <c r="CO1013"/>
      <c r="CP1013"/>
      <c r="CQ1013"/>
      <c r="CR1013"/>
      <c r="CS1013"/>
    </row>
    <row r="1014" spans="2:97">
      <c r="B1014"/>
      <c r="C1014" s="15"/>
      <c r="D1014" s="23"/>
      <c r="E1014" s="23"/>
      <c r="F1014" s="23"/>
      <c r="G1014" s="23">
        <f t="shared" si="73"/>
        <v>0</v>
      </c>
      <c r="H1014" s="23" t="e" cm="1">
        <f t="array" ref="H1014">INDEX('GLOBAL LOG'!#REF!,ROW()-169+15)</f>
        <v>#REF!</v>
      </c>
      <c r="I1014" s="23" t="e">
        <f>_xlfn.XLOOKUP(H1014,#REF!,#REF!,"",0,1)</f>
        <v>#REF!</v>
      </c>
      <c r="J1014" s="23" t="str">
        <f>IFERROR(I1014*#REF!,"")</f>
        <v/>
      </c>
      <c r="K1014" s="23" t="e" cm="1">
        <f t="array" ref="K1014">INDEX('GLOBAL LOG'!#REF!,ROW()-169+15)</f>
        <v>#REF!</v>
      </c>
      <c r="L1014" s="23" t="e">
        <f>_xlfn.XLOOKUP(K1014,#REF!,#REF!,"",0,1)</f>
        <v>#REF!</v>
      </c>
      <c r="M1014" s="23" t="str">
        <f>IFERROR(L1014*#REF!,"")</f>
        <v/>
      </c>
      <c r="N1014" s="23">
        <f t="shared" si="74"/>
        <v>-1</v>
      </c>
      <c r="O1014" s="23">
        <f t="shared" si="75"/>
        <v>-1</v>
      </c>
      <c r="P1014" s="23">
        <f t="shared" si="76"/>
        <v>-1</v>
      </c>
      <c r="Q1014" s="24">
        <f t="shared" si="77"/>
        <v>-1</v>
      </c>
      <c r="R1014" s="3"/>
      <c r="S1014" s="1">
        <v>0</v>
      </c>
      <c r="T1014" s="24">
        <v>-1</v>
      </c>
      <c r="U1014"/>
      <c r="V1014" s="1">
        <v>0</v>
      </c>
      <c r="W1014" s="24">
        <v>-1</v>
      </c>
      <c r="X1014"/>
      <c r="Y1014" s="1">
        <v>0</v>
      </c>
      <c r="Z1014" s="24">
        <v>-1</v>
      </c>
      <c r="AA1014"/>
      <c r="AB1014" s="1">
        <v>0</v>
      </c>
      <c r="AC1014" s="24">
        <v>-1</v>
      </c>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c r="CA1014"/>
      <c r="CB1014"/>
      <c r="CC1014"/>
      <c r="CD1014"/>
      <c r="CE1014"/>
      <c r="CF1014"/>
      <c r="CG1014"/>
      <c r="CH1014"/>
      <c r="CI1014"/>
      <c r="CJ1014"/>
      <c r="CK1014"/>
      <c r="CL1014"/>
      <c r="CM1014"/>
      <c r="CN1014"/>
      <c r="CO1014"/>
      <c r="CP1014"/>
      <c r="CQ1014"/>
      <c r="CR1014"/>
      <c r="CS1014"/>
    </row>
    <row r="1015" spans="2:97">
      <c r="B1015"/>
      <c r="C1015" s="15"/>
      <c r="D1015" s="23"/>
      <c r="E1015" s="23"/>
      <c r="F1015" s="23"/>
      <c r="G1015" s="23">
        <f t="shared" si="73"/>
        <v>0</v>
      </c>
      <c r="H1015" s="23" t="e" cm="1">
        <f t="array" ref="H1015">INDEX('GLOBAL LOG'!#REF!,ROW()-169+15)</f>
        <v>#REF!</v>
      </c>
      <c r="I1015" s="23" t="e">
        <f>_xlfn.XLOOKUP(H1015,#REF!,#REF!,"",0,1)</f>
        <v>#REF!</v>
      </c>
      <c r="J1015" s="23" t="str">
        <f>IFERROR(I1015*#REF!,"")</f>
        <v/>
      </c>
      <c r="K1015" s="23" t="e" cm="1">
        <f t="array" ref="K1015">INDEX('GLOBAL LOG'!#REF!,ROW()-169+15)</f>
        <v>#REF!</v>
      </c>
      <c r="L1015" s="23" t="e">
        <f>_xlfn.XLOOKUP(K1015,#REF!,#REF!,"",0,1)</f>
        <v>#REF!</v>
      </c>
      <c r="M1015" s="23" t="str">
        <f>IFERROR(L1015*#REF!,"")</f>
        <v/>
      </c>
      <c r="N1015" s="23">
        <f t="shared" si="74"/>
        <v>-1</v>
      </c>
      <c r="O1015" s="23">
        <f t="shared" si="75"/>
        <v>-1</v>
      </c>
      <c r="P1015" s="23">
        <f t="shared" si="76"/>
        <v>-1</v>
      </c>
      <c r="Q1015" s="24">
        <f t="shared" si="77"/>
        <v>-1</v>
      </c>
      <c r="R1015" s="3"/>
      <c r="S1015" s="1">
        <v>0</v>
      </c>
      <c r="T1015" s="24">
        <v>-1</v>
      </c>
      <c r="U1015"/>
      <c r="V1015" s="1">
        <v>0</v>
      </c>
      <c r="W1015" s="24">
        <v>-1</v>
      </c>
      <c r="X1015"/>
      <c r="Y1015" s="1">
        <v>0</v>
      </c>
      <c r="Z1015" s="24">
        <v>-1</v>
      </c>
      <c r="AA1015"/>
      <c r="AB1015" s="1">
        <v>0</v>
      </c>
      <c r="AC1015" s="24">
        <v>-1</v>
      </c>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c r="CA1015"/>
      <c r="CB1015"/>
      <c r="CC1015"/>
      <c r="CD1015"/>
      <c r="CE1015"/>
      <c r="CF1015"/>
      <c r="CG1015"/>
      <c r="CH1015"/>
      <c r="CI1015"/>
      <c r="CJ1015"/>
      <c r="CK1015"/>
      <c r="CL1015"/>
      <c r="CM1015"/>
      <c r="CN1015"/>
      <c r="CO1015"/>
      <c r="CP1015"/>
      <c r="CQ1015"/>
      <c r="CR1015"/>
      <c r="CS1015"/>
    </row>
    <row r="1016" spans="2:97">
      <c r="B1016"/>
      <c r="C1016" s="15"/>
      <c r="D1016" s="23"/>
      <c r="E1016" s="23"/>
      <c r="F1016" s="23"/>
      <c r="G1016" s="23">
        <f t="shared" si="73"/>
        <v>0</v>
      </c>
      <c r="H1016" s="23" t="e" cm="1">
        <f t="array" ref="H1016">INDEX('GLOBAL LOG'!#REF!,ROW()-169+15)</f>
        <v>#REF!</v>
      </c>
      <c r="I1016" s="23" t="e">
        <f>_xlfn.XLOOKUP(H1016,#REF!,#REF!,"",0,1)</f>
        <v>#REF!</v>
      </c>
      <c r="J1016" s="23" t="str">
        <f>IFERROR(I1016*#REF!,"")</f>
        <v/>
      </c>
      <c r="K1016" s="23" t="e" cm="1">
        <f t="array" ref="K1016">INDEX('GLOBAL LOG'!#REF!,ROW()-169+15)</f>
        <v>#REF!</v>
      </c>
      <c r="L1016" s="23" t="e">
        <f>_xlfn.XLOOKUP(K1016,#REF!,#REF!,"",0,1)</f>
        <v>#REF!</v>
      </c>
      <c r="M1016" s="23" t="str">
        <f>IFERROR(L1016*#REF!,"")</f>
        <v/>
      </c>
      <c r="N1016" s="23">
        <f t="shared" si="74"/>
        <v>-1</v>
      </c>
      <c r="O1016" s="23">
        <f t="shared" si="75"/>
        <v>-1</v>
      </c>
      <c r="P1016" s="23">
        <f t="shared" si="76"/>
        <v>-1</v>
      </c>
      <c r="Q1016" s="24">
        <f t="shared" si="77"/>
        <v>-1</v>
      </c>
      <c r="R1016" s="3"/>
      <c r="S1016" s="1">
        <v>0</v>
      </c>
      <c r="T1016" s="24">
        <v>-1</v>
      </c>
      <c r="U1016"/>
      <c r="V1016" s="1">
        <v>0</v>
      </c>
      <c r="W1016" s="24">
        <v>-1</v>
      </c>
      <c r="X1016"/>
      <c r="Y1016" s="1">
        <v>0</v>
      </c>
      <c r="Z1016" s="24">
        <v>-1</v>
      </c>
      <c r="AA1016"/>
      <c r="AB1016" s="1">
        <v>0</v>
      </c>
      <c r="AC1016" s="24">
        <v>-1</v>
      </c>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c r="CA1016"/>
      <c r="CB1016"/>
      <c r="CC1016"/>
      <c r="CD1016"/>
      <c r="CE1016"/>
      <c r="CF1016"/>
      <c r="CG1016"/>
      <c r="CH1016"/>
      <c r="CI1016"/>
      <c r="CJ1016"/>
      <c r="CK1016"/>
      <c r="CL1016"/>
      <c r="CM1016"/>
      <c r="CN1016"/>
      <c r="CO1016"/>
      <c r="CP1016"/>
      <c r="CQ1016"/>
      <c r="CR1016"/>
      <c r="CS1016"/>
    </row>
    <row r="1017" spans="2:97">
      <c r="B1017"/>
      <c r="C1017" s="15"/>
      <c r="D1017" s="23"/>
      <c r="E1017" s="23"/>
      <c r="F1017" s="23"/>
      <c r="G1017" s="23">
        <f t="shared" si="73"/>
        <v>0</v>
      </c>
      <c r="H1017" s="23" t="e" cm="1">
        <f t="array" ref="H1017">INDEX('GLOBAL LOG'!#REF!,ROW()-169+15)</f>
        <v>#REF!</v>
      </c>
      <c r="I1017" s="23" t="e">
        <f>_xlfn.XLOOKUP(H1017,#REF!,#REF!,"",0,1)</f>
        <v>#REF!</v>
      </c>
      <c r="J1017" s="23" t="str">
        <f>IFERROR(I1017*#REF!,"")</f>
        <v/>
      </c>
      <c r="K1017" s="23" t="e" cm="1">
        <f t="array" ref="K1017">INDEX('GLOBAL LOG'!#REF!,ROW()-169+15)</f>
        <v>#REF!</v>
      </c>
      <c r="L1017" s="23" t="e">
        <f>_xlfn.XLOOKUP(K1017,#REF!,#REF!,"",0,1)</f>
        <v>#REF!</v>
      </c>
      <c r="M1017" s="23" t="str">
        <f>IFERROR(L1017*#REF!,"")</f>
        <v/>
      </c>
      <c r="N1017" s="23">
        <f t="shared" si="74"/>
        <v>-1</v>
      </c>
      <c r="O1017" s="23">
        <f t="shared" si="75"/>
        <v>-1</v>
      </c>
      <c r="P1017" s="23">
        <f t="shared" si="76"/>
        <v>-1</v>
      </c>
      <c r="Q1017" s="24">
        <f t="shared" si="77"/>
        <v>-1</v>
      </c>
      <c r="R1017" s="3"/>
      <c r="S1017" s="1">
        <v>0</v>
      </c>
      <c r="T1017" s="24">
        <v>-1</v>
      </c>
      <c r="U1017"/>
      <c r="V1017" s="1">
        <v>0</v>
      </c>
      <c r="W1017" s="24">
        <v>-1</v>
      </c>
      <c r="X1017"/>
      <c r="Y1017" s="1">
        <v>0</v>
      </c>
      <c r="Z1017" s="24">
        <v>-1</v>
      </c>
      <c r="AA1017"/>
      <c r="AB1017" s="1">
        <v>0</v>
      </c>
      <c r="AC1017" s="24">
        <v>-1</v>
      </c>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c r="CA1017"/>
      <c r="CB1017"/>
      <c r="CC1017"/>
      <c r="CD1017"/>
      <c r="CE1017"/>
      <c r="CF1017"/>
      <c r="CG1017"/>
      <c r="CH1017"/>
      <c r="CI1017"/>
      <c r="CJ1017"/>
      <c r="CK1017"/>
      <c r="CL1017"/>
      <c r="CM1017"/>
      <c r="CN1017"/>
      <c r="CO1017"/>
      <c r="CP1017"/>
      <c r="CQ1017"/>
      <c r="CR1017"/>
      <c r="CS1017"/>
    </row>
    <row r="1018" spans="2:97">
      <c r="B1018"/>
      <c r="C1018" s="15"/>
      <c r="D1018" s="23"/>
      <c r="E1018" s="23"/>
      <c r="F1018" s="23"/>
      <c r="G1018" s="23">
        <f t="shared" si="73"/>
        <v>0</v>
      </c>
      <c r="H1018" s="23" t="e" cm="1">
        <f t="array" ref="H1018">INDEX('GLOBAL LOG'!#REF!,ROW()-169+15)</f>
        <v>#REF!</v>
      </c>
      <c r="I1018" s="23" t="e">
        <f>_xlfn.XLOOKUP(H1018,#REF!,#REF!,"",0,1)</f>
        <v>#REF!</v>
      </c>
      <c r="J1018" s="23" t="str">
        <f>IFERROR(I1018*#REF!,"")</f>
        <v/>
      </c>
      <c r="K1018" s="23" t="e" cm="1">
        <f t="array" ref="K1018">INDEX('GLOBAL LOG'!#REF!,ROW()-169+15)</f>
        <v>#REF!</v>
      </c>
      <c r="L1018" s="23" t="e">
        <f>_xlfn.XLOOKUP(K1018,#REF!,#REF!,"",0,1)</f>
        <v>#REF!</v>
      </c>
      <c r="M1018" s="23" t="str">
        <f>IFERROR(L1018*#REF!,"")</f>
        <v/>
      </c>
      <c r="N1018" s="23">
        <f t="shared" si="74"/>
        <v>-1</v>
      </c>
      <c r="O1018" s="23">
        <f t="shared" si="75"/>
        <v>-1</v>
      </c>
      <c r="P1018" s="23">
        <f t="shared" si="76"/>
        <v>-1</v>
      </c>
      <c r="Q1018" s="24">
        <f t="shared" si="77"/>
        <v>-1</v>
      </c>
      <c r="R1018" s="3"/>
      <c r="S1018" s="1">
        <v>0</v>
      </c>
      <c r="T1018" s="24">
        <v>-1</v>
      </c>
      <c r="U1018"/>
      <c r="V1018" s="1">
        <v>0</v>
      </c>
      <c r="W1018" s="24">
        <v>-1</v>
      </c>
      <c r="X1018"/>
      <c r="Y1018" s="1">
        <v>0</v>
      </c>
      <c r="Z1018" s="24">
        <v>-1</v>
      </c>
      <c r="AA1018"/>
      <c r="AB1018" s="1">
        <v>0</v>
      </c>
      <c r="AC1018" s="24">
        <v>-1</v>
      </c>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c r="CA1018"/>
      <c r="CB1018"/>
      <c r="CC1018"/>
      <c r="CD1018"/>
      <c r="CE1018"/>
      <c r="CF1018"/>
      <c r="CG1018"/>
      <c r="CH1018"/>
      <c r="CI1018"/>
      <c r="CJ1018"/>
      <c r="CK1018"/>
      <c r="CL1018"/>
      <c r="CM1018"/>
      <c r="CN1018"/>
      <c r="CO1018"/>
      <c r="CP1018"/>
      <c r="CQ1018"/>
      <c r="CR1018"/>
      <c r="CS1018"/>
    </row>
    <row r="1019" spans="2:97">
      <c r="B1019"/>
      <c r="C1019" s="15"/>
      <c r="D1019" s="23"/>
      <c r="E1019" s="23"/>
      <c r="F1019" s="23"/>
      <c r="G1019" s="23">
        <f t="shared" si="73"/>
        <v>0</v>
      </c>
      <c r="H1019" s="23" t="e" cm="1">
        <f t="array" ref="H1019">INDEX('GLOBAL LOG'!#REF!,ROW()-169+15)</f>
        <v>#REF!</v>
      </c>
      <c r="I1019" s="23" t="e">
        <f>_xlfn.XLOOKUP(H1019,#REF!,#REF!,"",0,1)</f>
        <v>#REF!</v>
      </c>
      <c r="J1019" s="23" t="str">
        <f>IFERROR(I1019*#REF!,"")</f>
        <v/>
      </c>
      <c r="K1019" s="23" t="e" cm="1">
        <f t="array" ref="K1019">INDEX('GLOBAL LOG'!#REF!,ROW()-169+15)</f>
        <v>#REF!</v>
      </c>
      <c r="L1019" s="23" t="e">
        <f>_xlfn.XLOOKUP(K1019,#REF!,#REF!,"",0,1)</f>
        <v>#REF!</v>
      </c>
      <c r="M1019" s="23" t="str">
        <f>IFERROR(L1019*#REF!,"")</f>
        <v/>
      </c>
      <c r="N1019" s="23">
        <f t="shared" si="74"/>
        <v>-1</v>
      </c>
      <c r="O1019" s="23">
        <f t="shared" si="75"/>
        <v>-1</v>
      </c>
      <c r="P1019" s="23">
        <f t="shared" si="76"/>
        <v>-1</v>
      </c>
      <c r="Q1019" s="24">
        <f t="shared" si="77"/>
        <v>-1</v>
      </c>
      <c r="R1019" s="3"/>
      <c r="S1019" s="1">
        <v>0</v>
      </c>
      <c r="T1019" s="24">
        <v>-1</v>
      </c>
      <c r="U1019"/>
      <c r="V1019" s="1">
        <v>0</v>
      </c>
      <c r="W1019" s="24">
        <v>-1</v>
      </c>
      <c r="X1019"/>
      <c r="Y1019" s="1">
        <v>0</v>
      </c>
      <c r="Z1019" s="24">
        <v>-1</v>
      </c>
      <c r="AA1019"/>
      <c r="AB1019" s="1">
        <v>0</v>
      </c>
      <c r="AC1019" s="24">
        <v>-1</v>
      </c>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c r="CA1019"/>
      <c r="CB1019"/>
      <c r="CC1019"/>
      <c r="CD1019"/>
      <c r="CE1019"/>
      <c r="CF1019"/>
      <c r="CG1019"/>
      <c r="CH1019"/>
      <c r="CI1019"/>
      <c r="CJ1019"/>
      <c r="CK1019"/>
      <c r="CL1019"/>
      <c r="CM1019"/>
      <c r="CN1019"/>
      <c r="CO1019"/>
      <c r="CP1019"/>
      <c r="CQ1019"/>
      <c r="CR1019"/>
      <c r="CS1019"/>
    </row>
    <row r="1020" spans="2:97">
      <c r="B1020"/>
      <c r="C1020" s="15"/>
      <c r="D1020" s="23"/>
      <c r="E1020" s="23"/>
      <c r="F1020" s="23"/>
      <c r="G1020" s="23">
        <f t="shared" si="73"/>
        <v>0</v>
      </c>
      <c r="H1020" s="23" t="e" cm="1">
        <f t="array" ref="H1020">INDEX('GLOBAL LOG'!#REF!,ROW()-169+15)</f>
        <v>#REF!</v>
      </c>
      <c r="I1020" s="23" t="e">
        <f>_xlfn.XLOOKUP(H1020,#REF!,#REF!,"",0,1)</f>
        <v>#REF!</v>
      </c>
      <c r="J1020" s="23" t="str">
        <f>IFERROR(I1020*#REF!,"")</f>
        <v/>
      </c>
      <c r="K1020" s="23" t="e" cm="1">
        <f t="array" ref="K1020">INDEX('GLOBAL LOG'!#REF!,ROW()-169+15)</f>
        <v>#REF!</v>
      </c>
      <c r="L1020" s="23" t="e">
        <f>_xlfn.XLOOKUP(K1020,#REF!,#REF!,"",0,1)</f>
        <v>#REF!</v>
      </c>
      <c r="M1020" s="23" t="str">
        <f>IFERROR(L1020*#REF!,"")</f>
        <v/>
      </c>
      <c r="N1020" s="23">
        <f t="shared" si="74"/>
        <v>-1</v>
      </c>
      <c r="O1020" s="23">
        <f t="shared" si="75"/>
        <v>-1</v>
      </c>
      <c r="P1020" s="23">
        <f t="shared" si="76"/>
        <v>-1</v>
      </c>
      <c r="Q1020" s="24">
        <f t="shared" si="77"/>
        <v>-1</v>
      </c>
      <c r="R1020" s="3"/>
      <c r="S1020" s="1">
        <v>0</v>
      </c>
      <c r="T1020" s="24">
        <v>-1</v>
      </c>
      <c r="U1020"/>
      <c r="V1020" s="1">
        <v>0</v>
      </c>
      <c r="W1020" s="24">
        <v>-1</v>
      </c>
      <c r="X1020"/>
      <c r="Y1020" s="1">
        <v>0</v>
      </c>
      <c r="Z1020" s="24">
        <v>-1</v>
      </c>
      <c r="AA1020"/>
      <c r="AB1020" s="1">
        <v>0</v>
      </c>
      <c r="AC1020" s="24">
        <v>-1</v>
      </c>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c r="CA1020"/>
      <c r="CB1020"/>
      <c r="CC1020"/>
      <c r="CD1020"/>
      <c r="CE1020"/>
      <c r="CF1020"/>
      <c r="CG1020"/>
      <c r="CH1020"/>
      <c r="CI1020"/>
      <c r="CJ1020"/>
      <c r="CK1020"/>
      <c r="CL1020"/>
      <c r="CM1020"/>
      <c r="CN1020"/>
      <c r="CO1020"/>
      <c r="CP1020"/>
      <c r="CQ1020"/>
      <c r="CR1020"/>
      <c r="CS1020"/>
    </row>
    <row r="1021" spans="2:97">
      <c r="B1021"/>
      <c r="C1021" s="15"/>
      <c r="D1021" s="23"/>
      <c r="E1021" s="23"/>
      <c r="F1021" s="23"/>
      <c r="G1021" s="23">
        <f t="shared" si="73"/>
        <v>0</v>
      </c>
      <c r="H1021" s="23" t="e" cm="1">
        <f t="array" ref="H1021">INDEX('GLOBAL LOG'!#REF!,ROW()-169+15)</f>
        <v>#REF!</v>
      </c>
      <c r="I1021" s="23" t="e">
        <f>_xlfn.XLOOKUP(H1021,#REF!,#REF!,"",0,1)</f>
        <v>#REF!</v>
      </c>
      <c r="J1021" s="23" t="str">
        <f>IFERROR(I1021*#REF!,"")</f>
        <v/>
      </c>
      <c r="K1021" s="23" t="e" cm="1">
        <f t="array" ref="K1021">INDEX('GLOBAL LOG'!#REF!,ROW()-169+15)</f>
        <v>#REF!</v>
      </c>
      <c r="L1021" s="23" t="e">
        <f>_xlfn.XLOOKUP(K1021,#REF!,#REF!,"",0,1)</f>
        <v>#REF!</v>
      </c>
      <c r="M1021" s="23" t="str">
        <f>IFERROR(L1021*#REF!,"")</f>
        <v/>
      </c>
      <c r="N1021" s="23">
        <f t="shared" si="74"/>
        <v>-1</v>
      </c>
      <c r="O1021" s="23">
        <f t="shared" si="75"/>
        <v>-1</v>
      </c>
      <c r="P1021" s="23">
        <f t="shared" si="76"/>
        <v>-1</v>
      </c>
      <c r="Q1021" s="24">
        <f t="shared" si="77"/>
        <v>-1</v>
      </c>
      <c r="R1021" s="3"/>
      <c r="S1021" s="1">
        <v>0</v>
      </c>
      <c r="T1021" s="24">
        <v>-1</v>
      </c>
      <c r="U1021"/>
      <c r="V1021" s="1">
        <v>0</v>
      </c>
      <c r="W1021" s="24">
        <v>-1</v>
      </c>
      <c r="X1021"/>
      <c r="Y1021" s="1">
        <v>0</v>
      </c>
      <c r="Z1021" s="24">
        <v>-1</v>
      </c>
      <c r="AA1021"/>
      <c r="AB1021" s="1">
        <v>0</v>
      </c>
      <c r="AC1021" s="24">
        <v>-1</v>
      </c>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c r="CA1021"/>
      <c r="CB1021"/>
      <c r="CC1021"/>
      <c r="CD1021"/>
      <c r="CE1021"/>
      <c r="CF1021"/>
      <c r="CG1021"/>
      <c r="CH1021"/>
      <c r="CI1021"/>
      <c r="CJ1021"/>
      <c r="CK1021"/>
      <c r="CL1021"/>
      <c r="CM1021"/>
      <c r="CN1021"/>
      <c r="CO1021"/>
      <c r="CP1021"/>
      <c r="CQ1021"/>
      <c r="CR1021"/>
      <c r="CS1021"/>
    </row>
    <row r="1022" spans="2:97">
      <c r="B1022"/>
      <c r="C1022" s="15"/>
      <c r="D1022" s="23"/>
      <c r="E1022" s="23"/>
      <c r="F1022" s="23"/>
      <c r="G1022" s="23">
        <f t="shared" si="73"/>
        <v>0</v>
      </c>
      <c r="H1022" s="23" t="e" cm="1">
        <f t="array" ref="H1022">INDEX('GLOBAL LOG'!#REF!,ROW()-169+15)</f>
        <v>#REF!</v>
      </c>
      <c r="I1022" s="23" t="e">
        <f>_xlfn.XLOOKUP(H1022,#REF!,#REF!,"",0,1)</f>
        <v>#REF!</v>
      </c>
      <c r="J1022" s="23" t="str">
        <f>IFERROR(I1022*#REF!,"")</f>
        <v/>
      </c>
      <c r="K1022" s="23" t="e" cm="1">
        <f t="array" ref="K1022">INDEX('GLOBAL LOG'!#REF!,ROW()-169+15)</f>
        <v>#REF!</v>
      </c>
      <c r="L1022" s="23" t="e">
        <f>_xlfn.XLOOKUP(K1022,#REF!,#REF!,"",0,1)</f>
        <v>#REF!</v>
      </c>
      <c r="M1022" s="23" t="str">
        <f>IFERROR(L1022*#REF!,"")</f>
        <v/>
      </c>
      <c r="N1022" s="23">
        <f t="shared" si="74"/>
        <v>-1</v>
      </c>
      <c r="O1022" s="23">
        <f t="shared" si="75"/>
        <v>-1</v>
      </c>
      <c r="P1022" s="23">
        <f t="shared" si="76"/>
        <v>-1</v>
      </c>
      <c r="Q1022" s="24">
        <f t="shared" si="77"/>
        <v>-1</v>
      </c>
      <c r="R1022" s="3"/>
      <c r="S1022" s="1">
        <v>0</v>
      </c>
      <c r="T1022" s="24">
        <v>-1</v>
      </c>
      <c r="U1022"/>
      <c r="V1022" s="1">
        <v>0</v>
      </c>
      <c r="W1022" s="24">
        <v>-1</v>
      </c>
      <c r="X1022"/>
      <c r="Y1022" s="1">
        <v>0</v>
      </c>
      <c r="Z1022" s="24">
        <v>-1</v>
      </c>
      <c r="AA1022"/>
      <c r="AB1022" s="1">
        <v>0</v>
      </c>
      <c r="AC1022" s="24">
        <v>-1</v>
      </c>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c r="CA1022"/>
      <c r="CB1022"/>
      <c r="CC1022"/>
      <c r="CD1022"/>
      <c r="CE1022"/>
      <c r="CF1022"/>
      <c r="CG1022"/>
      <c r="CH1022"/>
      <c r="CI1022"/>
      <c r="CJ1022"/>
      <c r="CK1022"/>
      <c r="CL1022"/>
      <c r="CM1022"/>
      <c r="CN1022"/>
      <c r="CO1022"/>
      <c r="CP1022"/>
      <c r="CQ1022"/>
      <c r="CR1022"/>
      <c r="CS1022"/>
    </row>
    <row r="1023" spans="2:97">
      <c r="B1023"/>
      <c r="C1023" s="15"/>
      <c r="D1023" s="23"/>
      <c r="E1023" s="23"/>
      <c r="F1023" s="23"/>
      <c r="G1023" s="23">
        <f t="shared" si="73"/>
        <v>0</v>
      </c>
      <c r="H1023" s="23" t="e" cm="1">
        <f t="array" ref="H1023">INDEX('GLOBAL LOG'!#REF!,ROW()-169+15)</f>
        <v>#REF!</v>
      </c>
      <c r="I1023" s="23" t="e">
        <f>_xlfn.XLOOKUP(H1023,#REF!,#REF!,"",0,1)</f>
        <v>#REF!</v>
      </c>
      <c r="J1023" s="23" t="str">
        <f>IFERROR(I1023*#REF!,"")</f>
        <v/>
      </c>
      <c r="K1023" s="23" t="e" cm="1">
        <f t="array" ref="K1023">INDEX('GLOBAL LOG'!#REF!,ROW()-169+15)</f>
        <v>#REF!</v>
      </c>
      <c r="L1023" s="23" t="e">
        <f>_xlfn.XLOOKUP(K1023,#REF!,#REF!,"",0,1)</f>
        <v>#REF!</v>
      </c>
      <c r="M1023" s="23" t="str">
        <f>IFERROR(L1023*#REF!,"")</f>
        <v/>
      </c>
      <c r="N1023" s="23">
        <f t="shared" si="74"/>
        <v>-1</v>
      </c>
      <c r="O1023" s="23">
        <f t="shared" si="75"/>
        <v>-1</v>
      </c>
      <c r="P1023" s="23">
        <f t="shared" si="76"/>
        <v>-1</v>
      </c>
      <c r="Q1023" s="24">
        <f t="shared" si="77"/>
        <v>-1</v>
      </c>
      <c r="R1023" s="3"/>
      <c r="S1023" s="1">
        <v>0</v>
      </c>
      <c r="T1023" s="24">
        <v>-1</v>
      </c>
      <c r="U1023"/>
      <c r="V1023" s="1">
        <v>0</v>
      </c>
      <c r="W1023" s="24">
        <v>-1</v>
      </c>
      <c r="X1023"/>
      <c r="Y1023" s="1">
        <v>0</v>
      </c>
      <c r="Z1023" s="24">
        <v>-1</v>
      </c>
      <c r="AA1023"/>
      <c r="AB1023" s="1">
        <v>0</v>
      </c>
      <c r="AC1023" s="24">
        <v>-1</v>
      </c>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c r="CA1023"/>
      <c r="CB1023"/>
      <c r="CC1023"/>
      <c r="CD1023"/>
      <c r="CE1023"/>
      <c r="CF1023"/>
      <c r="CG1023"/>
      <c r="CH1023"/>
      <c r="CI1023"/>
      <c r="CJ1023"/>
      <c r="CK1023"/>
      <c r="CL1023"/>
      <c r="CM1023"/>
      <c r="CN1023"/>
      <c r="CO1023"/>
      <c r="CP1023"/>
      <c r="CQ1023"/>
      <c r="CR1023"/>
      <c r="CS1023"/>
    </row>
    <row r="1024" spans="2:97">
      <c r="B1024"/>
      <c r="C1024" s="15"/>
      <c r="D1024" s="23"/>
      <c r="E1024" s="23"/>
      <c r="F1024" s="23"/>
      <c r="G1024" s="23">
        <f t="shared" si="73"/>
        <v>0</v>
      </c>
      <c r="H1024" s="23" t="e" cm="1">
        <f t="array" ref="H1024">INDEX('GLOBAL LOG'!#REF!,ROW()-169+15)</f>
        <v>#REF!</v>
      </c>
      <c r="I1024" s="23" t="e">
        <f>_xlfn.XLOOKUP(H1024,#REF!,#REF!,"",0,1)</f>
        <v>#REF!</v>
      </c>
      <c r="J1024" s="23" t="str">
        <f>IFERROR(I1024*#REF!,"")</f>
        <v/>
      </c>
      <c r="K1024" s="23" t="e" cm="1">
        <f t="array" ref="K1024">INDEX('GLOBAL LOG'!#REF!,ROW()-169+15)</f>
        <v>#REF!</v>
      </c>
      <c r="L1024" s="23" t="e">
        <f>_xlfn.XLOOKUP(K1024,#REF!,#REF!,"",0,1)</f>
        <v>#REF!</v>
      </c>
      <c r="M1024" s="23" t="str">
        <f>IFERROR(L1024*#REF!,"")</f>
        <v/>
      </c>
      <c r="N1024" s="23">
        <f t="shared" si="74"/>
        <v>-1</v>
      </c>
      <c r="O1024" s="23">
        <f t="shared" si="75"/>
        <v>-1</v>
      </c>
      <c r="P1024" s="23">
        <f t="shared" si="76"/>
        <v>-1</v>
      </c>
      <c r="Q1024" s="24">
        <f t="shared" si="77"/>
        <v>-1</v>
      </c>
      <c r="R1024" s="3"/>
      <c r="S1024" s="1">
        <v>0</v>
      </c>
      <c r="T1024" s="24">
        <v>-1</v>
      </c>
      <c r="U1024"/>
      <c r="V1024" s="1">
        <v>0</v>
      </c>
      <c r="W1024" s="24">
        <v>-1</v>
      </c>
      <c r="X1024"/>
      <c r="Y1024" s="1">
        <v>0</v>
      </c>
      <c r="Z1024" s="24">
        <v>-1</v>
      </c>
      <c r="AA1024"/>
      <c r="AB1024" s="1">
        <v>0</v>
      </c>
      <c r="AC1024" s="24">
        <v>-1</v>
      </c>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c r="CA1024"/>
      <c r="CB1024"/>
      <c r="CC1024"/>
      <c r="CD1024"/>
      <c r="CE1024"/>
      <c r="CF1024"/>
      <c r="CG1024"/>
      <c r="CH1024"/>
      <c r="CI1024"/>
      <c r="CJ1024"/>
      <c r="CK1024"/>
      <c r="CL1024"/>
      <c r="CM1024"/>
      <c r="CN1024"/>
      <c r="CO1024"/>
      <c r="CP1024"/>
      <c r="CQ1024"/>
      <c r="CR1024"/>
      <c r="CS1024"/>
    </row>
    <row r="1025" spans="2:97">
      <c r="B1025"/>
      <c r="C1025" s="15"/>
      <c r="D1025" s="23"/>
      <c r="E1025" s="23"/>
      <c r="F1025" s="23"/>
      <c r="G1025" s="23">
        <f t="shared" si="73"/>
        <v>0</v>
      </c>
      <c r="H1025" s="23" t="e" cm="1">
        <f t="array" ref="H1025">INDEX('GLOBAL LOG'!#REF!,ROW()-169+15)</f>
        <v>#REF!</v>
      </c>
      <c r="I1025" s="23" t="e">
        <f>_xlfn.XLOOKUP(H1025,#REF!,#REF!,"",0,1)</f>
        <v>#REF!</v>
      </c>
      <c r="J1025" s="23" t="str">
        <f>IFERROR(I1025*#REF!,"")</f>
        <v/>
      </c>
      <c r="K1025" s="23" t="e" cm="1">
        <f t="array" ref="K1025">INDEX('GLOBAL LOG'!#REF!,ROW()-169+15)</f>
        <v>#REF!</v>
      </c>
      <c r="L1025" s="23" t="e">
        <f>_xlfn.XLOOKUP(K1025,#REF!,#REF!,"",0,1)</f>
        <v>#REF!</v>
      </c>
      <c r="M1025" s="23" t="str">
        <f>IFERROR(L1025*#REF!,"")</f>
        <v/>
      </c>
      <c r="N1025" s="23">
        <f t="shared" si="74"/>
        <v>-1</v>
      </c>
      <c r="O1025" s="23">
        <f t="shared" si="75"/>
        <v>-1</v>
      </c>
      <c r="P1025" s="23">
        <f t="shared" si="76"/>
        <v>-1</v>
      </c>
      <c r="Q1025" s="24">
        <f t="shared" si="77"/>
        <v>-1</v>
      </c>
      <c r="R1025" s="3"/>
      <c r="S1025" s="1">
        <v>0</v>
      </c>
      <c r="T1025" s="24">
        <v>-1</v>
      </c>
      <c r="U1025"/>
      <c r="V1025" s="1">
        <v>0</v>
      </c>
      <c r="W1025" s="24">
        <v>-1</v>
      </c>
      <c r="X1025"/>
      <c r="Y1025" s="1">
        <v>0</v>
      </c>
      <c r="Z1025" s="24">
        <v>-1</v>
      </c>
      <c r="AA1025"/>
      <c r="AB1025" s="1">
        <v>0</v>
      </c>
      <c r="AC1025" s="24">
        <v>-1</v>
      </c>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c r="CA1025"/>
      <c r="CB1025"/>
      <c r="CC1025"/>
      <c r="CD1025"/>
      <c r="CE1025"/>
      <c r="CF1025"/>
      <c r="CG1025"/>
      <c r="CH1025"/>
      <c r="CI1025"/>
      <c r="CJ1025"/>
      <c r="CK1025"/>
      <c r="CL1025"/>
      <c r="CM1025"/>
      <c r="CN1025"/>
      <c r="CO1025"/>
      <c r="CP1025"/>
      <c r="CQ1025"/>
      <c r="CR1025"/>
      <c r="CS1025"/>
    </row>
    <row r="1026" spans="2:97">
      <c r="B1026"/>
      <c r="C1026" s="15"/>
      <c r="D1026" s="23"/>
      <c r="E1026" s="23"/>
      <c r="F1026" s="23"/>
      <c r="G1026" s="23">
        <f t="shared" si="73"/>
        <v>0</v>
      </c>
      <c r="H1026" s="23" t="e" cm="1">
        <f t="array" ref="H1026">INDEX('GLOBAL LOG'!#REF!,ROW()-169+15)</f>
        <v>#REF!</v>
      </c>
      <c r="I1026" s="23" t="e">
        <f>_xlfn.XLOOKUP(H1026,#REF!,#REF!,"",0,1)</f>
        <v>#REF!</v>
      </c>
      <c r="J1026" s="23" t="str">
        <f>IFERROR(I1026*#REF!,"")</f>
        <v/>
      </c>
      <c r="K1026" s="23" t="e" cm="1">
        <f t="array" ref="K1026">INDEX('GLOBAL LOG'!#REF!,ROW()-169+15)</f>
        <v>#REF!</v>
      </c>
      <c r="L1026" s="23" t="e">
        <f>_xlfn.XLOOKUP(K1026,#REF!,#REF!,"",0,1)</f>
        <v>#REF!</v>
      </c>
      <c r="M1026" s="23" t="str">
        <f>IFERROR(L1026*#REF!,"")</f>
        <v/>
      </c>
      <c r="N1026" s="23">
        <f t="shared" si="74"/>
        <v>-1</v>
      </c>
      <c r="O1026" s="23">
        <f t="shared" si="75"/>
        <v>-1</v>
      </c>
      <c r="P1026" s="23">
        <f t="shared" si="76"/>
        <v>-1</v>
      </c>
      <c r="Q1026" s="24">
        <f t="shared" si="77"/>
        <v>-1</v>
      </c>
      <c r="R1026" s="3"/>
      <c r="S1026" s="1">
        <v>0</v>
      </c>
      <c r="T1026" s="24">
        <v>-1</v>
      </c>
      <c r="U1026"/>
      <c r="V1026" s="1">
        <v>0</v>
      </c>
      <c r="W1026" s="24">
        <v>-1</v>
      </c>
      <c r="X1026"/>
      <c r="Y1026" s="1">
        <v>0</v>
      </c>
      <c r="Z1026" s="24">
        <v>-1</v>
      </c>
      <c r="AA1026"/>
      <c r="AB1026" s="1">
        <v>0</v>
      </c>
      <c r="AC1026" s="24">
        <v>-1</v>
      </c>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c r="CA1026"/>
      <c r="CB1026"/>
      <c r="CC1026"/>
      <c r="CD1026"/>
      <c r="CE1026"/>
      <c r="CF1026"/>
      <c r="CG1026"/>
      <c r="CH1026"/>
      <c r="CI1026"/>
      <c r="CJ1026"/>
      <c r="CK1026"/>
      <c r="CL1026"/>
      <c r="CM1026"/>
      <c r="CN1026"/>
      <c r="CO1026"/>
      <c r="CP1026"/>
      <c r="CQ1026"/>
      <c r="CR1026"/>
      <c r="CS1026"/>
    </row>
    <row r="1027" spans="2:97">
      <c r="B1027"/>
      <c r="C1027" s="15"/>
      <c r="D1027" s="23"/>
      <c r="E1027" s="23"/>
      <c r="F1027" s="23"/>
      <c r="G1027" s="23">
        <f t="shared" si="73"/>
        <v>0</v>
      </c>
      <c r="H1027" s="23" t="e" cm="1">
        <f t="array" ref="H1027">INDEX('GLOBAL LOG'!#REF!,ROW()-169+15)</f>
        <v>#REF!</v>
      </c>
      <c r="I1027" s="23" t="e">
        <f>_xlfn.XLOOKUP(H1027,#REF!,#REF!,"",0,1)</f>
        <v>#REF!</v>
      </c>
      <c r="J1027" s="23" t="str">
        <f>IFERROR(I1027*#REF!,"")</f>
        <v/>
      </c>
      <c r="K1027" s="23" t="e" cm="1">
        <f t="array" ref="K1027">INDEX('GLOBAL LOG'!#REF!,ROW()-169+15)</f>
        <v>#REF!</v>
      </c>
      <c r="L1027" s="23" t="e">
        <f>_xlfn.XLOOKUP(K1027,#REF!,#REF!,"",0,1)</f>
        <v>#REF!</v>
      </c>
      <c r="M1027" s="23" t="str">
        <f>IFERROR(L1027*#REF!,"")</f>
        <v/>
      </c>
      <c r="N1027" s="23">
        <f t="shared" si="74"/>
        <v>-1</v>
      </c>
      <c r="O1027" s="23">
        <f t="shared" si="75"/>
        <v>-1</v>
      </c>
      <c r="P1027" s="23">
        <f t="shared" si="76"/>
        <v>-1</v>
      </c>
      <c r="Q1027" s="24">
        <f t="shared" si="77"/>
        <v>-1</v>
      </c>
      <c r="R1027" s="3"/>
      <c r="S1027" s="1">
        <v>0</v>
      </c>
      <c r="T1027" s="24">
        <v>-1</v>
      </c>
      <c r="U1027"/>
      <c r="V1027" s="1">
        <v>0</v>
      </c>
      <c r="W1027" s="24">
        <v>-1</v>
      </c>
      <c r="X1027"/>
      <c r="Y1027" s="1">
        <v>0</v>
      </c>
      <c r="Z1027" s="24">
        <v>-1</v>
      </c>
      <c r="AA1027"/>
      <c r="AB1027" s="1">
        <v>0</v>
      </c>
      <c r="AC1027" s="24">
        <v>-1</v>
      </c>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c r="CA1027"/>
      <c r="CB1027"/>
      <c r="CC1027"/>
      <c r="CD1027"/>
      <c r="CE1027"/>
      <c r="CF1027"/>
      <c r="CG1027"/>
      <c r="CH1027"/>
      <c r="CI1027"/>
      <c r="CJ1027"/>
      <c r="CK1027"/>
      <c r="CL1027"/>
      <c r="CM1027"/>
      <c r="CN1027"/>
      <c r="CO1027"/>
      <c r="CP1027"/>
      <c r="CQ1027"/>
      <c r="CR1027"/>
      <c r="CS1027"/>
    </row>
    <row r="1028" spans="2:97">
      <c r="B1028"/>
      <c r="C1028" s="15"/>
      <c r="D1028" s="23"/>
      <c r="E1028" s="23"/>
      <c r="F1028" s="23"/>
      <c r="G1028" s="23">
        <f t="shared" si="73"/>
        <v>0</v>
      </c>
      <c r="H1028" s="23" t="e" cm="1">
        <f t="array" ref="H1028">INDEX('GLOBAL LOG'!#REF!,ROW()-169+15)</f>
        <v>#REF!</v>
      </c>
      <c r="I1028" s="23" t="e">
        <f>_xlfn.XLOOKUP(H1028,#REF!,#REF!,"",0,1)</f>
        <v>#REF!</v>
      </c>
      <c r="J1028" s="23" t="str">
        <f>IFERROR(I1028*#REF!,"")</f>
        <v/>
      </c>
      <c r="K1028" s="23" t="e" cm="1">
        <f t="array" ref="K1028">INDEX('GLOBAL LOG'!#REF!,ROW()-169+15)</f>
        <v>#REF!</v>
      </c>
      <c r="L1028" s="23" t="e">
        <f>_xlfn.XLOOKUP(K1028,#REF!,#REF!,"",0,1)</f>
        <v>#REF!</v>
      </c>
      <c r="M1028" s="23" t="str">
        <f>IFERROR(L1028*#REF!,"")</f>
        <v/>
      </c>
      <c r="N1028" s="23">
        <f t="shared" si="74"/>
        <v>-1</v>
      </c>
      <c r="O1028" s="23">
        <f t="shared" si="75"/>
        <v>-1</v>
      </c>
      <c r="P1028" s="23">
        <f t="shared" si="76"/>
        <v>-1</v>
      </c>
      <c r="Q1028" s="24">
        <f t="shared" si="77"/>
        <v>-1</v>
      </c>
      <c r="R1028" s="3"/>
      <c r="S1028" s="1">
        <v>0</v>
      </c>
      <c r="T1028" s="24">
        <v>-1</v>
      </c>
      <c r="U1028"/>
      <c r="V1028" s="1">
        <v>0</v>
      </c>
      <c r="W1028" s="24">
        <v>-1</v>
      </c>
      <c r="X1028"/>
      <c r="Y1028" s="1">
        <v>0</v>
      </c>
      <c r="Z1028" s="24">
        <v>-1</v>
      </c>
      <c r="AA1028"/>
      <c r="AB1028" s="1">
        <v>0</v>
      </c>
      <c r="AC1028" s="24">
        <v>-1</v>
      </c>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c r="CA1028"/>
      <c r="CB1028"/>
      <c r="CC1028"/>
      <c r="CD1028"/>
      <c r="CE1028"/>
      <c r="CF1028"/>
      <c r="CG1028"/>
      <c r="CH1028"/>
      <c r="CI1028"/>
      <c r="CJ1028"/>
      <c r="CK1028"/>
      <c r="CL1028"/>
      <c r="CM1028"/>
      <c r="CN1028"/>
      <c r="CO1028"/>
      <c r="CP1028"/>
      <c r="CQ1028"/>
      <c r="CR1028"/>
      <c r="CS1028"/>
    </row>
    <row r="1029" spans="2:97">
      <c r="B1029"/>
      <c r="C1029" s="15"/>
      <c r="D1029" s="23"/>
      <c r="E1029" s="23"/>
      <c r="F1029" s="23"/>
      <c r="G1029" s="23">
        <f t="shared" si="73"/>
        <v>0</v>
      </c>
      <c r="H1029" s="23" t="e" cm="1">
        <f t="array" ref="H1029">INDEX('GLOBAL LOG'!#REF!,ROW()-169+15)</f>
        <v>#REF!</v>
      </c>
      <c r="I1029" s="23" t="e">
        <f>_xlfn.XLOOKUP(H1029,#REF!,#REF!,"",0,1)</f>
        <v>#REF!</v>
      </c>
      <c r="J1029" s="23" t="str">
        <f>IFERROR(I1029*#REF!,"")</f>
        <v/>
      </c>
      <c r="K1029" s="23" t="e" cm="1">
        <f t="array" ref="K1029">INDEX('GLOBAL LOG'!#REF!,ROW()-169+15)</f>
        <v>#REF!</v>
      </c>
      <c r="L1029" s="23" t="e">
        <f>_xlfn.XLOOKUP(K1029,#REF!,#REF!,"",0,1)</f>
        <v>#REF!</v>
      </c>
      <c r="M1029" s="23" t="str">
        <f>IFERROR(L1029*#REF!,"")</f>
        <v/>
      </c>
      <c r="N1029" s="23">
        <f t="shared" si="74"/>
        <v>-1</v>
      </c>
      <c r="O1029" s="23">
        <f t="shared" si="75"/>
        <v>-1</v>
      </c>
      <c r="P1029" s="23">
        <f t="shared" si="76"/>
        <v>-1</v>
      </c>
      <c r="Q1029" s="24">
        <f t="shared" si="77"/>
        <v>-1</v>
      </c>
      <c r="R1029" s="3"/>
      <c r="S1029" s="1">
        <v>0</v>
      </c>
      <c r="T1029" s="24">
        <v>-1</v>
      </c>
      <c r="U1029"/>
      <c r="V1029" s="1">
        <v>0</v>
      </c>
      <c r="W1029" s="24">
        <v>-1</v>
      </c>
      <c r="X1029"/>
      <c r="Y1029" s="1">
        <v>0</v>
      </c>
      <c r="Z1029" s="24">
        <v>-1</v>
      </c>
      <c r="AA1029"/>
      <c r="AB1029" s="1">
        <v>0</v>
      </c>
      <c r="AC1029" s="24">
        <v>-1</v>
      </c>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c r="CA1029"/>
      <c r="CB1029"/>
      <c r="CC1029"/>
      <c r="CD1029"/>
      <c r="CE1029"/>
      <c r="CF1029"/>
      <c r="CG1029"/>
      <c r="CH1029"/>
      <c r="CI1029"/>
      <c r="CJ1029"/>
      <c r="CK1029"/>
      <c r="CL1029"/>
      <c r="CM1029"/>
      <c r="CN1029"/>
      <c r="CO1029"/>
      <c r="CP1029"/>
      <c r="CQ1029"/>
      <c r="CR1029"/>
      <c r="CS1029"/>
    </row>
    <row r="1030" spans="2:97">
      <c r="B1030"/>
      <c r="C1030" s="15"/>
      <c r="D1030" s="23"/>
      <c r="E1030" s="23"/>
      <c r="F1030" s="23"/>
      <c r="G1030" s="23">
        <f t="shared" si="73"/>
        <v>0</v>
      </c>
      <c r="H1030" s="23" t="e" cm="1">
        <f t="array" ref="H1030">INDEX('GLOBAL LOG'!#REF!,ROW()-169+15)</f>
        <v>#REF!</v>
      </c>
      <c r="I1030" s="23" t="e">
        <f>_xlfn.XLOOKUP(H1030,#REF!,#REF!,"",0,1)</f>
        <v>#REF!</v>
      </c>
      <c r="J1030" s="23" t="str">
        <f>IFERROR(I1030*#REF!,"")</f>
        <v/>
      </c>
      <c r="K1030" s="23" t="e" cm="1">
        <f t="array" ref="K1030">INDEX('GLOBAL LOG'!#REF!,ROW()-169+15)</f>
        <v>#REF!</v>
      </c>
      <c r="L1030" s="23" t="e">
        <f>_xlfn.XLOOKUP(K1030,#REF!,#REF!,"",0,1)</f>
        <v>#REF!</v>
      </c>
      <c r="M1030" s="23" t="str">
        <f>IFERROR(L1030*#REF!,"")</f>
        <v/>
      </c>
      <c r="N1030" s="23">
        <f t="shared" si="74"/>
        <v>-1</v>
      </c>
      <c r="O1030" s="23">
        <f t="shared" si="75"/>
        <v>-1</v>
      </c>
      <c r="P1030" s="23">
        <f t="shared" si="76"/>
        <v>-1</v>
      </c>
      <c r="Q1030" s="24">
        <f t="shared" si="77"/>
        <v>-1</v>
      </c>
      <c r="R1030" s="3"/>
      <c r="S1030" s="1">
        <v>0</v>
      </c>
      <c r="T1030" s="24">
        <v>-1</v>
      </c>
      <c r="U1030"/>
      <c r="V1030" s="1">
        <v>0</v>
      </c>
      <c r="W1030" s="24">
        <v>-1</v>
      </c>
      <c r="X1030"/>
      <c r="Y1030" s="1">
        <v>0</v>
      </c>
      <c r="Z1030" s="24">
        <v>-1</v>
      </c>
      <c r="AA1030"/>
      <c r="AB1030" s="1">
        <v>0</v>
      </c>
      <c r="AC1030" s="24">
        <v>-1</v>
      </c>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c r="CA1030"/>
      <c r="CB1030"/>
      <c r="CC1030"/>
      <c r="CD1030"/>
      <c r="CE1030"/>
      <c r="CF1030"/>
      <c r="CG1030"/>
      <c r="CH1030"/>
      <c r="CI1030"/>
      <c r="CJ1030"/>
      <c r="CK1030"/>
      <c r="CL1030"/>
      <c r="CM1030"/>
      <c r="CN1030"/>
      <c r="CO1030"/>
      <c r="CP1030"/>
      <c r="CQ1030"/>
      <c r="CR1030"/>
      <c r="CS1030"/>
    </row>
    <row r="1031" spans="2:97">
      <c r="B1031"/>
      <c r="C1031" s="15"/>
      <c r="D1031" s="23"/>
      <c r="E1031" s="23"/>
      <c r="F1031" s="23"/>
      <c r="G1031" s="23">
        <f t="shared" si="73"/>
        <v>0</v>
      </c>
      <c r="H1031" s="23" t="e" cm="1">
        <f t="array" ref="H1031">INDEX('GLOBAL LOG'!#REF!,ROW()-169+15)</f>
        <v>#REF!</v>
      </c>
      <c r="I1031" s="23" t="e">
        <f>_xlfn.XLOOKUP(H1031,#REF!,#REF!,"",0,1)</f>
        <v>#REF!</v>
      </c>
      <c r="J1031" s="23" t="str">
        <f>IFERROR(I1031*#REF!,"")</f>
        <v/>
      </c>
      <c r="K1031" s="23" t="e" cm="1">
        <f t="array" ref="K1031">INDEX('GLOBAL LOG'!#REF!,ROW()-169+15)</f>
        <v>#REF!</v>
      </c>
      <c r="L1031" s="23" t="e">
        <f>_xlfn.XLOOKUP(K1031,#REF!,#REF!,"",0,1)</f>
        <v>#REF!</v>
      </c>
      <c r="M1031" s="23" t="str">
        <f>IFERROR(L1031*#REF!,"")</f>
        <v/>
      </c>
      <c r="N1031" s="23">
        <f t="shared" si="74"/>
        <v>-1</v>
      </c>
      <c r="O1031" s="23">
        <f t="shared" si="75"/>
        <v>-1</v>
      </c>
      <c r="P1031" s="23">
        <f t="shared" si="76"/>
        <v>-1</v>
      </c>
      <c r="Q1031" s="24">
        <f t="shared" si="77"/>
        <v>-1</v>
      </c>
      <c r="R1031" s="3"/>
      <c r="S1031" s="1">
        <v>0</v>
      </c>
      <c r="T1031" s="24">
        <v>-1</v>
      </c>
      <c r="U1031"/>
      <c r="V1031" s="1">
        <v>0</v>
      </c>
      <c r="W1031" s="24">
        <v>-1</v>
      </c>
      <c r="X1031"/>
      <c r="Y1031" s="1">
        <v>0</v>
      </c>
      <c r="Z1031" s="24">
        <v>-1</v>
      </c>
      <c r="AA1031"/>
      <c r="AB1031" s="1">
        <v>0</v>
      </c>
      <c r="AC1031" s="24">
        <v>-1</v>
      </c>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c r="CA1031"/>
      <c r="CB1031"/>
      <c r="CC1031"/>
      <c r="CD1031"/>
      <c r="CE1031"/>
      <c r="CF1031"/>
      <c r="CG1031"/>
      <c r="CH1031"/>
      <c r="CI1031"/>
      <c r="CJ1031"/>
      <c r="CK1031"/>
      <c r="CL1031"/>
      <c r="CM1031"/>
      <c r="CN1031"/>
      <c r="CO1031"/>
      <c r="CP1031"/>
      <c r="CQ1031"/>
      <c r="CR1031"/>
      <c r="CS1031"/>
    </row>
    <row r="1032" spans="2:97">
      <c r="B1032"/>
      <c r="C1032" s="15"/>
      <c r="D1032" s="23"/>
      <c r="E1032" s="23"/>
      <c r="F1032" s="23"/>
      <c r="G1032" s="23">
        <f t="shared" si="73"/>
        <v>0</v>
      </c>
      <c r="H1032" s="23" t="e" cm="1">
        <f t="array" ref="H1032">INDEX('GLOBAL LOG'!#REF!,ROW()-169+15)</f>
        <v>#REF!</v>
      </c>
      <c r="I1032" s="23" t="e">
        <f>_xlfn.XLOOKUP(H1032,#REF!,#REF!,"",0,1)</f>
        <v>#REF!</v>
      </c>
      <c r="J1032" s="23" t="str">
        <f>IFERROR(I1032*#REF!,"")</f>
        <v/>
      </c>
      <c r="K1032" s="23" t="e" cm="1">
        <f t="array" ref="K1032">INDEX('GLOBAL LOG'!#REF!,ROW()-169+15)</f>
        <v>#REF!</v>
      </c>
      <c r="L1032" s="23" t="e">
        <f>_xlfn.XLOOKUP(K1032,#REF!,#REF!,"",0,1)</f>
        <v>#REF!</v>
      </c>
      <c r="M1032" s="23" t="str">
        <f>IFERROR(L1032*#REF!,"")</f>
        <v/>
      </c>
      <c r="N1032" s="23">
        <f t="shared" si="74"/>
        <v>-1</v>
      </c>
      <c r="O1032" s="23">
        <f t="shared" si="75"/>
        <v>-1</v>
      </c>
      <c r="P1032" s="23">
        <f t="shared" si="76"/>
        <v>-1</v>
      </c>
      <c r="Q1032" s="24">
        <f t="shared" si="77"/>
        <v>-1</v>
      </c>
      <c r="R1032" s="3"/>
      <c r="S1032" s="1">
        <v>0</v>
      </c>
      <c r="T1032" s="24">
        <v>-1</v>
      </c>
      <c r="U1032"/>
      <c r="V1032" s="1">
        <v>0</v>
      </c>
      <c r="W1032" s="24">
        <v>-1</v>
      </c>
      <c r="X1032"/>
      <c r="Y1032" s="1">
        <v>0</v>
      </c>
      <c r="Z1032" s="24">
        <v>-1</v>
      </c>
      <c r="AA1032"/>
      <c r="AB1032" s="1">
        <v>0</v>
      </c>
      <c r="AC1032" s="24">
        <v>-1</v>
      </c>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c r="CA1032"/>
      <c r="CB1032"/>
      <c r="CC1032"/>
      <c r="CD1032"/>
      <c r="CE1032"/>
      <c r="CF1032"/>
      <c r="CG1032"/>
      <c r="CH1032"/>
      <c r="CI1032"/>
      <c r="CJ1032"/>
      <c r="CK1032"/>
      <c r="CL1032"/>
      <c r="CM1032"/>
      <c r="CN1032"/>
      <c r="CO1032"/>
      <c r="CP1032"/>
      <c r="CQ1032"/>
      <c r="CR1032"/>
      <c r="CS1032"/>
    </row>
    <row r="1033" spans="2:97">
      <c r="B1033"/>
      <c r="C1033" s="15"/>
      <c r="D1033" s="23"/>
      <c r="E1033" s="23"/>
      <c r="F1033" s="23"/>
      <c r="G1033" s="23">
        <f t="shared" si="73"/>
        <v>0</v>
      </c>
      <c r="H1033" s="23" t="e" cm="1">
        <f t="array" ref="H1033">INDEX('GLOBAL LOG'!#REF!,ROW()-169+15)</f>
        <v>#REF!</v>
      </c>
      <c r="I1033" s="23" t="e">
        <f>_xlfn.XLOOKUP(H1033,#REF!,#REF!,"",0,1)</f>
        <v>#REF!</v>
      </c>
      <c r="J1033" s="23" t="str">
        <f>IFERROR(I1033*#REF!,"")</f>
        <v/>
      </c>
      <c r="K1033" s="23" t="e" cm="1">
        <f t="array" ref="K1033">INDEX('GLOBAL LOG'!#REF!,ROW()-169+15)</f>
        <v>#REF!</v>
      </c>
      <c r="L1033" s="23" t="e">
        <f>_xlfn.XLOOKUP(K1033,#REF!,#REF!,"",0,1)</f>
        <v>#REF!</v>
      </c>
      <c r="M1033" s="23" t="str">
        <f>IFERROR(L1033*#REF!,"")</f>
        <v/>
      </c>
      <c r="N1033" s="23">
        <f t="shared" si="74"/>
        <v>-1</v>
      </c>
      <c r="O1033" s="23">
        <f t="shared" si="75"/>
        <v>-1</v>
      </c>
      <c r="P1033" s="23">
        <f t="shared" si="76"/>
        <v>-1</v>
      </c>
      <c r="Q1033" s="24">
        <f t="shared" si="77"/>
        <v>-1</v>
      </c>
      <c r="R1033" s="3"/>
      <c r="S1033" s="1">
        <v>0</v>
      </c>
      <c r="T1033" s="24">
        <v>-1</v>
      </c>
      <c r="U1033"/>
      <c r="V1033" s="1">
        <v>0</v>
      </c>
      <c r="W1033" s="24">
        <v>-1</v>
      </c>
      <c r="X1033"/>
      <c r="Y1033" s="1">
        <v>0</v>
      </c>
      <c r="Z1033" s="24">
        <v>-1</v>
      </c>
      <c r="AA1033"/>
      <c r="AB1033" s="1">
        <v>0</v>
      </c>
      <c r="AC1033" s="24">
        <v>-1</v>
      </c>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c r="CA1033"/>
      <c r="CB1033"/>
      <c r="CC1033"/>
      <c r="CD1033"/>
      <c r="CE1033"/>
      <c r="CF1033"/>
      <c r="CG1033"/>
      <c r="CH1033"/>
      <c r="CI1033"/>
      <c r="CJ1033"/>
      <c r="CK1033"/>
      <c r="CL1033"/>
      <c r="CM1033"/>
      <c r="CN1033"/>
      <c r="CO1033"/>
      <c r="CP1033"/>
      <c r="CQ1033"/>
      <c r="CR1033"/>
      <c r="CS1033"/>
    </row>
    <row r="1034" spans="2:97">
      <c r="B1034"/>
      <c r="C1034" s="15"/>
      <c r="D1034" s="23"/>
      <c r="E1034" s="23"/>
      <c r="F1034" s="23"/>
      <c r="G1034" s="23">
        <f t="shared" si="73"/>
        <v>0</v>
      </c>
      <c r="H1034" s="23" t="e" cm="1">
        <f t="array" ref="H1034">INDEX('GLOBAL LOG'!#REF!,ROW()-169+15)</f>
        <v>#REF!</v>
      </c>
      <c r="I1034" s="23" t="e">
        <f>_xlfn.XLOOKUP(H1034,#REF!,#REF!,"",0,1)</f>
        <v>#REF!</v>
      </c>
      <c r="J1034" s="23" t="str">
        <f>IFERROR(I1034*#REF!,"")</f>
        <v/>
      </c>
      <c r="K1034" s="23" t="e" cm="1">
        <f t="array" ref="K1034">INDEX('GLOBAL LOG'!#REF!,ROW()-169+15)</f>
        <v>#REF!</v>
      </c>
      <c r="L1034" s="23" t="e">
        <f>_xlfn.XLOOKUP(K1034,#REF!,#REF!,"",0,1)</f>
        <v>#REF!</v>
      </c>
      <c r="M1034" s="23" t="str">
        <f>IFERROR(L1034*#REF!,"")</f>
        <v/>
      </c>
      <c r="N1034" s="23">
        <f t="shared" si="74"/>
        <v>-1</v>
      </c>
      <c r="O1034" s="23">
        <f t="shared" si="75"/>
        <v>-1</v>
      </c>
      <c r="P1034" s="23">
        <f t="shared" si="76"/>
        <v>-1</v>
      </c>
      <c r="Q1034" s="24">
        <f t="shared" si="77"/>
        <v>-1</v>
      </c>
      <c r="R1034" s="3"/>
      <c r="S1034" s="1">
        <v>0</v>
      </c>
      <c r="T1034" s="24">
        <v>-1</v>
      </c>
      <c r="U1034"/>
      <c r="V1034" s="1">
        <v>0</v>
      </c>
      <c r="W1034" s="24">
        <v>-1</v>
      </c>
      <c r="X1034"/>
      <c r="Y1034" s="1">
        <v>0</v>
      </c>
      <c r="Z1034" s="24">
        <v>-1</v>
      </c>
      <c r="AA1034"/>
      <c r="AB1034" s="1">
        <v>0</v>
      </c>
      <c r="AC1034" s="24">
        <v>-1</v>
      </c>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c r="CA1034"/>
      <c r="CB1034"/>
      <c r="CC1034"/>
      <c r="CD1034"/>
      <c r="CE1034"/>
      <c r="CF1034"/>
      <c r="CG1034"/>
      <c r="CH1034"/>
      <c r="CI1034"/>
      <c r="CJ1034"/>
      <c r="CK1034"/>
      <c r="CL1034"/>
      <c r="CM1034"/>
      <c r="CN1034"/>
      <c r="CO1034"/>
      <c r="CP1034"/>
      <c r="CQ1034"/>
      <c r="CR1034"/>
      <c r="CS1034"/>
    </row>
    <row r="1035" spans="2:97">
      <c r="B1035"/>
      <c r="C1035" s="15"/>
      <c r="D1035" s="23"/>
      <c r="E1035" s="23"/>
      <c r="F1035" s="23"/>
      <c r="G1035" s="23">
        <f t="shared" si="73"/>
        <v>0</v>
      </c>
      <c r="H1035" s="23" t="e" cm="1">
        <f t="array" ref="H1035">INDEX('GLOBAL LOG'!#REF!,ROW()-169+15)</f>
        <v>#REF!</v>
      </c>
      <c r="I1035" s="23" t="e">
        <f>_xlfn.XLOOKUP(H1035,#REF!,#REF!,"",0,1)</f>
        <v>#REF!</v>
      </c>
      <c r="J1035" s="23" t="str">
        <f>IFERROR(I1035*#REF!,"")</f>
        <v/>
      </c>
      <c r="K1035" s="23" t="e" cm="1">
        <f t="array" ref="K1035">INDEX('GLOBAL LOG'!#REF!,ROW()-169+15)</f>
        <v>#REF!</v>
      </c>
      <c r="L1035" s="23" t="e">
        <f>_xlfn.XLOOKUP(K1035,#REF!,#REF!,"",0,1)</f>
        <v>#REF!</v>
      </c>
      <c r="M1035" s="23" t="str">
        <f>IFERROR(L1035*#REF!,"")</f>
        <v/>
      </c>
      <c r="N1035" s="23">
        <f t="shared" si="74"/>
        <v>-1</v>
      </c>
      <c r="O1035" s="23">
        <f t="shared" si="75"/>
        <v>-1</v>
      </c>
      <c r="P1035" s="23">
        <f t="shared" si="76"/>
        <v>-1</v>
      </c>
      <c r="Q1035" s="24">
        <f t="shared" si="77"/>
        <v>-1</v>
      </c>
      <c r="R1035" s="3"/>
      <c r="S1035" s="1">
        <v>0</v>
      </c>
      <c r="T1035" s="24">
        <v>-1</v>
      </c>
      <c r="U1035"/>
      <c r="V1035" s="1">
        <v>0</v>
      </c>
      <c r="W1035" s="24">
        <v>-1</v>
      </c>
      <c r="X1035"/>
      <c r="Y1035" s="1">
        <v>0</v>
      </c>
      <c r="Z1035" s="24">
        <v>-1</v>
      </c>
      <c r="AA1035"/>
      <c r="AB1035" s="1">
        <v>0</v>
      </c>
      <c r="AC1035" s="24">
        <v>-1</v>
      </c>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c r="CA1035"/>
      <c r="CB1035"/>
      <c r="CC1035"/>
      <c r="CD1035"/>
      <c r="CE1035"/>
      <c r="CF1035"/>
      <c r="CG1035"/>
      <c r="CH1035"/>
      <c r="CI1035"/>
      <c r="CJ1035"/>
      <c r="CK1035"/>
      <c r="CL1035"/>
      <c r="CM1035"/>
      <c r="CN1035"/>
      <c r="CO1035"/>
      <c r="CP1035"/>
      <c r="CQ1035"/>
      <c r="CR1035"/>
      <c r="CS1035"/>
    </row>
    <row r="1036" spans="2:97">
      <c r="B1036"/>
      <c r="C1036" s="15"/>
      <c r="D1036" s="23"/>
      <c r="E1036" s="23"/>
      <c r="F1036" s="23"/>
      <c r="G1036" s="23">
        <f t="shared" si="73"/>
        <v>0</v>
      </c>
      <c r="H1036" s="23" t="e" cm="1">
        <f t="array" ref="H1036">INDEX('GLOBAL LOG'!#REF!,ROW()-169+15)</f>
        <v>#REF!</v>
      </c>
      <c r="I1036" s="23" t="e">
        <f>_xlfn.XLOOKUP(H1036,#REF!,#REF!,"",0,1)</f>
        <v>#REF!</v>
      </c>
      <c r="J1036" s="23" t="str">
        <f>IFERROR(I1036*#REF!,"")</f>
        <v/>
      </c>
      <c r="K1036" s="23" t="e" cm="1">
        <f t="array" ref="K1036">INDEX('GLOBAL LOG'!#REF!,ROW()-169+15)</f>
        <v>#REF!</v>
      </c>
      <c r="L1036" s="23" t="e">
        <f>_xlfn.XLOOKUP(K1036,#REF!,#REF!,"",0,1)</f>
        <v>#REF!</v>
      </c>
      <c r="M1036" s="23" t="str">
        <f>IFERROR(L1036*#REF!,"")</f>
        <v/>
      </c>
      <c r="N1036" s="23">
        <f t="shared" si="74"/>
        <v>-1</v>
      </c>
      <c r="O1036" s="23">
        <f t="shared" si="75"/>
        <v>-1</v>
      </c>
      <c r="P1036" s="23">
        <f t="shared" si="76"/>
        <v>-1</v>
      </c>
      <c r="Q1036" s="24">
        <f t="shared" si="77"/>
        <v>-1</v>
      </c>
      <c r="R1036" s="3"/>
      <c r="S1036" s="1">
        <v>0</v>
      </c>
      <c r="T1036" s="24">
        <v>-1</v>
      </c>
      <c r="U1036"/>
      <c r="V1036" s="1">
        <v>0</v>
      </c>
      <c r="W1036" s="24">
        <v>-1</v>
      </c>
      <c r="X1036"/>
      <c r="Y1036" s="1">
        <v>0</v>
      </c>
      <c r="Z1036" s="24">
        <v>-1</v>
      </c>
      <c r="AA1036"/>
      <c r="AB1036" s="1">
        <v>0</v>
      </c>
      <c r="AC1036" s="24">
        <v>-1</v>
      </c>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c r="CA1036"/>
      <c r="CB1036"/>
      <c r="CC1036"/>
      <c r="CD1036"/>
      <c r="CE1036"/>
      <c r="CF1036"/>
      <c r="CG1036"/>
      <c r="CH1036"/>
      <c r="CI1036"/>
      <c r="CJ1036"/>
      <c r="CK1036"/>
      <c r="CL1036"/>
      <c r="CM1036"/>
      <c r="CN1036"/>
      <c r="CO1036"/>
      <c r="CP1036"/>
      <c r="CQ1036"/>
      <c r="CR1036"/>
      <c r="CS1036"/>
    </row>
    <row r="1037" spans="2:97">
      <c r="B1037"/>
      <c r="C1037" s="15"/>
      <c r="D1037" s="23"/>
      <c r="E1037" s="23"/>
      <c r="F1037" s="23"/>
      <c r="G1037" s="23">
        <f t="shared" si="73"/>
        <v>0</v>
      </c>
      <c r="H1037" s="23" t="e" cm="1">
        <f t="array" ref="H1037">INDEX('GLOBAL LOG'!#REF!,ROW()-169+15)</f>
        <v>#REF!</v>
      </c>
      <c r="I1037" s="23" t="e">
        <f>_xlfn.XLOOKUP(H1037,#REF!,#REF!,"",0,1)</f>
        <v>#REF!</v>
      </c>
      <c r="J1037" s="23" t="str">
        <f>IFERROR(I1037*#REF!,"")</f>
        <v/>
      </c>
      <c r="K1037" s="23" t="e" cm="1">
        <f t="array" ref="K1037">INDEX('GLOBAL LOG'!#REF!,ROW()-169+15)</f>
        <v>#REF!</v>
      </c>
      <c r="L1037" s="23" t="e">
        <f>_xlfn.XLOOKUP(K1037,#REF!,#REF!,"",0,1)</f>
        <v>#REF!</v>
      </c>
      <c r="M1037" s="23" t="str">
        <f>IFERROR(L1037*#REF!,"")</f>
        <v/>
      </c>
      <c r="N1037" s="23">
        <f t="shared" si="74"/>
        <v>-1</v>
      </c>
      <c r="O1037" s="23">
        <f t="shared" si="75"/>
        <v>-1</v>
      </c>
      <c r="P1037" s="23">
        <f t="shared" si="76"/>
        <v>-1</v>
      </c>
      <c r="Q1037" s="24">
        <f t="shared" si="77"/>
        <v>-1</v>
      </c>
      <c r="R1037" s="3"/>
      <c r="S1037" s="1">
        <v>0</v>
      </c>
      <c r="T1037" s="24">
        <v>-1</v>
      </c>
      <c r="U1037"/>
      <c r="V1037" s="1">
        <v>0</v>
      </c>
      <c r="W1037" s="24">
        <v>-1</v>
      </c>
      <c r="X1037"/>
      <c r="Y1037" s="1">
        <v>0</v>
      </c>
      <c r="Z1037" s="24">
        <v>-1</v>
      </c>
      <c r="AA1037"/>
      <c r="AB1037" s="1">
        <v>0</v>
      </c>
      <c r="AC1037" s="24">
        <v>-1</v>
      </c>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c r="CA1037"/>
      <c r="CB1037"/>
      <c r="CC1037"/>
      <c r="CD1037"/>
      <c r="CE1037"/>
      <c r="CF1037"/>
      <c r="CG1037"/>
      <c r="CH1037"/>
      <c r="CI1037"/>
      <c r="CJ1037"/>
      <c r="CK1037"/>
      <c r="CL1037"/>
      <c r="CM1037"/>
      <c r="CN1037"/>
      <c r="CO1037"/>
      <c r="CP1037"/>
      <c r="CQ1037"/>
      <c r="CR1037"/>
      <c r="CS1037"/>
    </row>
    <row r="1038" spans="2:97">
      <c r="B1038"/>
      <c r="C1038" s="15"/>
      <c r="D1038" s="23"/>
      <c r="E1038" s="23"/>
      <c r="F1038" s="23"/>
      <c r="G1038" s="23">
        <f t="shared" si="73"/>
        <v>0</v>
      </c>
      <c r="H1038" s="23" t="e" cm="1">
        <f t="array" ref="H1038">INDEX('GLOBAL LOG'!#REF!,ROW()-169+15)</f>
        <v>#REF!</v>
      </c>
      <c r="I1038" s="23" t="e">
        <f>_xlfn.XLOOKUP(H1038,#REF!,#REF!,"",0,1)</f>
        <v>#REF!</v>
      </c>
      <c r="J1038" s="23" t="str">
        <f>IFERROR(I1038*#REF!,"")</f>
        <v/>
      </c>
      <c r="K1038" s="23" t="e" cm="1">
        <f t="array" ref="K1038">INDEX('GLOBAL LOG'!#REF!,ROW()-169+15)</f>
        <v>#REF!</v>
      </c>
      <c r="L1038" s="23" t="e">
        <f>_xlfn.XLOOKUP(K1038,#REF!,#REF!,"",0,1)</f>
        <v>#REF!</v>
      </c>
      <c r="M1038" s="23" t="str">
        <f>IFERROR(L1038*#REF!,"")</f>
        <v/>
      </c>
      <c r="N1038" s="23">
        <f t="shared" si="74"/>
        <v>-1</v>
      </c>
      <c r="O1038" s="23">
        <f t="shared" si="75"/>
        <v>-1</v>
      </c>
      <c r="P1038" s="23">
        <f t="shared" si="76"/>
        <v>-1</v>
      </c>
      <c r="Q1038" s="24">
        <f t="shared" si="77"/>
        <v>-1</v>
      </c>
      <c r="R1038" s="3"/>
      <c r="S1038" s="1">
        <v>0</v>
      </c>
      <c r="T1038" s="24">
        <v>-1</v>
      </c>
      <c r="U1038"/>
      <c r="V1038" s="1">
        <v>0</v>
      </c>
      <c r="W1038" s="24">
        <v>-1</v>
      </c>
      <c r="X1038"/>
      <c r="Y1038" s="1">
        <v>0</v>
      </c>
      <c r="Z1038" s="24">
        <v>-1</v>
      </c>
      <c r="AA1038"/>
      <c r="AB1038" s="1">
        <v>0</v>
      </c>
      <c r="AC1038" s="24">
        <v>-1</v>
      </c>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c r="CA1038"/>
      <c r="CB1038"/>
      <c r="CC1038"/>
      <c r="CD1038"/>
      <c r="CE1038"/>
      <c r="CF1038"/>
      <c r="CG1038"/>
      <c r="CH1038"/>
      <c r="CI1038"/>
      <c r="CJ1038"/>
      <c r="CK1038"/>
      <c r="CL1038"/>
      <c r="CM1038"/>
      <c r="CN1038"/>
      <c r="CO1038"/>
      <c r="CP1038"/>
      <c r="CQ1038"/>
      <c r="CR1038"/>
      <c r="CS1038"/>
    </row>
    <row r="1039" spans="2:97">
      <c r="B1039"/>
      <c r="C1039" s="15"/>
      <c r="D1039" s="23"/>
      <c r="E1039" s="23"/>
      <c r="F1039" s="23"/>
      <c r="G1039" s="23">
        <f t="shared" si="73"/>
        <v>0</v>
      </c>
      <c r="H1039" s="23" t="e" cm="1">
        <f t="array" ref="H1039">INDEX('GLOBAL LOG'!#REF!,ROW()-169+15)</f>
        <v>#REF!</v>
      </c>
      <c r="I1039" s="23" t="e">
        <f>_xlfn.XLOOKUP(H1039,#REF!,#REF!,"",0,1)</f>
        <v>#REF!</v>
      </c>
      <c r="J1039" s="23" t="str">
        <f>IFERROR(I1039*#REF!,"")</f>
        <v/>
      </c>
      <c r="K1039" s="23" t="e" cm="1">
        <f t="array" ref="K1039">INDEX('GLOBAL LOG'!#REF!,ROW()-169+15)</f>
        <v>#REF!</v>
      </c>
      <c r="L1039" s="23" t="e">
        <f>_xlfn.XLOOKUP(K1039,#REF!,#REF!,"",0,1)</f>
        <v>#REF!</v>
      </c>
      <c r="M1039" s="23" t="str">
        <f>IFERROR(L1039*#REF!,"")</f>
        <v/>
      </c>
      <c r="N1039" s="23">
        <f t="shared" si="74"/>
        <v>-1</v>
      </c>
      <c r="O1039" s="23">
        <f t="shared" si="75"/>
        <v>-1</v>
      </c>
      <c r="P1039" s="23">
        <f t="shared" si="76"/>
        <v>-1</v>
      </c>
      <c r="Q1039" s="24">
        <f t="shared" si="77"/>
        <v>-1</v>
      </c>
      <c r="R1039" s="3"/>
      <c r="S1039" s="1">
        <v>0</v>
      </c>
      <c r="T1039" s="24">
        <v>-1</v>
      </c>
      <c r="U1039"/>
      <c r="V1039" s="1">
        <v>0</v>
      </c>
      <c r="W1039" s="24">
        <v>-1</v>
      </c>
      <c r="X1039"/>
      <c r="Y1039" s="1">
        <v>0</v>
      </c>
      <c r="Z1039" s="24">
        <v>-1</v>
      </c>
      <c r="AA1039"/>
      <c r="AB1039" s="1">
        <v>0</v>
      </c>
      <c r="AC1039" s="24">
        <v>-1</v>
      </c>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c r="CA1039"/>
      <c r="CB1039"/>
      <c r="CC1039"/>
      <c r="CD1039"/>
      <c r="CE1039"/>
      <c r="CF1039"/>
      <c r="CG1039"/>
      <c r="CH1039"/>
      <c r="CI1039"/>
      <c r="CJ1039"/>
      <c r="CK1039"/>
      <c r="CL1039"/>
      <c r="CM1039"/>
      <c r="CN1039"/>
      <c r="CO1039"/>
      <c r="CP1039"/>
      <c r="CQ1039"/>
      <c r="CR1039"/>
      <c r="CS1039"/>
    </row>
    <row r="1040" spans="2:97">
      <c r="B1040"/>
      <c r="C1040" s="15"/>
      <c r="D1040" s="23"/>
      <c r="E1040" s="23"/>
      <c r="F1040" s="23"/>
      <c r="G1040" s="23">
        <f t="shared" si="73"/>
        <v>0</v>
      </c>
      <c r="H1040" s="23" t="e" cm="1">
        <f t="array" ref="H1040">INDEX('GLOBAL LOG'!#REF!,ROW()-169+15)</f>
        <v>#REF!</v>
      </c>
      <c r="I1040" s="23" t="e">
        <f>_xlfn.XLOOKUP(H1040,#REF!,#REF!,"",0,1)</f>
        <v>#REF!</v>
      </c>
      <c r="J1040" s="23" t="str">
        <f>IFERROR(I1040*#REF!,"")</f>
        <v/>
      </c>
      <c r="K1040" s="23" t="e" cm="1">
        <f t="array" ref="K1040">INDEX('GLOBAL LOG'!#REF!,ROW()-169+15)</f>
        <v>#REF!</v>
      </c>
      <c r="L1040" s="23" t="e">
        <f>_xlfn.XLOOKUP(K1040,#REF!,#REF!,"",0,1)</f>
        <v>#REF!</v>
      </c>
      <c r="M1040" s="23" t="str">
        <f>IFERROR(L1040*#REF!,"")</f>
        <v/>
      </c>
      <c r="N1040" s="23">
        <f t="shared" si="74"/>
        <v>-1</v>
      </c>
      <c r="O1040" s="23">
        <f t="shared" si="75"/>
        <v>-1</v>
      </c>
      <c r="P1040" s="23">
        <f t="shared" si="76"/>
        <v>-1</v>
      </c>
      <c r="Q1040" s="24">
        <f t="shared" si="77"/>
        <v>-1</v>
      </c>
      <c r="R1040" s="3"/>
      <c r="S1040" s="1">
        <v>0</v>
      </c>
      <c r="T1040" s="24">
        <v>-1</v>
      </c>
      <c r="U1040"/>
      <c r="V1040" s="1">
        <v>0</v>
      </c>
      <c r="W1040" s="24">
        <v>-1</v>
      </c>
      <c r="X1040"/>
      <c r="Y1040" s="1">
        <v>0</v>
      </c>
      <c r="Z1040" s="24">
        <v>-1</v>
      </c>
      <c r="AA1040"/>
      <c r="AB1040" s="1">
        <v>0</v>
      </c>
      <c r="AC1040" s="24">
        <v>-1</v>
      </c>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c r="CA1040"/>
      <c r="CB1040"/>
      <c r="CC1040"/>
      <c r="CD1040"/>
      <c r="CE1040"/>
      <c r="CF1040"/>
      <c r="CG1040"/>
      <c r="CH1040"/>
      <c r="CI1040"/>
      <c r="CJ1040"/>
      <c r="CK1040"/>
      <c r="CL1040"/>
      <c r="CM1040"/>
      <c r="CN1040"/>
      <c r="CO1040"/>
      <c r="CP1040"/>
      <c r="CQ1040"/>
      <c r="CR1040"/>
      <c r="CS1040"/>
    </row>
    <row r="1041" spans="2:97">
      <c r="B1041"/>
      <c r="C1041" s="15"/>
      <c r="D1041" s="23"/>
      <c r="E1041" s="23"/>
      <c r="F1041" s="23"/>
      <c r="G1041" s="23">
        <f t="shared" si="73"/>
        <v>0</v>
      </c>
      <c r="H1041" s="23" t="e" cm="1">
        <f t="array" ref="H1041">INDEX('GLOBAL LOG'!#REF!,ROW()-169+15)</f>
        <v>#REF!</v>
      </c>
      <c r="I1041" s="23" t="e">
        <f>_xlfn.XLOOKUP(H1041,#REF!,#REF!,"",0,1)</f>
        <v>#REF!</v>
      </c>
      <c r="J1041" s="23" t="str">
        <f>IFERROR(I1041*#REF!,"")</f>
        <v/>
      </c>
      <c r="K1041" s="23" t="e" cm="1">
        <f t="array" ref="K1041">INDEX('GLOBAL LOG'!#REF!,ROW()-169+15)</f>
        <v>#REF!</v>
      </c>
      <c r="L1041" s="23" t="e">
        <f>_xlfn.XLOOKUP(K1041,#REF!,#REF!,"",0,1)</f>
        <v>#REF!</v>
      </c>
      <c r="M1041" s="23" t="str">
        <f>IFERROR(L1041*#REF!,"")</f>
        <v/>
      </c>
      <c r="N1041" s="23">
        <f t="shared" si="74"/>
        <v>-1</v>
      </c>
      <c r="O1041" s="23">
        <f t="shared" si="75"/>
        <v>-1</v>
      </c>
      <c r="P1041" s="23">
        <f t="shared" si="76"/>
        <v>-1</v>
      </c>
      <c r="Q1041" s="24">
        <f t="shared" si="77"/>
        <v>-1</v>
      </c>
      <c r="R1041" s="3"/>
      <c r="S1041" s="1">
        <v>0</v>
      </c>
      <c r="T1041" s="24">
        <v>-1</v>
      </c>
      <c r="U1041"/>
      <c r="V1041" s="1">
        <v>0</v>
      </c>
      <c r="W1041" s="24">
        <v>-1</v>
      </c>
      <c r="X1041"/>
      <c r="Y1041" s="1">
        <v>0</v>
      </c>
      <c r="Z1041" s="24">
        <v>-1</v>
      </c>
      <c r="AA1041"/>
      <c r="AB1041" s="1">
        <v>0</v>
      </c>
      <c r="AC1041" s="24">
        <v>-1</v>
      </c>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c r="CA1041"/>
      <c r="CB1041"/>
      <c r="CC1041"/>
      <c r="CD1041"/>
      <c r="CE1041"/>
      <c r="CF1041"/>
      <c r="CG1041"/>
      <c r="CH1041"/>
      <c r="CI1041"/>
      <c r="CJ1041"/>
      <c r="CK1041"/>
      <c r="CL1041"/>
      <c r="CM1041"/>
      <c r="CN1041"/>
      <c r="CO1041"/>
      <c r="CP1041"/>
      <c r="CQ1041"/>
      <c r="CR1041"/>
      <c r="CS1041"/>
    </row>
    <row r="1042" spans="2:97">
      <c r="B1042"/>
      <c r="C1042" s="15"/>
      <c r="D1042" s="23"/>
      <c r="E1042" s="23"/>
      <c r="F1042" s="23"/>
      <c r="G1042" s="23">
        <f t="shared" si="73"/>
        <v>0</v>
      </c>
      <c r="H1042" s="23" t="e" cm="1">
        <f t="array" ref="H1042">INDEX('GLOBAL LOG'!#REF!,ROW()-169+15)</f>
        <v>#REF!</v>
      </c>
      <c r="I1042" s="23" t="e">
        <f>_xlfn.XLOOKUP(H1042,#REF!,#REF!,"",0,1)</f>
        <v>#REF!</v>
      </c>
      <c r="J1042" s="23" t="str">
        <f>IFERROR(I1042*#REF!,"")</f>
        <v/>
      </c>
      <c r="K1042" s="23" t="e" cm="1">
        <f t="array" ref="K1042">INDEX('GLOBAL LOG'!#REF!,ROW()-169+15)</f>
        <v>#REF!</v>
      </c>
      <c r="L1042" s="23" t="e">
        <f>_xlfn.XLOOKUP(K1042,#REF!,#REF!,"",0,1)</f>
        <v>#REF!</v>
      </c>
      <c r="M1042" s="23" t="str">
        <f>IFERROR(L1042*#REF!,"")</f>
        <v/>
      </c>
      <c r="N1042" s="23">
        <f t="shared" si="74"/>
        <v>-1</v>
      </c>
      <c r="O1042" s="23">
        <f t="shared" si="75"/>
        <v>-1</v>
      </c>
      <c r="P1042" s="23">
        <f t="shared" si="76"/>
        <v>-1</v>
      </c>
      <c r="Q1042" s="24">
        <f t="shared" si="77"/>
        <v>-1</v>
      </c>
      <c r="R1042" s="3"/>
      <c r="S1042" s="1">
        <v>0</v>
      </c>
      <c r="T1042" s="24">
        <v>-1</v>
      </c>
      <c r="U1042"/>
      <c r="V1042" s="1">
        <v>0</v>
      </c>
      <c r="W1042" s="24">
        <v>-1</v>
      </c>
      <c r="X1042"/>
      <c r="Y1042" s="1">
        <v>0</v>
      </c>
      <c r="Z1042" s="24">
        <v>-1</v>
      </c>
      <c r="AA1042"/>
      <c r="AB1042" s="1">
        <v>0</v>
      </c>
      <c r="AC1042" s="24">
        <v>-1</v>
      </c>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c r="CA1042"/>
      <c r="CB1042"/>
      <c r="CC1042"/>
      <c r="CD1042"/>
      <c r="CE1042"/>
      <c r="CF1042"/>
      <c r="CG1042"/>
      <c r="CH1042"/>
      <c r="CI1042"/>
      <c r="CJ1042"/>
      <c r="CK1042"/>
      <c r="CL1042"/>
      <c r="CM1042"/>
      <c r="CN1042"/>
      <c r="CO1042"/>
      <c r="CP1042"/>
      <c r="CQ1042"/>
      <c r="CR1042"/>
      <c r="CS1042"/>
    </row>
    <row r="1043" spans="2:97">
      <c r="B1043"/>
      <c r="C1043" s="15"/>
      <c r="D1043" s="23"/>
      <c r="E1043" s="23"/>
      <c r="F1043" s="23"/>
      <c r="G1043" s="23">
        <f t="shared" si="73"/>
        <v>0</v>
      </c>
      <c r="H1043" s="23" t="e" cm="1">
        <f t="array" ref="H1043">INDEX('GLOBAL LOG'!#REF!,ROW()-169+15)</f>
        <v>#REF!</v>
      </c>
      <c r="I1043" s="23" t="e">
        <f>_xlfn.XLOOKUP(H1043,#REF!,#REF!,"",0,1)</f>
        <v>#REF!</v>
      </c>
      <c r="J1043" s="23" t="str">
        <f>IFERROR(I1043*#REF!,"")</f>
        <v/>
      </c>
      <c r="K1043" s="23" t="e" cm="1">
        <f t="array" ref="K1043">INDEX('GLOBAL LOG'!#REF!,ROW()-169+15)</f>
        <v>#REF!</v>
      </c>
      <c r="L1043" s="23" t="e">
        <f>_xlfn.XLOOKUP(K1043,#REF!,#REF!,"",0,1)</f>
        <v>#REF!</v>
      </c>
      <c r="M1043" s="23" t="str">
        <f>IFERROR(L1043*#REF!,"")</f>
        <v/>
      </c>
      <c r="N1043" s="23">
        <f t="shared" si="74"/>
        <v>-1</v>
      </c>
      <c r="O1043" s="23">
        <f t="shared" si="75"/>
        <v>-1</v>
      </c>
      <c r="P1043" s="23">
        <f t="shared" si="76"/>
        <v>-1</v>
      </c>
      <c r="Q1043" s="24">
        <f t="shared" si="77"/>
        <v>-1</v>
      </c>
      <c r="R1043" s="3"/>
      <c r="S1043" s="1">
        <v>0</v>
      </c>
      <c r="T1043" s="24">
        <v>-1</v>
      </c>
      <c r="U1043"/>
      <c r="V1043" s="1">
        <v>0</v>
      </c>
      <c r="W1043" s="24">
        <v>-1</v>
      </c>
      <c r="X1043"/>
      <c r="Y1043" s="1">
        <v>0</v>
      </c>
      <c r="Z1043" s="24">
        <v>-1</v>
      </c>
      <c r="AA1043"/>
      <c r="AB1043" s="1">
        <v>0</v>
      </c>
      <c r="AC1043" s="24">
        <v>-1</v>
      </c>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c r="CA1043"/>
      <c r="CB1043"/>
      <c r="CC1043"/>
      <c r="CD1043"/>
      <c r="CE1043"/>
      <c r="CF1043"/>
      <c r="CG1043"/>
      <c r="CH1043"/>
      <c r="CI1043"/>
      <c r="CJ1043"/>
      <c r="CK1043"/>
      <c r="CL1043"/>
      <c r="CM1043"/>
      <c r="CN1043"/>
      <c r="CO1043"/>
      <c r="CP1043"/>
      <c r="CQ1043"/>
      <c r="CR1043"/>
      <c r="CS1043"/>
    </row>
    <row r="1044" spans="2:97">
      <c r="B1044"/>
      <c r="C1044" s="15"/>
      <c r="D1044" s="23"/>
      <c r="E1044" s="23"/>
      <c r="F1044" s="23"/>
      <c r="G1044" s="23">
        <f t="shared" si="73"/>
        <v>0</v>
      </c>
      <c r="H1044" s="23" t="e" cm="1">
        <f t="array" ref="H1044">INDEX('GLOBAL LOG'!#REF!,ROW()-169+15)</f>
        <v>#REF!</v>
      </c>
      <c r="I1044" s="23" t="e">
        <f>_xlfn.XLOOKUP(H1044,#REF!,#REF!,"",0,1)</f>
        <v>#REF!</v>
      </c>
      <c r="J1044" s="23" t="str">
        <f>IFERROR(I1044*#REF!,"")</f>
        <v/>
      </c>
      <c r="K1044" s="23" t="e" cm="1">
        <f t="array" ref="K1044">INDEX('GLOBAL LOG'!#REF!,ROW()-169+15)</f>
        <v>#REF!</v>
      </c>
      <c r="L1044" s="23" t="e">
        <f>_xlfn.XLOOKUP(K1044,#REF!,#REF!,"",0,1)</f>
        <v>#REF!</v>
      </c>
      <c r="M1044" s="23" t="str">
        <f>IFERROR(L1044*#REF!,"")</f>
        <v/>
      </c>
      <c r="N1044" s="23">
        <f t="shared" si="74"/>
        <v>-1</v>
      </c>
      <c r="O1044" s="23">
        <f t="shared" si="75"/>
        <v>-1</v>
      </c>
      <c r="P1044" s="23">
        <f t="shared" si="76"/>
        <v>-1</v>
      </c>
      <c r="Q1044" s="24">
        <f t="shared" si="77"/>
        <v>-1</v>
      </c>
      <c r="R1044" s="3"/>
      <c r="S1044" s="1">
        <v>0</v>
      </c>
      <c r="T1044" s="24">
        <v>-1</v>
      </c>
      <c r="U1044"/>
      <c r="V1044" s="1">
        <v>0</v>
      </c>
      <c r="W1044" s="24">
        <v>-1</v>
      </c>
      <c r="X1044"/>
      <c r="Y1044" s="1">
        <v>0</v>
      </c>
      <c r="Z1044" s="24">
        <v>-1</v>
      </c>
      <c r="AA1044"/>
      <c r="AB1044" s="1">
        <v>0</v>
      </c>
      <c r="AC1044" s="24">
        <v>-1</v>
      </c>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c r="CA1044"/>
      <c r="CB1044"/>
      <c r="CC1044"/>
      <c r="CD1044"/>
      <c r="CE1044"/>
      <c r="CF1044"/>
      <c r="CG1044"/>
      <c r="CH1044"/>
      <c r="CI1044"/>
      <c r="CJ1044"/>
      <c r="CK1044"/>
      <c r="CL1044"/>
      <c r="CM1044"/>
      <c r="CN1044"/>
      <c r="CO1044"/>
      <c r="CP1044"/>
      <c r="CQ1044"/>
      <c r="CR1044"/>
      <c r="CS1044"/>
    </row>
    <row r="1045" spans="2:97">
      <c r="B1045"/>
      <c r="C1045" s="15"/>
      <c r="D1045" s="23"/>
      <c r="E1045" s="23"/>
      <c r="F1045" s="23"/>
      <c r="G1045" s="23">
        <f t="shared" si="73"/>
        <v>0</v>
      </c>
      <c r="H1045" s="23" t="e" cm="1">
        <f t="array" ref="H1045">INDEX('GLOBAL LOG'!#REF!,ROW()-169+15)</f>
        <v>#REF!</v>
      </c>
      <c r="I1045" s="23" t="e">
        <f>_xlfn.XLOOKUP(H1045,#REF!,#REF!,"",0,1)</f>
        <v>#REF!</v>
      </c>
      <c r="J1045" s="23" t="str">
        <f>IFERROR(I1045*#REF!,"")</f>
        <v/>
      </c>
      <c r="K1045" s="23" t="e" cm="1">
        <f t="array" ref="K1045">INDEX('GLOBAL LOG'!#REF!,ROW()-169+15)</f>
        <v>#REF!</v>
      </c>
      <c r="L1045" s="23" t="e">
        <f>_xlfn.XLOOKUP(K1045,#REF!,#REF!,"",0,1)</f>
        <v>#REF!</v>
      </c>
      <c r="M1045" s="23" t="str">
        <f>IFERROR(L1045*#REF!,"")</f>
        <v/>
      </c>
      <c r="N1045" s="23">
        <f t="shared" si="74"/>
        <v>-1</v>
      </c>
      <c r="O1045" s="23">
        <f t="shared" si="75"/>
        <v>-1</v>
      </c>
      <c r="P1045" s="23">
        <f t="shared" si="76"/>
        <v>-1</v>
      </c>
      <c r="Q1045" s="24">
        <f t="shared" si="77"/>
        <v>-1</v>
      </c>
      <c r="R1045" s="3"/>
      <c r="S1045" s="1">
        <v>0</v>
      </c>
      <c r="T1045" s="24">
        <v>-1</v>
      </c>
      <c r="U1045"/>
      <c r="V1045" s="1">
        <v>0</v>
      </c>
      <c r="W1045" s="24">
        <v>-1</v>
      </c>
      <c r="X1045"/>
      <c r="Y1045" s="1">
        <v>0</v>
      </c>
      <c r="Z1045" s="24">
        <v>-1</v>
      </c>
      <c r="AA1045"/>
      <c r="AB1045" s="1">
        <v>0</v>
      </c>
      <c r="AC1045" s="24">
        <v>-1</v>
      </c>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c r="CA1045"/>
      <c r="CB1045"/>
      <c r="CC1045"/>
      <c r="CD1045"/>
      <c r="CE1045"/>
      <c r="CF1045"/>
      <c r="CG1045"/>
      <c r="CH1045"/>
      <c r="CI1045"/>
      <c r="CJ1045"/>
      <c r="CK1045"/>
      <c r="CL1045"/>
      <c r="CM1045"/>
      <c r="CN1045"/>
      <c r="CO1045"/>
      <c r="CP1045"/>
      <c r="CQ1045"/>
      <c r="CR1045"/>
      <c r="CS1045"/>
    </row>
    <row r="1046" spans="2:97">
      <c r="B1046"/>
      <c r="C1046" s="15"/>
      <c r="D1046" s="23"/>
      <c r="E1046" s="23"/>
      <c r="F1046" s="23"/>
      <c r="G1046" s="23">
        <f t="shared" si="73"/>
        <v>0</v>
      </c>
      <c r="H1046" s="23" t="e" cm="1">
        <f t="array" ref="H1046">INDEX('GLOBAL LOG'!#REF!,ROW()-169+15)</f>
        <v>#REF!</v>
      </c>
      <c r="I1046" s="23" t="e">
        <f>_xlfn.XLOOKUP(H1046,#REF!,#REF!,"",0,1)</f>
        <v>#REF!</v>
      </c>
      <c r="J1046" s="23" t="str">
        <f>IFERROR(I1046*#REF!,"")</f>
        <v/>
      </c>
      <c r="K1046" s="23" t="e" cm="1">
        <f t="array" ref="K1046">INDEX('GLOBAL LOG'!#REF!,ROW()-169+15)</f>
        <v>#REF!</v>
      </c>
      <c r="L1046" s="23" t="e">
        <f>_xlfn.XLOOKUP(K1046,#REF!,#REF!,"",0,1)</f>
        <v>#REF!</v>
      </c>
      <c r="M1046" s="23" t="str">
        <f>IFERROR(L1046*#REF!,"")</f>
        <v/>
      </c>
      <c r="N1046" s="23">
        <f t="shared" si="74"/>
        <v>-1</v>
      </c>
      <c r="O1046" s="23">
        <f t="shared" si="75"/>
        <v>-1</v>
      </c>
      <c r="P1046" s="23">
        <f t="shared" si="76"/>
        <v>-1</v>
      </c>
      <c r="Q1046" s="24">
        <f t="shared" si="77"/>
        <v>-1</v>
      </c>
      <c r="R1046" s="3"/>
      <c r="S1046" s="1">
        <v>0</v>
      </c>
      <c r="T1046" s="24">
        <v>-1</v>
      </c>
      <c r="U1046"/>
      <c r="V1046" s="1">
        <v>0</v>
      </c>
      <c r="W1046" s="24">
        <v>-1</v>
      </c>
      <c r="X1046"/>
      <c r="Y1046" s="1">
        <v>0</v>
      </c>
      <c r="Z1046" s="24">
        <v>-1</v>
      </c>
      <c r="AA1046"/>
      <c r="AB1046" s="1">
        <v>0</v>
      </c>
      <c r="AC1046" s="24">
        <v>-1</v>
      </c>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c r="CA1046"/>
      <c r="CB1046"/>
      <c r="CC1046"/>
      <c r="CD1046"/>
      <c r="CE1046"/>
      <c r="CF1046"/>
      <c r="CG1046"/>
      <c r="CH1046"/>
      <c r="CI1046"/>
      <c r="CJ1046"/>
      <c r="CK1046"/>
      <c r="CL1046"/>
      <c r="CM1046"/>
      <c r="CN1046"/>
      <c r="CO1046"/>
      <c r="CP1046"/>
      <c r="CQ1046"/>
      <c r="CR1046"/>
      <c r="CS1046"/>
    </row>
    <row r="1047" spans="2:97">
      <c r="B1047"/>
      <c r="C1047" s="15"/>
      <c r="D1047" s="23"/>
      <c r="E1047" s="23"/>
      <c r="F1047" s="23"/>
      <c r="G1047" s="23">
        <f t="shared" si="73"/>
        <v>0</v>
      </c>
      <c r="H1047" s="23" t="e" cm="1">
        <f t="array" ref="H1047">INDEX('GLOBAL LOG'!#REF!,ROW()-169+15)</f>
        <v>#REF!</v>
      </c>
      <c r="I1047" s="23" t="e">
        <f>_xlfn.XLOOKUP(H1047,#REF!,#REF!,"",0,1)</f>
        <v>#REF!</v>
      </c>
      <c r="J1047" s="23" t="str">
        <f>IFERROR(I1047*#REF!,"")</f>
        <v/>
      </c>
      <c r="K1047" s="23" t="e" cm="1">
        <f t="array" ref="K1047">INDEX('GLOBAL LOG'!#REF!,ROW()-169+15)</f>
        <v>#REF!</v>
      </c>
      <c r="L1047" s="23" t="e">
        <f>_xlfn.XLOOKUP(K1047,#REF!,#REF!,"",0,1)</f>
        <v>#REF!</v>
      </c>
      <c r="M1047" s="23" t="str">
        <f>IFERROR(L1047*#REF!,"")</f>
        <v/>
      </c>
      <c r="N1047" s="23">
        <f t="shared" si="74"/>
        <v>-1</v>
      </c>
      <c r="O1047" s="23">
        <f t="shared" si="75"/>
        <v>-1</v>
      </c>
      <c r="P1047" s="23">
        <f t="shared" si="76"/>
        <v>-1</v>
      </c>
      <c r="Q1047" s="24">
        <f t="shared" si="77"/>
        <v>-1</v>
      </c>
      <c r="R1047" s="3"/>
      <c r="S1047" s="1">
        <v>0</v>
      </c>
      <c r="T1047" s="24">
        <v>-1</v>
      </c>
      <c r="U1047"/>
      <c r="V1047" s="1">
        <v>0</v>
      </c>
      <c r="W1047" s="24">
        <v>-1</v>
      </c>
      <c r="X1047"/>
      <c r="Y1047" s="1">
        <v>0</v>
      </c>
      <c r="Z1047" s="24">
        <v>-1</v>
      </c>
      <c r="AA1047"/>
      <c r="AB1047" s="1">
        <v>0</v>
      </c>
      <c r="AC1047" s="24">
        <v>-1</v>
      </c>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c r="CA1047"/>
      <c r="CB1047"/>
      <c r="CC1047"/>
      <c r="CD1047"/>
      <c r="CE1047"/>
      <c r="CF1047"/>
      <c r="CG1047"/>
      <c r="CH1047"/>
      <c r="CI1047"/>
      <c r="CJ1047"/>
      <c r="CK1047"/>
      <c r="CL1047"/>
      <c r="CM1047"/>
      <c r="CN1047"/>
      <c r="CO1047"/>
      <c r="CP1047"/>
      <c r="CQ1047"/>
      <c r="CR1047"/>
      <c r="CS1047"/>
    </row>
    <row r="1048" spans="2:97">
      <c r="B1048"/>
      <c r="C1048" s="15"/>
      <c r="D1048" s="23"/>
      <c r="E1048" s="23"/>
      <c r="F1048" s="23"/>
      <c r="G1048" s="23">
        <f t="shared" si="73"/>
        <v>0</v>
      </c>
      <c r="H1048" s="23" t="e" cm="1">
        <f t="array" ref="H1048">INDEX('GLOBAL LOG'!#REF!,ROW()-169+15)</f>
        <v>#REF!</v>
      </c>
      <c r="I1048" s="23" t="e">
        <f>_xlfn.XLOOKUP(H1048,#REF!,#REF!,"",0,1)</f>
        <v>#REF!</v>
      </c>
      <c r="J1048" s="23" t="str">
        <f>IFERROR(I1048*#REF!,"")</f>
        <v/>
      </c>
      <c r="K1048" s="23" t="e" cm="1">
        <f t="array" ref="K1048">INDEX('GLOBAL LOG'!#REF!,ROW()-169+15)</f>
        <v>#REF!</v>
      </c>
      <c r="L1048" s="23" t="e">
        <f>_xlfn.XLOOKUP(K1048,#REF!,#REF!,"",0,1)</f>
        <v>#REF!</v>
      </c>
      <c r="M1048" s="23" t="str">
        <f>IFERROR(L1048*#REF!,"")</f>
        <v/>
      </c>
      <c r="N1048" s="23">
        <f t="shared" si="74"/>
        <v>-1</v>
      </c>
      <c r="O1048" s="23">
        <f t="shared" si="75"/>
        <v>-1</v>
      </c>
      <c r="P1048" s="23">
        <f t="shared" si="76"/>
        <v>-1</v>
      </c>
      <c r="Q1048" s="24">
        <f t="shared" si="77"/>
        <v>-1</v>
      </c>
      <c r="R1048" s="3"/>
      <c r="S1048" s="1">
        <v>0</v>
      </c>
      <c r="T1048" s="24">
        <v>-1</v>
      </c>
      <c r="U1048"/>
      <c r="V1048" s="1">
        <v>0</v>
      </c>
      <c r="W1048" s="24">
        <v>-1</v>
      </c>
      <c r="X1048"/>
      <c r="Y1048" s="1">
        <v>0</v>
      </c>
      <c r="Z1048" s="24">
        <v>-1</v>
      </c>
      <c r="AA1048"/>
      <c r="AB1048" s="1">
        <v>0</v>
      </c>
      <c r="AC1048" s="24">
        <v>-1</v>
      </c>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c r="CA1048"/>
      <c r="CB1048"/>
      <c r="CC1048"/>
      <c r="CD1048"/>
      <c r="CE1048"/>
      <c r="CF1048"/>
      <c r="CG1048"/>
      <c r="CH1048"/>
      <c r="CI1048"/>
      <c r="CJ1048"/>
      <c r="CK1048"/>
      <c r="CL1048"/>
      <c r="CM1048"/>
      <c r="CN1048"/>
      <c r="CO1048"/>
      <c r="CP1048"/>
      <c r="CQ1048"/>
      <c r="CR1048"/>
      <c r="CS1048"/>
    </row>
    <row r="1049" spans="2:97">
      <c r="B1049"/>
      <c r="C1049" s="15"/>
      <c r="D1049" s="23"/>
      <c r="E1049" s="23"/>
      <c r="F1049" s="23"/>
      <c r="G1049" s="23">
        <f t="shared" si="73"/>
        <v>0</v>
      </c>
      <c r="H1049" s="23" t="e" cm="1">
        <f t="array" ref="H1049">INDEX('GLOBAL LOG'!#REF!,ROW()-169+15)</f>
        <v>#REF!</v>
      </c>
      <c r="I1049" s="23" t="e">
        <f>_xlfn.XLOOKUP(H1049,#REF!,#REF!,"",0,1)</f>
        <v>#REF!</v>
      </c>
      <c r="J1049" s="23" t="str">
        <f>IFERROR(I1049*#REF!,"")</f>
        <v/>
      </c>
      <c r="K1049" s="23" t="e" cm="1">
        <f t="array" ref="K1049">INDEX('GLOBAL LOG'!#REF!,ROW()-169+15)</f>
        <v>#REF!</v>
      </c>
      <c r="L1049" s="23" t="e">
        <f>_xlfn.XLOOKUP(K1049,#REF!,#REF!,"",0,1)</f>
        <v>#REF!</v>
      </c>
      <c r="M1049" s="23" t="str">
        <f>IFERROR(L1049*#REF!,"")</f>
        <v/>
      </c>
      <c r="N1049" s="23">
        <f t="shared" si="74"/>
        <v>-1</v>
      </c>
      <c r="O1049" s="23">
        <f t="shared" si="75"/>
        <v>-1</v>
      </c>
      <c r="P1049" s="23">
        <f t="shared" si="76"/>
        <v>-1</v>
      </c>
      <c r="Q1049" s="24">
        <f t="shared" si="77"/>
        <v>-1</v>
      </c>
      <c r="R1049" s="3"/>
      <c r="S1049" s="1">
        <v>0</v>
      </c>
      <c r="T1049" s="24">
        <v>-1</v>
      </c>
      <c r="U1049"/>
      <c r="V1049" s="1">
        <v>0</v>
      </c>
      <c r="W1049" s="24">
        <v>-1</v>
      </c>
      <c r="X1049"/>
      <c r="Y1049" s="1">
        <v>0</v>
      </c>
      <c r="Z1049" s="24">
        <v>-1</v>
      </c>
      <c r="AA1049"/>
      <c r="AB1049" s="1">
        <v>0</v>
      </c>
      <c r="AC1049" s="24">
        <v>-1</v>
      </c>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c r="CA1049"/>
      <c r="CB1049"/>
      <c r="CC1049"/>
      <c r="CD1049"/>
      <c r="CE1049"/>
      <c r="CF1049"/>
      <c r="CG1049"/>
      <c r="CH1049"/>
      <c r="CI1049"/>
      <c r="CJ1049"/>
      <c r="CK1049"/>
      <c r="CL1049"/>
      <c r="CM1049"/>
      <c r="CN1049"/>
      <c r="CO1049"/>
      <c r="CP1049"/>
      <c r="CQ1049"/>
      <c r="CR1049"/>
      <c r="CS1049"/>
    </row>
    <row r="1050" spans="2:97">
      <c r="B1050"/>
      <c r="C1050" s="15"/>
      <c r="D1050" s="23"/>
      <c r="E1050" s="23"/>
      <c r="F1050" s="23"/>
      <c r="G1050" s="23">
        <f t="shared" si="73"/>
        <v>0</v>
      </c>
      <c r="H1050" s="23" t="e" cm="1">
        <f t="array" ref="H1050">INDEX('GLOBAL LOG'!#REF!,ROW()-169+15)</f>
        <v>#REF!</v>
      </c>
      <c r="I1050" s="23" t="e">
        <f>_xlfn.XLOOKUP(H1050,#REF!,#REF!,"",0,1)</f>
        <v>#REF!</v>
      </c>
      <c r="J1050" s="23" t="str">
        <f>IFERROR(I1050*#REF!,"")</f>
        <v/>
      </c>
      <c r="K1050" s="23" t="e" cm="1">
        <f t="array" ref="K1050">INDEX('GLOBAL LOG'!#REF!,ROW()-169+15)</f>
        <v>#REF!</v>
      </c>
      <c r="L1050" s="23" t="e">
        <f>_xlfn.XLOOKUP(K1050,#REF!,#REF!,"",0,1)</f>
        <v>#REF!</v>
      </c>
      <c r="M1050" s="23" t="str">
        <f>IFERROR(L1050*#REF!,"")</f>
        <v/>
      </c>
      <c r="N1050" s="23">
        <f t="shared" si="74"/>
        <v>-1</v>
      </c>
      <c r="O1050" s="23">
        <f t="shared" si="75"/>
        <v>-1</v>
      </c>
      <c r="P1050" s="23">
        <f t="shared" si="76"/>
        <v>-1</v>
      </c>
      <c r="Q1050" s="24">
        <f t="shared" si="77"/>
        <v>-1</v>
      </c>
      <c r="R1050" s="3"/>
      <c r="S1050" s="1">
        <v>0</v>
      </c>
      <c r="T1050" s="24">
        <v>-1</v>
      </c>
      <c r="U1050"/>
      <c r="V1050" s="1">
        <v>0</v>
      </c>
      <c r="W1050" s="24">
        <v>-1</v>
      </c>
      <c r="X1050"/>
      <c r="Y1050" s="1">
        <v>0</v>
      </c>
      <c r="Z1050" s="24">
        <v>-1</v>
      </c>
      <c r="AA1050"/>
      <c r="AB1050" s="1">
        <v>0</v>
      </c>
      <c r="AC1050" s="24">
        <v>-1</v>
      </c>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c r="CA1050"/>
      <c r="CB1050"/>
      <c r="CC1050"/>
      <c r="CD1050"/>
      <c r="CE1050"/>
      <c r="CF1050"/>
      <c r="CG1050"/>
      <c r="CH1050"/>
      <c r="CI1050"/>
      <c r="CJ1050"/>
      <c r="CK1050"/>
      <c r="CL1050"/>
      <c r="CM1050"/>
      <c r="CN1050"/>
      <c r="CO1050"/>
      <c r="CP1050"/>
      <c r="CQ1050"/>
      <c r="CR1050"/>
      <c r="CS1050"/>
    </row>
    <row r="1051" spans="2:97">
      <c r="B1051"/>
      <c r="C1051" s="15"/>
      <c r="D1051" s="23"/>
      <c r="E1051" s="23"/>
      <c r="F1051" s="23"/>
      <c r="G1051" s="23">
        <f t="shared" si="73"/>
        <v>0</v>
      </c>
      <c r="H1051" s="23" t="e" cm="1">
        <f t="array" ref="H1051">INDEX('GLOBAL LOG'!#REF!,ROW()-169+15)</f>
        <v>#REF!</v>
      </c>
      <c r="I1051" s="23" t="e">
        <f>_xlfn.XLOOKUP(H1051,#REF!,#REF!,"",0,1)</f>
        <v>#REF!</v>
      </c>
      <c r="J1051" s="23" t="str">
        <f>IFERROR(I1051*#REF!,"")</f>
        <v/>
      </c>
      <c r="K1051" s="23" t="e" cm="1">
        <f t="array" ref="K1051">INDEX('GLOBAL LOG'!#REF!,ROW()-169+15)</f>
        <v>#REF!</v>
      </c>
      <c r="L1051" s="23" t="e">
        <f>_xlfn.XLOOKUP(K1051,#REF!,#REF!,"",0,1)</f>
        <v>#REF!</v>
      </c>
      <c r="M1051" s="23" t="str">
        <f>IFERROR(L1051*#REF!,"")</f>
        <v/>
      </c>
      <c r="N1051" s="23">
        <f t="shared" si="74"/>
        <v>-1</v>
      </c>
      <c r="O1051" s="23">
        <f t="shared" si="75"/>
        <v>-1</v>
      </c>
      <c r="P1051" s="23">
        <f t="shared" si="76"/>
        <v>-1</v>
      </c>
      <c r="Q1051" s="24">
        <f t="shared" si="77"/>
        <v>-1</v>
      </c>
      <c r="R1051" s="3"/>
      <c r="S1051" s="1">
        <v>0</v>
      </c>
      <c r="T1051" s="24">
        <v>-1</v>
      </c>
      <c r="U1051"/>
      <c r="V1051" s="1">
        <v>0</v>
      </c>
      <c r="W1051" s="24">
        <v>-1</v>
      </c>
      <c r="X1051"/>
      <c r="Y1051" s="1">
        <v>0</v>
      </c>
      <c r="Z1051" s="24">
        <v>-1</v>
      </c>
      <c r="AA1051"/>
      <c r="AB1051" s="1">
        <v>0</v>
      </c>
      <c r="AC1051" s="24">
        <v>-1</v>
      </c>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c r="CA1051"/>
      <c r="CB1051"/>
      <c r="CC1051"/>
      <c r="CD1051"/>
      <c r="CE1051"/>
      <c r="CF1051"/>
      <c r="CG1051"/>
      <c r="CH1051"/>
      <c r="CI1051"/>
      <c r="CJ1051"/>
      <c r="CK1051"/>
      <c r="CL1051"/>
      <c r="CM1051"/>
      <c r="CN1051"/>
      <c r="CO1051"/>
      <c r="CP1051"/>
      <c r="CQ1051"/>
      <c r="CR1051"/>
      <c r="CS1051"/>
    </row>
    <row r="1052" spans="2:97">
      <c r="B1052"/>
      <c r="C1052" s="15"/>
      <c r="D1052" s="23"/>
      <c r="E1052" s="23"/>
      <c r="F1052" s="23"/>
      <c r="G1052" s="23">
        <f t="shared" si="73"/>
        <v>0</v>
      </c>
      <c r="H1052" s="23" t="e" cm="1">
        <f t="array" ref="H1052">INDEX('GLOBAL LOG'!#REF!,ROW()-169+15)</f>
        <v>#REF!</v>
      </c>
      <c r="I1052" s="23" t="e">
        <f>_xlfn.XLOOKUP(H1052,#REF!,#REF!,"",0,1)</f>
        <v>#REF!</v>
      </c>
      <c r="J1052" s="23" t="str">
        <f>IFERROR(I1052*#REF!,"")</f>
        <v/>
      </c>
      <c r="K1052" s="23" t="e" cm="1">
        <f t="array" ref="K1052">INDEX('GLOBAL LOG'!#REF!,ROW()-169+15)</f>
        <v>#REF!</v>
      </c>
      <c r="L1052" s="23" t="e">
        <f>_xlfn.XLOOKUP(K1052,#REF!,#REF!,"",0,1)</f>
        <v>#REF!</v>
      </c>
      <c r="M1052" s="23" t="str">
        <f>IFERROR(L1052*#REF!,"")</f>
        <v/>
      </c>
      <c r="N1052" s="23">
        <f t="shared" si="74"/>
        <v>-1</v>
      </c>
      <c r="O1052" s="23">
        <f t="shared" si="75"/>
        <v>-1</v>
      </c>
      <c r="P1052" s="23">
        <f t="shared" si="76"/>
        <v>-1</v>
      </c>
      <c r="Q1052" s="24">
        <f t="shared" si="77"/>
        <v>-1</v>
      </c>
      <c r="R1052" s="3"/>
      <c r="S1052" s="1">
        <v>0</v>
      </c>
      <c r="T1052" s="24">
        <v>-1</v>
      </c>
      <c r="U1052"/>
      <c r="V1052" s="1">
        <v>0</v>
      </c>
      <c r="W1052" s="24">
        <v>-1</v>
      </c>
      <c r="X1052"/>
      <c r="Y1052" s="1">
        <v>0</v>
      </c>
      <c r="Z1052" s="24">
        <v>-1</v>
      </c>
      <c r="AA1052"/>
      <c r="AB1052" s="1">
        <v>0</v>
      </c>
      <c r="AC1052" s="24">
        <v>-1</v>
      </c>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c r="CA1052"/>
      <c r="CB1052"/>
      <c r="CC1052"/>
      <c r="CD1052"/>
      <c r="CE1052"/>
      <c r="CF1052"/>
      <c r="CG1052"/>
      <c r="CH1052"/>
      <c r="CI1052"/>
      <c r="CJ1052"/>
      <c r="CK1052"/>
      <c r="CL1052"/>
      <c r="CM1052"/>
      <c r="CN1052"/>
      <c r="CO1052"/>
      <c r="CP1052"/>
      <c r="CQ1052"/>
      <c r="CR1052"/>
      <c r="CS1052"/>
    </row>
    <row r="1053" spans="2:97">
      <c r="B1053"/>
      <c r="C1053" s="15"/>
      <c r="D1053" s="23"/>
      <c r="E1053" s="23"/>
      <c r="F1053" s="23"/>
      <c r="G1053" s="23">
        <f t="shared" si="73"/>
        <v>0</v>
      </c>
      <c r="H1053" s="23" t="e" cm="1">
        <f t="array" ref="H1053">INDEX('GLOBAL LOG'!#REF!,ROW()-169+15)</f>
        <v>#REF!</v>
      </c>
      <c r="I1053" s="23" t="e">
        <f>_xlfn.XLOOKUP(H1053,#REF!,#REF!,"",0,1)</f>
        <v>#REF!</v>
      </c>
      <c r="J1053" s="23" t="str">
        <f>IFERROR(I1053*#REF!,"")</f>
        <v/>
      </c>
      <c r="K1053" s="23" t="e" cm="1">
        <f t="array" ref="K1053">INDEX('GLOBAL LOG'!#REF!,ROW()-169+15)</f>
        <v>#REF!</v>
      </c>
      <c r="L1053" s="23" t="e">
        <f>_xlfn.XLOOKUP(K1053,#REF!,#REF!,"",0,1)</f>
        <v>#REF!</v>
      </c>
      <c r="M1053" s="23" t="str">
        <f>IFERROR(L1053*#REF!,"")</f>
        <v/>
      </c>
      <c r="N1053" s="23">
        <f t="shared" si="74"/>
        <v>-1</v>
      </c>
      <c r="O1053" s="23">
        <f t="shared" si="75"/>
        <v>-1</v>
      </c>
      <c r="P1053" s="23">
        <f t="shared" si="76"/>
        <v>-1</v>
      </c>
      <c r="Q1053" s="24">
        <f t="shared" si="77"/>
        <v>-1</v>
      </c>
      <c r="R1053" s="3"/>
      <c r="S1053" s="1">
        <v>0</v>
      </c>
      <c r="T1053" s="24">
        <v>-1</v>
      </c>
      <c r="U1053"/>
      <c r="V1053" s="1">
        <v>0</v>
      </c>
      <c r="W1053" s="24">
        <v>-1</v>
      </c>
      <c r="X1053"/>
      <c r="Y1053" s="1">
        <v>0</v>
      </c>
      <c r="Z1053" s="24">
        <v>-1</v>
      </c>
      <c r="AA1053"/>
      <c r="AB1053" s="1">
        <v>0</v>
      </c>
      <c r="AC1053" s="24">
        <v>-1</v>
      </c>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c r="CA1053"/>
      <c r="CB1053"/>
      <c r="CC1053"/>
      <c r="CD1053"/>
      <c r="CE1053"/>
      <c r="CF1053"/>
      <c r="CG1053"/>
      <c r="CH1053"/>
      <c r="CI1053"/>
      <c r="CJ1053"/>
      <c r="CK1053"/>
      <c r="CL1053"/>
      <c r="CM1053"/>
      <c r="CN1053"/>
      <c r="CO1053"/>
      <c r="CP1053"/>
      <c r="CQ1053"/>
      <c r="CR1053"/>
      <c r="CS1053"/>
    </row>
    <row r="1054" spans="2:97">
      <c r="B1054"/>
      <c r="C1054" s="15"/>
      <c r="D1054" s="23"/>
      <c r="E1054" s="23"/>
      <c r="F1054" s="23"/>
      <c r="G1054" s="23">
        <f t="shared" si="73"/>
        <v>0</v>
      </c>
      <c r="H1054" s="23" t="e" cm="1">
        <f t="array" ref="H1054">INDEX('GLOBAL LOG'!#REF!,ROW()-169+15)</f>
        <v>#REF!</v>
      </c>
      <c r="I1054" s="23" t="e">
        <f>_xlfn.XLOOKUP(H1054,#REF!,#REF!,"",0,1)</f>
        <v>#REF!</v>
      </c>
      <c r="J1054" s="23" t="str">
        <f>IFERROR(I1054*#REF!,"")</f>
        <v/>
      </c>
      <c r="K1054" s="23" t="e" cm="1">
        <f t="array" ref="K1054">INDEX('GLOBAL LOG'!#REF!,ROW()-169+15)</f>
        <v>#REF!</v>
      </c>
      <c r="L1054" s="23" t="e">
        <f>_xlfn.XLOOKUP(K1054,#REF!,#REF!,"",0,1)</f>
        <v>#REF!</v>
      </c>
      <c r="M1054" s="23" t="str">
        <f>IFERROR(L1054*#REF!,"")</f>
        <v/>
      </c>
      <c r="N1054" s="23">
        <f t="shared" si="74"/>
        <v>-1</v>
      </c>
      <c r="O1054" s="23">
        <f t="shared" si="75"/>
        <v>-1</v>
      </c>
      <c r="P1054" s="23">
        <f t="shared" si="76"/>
        <v>-1</v>
      </c>
      <c r="Q1054" s="24">
        <f t="shared" si="77"/>
        <v>-1</v>
      </c>
      <c r="R1054" s="3"/>
      <c r="S1054" s="1">
        <v>0</v>
      </c>
      <c r="T1054" s="24">
        <v>-1</v>
      </c>
      <c r="U1054"/>
      <c r="V1054" s="1">
        <v>0</v>
      </c>
      <c r="W1054" s="24">
        <v>-1</v>
      </c>
      <c r="X1054"/>
      <c r="Y1054" s="1">
        <v>0</v>
      </c>
      <c r="Z1054" s="24">
        <v>-1</v>
      </c>
      <c r="AA1054"/>
      <c r="AB1054" s="1">
        <v>0</v>
      </c>
      <c r="AC1054" s="24">
        <v>-1</v>
      </c>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c r="CA1054"/>
      <c r="CB1054"/>
      <c r="CC1054"/>
      <c r="CD1054"/>
      <c r="CE1054"/>
      <c r="CF1054"/>
      <c r="CG1054"/>
      <c r="CH1054"/>
      <c r="CI1054"/>
      <c r="CJ1054"/>
      <c r="CK1054"/>
      <c r="CL1054"/>
      <c r="CM1054"/>
      <c r="CN1054"/>
      <c r="CO1054"/>
      <c r="CP1054"/>
      <c r="CQ1054"/>
      <c r="CR1054"/>
      <c r="CS1054"/>
    </row>
    <row r="1055" spans="2:97">
      <c r="B1055"/>
      <c r="C1055" s="15"/>
      <c r="D1055" s="23"/>
      <c r="E1055" s="23"/>
      <c r="F1055" s="23"/>
      <c r="G1055" s="23">
        <f t="shared" si="73"/>
        <v>0</v>
      </c>
      <c r="H1055" s="23" t="e" cm="1">
        <f t="array" ref="H1055">INDEX('GLOBAL LOG'!#REF!,ROW()-169+15)</f>
        <v>#REF!</v>
      </c>
      <c r="I1055" s="23" t="e">
        <f>_xlfn.XLOOKUP(H1055,#REF!,#REF!,"",0,1)</f>
        <v>#REF!</v>
      </c>
      <c r="J1055" s="23" t="str">
        <f>IFERROR(I1055*#REF!,"")</f>
        <v/>
      </c>
      <c r="K1055" s="23" t="e" cm="1">
        <f t="array" ref="K1055">INDEX('GLOBAL LOG'!#REF!,ROW()-169+15)</f>
        <v>#REF!</v>
      </c>
      <c r="L1055" s="23" t="e">
        <f>_xlfn.XLOOKUP(K1055,#REF!,#REF!,"",0,1)</f>
        <v>#REF!</v>
      </c>
      <c r="M1055" s="23" t="str">
        <f>IFERROR(L1055*#REF!,"")</f>
        <v/>
      </c>
      <c r="N1055" s="23">
        <f t="shared" si="74"/>
        <v>-1</v>
      </c>
      <c r="O1055" s="23">
        <f t="shared" si="75"/>
        <v>-1</v>
      </c>
      <c r="P1055" s="23">
        <f t="shared" si="76"/>
        <v>-1</v>
      </c>
      <c r="Q1055" s="24">
        <f t="shared" si="77"/>
        <v>-1</v>
      </c>
      <c r="R1055" s="3"/>
      <c r="S1055" s="1">
        <v>0</v>
      </c>
      <c r="T1055" s="24">
        <v>-1</v>
      </c>
      <c r="U1055"/>
      <c r="V1055" s="1">
        <v>0</v>
      </c>
      <c r="W1055" s="24">
        <v>-1</v>
      </c>
      <c r="X1055"/>
      <c r="Y1055" s="1">
        <v>0</v>
      </c>
      <c r="Z1055" s="24">
        <v>-1</v>
      </c>
      <c r="AA1055"/>
      <c r="AB1055" s="1">
        <v>0</v>
      </c>
      <c r="AC1055" s="24">
        <v>-1</v>
      </c>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c r="CA1055"/>
      <c r="CB1055"/>
      <c r="CC1055"/>
      <c r="CD1055"/>
      <c r="CE1055"/>
      <c r="CF1055"/>
      <c r="CG1055"/>
      <c r="CH1055"/>
      <c r="CI1055"/>
      <c r="CJ1055"/>
      <c r="CK1055"/>
      <c r="CL1055"/>
      <c r="CM1055"/>
      <c r="CN1055"/>
      <c r="CO1055"/>
      <c r="CP1055"/>
      <c r="CQ1055"/>
      <c r="CR1055"/>
      <c r="CS1055"/>
    </row>
    <row r="1056" spans="2:97">
      <c r="B1056"/>
      <c r="C1056" s="15"/>
      <c r="D1056" s="23"/>
      <c r="E1056" s="23"/>
      <c r="F1056" s="23"/>
      <c r="G1056" s="23">
        <f t="shared" si="73"/>
        <v>0</v>
      </c>
      <c r="H1056" s="23" t="e" cm="1">
        <f t="array" ref="H1056">INDEX('GLOBAL LOG'!#REF!,ROW()-169+15)</f>
        <v>#REF!</v>
      </c>
      <c r="I1056" s="23" t="e">
        <f>_xlfn.XLOOKUP(H1056,#REF!,#REF!,"",0,1)</f>
        <v>#REF!</v>
      </c>
      <c r="J1056" s="23" t="str">
        <f>IFERROR(I1056*#REF!,"")</f>
        <v/>
      </c>
      <c r="K1056" s="23" t="e" cm="1">
        <f t="array" ref="K1056">INDEX('GLOBAL LOG'!#REF!,ROW()-169+15)</f>
        <v>#REF!</v>
      </c>
      <c r="L1056" s="23" t="e">
        <f>_xlfn.XLOOKUP(K1056,#REF!,#REF!,"",0,1)</f>
        <v>#REF!</v>
      </c>
      <c r="M1056" s="23" t="str">
        <f>IFERROR(L1056*#REF!,"")</f>
        <v/>
      </c>
      <c r="N1056" s="23">
        <f t="shared" si="74"/>
        <v>-1</v>
      </c>
      <c r="O1056" s="23">
        <f t="shared" si="75"/>
        <v>-1</v>
      </c>
      <c r="P1056" s="23">
        <f t="shared" si="76"/>
        <v>-1</v>
      </c>
      <c r="Q1056" s="24">
        <f t="shared" si="77"/>
        <v>-1</v>
      </c>
      <c r="R1056" s="3"/>
      <c r="S1056" s="1">
        <v>0</v>
      </c>
      <c r="T1056" s="24">
        <v>-1</v>
      </c>
      <c r="U1056"/>
      <c r="V1056" s="1">
        <v>0</v>
      </c>
      <c r="W1056" s="24">
        <v>-1</v>
      </c>
      <c r="X1056"/>
      <c r="Y1056" s="1">
        <v>0</v>
      </c>
      <c r="Z1056" s="24">
        <v>-1</v>
      </c>
      <c r="AA1056"/>
      <c r="AB1056" s="1">
        <v>0</v>
      </c>
      <c r="AC1056" s="24">
        <v>-1</v>
      </c>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c r="CA1056"/>
      <c r="CB1056"/>
      <c r="CC1056"/>
      <c r="CD1056"/>
      <c r="CE1056"/>
      <c r="CF1056"/>
      <c r="CG1056"/>
      <c r="CH1056"/>
      <c r="CI1056"/>
      <c r="CJ1056"/>
      <c r="CK1056"/>
      <c r="CL1056"/>
      <c r="CM1056"/>
      <c r="CN1056"/>
      <c r="CO1056"/>
      <c r="CP1056"/>
      <c r="CQ1056"/>
      <c r="CR1056"/>
      <c r="CS1056"/>
    </row>
    <row r="1057" spans="2:97">
      <c r="B1057"/>
      <c r="C1057" s="15"/>
      <c r="D1057" s="23"/>
      <c r="E1057" s="23"/>
      <c r="F1057" s="23"/>
      <c r="G1057" s="23">
        <f t="shared" si="73"/>
        <v>0</v>
      </c>
      <c r="H1057" s="23" t="e" cm="1">
        <f t="array" ref="H1057">INDEX('GLOBAL LOG'!#REF!,ROW()-169+15)</f>
        <v>#REF!</v>
      </c>
      <c r="I1057" s="23" t="e">
        <f>_xlfn.XLOOKUP(H1057,#REF!,#REF!,"",0,1)</f>
        <v>#REF!</v>
      </c>
      <c r="J1057" s="23" t="str">
        <f>IFERROR(I1057*#REF!,"")</f>
        <v/>
      </c>
      <c r="K1057" s="23" t="e" cm="1">
        <f t="array" ref="K1057">INDEX('GLOBAL LOG'!#REF!,ROW()-169+15)</f>
        <v>#REF!</v>
      </c>
      <c r="L1057" s="23" t="e">
        <f>_xlfn.XLOOKUP(K1057,#REF!,#REF!,"",0,1)</f>
        <v>#REF!</v>
      </c>
      <c r="M1057" s="23" t="str">
        <f>IFERROR(L1057*#REF!,"")</f>
        <v/>
      </c>
      <c r="N1057" s="23">
        <f t="shared" si="74"/>
        <v>-1</v>
      </c>
      <c r="O1057" s="23">
        <f t="shared" si="75"/>
        <v>-1</v>
      </c>
      <c r="P1057" s="23">
        <f t="shared" si="76"/>
        <v>-1</v>
      </c>
      <c r="Q1057" s="24">
        <f t="shared" si="77"/>
        <v>-1</v>
      </c>
      <c r="R1057" s="3"/>
      <c r="S1057" s="1">
        <v>0</v>
      </c>
      <c r="T1057" s="24">
        <v>-1</v>
      </c>
      <c r="U1057"/>
      <c r="V1057" s="1">
        <v>0</v>
      </c>
      <c r="W1057" s="24">
        <v>-1</v>
      </c>
      <c r="X1057"/>
      <c r="Y1057" s="1">
        <v>0</v>
      </c>
      <c r="Z1057" s="24">
        <v>-1</v>
      </c>
      <c r="AA1057"/>
      <c r="AB1057" s="1">
        <v>0</v>
      </c>
      <c r="AC1057" s="24">
        <v>-1</v>
      </c>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c r="CA1057"/>
      <c r="CB1057"/>
      <c r="CC1057"/>
      <c r="CD1057"/>
      <c r="CE1057"/>
      <c r="CF1057"/>
      <c r="CG1057"/>
      <c r="CH1057"/>
      <c r="CI1057"/>
      <c r="CJ1057"/>
      <c r="CK1057"/>
      <c r="CL1057"/>
      <c r="CM1057"/>
      <c r="CN1057"/>
      <c r="CO1057"/>
      <c r="CP1057"/>
      <c r="CQ1057"/>
      <c r="CR1057"/>
      <c r="CS1057"/>
    </row>
    <row r="1058" spans="2:97">
      <c r="B1058"/>
      <c r="C1058" s="15"/>
      <c r="D1058" s="23"/>
      <c r="E1058" s="23"/>
      <c r="F1058" s="23"/>
      <c r="G1058" s="23">
        <f t="shared" si="73"/>
        <v>0</v>
      </c>
      <c r="H1058" s="23" t="e" cm="1">
        <f t="array" ref="H1058">INDEX('GLOBAL LOG'!#REF!,ROW()-169+15)</f>
        <v>#REF!</v>
      </c>
      <c r="I1058" s="23" t="e">
        <f>_xlfn.XLOOKUP(H1058,#REF!,#REF!,"",0,1)</f>
        <v>#REF!</v>
      </c>
      <c r="J1058" s="23" t="str">
        <f>IFERROR(I1058*#REF!,"")</f>
        <v/>
      </c>
      <c r="K1058" s="23" t="e" cm="1">
        <f t="array" ref="K1058">INDEX('GLOBAL LOG'!#REF!,ROW()-169+15)</f>
        <v>#REF!</v>
      </c>
      <c r="L1058" s="23" t="e">
        <f>_xlfn.XLOOKUP(K1058,#REF!,#REF!,"",0,1)</f>
        <v>#REF!</v>
      </c>
      <c r="M1058" s="23" t="str">
        <f>IFERROR(L1058*#REF!,"")</f>
        <v/>
      </c>
      <c r="N1058" s="23">
        <f t="shared" si="74"/>
        <v>-1</v>
      </c>
      <c r="O1058" s="23">
        <f t="shared" si="75"/>
        <v>-1</v>
      </c>
      <c r="P1058" s="23">
        <f t="shared" si="76"/>
        <v>-1</v>
      </c>
      <c r="Q1058" s="24">
        <f t="shared" si="77"/>
        <v>-1</v>
      </c>
      <c r="R1058" s="3"/>
      <c r="S1058" s="1">
        <v>0</v>
      </c>
      <c r="T1058" s="24">
        <v>-1</v>
      </c>
      <c r="U1058"/>
      <c r="V1058" s="1">
        <v>0</v>
      </c>
      <c r="W1058" s="24">
        <v>-1</v>
      </c>
      <c r="X1058"/>
      <c r="Y1058" s="1">
        <v>0</v>
      </c>
      <c r="Z1058" s="24">
        <v>-1</v>
      </c>
      <c r="AA1058"/>
      <c r="AB1058" s="1">
        <v>0</v>
      </c>
      <c r="AC1058" s="24">
        <v>-1</v>
      </c>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c r="CA1058"/>
      <c r="CB1058"/>
      <c r="CC1058"/>
      <c r="CD1058"/>
      <c r="CE1058"/>
      <c r="CF1058"/>
      <c r="CG1058"/>
      <c r="CH1058"/>
      <c r="CI1058"/>
      <c r="CJ1058"/>
      <c r="CK1058"/>
      <c r="CL1058"/>
      <c r="CM1058"/>
      <c r="CN1058"/>
      <c r="CO1058"/>
      <c r="CP1058"/>
      <c r="CQ1058"/>
      <c r="CR1058"/>
      <c r="CS1058"/>
    </row>
    <row r="1059" spans="2:97">
      <c r="B1059"/>
      <c r="C1059" s="15"/>
      <c r="D1059" s="23"/>
      <c r="E1059" s="23"/>
      <c r="F1059" s="23"/>
      <c r="G1059" s="23">
        <f t="shared" si="73"/>
        <v>0</v>
      </c>
      <c r="H1059" s="23" t="e" cm="1">
        <f t="array" ref="H1059">INDEX('GLOBAL LOG'!#REF!,ROW()-169+15)</f>
        <v>#REF!</v>
      </c>
      <c r="I1059" s="23" t="e">
        <f>_xlfn.XLOOKUP(H1059,#REF!,#REF!,"",0,1)</f>
        <v>#REF!</v>
      </c>
      <c r="J1059" s="23" t="str">
        <f>IFERROR(I1059*#REF!,"")</f>
        <v/>
      </c>
      <c r="K1059" s="23" t="e" cm="1">
        <f t="array" ref="K1059">INDEX('GLOBAL LOG'!#REF!,ROW()-169+15)</f>
        <v>#REF!</v>
      </c>
      <c r="L1059" s="23" t="e">
        <f>_xlfn.XLOOKUP(K1059,#REF!,#REF!,"",0,1)</f>
        <v>#REF!</v>
      </c>
      <c r="M1059" s="23" t="str">
        <f>IFERROR(L1059*#REF!,"")</f>
        <v/>
      </c>
      <c r="N1059" s="23">
        <f t="shared" si="74"/>
        <v>-1</v>
      </c>
      <c r="O1059" s="23">
        <f t="shared" si="75"/>
        <v>-1</v>
      </c>
      <c r="P1059" s="23">
        <f t="shared" si="76"/>
        <v>-1</v>
      </c>
      <c r="Q1059" s="24">
        <f t="shared" si="77"/>
        <v>-1</v>
      </c>
      <c r="R1059" s="3"/>
      <c r="S1059" s="1">
        <v>0</v>
      </c>
      <c r="T1059" s="24">
        <v>-1</v>
      </c>
      <c r="U1059"/>
      <c r="V1059" s="1">
        <v>0</v>
      </c>
      <c r="W1059" s="24">
        <v>-1</v>
      </c>
      <c r="X1059"/>
      <c r="Y1059" s="1">
        <v>0</v>
      </c>
      <c r="Z1059" s="24">
        <v>-1</v>
      </c>
      <c r="AA1059"/>
      <c r="AB1059" s="1">
        <v>0</v>
      </c>
      <c r="AC1059" s="24">
        <v>-1</v>
      </c>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c r="CA1059"/>
      <c r="CB1059"/>
      <c r="CC1059"/>
      <c r="CD1059"/>
      <c r="CE1059"/>
      <c r="CF1059"/>
      <c r="CG1059"/>
      <c r="CH1059"/>
      <c r="CI1059"/>
      <c r="CJ1059"/>
      <c r="CK1059"/>
      <c r="CL1059"/>
      <c r="CM1059"/>
      <c r="CN1059"/>
      <c r="CO1059"/>
      <c r="CP1059"/>
      <c r="CQ1059"/>
      <c r="CR1059"/>
      <c r="CS1059"/>
    </row>
    <row r="1060" spans="2:97">
      <c r="B1060"/>
      <c r="C1060" s="15"/>
      <c r="D1060" s="23"/>
      <c r="E1060" s="23"/>
      <c r="F1060" s="23"/>
      <c r="G1060" s="23">
        <f t="shared" si="73"/>
        <v>0</v>
      </c>
      <c r="H1060" s="23" t="e" cm="1">
        <f t="array" ref="H1060">INDEX('GLOBAL LOG'!#REF!,ROW()-169+15)</f>
        <v>#REF!</v>
      </c>
      <c r="I1060" s="23" t="e">
        <f>_xlfn.XLOOKUP(H1060,#REF!,#REF!,"",0,1)</f>
        <v>#REF!</v>
      </c>
      <c r="J1060" s="23" t="str">
        <f>IFERROR(I1060*#REF!,"")</f>
        <v/>
      </c>
      <c r="K1060" s="23" t="e" cm="1">
        <f t="array" ref="K1060">INDEX('GLOBAL LOG'!#REF!,ROW()-169+15)</f>
        <v>#REF!</v>
      </c>
      <c r="L1060" s="23" t="e">
        <f>_xlfn.XLOOKUP(K1060,#REF!,#REF!,"",0,1)</f>
        <v>#REF!</v>
      </c>
      <c r="M1060" s="23" t="str">
        <f>IFERROR(L1060*#REF!,"")</f>
        <v/>
      </c>
      <c r="N1060" s="23">
        <f t="shared" si="74"/>
        <v>-1</v>
      </c>
      <c r="O1060" s="23">
        <f t="shared" si="75"/>
        <v>-1</v>
      </c>
      <c r="P1060" s="23">
        <f t="shared" si="76"/>
        <v>-1</v>
      </c>
      <c r="Q1060" s="24">
        <f t="shared" si="77"/>
        <v>-1</v>
      </c>
      <c r="R1060" s="3"/>
      <c r="S1060" s="1">
        <v>0</v>
      </c>
      <c r="T1060" s="24">
        <v>-1</v>
      </c>
      <c r="U1060"/>
      <c r="V1060" s="1">
        <v>0</v>
      </c>
      <c r="W1060" s="24">
        <v>-1</v>
      </c>
      <c r="X1060"/>
      <c r="Y1060" s="1">
        <v>0</v>
      </c>
      <c r="Z1060" s="24">
        <v>-1</v>
      </c>
      <c r="AA1060"/>
      <c r="AB1060" s="1">
        <v>0</v>
      </c>
      <c r="AC1060" s="24">
        <v>-1</v>
      </c>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c r="CA1060"/>
      <c r="CB1060"/>
      <c r="CC1060"/>
      <c r="CD1060"/>
      <c r="CE1060"/>
      <c r="CF1060"/>
      <c r="CG1060"/>
      <c r="CH1060"/>
      <c r="CI1060"/>
      <c r="CJ1060"/>
      <c r="CK1060"/>
      <c r="CL1060"/>
      <c r="CM1060"/>
      <c r="CN1060"/>
      <c r="CO1060"/>
      <c r="CP1060"/>
      <c r="CQ1060"/>
      <c r="CR1060"/>
      <c r="CS1060"/>
    </row>
    <row r="1061" spans="2:97">
      <c r="B1061"/>
      <c r="C1061" s="15"/>
      <c r="D1061" s="23"/>
      <c r="E1061" s="23"/>
      <c r="F1061" s="23"/>
      <c r="G1061" s="23">
        <f t="shared" si="73"/>
        <v>0</v>
      </c>
      <c r="H1061" s="23" t="e" cm="1">
        <f t="array" ref="H1061">INDEX('GLOBAL LOG'!#REF!,ROW()-169+15)</f>
        <v>#REF!</v>
      </c>
      <c r="I1061" s="23" t="e">
        <f>_xlfn.XLOOKUP(H1061,#REF!,#REF!,"",0,1)</f>
        <v>#REF!</v>
      </c>
      <c r="J1061" s="23" t="str">
        <f>IFERROR(I1061*#REF!,"")</f>
        <v/>
      </c>
      <c r="K1061" s="23" t="e" cm="1">
        <f t="array" ref="K1061">INDEX('GLOBAL LOG'!#REF!,ROW()-169+15)</f>
        <v>#REF!</v>
      </c>
      <c r="L1061" s="23" t="e">
        <f>_xlfn.XLOOKUP(K1061,#REF!,#REF!,"",0,1)</f>
        <v>#REF!</v>
      </c>
      <c r="M1061" s="23" t="str">
        <f>IFERROR(L1061*#REF!,"")</f>
        <v/>
      </c>
      <c r="N1061" s="23">
        <f t="shared" si="74"/>
        <v>-1</v>
      </c>
      <c r="O1061" s="23">
        <f t="shared" si="75"/>
        <v>-1</v>
      </c>
      <c r="P1061" s="23">
        <f t="shared" si="76"/>
        <v>-1</v>
      </c>
      <c r="Q1061" s="24">
        <f t="shared" si="77"/>
        <v>-1</v>
      </c>
      <c r="R1061" s="3"/>
      <c r="S1061" s="1">
        <v>0</v>
      </c>
      <c r="T1061" s="24">
        <v>-1</v>
      </c>
      <c r="U1061"/>
      <c r="V1061" s="1">
        <v>0</v>
      </c>
      <c r="W1061" s="24">
        <v>-1</v>
      </c>
      <c r="X1061"/>
      <c r="Y1061" s="1">
        <v>0</v>
      </c>
      <c r="Z1061" s="24">
        <v>-1</v>
      </c>
      <c r="AA1061"/>
      <c r="AB1061" s="1">
        <v>0</v>
      </c>
      <c r="AC1061" s="24">
        <v>-1</v>
      </c>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c r="CA1061"/>
      <c r="CB1061"/>
      <c r="CC1061"/>
      <c r="CD1061"/>
      <c r="CE1061"/>
      <c r="CF1061"/>
      <c r="CG1061"/>
      <c r="CH1061"/>
      <c r="CI1061"/>
      <c r="CJ1061"/>
      <c r="CK1061"/>
      <c r="CL1061"/>
      <c r="CM1061"/>
      <c r="CN1061"/>
      <c r="CO1061"/>
      <c r="CP1061"/>
      <c r="CQ1061"/>
      <c r="CR1061"/>
      <c r="CS1061"/>
    </row>
    <row r="1062" spans="2:97">
      <c r="B1062"/>
      <c r="C1062" s="15"/>
      <c r="D1062" s="23"/>
      <c r="E1062" s="23"/>
      <c r="F1062" s="23"/>
      <c r="G1062" s="23">
        <f t="shared" si="73"/>
        <v>0</v>
      </c>
      <c r="H1062" s="23" t="e" cm="1">
        <f t="array" ref="H1062">INDEX('GLOBAL LOG'!#REF!,ROW()-169+15)</f>
        <v>#REF!</v>
      </c>
      <c r="I1062" s="23" t="e">
        <f>_xlfn.XLOOKUP(H1062,#REF!,#REF!,"",0,1)</f>
        <v>#REF!</v>
      </c>
      <c r="J1062" s="23" t="str">
        <f>IFERROR(I1062*#REF!,"")</f>
        <v/>
      </c>
      <c r="K1062" s="23" t="e" cm="1">
        <f t="array" ref="K1062">INDEX('GLOBAL LOG'!#REF!,ROW()-169+15)</f>
        <v>#REF!</v>
      </c>
      <c r="L1062" s="23" t="e">
        <f>_xlfn.XLOOKUP(K1062,#REF!,#REF!,"",0,1)</f>
        <v>#REF!</v>
      </c>
      <c r="M1062" s="23" t="str">
        <f>IFERROR(L1062*#REF!,"")</f>
        <v/>
      </c>
      <c r="N1062" s="23">
        <f t="shared" si="74"/>
        <v>-1</v>
      </c>
      <c r="O1062" s="23">
        <f t="shared" si="75"/>
        <v>-1</v>
      </c>
      <c r="P1062" s="23">
        <f t="shared" si="76"/>
        <v>-1</v>
      </c>
      <c r="Q1062" s="24">
        <f t="shared" si="77"/>
        <v>-1</v>
      </c>
      <c r="R1062" s="3"/>
      <c r="S1062" s="1">
        <v>0</v>
      </c>
      <c r="T1062" s="24">
        <v>-1</v>
      </c>
      <c r="U1062"/>
      <c r="V1062" s="1">
        <v>0</v>
      </c>
      <c r="W1062" s="24">
        <v>-1</v>
      </c>
      <c r="X1062"/>
      <c r="Y1062" s="1">
        <v>0</v>
      </c>
      <c r="Z1062" s="24">
        <v>-1</v>
      </c>
      <c r="AA1062"/>
      <c r="AB1062" s="1">
        <v>0</v>
      </c>
      <c r="AC1062" s="24">
        <v>-1</v>
      </c>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c r="CA1062"/>
      <c r="CB1062"/>
      <c r="CC1062"/>
      <c r="CD1062"/>
      <c r="CE1062"/>
      <c r="CF1062"/>
      <c r="CG1062"/>
      <c r="CH1062"/>
      <c r="CI1062"/>
      <c r="CJ1062"/>
      <c r="CK1062"/>
      <c r="CL1062"/>
      <c r="CM1062"/>
      <c r="CN1062"/>
      <c r="CO1062"/>
      <c r="CP1062"/>
      <c r="CQ1062"/>
      <c r="CR1062"/>
      <c r="CS1062"/>
    </row>
    <row r="1063" spans="2:97">
      <c r="B1063"/>
      <c r="C1063" s="15"/>
      <c r="D1063" s="23"/>
      <c r="E1063" s="23"/>
      <c r="F1063" s="23"/>
      <c r="G1063" s="23">
        <f t="shared" si="73"/>
        <v>0</v>
      </c>
      <c r="H1063" s="23" t="e" cm="1">
        <f t="array" ref="H1063">INDEX('GLOBAL LOG'!#REF!,ROW()-169+15)</f>
        <v>#REF!</v>
      </c>
      <c r="I1063" s="23" t="e">
        <f>_xlfn.XLOOKUP(H1063,#REF!,#REF!,"",0,1)</f>
        <v>#REF!</v>
      </c>
      <c r="J1063" s="23" t="str">
        <f>IFERROR(I1063*#REF!,"")</f>
        <v/>
      </c>
      <c r="K1063" s="23" t="e" cm="1">
        <f t="array" ref="K1063">INDEX('GLOBAL LOG'!#REF!,ROW()-169+15)</f>
        <v>#REF!</v>
      </c>
      <c r="L1063" s="23" t="e">
        <f>_xlfn.XLOOKUP(K1063,#REF!,#REF!,"",0,1)</f>
        <v>#REF!</v>
      </c>
      <c r="M1063" s="23" t="str">
        <f>IFERROR(L1063*#REF!,"")</f>
        <v/>
      </c>
      <c r="N1063" s="23">
        <f t="shared" si="74"/>
        <v>-1</v>
      </c>
      <c r="O1063" s="23">
        <f t="shared" si="75"/>
        <v>-1</v>
      </c>
      <c r="P1063" s="23">
        <f t="shared" si="76"/>
        <v>-1</v>
      </c>
      <c r="Q1063" s="24">
        <f t="shared" si="77"/>
        <v>-1</v>
      </c>
      <c r="R1063" s="3"/>
      <c r="S1063" s="1">
        <v>0</v>
      </c>
      <c r="T1063" s="24">
        <v>-1</v>
      </c>
      <c r="U1063"/>
      <c r="V1063" s="1">
        <v>0</v>
      </c>
      <c r="W1063" s="24">
        <v>-1</v>
      </c>
      <c r="X1063"/>
      <c r="Y1063" s="1">
        <v>0</v>
      </c>
      <c r="Z1063" s="24">
        <v>-1</v>
      </c>
      <c r="AA1063"/>
      <c r="AB1063" s="1">
        <v>0</v>
      </c>
      <c r="AC1063" s="24">
        <v>-1</v>
      </c>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c r="CA1063"/>
      <c r="CB1063"/>
      <c r="CC1063"/>
      <c r="CD1063"/>
      <c r="CE1063"/>
      <c r="CF1063"/>
      <c r="CG1063"/>
      <c r="CH1063"/>
      <c r="CI1063"/>
      <c r="CJ1063"/>
      <c r="CK1063"/>
      <c r="CL1063"/>
      <c r="CM1063"/>
      <c r="CN1063"/>
      <c r="CO1063"/>
      <c r="CP1063"/>
      <c r="CQ1063"/>
      <c r="CR1063"/>
      <c r="CS1063"/>
    </row>
    <row r="1064" spans="2:97">
      <c r="B1064"/>
      <c r="C1064" s="15"/>
      <c r="D1064" s="23"/>
      <c r="E1064" s="23"/>
      <c r="F1064" s="23"/>
      <c r="G1064" s="23">
        <f t="shared" si="73"/>
        <v>0</v>
      </c>
      <c r="H1064" s="23" t="e" cm="1">
        <f t="array" ref="H1064">INDEX('GLOBAL LOG'!#REF!,ROW()-169+15)</f>
        <v>#REF!</v>
      </c>
      <c r="I1064" s="23" t="e">
        <f>_xlfn.XLOOKUP(H1064,#REF!,#REF!,"",0,1)</f>
        <v>#REF!</v>
      </c>
      <c r="J1064" s="23" t="str">
        <f>IFERROR(I1064*#REF!,"")</f>
        <v/>
      </c>
      <c r="K1064" s="23" t="e" cm="1">
        <f t="array" ref="K1064">INDEX('GLOBAL LOG'!#REF!,ROW()-169+15)</f>
        <v>#REF!</v>
      </c>
      <c r="L1064" s="23" t="e">
        <f>_xlfn.XLOOKUP(K1064,#REF!,#REF!,"",0,1)</f>
        <v>#REF!</v>
      </c>
      <c r="M1064" s="23" t="str">
        <f>IFERROR(L1064*#REF!,"")</f>
        <v/>
      </c>
      <c r="N1064" s="23">
        <f t="shared" si="74"/>
        <v>-1</v>
      </c>
      <c r="O1064" s="23">
        <f t="shared" si="75"/>
        <v>-1</v>
      </c>
      <c r="P1064" s="23">
        <f t="shared" si="76"/>
        <v>-1</v>
      </c>
      <c r="Q1064" s="24">
        <f t="shared" si="77"/>
        <v>-1</v>
      </c>
      <c r="R1064" s="3"/>
      <c r="S1064" s="1">
        <v>0</v>
      </c>
      <c r="T1064" s="24">
        <v>-1</v>
      </c>
      <c r="U1064"/>
      <c r="V1064" s="1">
        <v>0</v>
      </c>
      <c r="W1064" s="24">
        <v>-1</v>
      </c>
      <c r="X1064"/>
      <c r="Y1064" s="1">
        <v>0</v>
      </c>
      <c r="Z1064" s="24">
        <v>-1</v>
      </c>
      <c r="AA1064"/>
      <c r="AB1064" s="1">
        <v>0</v>
      </c>
      <c r="AC1064" s="24">
        <v>-1</v>
      </c>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c r="CA1064"/>
      <c r="CB1064"/>
      <c r="CC1064"/>
      <c r="CD1064"/>
      <c r="CE1064"/>
      <c r="CF1064"/>
      <c r="CG1064"/>
      <c r="CH1064"/>
      <c r="CI1064"/>
      <c r="CJ1064"/>
      <c r="CK1064"/>
      <c r="CL1064"/>
      <c r="CM1064"/>
      <c r="CN1064"/>
      <c r="CO1064"/>
      <c r="CP1064"/>
      <c r="CQ1064"/>
      <c r="CR1064"/>
      <c r="CS1064"/>
    </row>
    <row r="1065" spans="2:97">
      <c r="B1065"/>
      <c r="C1065" s="15"/>
      <c r="D1065" s="23"/>
      <c r="E1065" s="23"/>
      <c r="F1065" s="23"/>
      <c r="G1065" s="23">
        <f t="shared" si="73"/>
        <v>0</v>
      </c>
      <c r="H1065" s="23" t="e" cm="1">
        <f t="array" ref="H1065">INDEX('GLOBAL LOG'!#REF!,ROW()-169+15)</f>
        <v>#REF!</v>
      </c>
      <c r="I1065" s="23" t="e">
        <f>_xlfn.XLOOKUP(H1065,#REF!,#REF!,"",0,1)</f>
        <v>#REF!</v>
      </c>
      <c r="J1065" s="23" t="str">
        <f>IFERROR(I1065*#REF!,"")</f>
        <v/>
      </c>
      <c r="K1065" s="23" t="e" cm="1">
        <f t="array" ref="K1065">INDEX('GLOBAL LOG'!#REF!,ROW()-169+15)</f>
        <v>#REF!</v>
      </c>
      <c r="L1065" s="23" t="e">
        <f>_xlfn.XLOOKUP(K1065,#REF!,#REF!,"",0,1)</f>
        <v>#REF!</v>
      </c>
      <c r="M1065" s="23" t="str">
        <f>IFERROR(L1065*#REF!,"")</f>
        <v/>
      </c>
      <c r="N1065" s="23">
        <f t="shared" si="74"/>
        <v>-1</v>
      </c>
      <c r="O1065" s="23">
        <f t="shared" si="75"/>
        <v>-1</v>
      </c>
      <c r="P1065" s="23">
        <f t="shared" si="76"/>
        <v>-1</v>
      </c>
      <c r="Q1065" s="24">
        <f t="shared" si="77"/>
        <v>-1</v>
      </c>
      <c r="R1065" s="3"/>
      <c r="S1065" s="1">
        <v>0</v>
      </c>
      <c r="T1065" s="24">
        <v>-1</v>
      </c>
      <c r="U1065"/>
      <c r="V1065" s="1">
        <v>0</v>
      </c>
      <c r="W1065" s="24">
        <v>-1</v>
      </c>
      <c r="X1065"/>
      <c r="Y1065" s="1">
        <v>0</v>
      </c>
      <c r="Z1065" s="24">
        <v>-1</v>
      </c>
      <c r="AA1065"/>
      <c r="AB1065" s="1">
        <v>0</v>
      </c>
      <c r="AC1065" s="24">
        <v>-1</v>
      </c>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c r="CA1065"/>
      <c r="CB1065"/>
      <c r="CC1065"/>
      <c r="CD1065"/>
      <c r="CE1065"/>
      <c r="CF1065"/>
      <c r="CG1065"/>
      <c r="CH1065"/>
      <c r="CI1065"/>
      <c r="CJ1065"/>
      <c r="CK1065"/>
      <c r="CL1065"/>
      <c r="CM1065"/>
      <c r="CN1065"/>
      <c r="CO1065"/>
      <c r="CP1065"/>
      <c r="CQ1065"/>
      <c r="CR1065"/>
      <c r="CS1065"/>
    </row>
    <row r="1066" spans="2:97">
      <c r="B1066"/>
      <c r="C1066" s="15"/>
      <c r="D1066" s="23"/>
      <c r="E1066" s="23"/>
      <c r="F1066" s="23"/>
      <c r="G1066" s="23">
        <f t="shared" ref="G1066:G1104" si="78">E1066+F1066</f>
        <v>0</v>
      </c>
      <c r="H1066" s="23" t="e" cm="1">
        <f t="array" ref="H1066">INDEX('GLOBAL LOG'!#REF!,ROW()-169+15)</f>
        <v>#REF!</v>
      </c>
      <c r="I1066" s="23" t="e">
        <f>_xlfn.XLOOKUP(H1066,#REF!,#REF!,"",0,1)</f>
        <v>#REF!</v>
      </c>
      <c r="J1066" s="23" t="str">
        <f>IFERROR(I1066*#REF!,"")</f>
        <v/>
      </c>
      <c r="K1066" s="23" t="e" cm="1">
        <f t="array" ref="K1066">INDEX('GLOBAL LOG'!#REF!,ROW()-169+15)</f>
        <v>#REF!</v>
      </c>
      <c r="L1066" s="23" t="e">
        <f>_xlfn.XLOOKUP(K1066,#REF!,#REF!,"",0,1)</f>
        <v>#REF!</v>
      </c>
      <c r="M1066" s="23" t="str">
        <f>IFERROR(L1066*#REF!,"")</f>
        <v/>
      </c>
      <c r="N1066" s="23">
        <f t="shared" ref="N1066:N1104" si="79">IFERROR(D1066*J1066*M1066,-1)</f>
        <v>-1</v>
      </c>
      <c r="O1066" s="23">
        <f t="shared" ref="O1066:O1104" si="80">IFERROR(E1066*J1066*M1066,-1)</f>
        <v>-1</v>
      </c>
      <c r="P1066" s="23">
        <f t="shared" ref="P1066:P1104" si="81">IFERROR(F1066*J1066*M1066,-1)</f>
        <v>-1</v>
      </c>
      <c r="Q1066" s="24">
        <f t="shared" ref="Q1066:Q1104" si="82">IFERROR(G1066*J1066*M1066,-1)</f>
        <v>-1</v>
      </c>
      <c r="R1066" s="3"/>
      <c r="S1066" s="1">
        <v>0</v>
      </c>
      <c r="T1066" s="24">
        <v>-1</v>
      </c>
      <c r="U1066"/>
      <c r="V1066" s="1">
        <v>0</v>
      </c>
      <c r="W1066" s="24">
        <v>-1</v>
      </c>
      <c r="X1066"/>
      <c r="Y1066" s="1">
        <v>0</v>
      </c>
      <c r="Z1066" s="24">
        <v>-1</v>
      </c>
      <c r="AA1066"/>
      <c r="AB1066" s="1">
        <v>0</v>
      </c>
      <c r="AC1066" s="24">
        <v>-1</v>
      </c>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c r="CA1066"/>
      <c r="CB1066"/>
      <c r="CC1066"/>
      <c r="CD1066"/>
      <c r="CE1066"/>
      <c r="CF1066"/>
      <c r="CG1066"/>
      <c r="CH1066"/>
      <c r="CI1066"/>
      <c r="CJ1066"/>
      <c r="CK1066"/>
      <c r="CL1066"/>
      <c r="CM1066"/>
      <c r="CN1066"/>
      <c r="CO1066"/>
      <c r="CP1066"/>
      <c r="CQ1066"/>
      <c r="CR1066"/>
      <c r="CS1066"/>
    </row>
    <row r="1067" spans="2:97">
      <c r="B1067"/>
      <c r="C1067" s="15"/>
      <c r="D1067" s="23"/>
      <c r="E1067" s="23"/>
      <c r="F1067" s="23"/>
      <c r="G1067" s="23">
        <f t="shared" si="78"/>
        <v>0</v>
      </c>
      <c r="H1067" s="23" t="e" cm="1">
        <f t="array" ref="H1067">INDEX('GLOBAL LOG'!#REF!,ROW()-169+15)</f>
        <v>#REF!</v>
      </c>
      <c r="I1067" s="23" t="e">
        <f>_xlfn.XLOOKUP(H1067,#REF!,#REF!,"",0,1)</f>
        <v>#REF!</v>
      </c>
      <c r="J1067" s="23" t="str">
        <f>IFERROR(I1067*#REF!,"")</f>
        <v/>
      </c>
      <c r="K1067" s="23" t="e" cm="1">
        <f t="array" ref="K1067">INDEX('GLOBAL LOG'!#REF!,ROW()-169+15)</f>
        <v>#REF!</v>
      </c>
      <c r="L1067" s="23" t="e">
        <f>_xlfn.XLOOKUP(K1067,#REF!,#REF!,"",0,1)</f>
        <v>#REF!</v>
      </c>
      <c r="M1067" s="23" t="str">
        <f>IFERROR(L1067*#REF!,"")</f>
        <v/>
      </c>
      <c r="N1067" s="23">
        <f t="shared" si="79"/>
        <v>-1</v>
      </c>
      <c r="O1067" s="23">
        <f t="shared" si="80"/>
        <v>-1</v>
      </c>
      <c r="P1067" s="23">
        <f t="shared" si="81"/>
        <v>-1</v>
      </c>
      <c r="Q1067" s="24">
        <f t="shared" si="82"/>
        <v>-1</v>
      </c>
      <c r="R1067" s="3"/>
      <c r="S1067" s="1">
        <v>0</v>
      </c>
      <c r="T1067" s="24">
        <v>-1</v>
      </c>
      <c r="U1067"/>
      <c r="V1067" s="1">
        <v>0</v>
      </c>
      <c r="W1067" s="24">
        <v>-1</v>
      </c>
      <c r="X1067"/>
      <c r="Y1067" s="1">
        <v>0</v>
      </c>
      <c r="Z1067" s="24">
        <v>-1</v>
      </c>
      <c r="AA1067"/>
      <c r="AB1067" s="1">
        <v>0</v>
      </c>
      <c r="AC1067" s="24">
        <v>-1</v>
      </c>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c r="CA1067"/>
      <c r="CB1067"/>
      <c r="CC1067"/>
      <c r="CD1067"/>
      <c r="CE1067"/>
      <c r="CF1067"/>
      <c r="CG1067"/>
      <c r="CH1067"/>
      <c r="CI1067"/>
      <c r="CJ1067"/>
      <c r="CK1067"/>
      <c r="CL1067"/>
      <c r="CM1067"/>
      <c r="CN1067"/>
      <c r="CO1067"/>
      <c r="CP1067"/>
      <c r="CQ1067"/>
      <c r="CR1067"/>
      <c r="CS1067"/>
    </row>
    <row r="1068" spans="2:97">
      <c r="B1068"/>
      <c r="C1068" s="15"/>
      <c r="D1068" s="23"/>
      <c r="E1068" s="23"/>
      <c r="F1068" s="23"/>
      <c r="G1068" s="23">
        <f t="shared" si="78"/>
        <v>0</v>
      </c>
      <c r="H1068" s="23" t="e" cm="1">
        <f t="array" ref="H1068">INDEX('GLOBAL LOG'!#REF!,ROW()-169+15)</f>
        <v>#REF!</v>
      </c>
      <c r="I1068" s="23" t="e">
        <f>_xlfn.XLOOKUP(H1068,#REF!,#REF!,"",0,1)</f>
        <v>#REF!</v>
      </c>
      <c r="J1068" s="23" t="str">
        <f>IFERROR(I1068*#REF!,"")</f>
        <v/>
      </c>
      <c r="K1068" s="23" t="e" cm="1">
        <f t="array" ref="K1068">INDEX('GLOBAL LOG'!#REF!,ROW()-169+15)</f>
        <v>#REF!</v>
      </c>
      <c r="L1068" s="23" t="e">
        <f>_xlfn.XLOOKUP(K1068,#REF!,#REF!,"",0,1)</f>
        <v>#REF!</v>
      </c>
      <c r="M1068" s="23" t="str">
        <f>IFERROR(L1068*#REF!,"")</f>
        <v/>
      </c>
      <c r="N1068" s="23">
        <f t="shared" si="79"/>
        <v>-1</v>
      </c>
      <c r="O1068" s="23">
        <f t="shared" si="80"/>
        <v>-1</v>
      </c>
      <c r="P1068" s="23">
        <f t="shared" si="81"/>
        <v>-1</v>
      </c>
      <c r="Q1068" s="24">
        <f t="shared" si="82"/>
        <v>-1</v>
      </c>
      <c r="R1068" s="3"/>
      <c r="S1068" s="1">
        <v>0</v>
      </c>
      <c r="T1068" s="24">
        <v>-1</v>
      </c>
      <c r="U1068"/>
      <c r="V1068" s="1">
        <v>0</v>
      </c>
      <c r="W1068" s="24">
        <v>-1</v>
      </c>
      <c r="X1068"/>
      <c r="Y1068" s="1">
        <v>0</v>
      </c>
      <c r="Z1068" s="24">
        <v>-1</v>
      </c>
      <c r="AA1068"/>
      <c r="AB1068" s="1">
        <v>0</v>
      </c>
      <c r="AC1068" s="24">
        <v>-1</v>
      </c>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c r="CA1068"/>
      <c r="CB1068"/>
      <c r="CC1068"/>
      <c r="CD1068"/>
      <c r="CE1068"/>
      <c r="CF1068"/>
      <c r="CG1068"/>
      <c r="CH1068"/>
      <c r="CI1068"/>
      <c r="CJ1068"/>
      <c r="CK1068"/>
      <c r="CL1068"/>
      <c r="CM1068"/>
      <c r="CN1068"/>
      <c r="CO1068"/>
      <c r="CP1068"/>
      <c r="CQ1068"/>
      <c r="CR1068"/>
      <c r="CS1068"/>
    </row>
    <row r="1069" spans="2:97">
      <c r="B1069"/>
      <c r="C1069" s="15"/>
      <c r="D1069" s="23"/>
      <c r="E1069" s="23"/>
      <c r="F1069" s="23"/>
      <c r="G1069" s="23">
        <f t="shared" si="78"/>
        <v>0</v>
      </c>
      <c r="H1069" s="23" t="e" cm="1">
        <f t="array" ref="H1069">INDEX('GLOBAL LOG'!#REF!,ROW()-169+15)</f>
        <v>#REF!</v>
      </c>
      <c r="I1069" s="23" t="e">
        <f>_xlfn.XLOOKUP(H1069,#REF!,#REF!,"",0,1)</f>
        <v>#REF!</v>
      </c>
      <c r="J1069" s="23" t="str">
        <f>IFERROR(I1069*#REF!,"")</f>
        <v/>
      </c>
      <c r="K1069" s="23" t="e" cm="1">
        <f t="array" ref="K1069">INDEX('GLOBAL LOG'!#REF!,ROW()-169+15)</f>
        <v>#REF!</v>
      </c>
      <c r="L1069" s="23" t="e">
        <f>_xlfn.XLOOKUP(K1069,#REF!,#REF!,"",0,1)</f>
        <v>#REF!</v>
      </c>
      <c r="M1069" s="23" t="str">
        <f>IFERROR(L1069*#REF!,"")</f>
        <v/>
      </c>
      <c r="N1069" s="23">
        <f t="shared" si="79"/>
        <v>-1</v>
      </c>
      <c r="O1069" s="23">
        <f t="shared" si="80"/>
        <v>-1</v>
      </c>
      <c r="P1069" s="23">
        <f t="shared" si="81"/>
        <v>-1</v>
      </c>
      <c r="Q1069" s="24">
        <f t="shared" si="82"/>
        <v>-1</v>
      </c>
      <c r="R1069" s="3"/>
      <c r="S1069" s="1">
        <v>0</v>
      </c>
      <c r="T1069" s="24">
        <v>-1</v>
      </c>
      <c r="U1069"/>
      <c r="V1069" s="1">
        <v>0</v>
      </c>
      <c r="W1069" s="24">
        <v>-1</v>
      </c>
      <c r="X1069"/>
      <c r="Y1069" s="1">
        <v>0</v>
      </c>
      <c r="Z1069" s="24">
        <v>-1</v>
      </c>
      <c r="AA1069"/>
      <c r="AB1069" s="1">
        <v>0</v>
      </c>
      <c r="AC1069" s="24">
        <v>-1</v>
      </c>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c r="CA1069"/>
      <c r="CB1069"/>
      <c r="CC1069"/>
      <c r="CD1069"/>
      <c r="CE1069"/>
      <c r="CF1069"/>
      <c r="CG1069"/>
      <c r="CH1069"/>
      <c r="CI1069"/>
      <c r="CJ1069"/>
      <c r="CK1069"/>
      <c r="CL1069"/>
      <c r="CM1069"/>
      <c r="CN1069"/>
      <c r="CO1069"/>
      <c r="CP1069"/>
      <c r="CQ1069"/>
      <c r="CR1069"/>
      <c r="CS1069"/>
    </row>
    <row r="1070" spans="2:97">
      <c r="B1070"/>
      <c r="C1070" s="15"/>
      <c r="D1070" s="23"/>
      <c r="E1070" s="23"/>
      <c r="F1070" s="23"/>
      <c r="G1070" s="23">
        <f t="shared" si="78"/>
        <v>0</v>
      </c>
      <c r="H1070" s="23" t="e" cm="1">
        <f t="array" ref="H1070">INDEX('GLOBAL LOG'!#REF!,ROW()-169+15)</f>
        <v>#REF!</v>
      </c>
      <c r="I1070" s="23" t="e">
        <f>_xlfn.XLOOKUP(H1070,#REF!,#REF!,"",0,1)</f>
        <v>#REF!</v>
      </c>
      <c r="J1070" s="23" t="str">
        <f>IFERROR(I1070*#REF!,"")</f>
        <v/>
      </c>
      <c r="K1070" s="23" t="e" cm="1">
        <f t="array" ref="K1070">INDEX('GLOBAL LOG'!#REF!,ROW()-169+15)</f>
        <v>#REF!</v>
      </c>
      <c r="L1070" s="23" t="e">
        <f>_xlfn.XLOOKUP(K1070,#REF!,#REF!,"",0,1)</f>
        <v>#REF!</v>
      </c>
      <c r="M1070" s="23" t="str">
        <f>IFERROR(L1070*#REF!,"")</f>
        <v/>
      </c>
      <c r="N1070" s="23">
        <f t="shared" si="79"/>
        <v>-1</v>
      </c>
      <c r="O1070" s="23">
        <f t="shared" si="80"/>
        <v>-1</v>
      </c>
      <c r="P1070" s="23">
        <f t="shared" si="81"/>
        <v>-1</v>
      </c>
      <c r="Q1070" s="24">
        <f t="shared" si="82"/>
        <v>-1</v>
      </c>
      <c r="R1070" s="3"/>
      <c r="S1070" s="1">
        <v>0</v>
      </c>
      <c r="T1070" s="24">
        <v>-1</v>
      </c>
      <c r="U1070"/>
      <c r="V1070" s="1">
        <v>0</v>
      </c>
      <c r="W1070" s="24">
        <v>-1</v>
      </c>
      <c r="X1070"/>
      <c r="Y1070" s="1">
        <v>0</v>
      </c>
      <c r="Z1070" s="24">
        <v>-1</v>
      </c>
      <c r="AA1070"/>
      <c r="AB1070" s="1">
        <v>0</v>
      </c>
      <c r="AC1070" s="24">
        <v>-1</v>
      </c>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c r="CA1070"/>
      <c r="CB1070"/>
      <c r="CC1070"/>
      <c r="CD1070"/>
      <c r="CE1070"/>
      <c r="CF1070"/>
      <c r="CG1070"/>
      <c r="CH1070"/>
      <c r="CI1070"/>
      <c r="CJ1070"/>
      <c r="CK1070"/>
      <c r="CL1070"/>
      <c r="CM1070"/>
      <c r="CN1070"/>
      <c r="CO1070"/>
      <c r="CP1070"/>
      <c r="CQ1070"/>
      <c r="CR1070"/>
      <c r="CS1070"/>
    </row>
    <row r="1071" spans="2:97">
      <c r="B1071"/>
      <c r="C1071" s="15"/>
      <c r="D1071" s="23"/>
      <c r="E1071" s="23"/>
      <c r="F1071" s="23"/>
      <c r="G1071" s="23">
        <f t="shared" si="78"/>
        <v>0</v>
      </c>
      <c r="H1071" s="23" t="e" cm="1">
        <f t="array" ref="H1071">INDEX('GLOBAL LOG'!#REF!,ROW()-169+15)</f>
        <v>#REF!</v>
      </c>
      <c r="I1071" s="23" t="e">
        <f>_xlfn.XLOOKUP(H1071,#REF!,#REF!,"",0,1)</f>
        <v>#REF!</v>
      </c>
      <c r="J1071" s="23" t="str">
        <f>IFERROR(I1071*#REF!,"")</f>
        <v/>
      </c>
      <c r="K1071" s="23" t="e" cm="1">
        <f t="array" ref="K1071">INDEX('GLOBAL LOG'!#REF!,ROW()-169+15)</f>
        <v>#REF!</v>
      </c>
      <c r="L1071" s="23" t="e">
        <f>_xlfn.XLOOKUP(K1071,#REF!,#REF!,"",0,1)</f>
        <v>#REF!</v>
      </c>
      <c r="M1071" s="23" t="str">
        <f>IFERROR(L1071*#REF!,"")</f>
        <v/>
      </c>
      <c r="N1071" s="23">
        <f t="shared" si="79"/>
        <v>-1</v>
      </c>
      <c r="O1071" s="23">
        <f t="shared" si="80"/>
        <v>-1</v>
      </c>
      <c r="P1071" s="23">
        <f t="shared" si="81"/>
        <v>-1</v>
      </c>
      <c r="Q1071" s="24">
        <f t="shared" si="82"/>
        <v>-1</v>
      </c>
      <c r="R1071" s="3"/>
      <c r="S1071" s="1">
        <v>0</v>
      </c>
      <c r="T1071" s="24">
        <v>-1</v>
      </c>
      <c r="U1071"/>
      <c r="V1071" s="1">
        <v>0</v>
      </c>
      <c r="W1071" s="24">
        <v>-1</v>
      </c>
      <c r="X1071"/>
      <c r="Y1071" s="1">
        <v>0</v>
      </c>
      <c r="Z1071" s="24">
        <v>-1</v>
      </c>
      <c r="AA1071"/>
      <c r="AB1071" s="1">
        <v>0</v>
      </c>
      <c r="AC1071" s="24">
        <v>-1</v>
      </c>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c r="CA1071"/>
      <c r="CB1071"/>
      <c r="CC1071"/>
      <c r="CD1071"/>
      <c r="CE1071"/>
      <c r="CF1071"/>
      <c r="CG1071"/>
      <c r="CH1071"/>
      <c r="CI1071"/>
      <c r="CJ1071"/>
      <c r="CK1071"/>
      <c r="CL1071"/>
      <c r="CM1071"/>
      <c r="CN1071"/>
      <c r="CO1071"/>
      <c r="CP1071"/>
      <c r="CQ1071"/>
      <c r="CR1071"/>
      <c r="CS1071"/>
    </row>
    <row r="1072" spans="2:97">
      <c r="B1072"/>
      <c r="C1072" s="15"/>
      <c r="D1072" s="23"/>
      <c r="E1072" s="23"/>
      <c r="F1072" s="23"/>
      <c r="G1072" s="23">
        <f t="shared" si="78"/>
        <v>0</v>
      </c>
      <c r="H1072" s="23" t="e" cm="1">
        <f t="array" ref="H1072">INDEX('GLOBAL LOG'!#REF!,ROW()-169+15)</f>
        <v>#REF!</v>
      </c>
      <c r="I1072" s="23" t="e">
        <f>_xlfn.XLOOKUP(H1072,#REF!,#REF!,"",0,1)</f>
        <v>#REF!</v>
      </c>
      <c r="J1072" s="23" t="str">
        <f>IFERROR(I1072*#REF!,"")</f>
        <v/>
      </c>
      <c r="K1072" s="23" t="e" cm="1">
        <f t="array" ref="K1072">INDEX('GLOBAL LOG'!#REF!,ROW()-169+15)</f>
        <v>#REF!</v>
      </c>
      <c r="L1072" s="23" t="e">
        <f>_xlfn.XLOOKUP(K1072,#REF!,#REF!,"",0,1)</f>
        <v>#REF!</v>
      </c>
      <c r="M1072" s="23" t="str">
        <f>IFERROR(L1072*#REF!,"")</f>
        <v/>
      </c>
      <c r="N1072" s="23">
        <f t="shared" si="79"/>
        <v>-1</v>
      </c>
      <c r="O1072" s="23">
        <f t="shared" si="80"/>
        <v>-1</v>
      </c>
      <c r="P1072" s="23">
        <f t="shared" si="81"/>
        <v>-1</v>
      </c>
      <c r="Q1072" s="24">
        <f t="shared" si="82"/>
        <v>-1</v>
      </c>
      <c r="R1072" s="3"/>
      <c r="S1072" s="1">
        <v>0</v>
      </c>
      <c r="T1072" s="24">
        <v>-1</v>
      </c>
      <c r="U1072"/>
      <c r="V1072" s="1">
        <v>0</v>
      </c>
      <c r="W1072" s="24">
        <v>-1</v>
      </c>
      <c r="X1072"/>
      <c r="Y1072" s="1">
        <v>0</v>
      </c>
      <c r="Z1072" s="24">
        <v>-1</v>
      </c>
      <c r="AA1072"/>
      <c r="AB1072" s="1">
        <v>0</v>
      </c>
      <c r="AC1072" s="24">
        <v>-1</v>
      </c>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c r="CA1072"/>
      <c r="CB1072"/>
      <c r="CC1072"/>
      <c r="CD1072"/>
      <c r="CE1072"/>
      <c r="CF1072"/>
      <c r="CG1072"/>
      <c r="CH1072"/>
      <c r="CI1072"/>
      <c r="CJ1072"/>
      <c r="CK1072"/>
      <c r="CL1072"/>
      <c r="CM1072"/>
      <c r="CN1072"/>
      <c r="CO1072"/>
      <c r="CP1072"/>
      <c r="CQ1072"/>
      <c r="CR1072"/>
      <c r="CS1072"/>
    </row>
    <row r="1073" spans="2:97">
      <c r="B1073"/>
      <c r="C1073" s="15"/>
      <c r="D1073" s="23"/>
      <c r="E1073" s="23"/>
      <c r="F1073" s="23"/>
      <c r="G1073" s="23">
        <f t="shared" si="78"/>
        <v>0</v>
      </c>
      <c r="H1073" s="23" t="e" cm="1">
        <f t="array" ref="H1073">INDEX('GLOBAL LOG'!#REF!,ROW()-169+15)</f>
        <v>#REF!</v>
      </c>
      <c r="I1073" s="23" t="e">
        <f>_xlfn.XLOOKUP(H1073,#REF!,#REF!,"",0,1)</f>
        <v>#REF!</v>
      </c>
      <c r="J1073" s="23" t="str">
        <f>IFERROR(I1073*#REF!,"")</f>
        <v/>
      </c>
      <c r="K1073" s="23" t="e" cm="1">
        <f t="array" ref="K1073">INDEX('GLOBAL LOG'!#REF!,ROW()-169+15)</f>
        <v>#REF!</v>
      </c>
      <c r="L1073" s="23" t="e">
        <f>_xlfn.XLOOKUP(K1073,#REF!,#REF!,"",0,1)</f>
        <v>#REF!</v>
      </c>
      <c r="M1073" s="23" t="str">
        <f>IFERROR(L1073*#REF!,"")</f>
        <v/>
      </c>
      <c r="N1073" s="23">
        <f t="shared" si="79"/>
        <v>-1</v>
      </c>
      <c r="O1073" s="23">
        <f t="shared" si="80"/>
        <v>-1</v>
      </c>
      <c r="P1073" s="23">
        <f t="shared" si="81"/>
        <v>-1</v>
      </c>
      <c r="Q1073" s="24">
        <f t="shared" si="82"/>
        <v>-1</v>
      </c>
      <c r="R1073" s="3"/>
      <c r="S1073" s="1">
        <v>0</v>
      </c>
      <c r="T1073" s="24">
        <v>-1</v>
      </c>
      <c r="U1073"/>
      <c r="V1073" s="1">
        <v>0</v>
      </c>
      <c r="W1073" s="24">
        <v>-1</v>
      </c>
      <c r="X1073"/>
      <c r="Y1073" s="1">
        <v>0</v>
      </c>
      <c r="Z1073" s="24">
        <v>-1</v>
      </c>
      <c r="AA1073"/>
      <c r="AB1073" s="1">
        <v>0</v>
      </c>
      <c r="AC1073" s="24">
        <v>-1</v>
      </c>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c r="CA1073"/>
      <c r="CB1073"/>
      <c r="CC1073"/>
      <c r="CD1073"/>
      <c r="CE1073"/>
      <c r="CF1073"/>
      <c r="CG1073"/>
      <c r="CH1073"/>
      <c r="CI1073"/>
      <c r="CJ1073"/>
      <c r="CK1073"/>
      <c r="CL1073"/>
      <c r="CM1073"/>
      <c r="CN1073"/>
      <c r="CO1073"/>
      <c r="CP1073"/>
      <c r="CQ1073"/>
      <c r="CR1073"/>
      <c r="CS1073"/>
    </row>
    <row r="1074" spans="2:97">
      <c r="B1074"/>
      <c r="C1074" s="15"/>
      <c r="D1074" s="23"/>
      <c r="E1074" s="23"/>
      <c r="F1074" s="23"/>
      <c r="G1074" s="23">
        <f t="shared" si="78"/>
        <v>0</v>
      </c>
      <c r="H1074" s="23" t="e" cm="1">
        <f t="array" ref="H1074">INDEX('GLOBAL LOG'!#REF!,ROW()-169+15)</f>
        <v>#REF!</v>
      </c>
      <c r="I1074" s="23" t="e">
        <f>_xlfn.XLOOKUP(H1074,#REF!,#REF!,"",0,1)</f>
        <v>#REF!</v>
      </c>
      <c r="J1074" s="23" t="str">
        <f>IFERROR(I1074*#REF!,"")</f>
        <v/>
      </c>
      <c r="K1074" s="23" t="e" cm="1">
        <f t="array" ref="K1074">INDEX('GLOBAL LOG'!#REF!,ROW()-169+15)</f>
        <v>#REF!</v>
      </c>
      <c r="L1074" s="23" t="e">
        <f>_xlfn.XLOOKUP(K1074,#REF!,#REF!,"",0,1)</f>
        <v>#REF!</v>
      </c>
      <c r="M1074" s="23" t="str">
        <f>IFERROR(L1074*#REF!,"")</f>
        <v/>
      </c>
      <c r="N1074" s="23">
        <f t="shared" si="79"/>
        <v>-1</v>
      </c>
      <c r="O1074" s="23">
        <f t="shared" si="80"/>
        <v>-1</v>
      </c>
      <c r="P1074" s="23">
        <f t="shared" si="81"/>
        <v>-1</v>
      </c>
      <c r="Q1074" s="24">
        <f t="shared" si="82"/>
        <v>-1</v>
      </c>
      <c r="R1074" s="3"/>
      <c r="S1074" s="1">
        <v>0</v>
      </c>
      <c r="T1074" s="24">
        <v>-1</v>
      </c>
      <c r="U1074"/>
      <c r="V1074" s="1">
        <v>0</v>
      </c>
      <c r="W1074" s="24">
        <v>-1</v>
      </c>
      <c r="X1074"/>
      <c r="Y1074" s="1">
        <v>0</v>
      </c>
      <c r="Z1074" s="24">
        <v>-1</v>
      </c>
      <c r="AA1074"/>
      <c r="AB1074" s="1">
        <v>0</v>
      </c>
      <c r="AC1074" s="24">
        <v>-1</v>
      </c>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c r="CA1074"/>
      <c r="CB1074"/>
      <c r="CC1074"/>
      <c r="CD1074"/>
      <c r="CE1074"/>
      <c r="CF1074"/>
      <c r="CG1074"/>
      <c r="CH1074"/>
      <c r="CI1074"/>
      <c r="CJ1074"/>
      <c r="CK1074"/>
      <c r="CL1074"/>
      <c r="CM1074"/>
      <c r="CN1074"/>
      <c r="CO1074"/>
      <c r="CP1074"/>
      <c r="CQ1074"/>
      <c r="CR1074"/>
      <c r="CS1074"/>
    </row>
    <row r="1075" spans="2:97">
      <c r="B1075"/>
      <c r="C1075" s="15"/>
      <c r="D1075" s="23"/>
      <c r="E1075" s="23"/>
      <c r="F1075" s="23"/>
      <c r="G1075" s="23">
        <f t="shared" si="78"/>
        <v>0</v>
      </c>
      <c r="H1075" s="23" t="e" cm="1">
        <f t="array" ref="H1075">INDEX('GLOBAL LOG'!#REF!,ROW()-169+15)</f>
        <v>#REF!</v>
      </c>
      <c r="I1075" s="23" t="e">
        <f>_xlfn.XLOOKUP(H1075,#REF!,#REF!,"",0,1)</f>
        <v>#REF!</v>
      </c>
      <c r="J1075" s="23" t="str">
        <f>IFERROR(I1075*#REF!,"")</f>
        <v/>
      </c>
      <c r="K1075" s="23" t="e" cm="1">
        <f t="array" ref="K1075">INDEX('GLOBAL LOG'!#REF!,ROW()-169+15)</f>
        <v>#REF!</v>
      </c>
      <c r="L1075" s="23" t="e">
        <f>_xlfn.XLOOKUP(K1075,#REF!,#REF!,"",0,1)</f>
        <v>#REF!</v>
      </c>
      <c r="M1075" s="23" t="str">
        <f>IFERROR(L1075*#REF!,"")</f>
        <v/>
      </c>
      <c r="N1075" s="23">
        <f t="shared" si="79"/>
        <v>-1</v>
      </c>
      <c r="O1075" s="23">
        <f t="shared" si="80"/>
        <v>-1</v>
      </c>
      <c r="P1075" s="23">
        <f t="shared" si="81"/>
        <v>-1</v>
      </c>
      <c r="Q1075" s="24">
        <f t="shared" si="82"/>
        <v>-1</v>
      </c>
      <c r="R1075" s="3"/>
      <c r="S1075" s="1">
        <v>0</v>
      </c>
      <c r="T1075" s="24">
        <v>-1</v>
      </c>
      <c r="U1075"/>
      <c r="V1075" s="1">
        <v>0</v>
      </c>
      <c r="W1075" s="24">
        <v>-1</v>
      </c>
      <c r="X1075"/>
      <c r="Y1075" s="1">
        <v>0</v>
      </c>
      <c r="Z1075" s="24">
        <v>-1</v>
      </c>
      <c r="AA1075"/>
      <c r="AB1075" s="1">
        <v>0</v>
      </c>
      <c r="AC1075" s="24">
        <v>-1</v>
      </c>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c r="CA1075"/>
      <c r="CB1075"/>
      <c r="CC1075"/>
      <c r="CD1075"/>
      <c r="CE1075"/>
      <c r="CF1075"/>
      <c r="CG1075"/>
      <c r="CH1075"/>
      <c r="CI1075"/>
      <c r="CJ1075"/>
      <c r="CK1075"/>
      <c r="CL1075"/>
      <c r="CM1075"/>
      <c r="CN1075"/>
      <c r="CO1075"/>
      <c r="CP1075"/>
      <c r="CQ1075"/>
      <c r="CR1075"/>
      <c r="CS1075"/>
    </row>
    <row r="1076" spans="2:97">
      <c r="B1076"/>
      <c r="C1076" s="15"/>
      <c r="D1076" s="23"/>
      <c r="E1076" s="23"/>
      <c r="F1076" s="23"/>
      <c r="G1076" s="23">
        <f t="shared" si="78"/>
        <v>0</v>
      </c>
      <c r="H1076" s="23" t="e" cm="1">
        <f t="array" ref="H1076">INDEX('GLOBAL LOG'!#REF!,ROW()-169+15)</f>
        <v>#REF!</v>
      </c>
      <c r="I1076" s="23" t="e">
        <f>_xlfn.XLOOKUP(H1076,#REF!,#REF!,"",0,1)</f>
        <v>#REF!</v>
      </c>
      <c r="J1076" s="23" t="str">
        <f>IFERROR(I1076*#REF!,"")</f>
        <v/>
      </c>
      <c r="K1076" s="23" t="e" cm="1">
        <f t="array" ref="K1076">INDEX('GLOBAL LOG'!#REF!,ROW()-169+15)</f>
        <v>#REF!</v>
      </c>
      <c r="L1076" s="23" t="e">
        <f>_xlfn.XLOOKUP(K1076,#REF!,#REF!,"",0,1)</f>
        <v>#REF!</v>
      </c>
      <c r="M1076" s="23" t="str">
        <f>IFERROR(L1076*#REF!,"")</f>
        <v/>
      </c>
      <c r="N1076" s="23">
        <f t="shared" si="79"/>
        <v>-1</v>
      </c>
      <c r="O1076" s="23">
        <f t="shared" si="80"/>
        <v>-1</v>
      </c>
      <c r="P1076" s="23">
        <f t="shared" si="81"/>
        <v>-1</v>
      </c>
      <c r="Q1076" s="24">
        <f t="shared" si="82"/>
        <v>-1</v>
      </c>
      <c r="R1076" s="3"/>
      <c r="S1076" s="1">
        <v>0</v>
      </c>
      <c r="T1076" s="24">
        <v>-1</v>
      </c>
      <c r="U1076"/>
      <c r="V1076" s="1">
        <v>0</v>
      </c>
      <c r="W1076" s="24">
        <v>-1</v>
      </c>
      <c r="X1076"/>
      <c r="Y1076" s="1">
        <v>0</v>
      </c>
      <c r="Z1076" s="24">
        <v>-1</v>
      </c>
      <c r="AA1076"/>
      <c r="AB1076" s="1">
        <v>0</v>
      </c>
      <c r="AC1076" s="24">
        <v>-1</v>
      </c>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c r="CA1076"/>
      <c r="CB1076"/>
      <c r="CC1076"/>
      <c r="CD1076"/>
      <c r="CE1076"/>
      <c r="CF1076"/>
      <c r="CG1076"/>
      <c r="CH1076"/>
      <c r="CI1076"/>
      <c r="CJ1076"/>
      <c r="CK1076"/>
      <c r="CL1076"/>
      <c r="CM1076"/>
      <c r="CN1076"/>
      <c r="CO1076"/>
      <c r="CP1076"/>
      <c r="CQ1076"/>
      <c r="CR1076"/>
      <c r="CS1076"/>
    </row>
    <row r="1077" spans="2:97">
      <c r="B1077"/>
      <c r="C1077" s="15"/>
      <c r="D1077" s="23"/>
      <c r="E1077" s="23"/>
      <c r="F1077" s="23"/>
      <c r="G1077" s="23">
        <f t="shared" si="78"/>
        <v>0</v>
      </c>
      <c r="H1077" s="23" t="e" cm="1">
        <f t="array" ref="H1077">INDEX('GLOBAL LOG'!#REF!,ROW()-169+15)</f>
        <v>#REF!</v>
      </c>
      <c r="I1077" s="23" t="e">
        <f>_xlfn.XLOOKUP(H1077,#REF!,#REF!,"",0,1)</f>
        <v>#REF!</v>
      </c>
      <c r="J1077" s="23" t="str">
        <f>IFERROR(I1077*#REF!,"")</f>
        <v/>
      </c>
      <c r="K1077" s="23" t="e" cm="1">
        <f t="array" ref="K1077">INDEX('GLOBAL LOG'!#REF!,ROW()-169+15)</f>
        <v>#REF!</v>
      </c>
      <c r="L1077" s="23" t="e">
        <f>_xlfn.XLOOKUP(K1077,#REF!,#REF!,"",0,1)</f>
        <v>#REF!</v>
      </c>
      <c r="M1077" s="23" t="str">
        <f>IFERROR(L1077*#REF!,"")</f>
        <v/>
      </c>
      <c r="N1077" s="23">
        <f t="shared" si="79"/>
        <v>-1</v>
      </c>
      <c r="O1077" s="23">
        <f t="shared" si="80"/>
        <v>-1</v>
      </c>
      <c r="P1077" s="23">
        <f t="shared" si="81"/>
        <v>-1</v>
      </c>
      <c r="Q1077" s="24">
        <f t="shared" si="82"/>
        <v>-1</v>
      </c>
      <c r="R1077" s="3"/>
      <c r="S1077" s="1">
        <v>0</v>
      </c>
      <c r="T1077" s="24">
        <v>-1</v>
      </c>
      <c r="U1077"/>
      <c r="V1077" s="1">
        <v>0</v>
      </c>
      <c r="W1077" s="24">
        <v>-1</v>
      </c>
      <c r="X1077"/>
      <c r="Y1077" s="1">
        <v>0</v>
      </c>
      <c r="Z1077" s="24">
        <v>-1</v>
      </c>
      <c r="AA1077"/>
      <c r="AB1077" s="1">
        <v>0</v>
      </c>
      <c r="AC1077" s="24">
        <v>-1</v>
      </c>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c r="CA1077"/>
      <c r="CB1077"/>
      <c r="CC1077"/>
      <c r="CD1077"/>
      <c r="CE1077"/>
      <c r="CF1077"/>
      <c r="CG1077"/>
      <c r="CH1077"/>
      <c r="CI1077"/>
      <c r="CJ1077"/>
      <c r="CK1077"/>
      <c r="CL1077"/>
      <c r="CM1077"/>
      <c r="CN1077"/>
      <c r="CO1077"/>
      <c r="CP1077"/>
      <c r="CQ1077"/>
      <c r="CR1077"/>
      <c r="CS1077"/>
    </row>
    <row r="1078" spans="2:97">
      <c r="B1078"/>
      <c r="C1078" s="15"/>
      <c r="D1078" s="23"/>
      <c r="E1078" s="23"/>
      <c r="F1078" s="23"/>
      <c r="G1078" s="23">
        <f t="shared" si="78"/>
        <v>0</v>
      </c>
      <c r="H1078" s="23" t="e" cm="1">
        <f t="array" ref="H1078">INDEX('GLOBAL LOG'!#REF!,ROW()-169+15)</f>
        <v>#REF!</v>
      </c>
      <c r="I1078" s="23" t="e">
        <f>_xlfn.XLOOKUP(H1078,#REF!,#REF!,"",0,1)</f>
        <v>#REF!</v>
      </c>
      <c r="J1078" s="23" t="str">
        <f>IFERROR(I1078*#REF!,"")</f>
        <v/>
      </c>
      <c r="K1078" s="23" t="e" cm="1">
        <f t="array" ref="K1078">INDEX('GLOBAL LOG'!#REF!,ROW()-169+15)</f>
        <v>#REF!</v>
      </c>
      <c r="L1078" s="23" t="e">
        <f>_xlfn.XLOOKUP(K1078,#REF!,#REF!,"",0,1)</f>
        <v>#REF!</v>
      </c>
      <c r="M1078" s="23" t="str">
        <f>IFERROR(L1078*#REF!,"")</f>
        <v/>
      </c>
      <c r="N1078" s="23">
        <f t="shared" si="79"/>
        <v>-1</v>
      </c>
      <c r="O1078" s="23">
        <f t="shared" si="80"/>
        <v>-1</v>
      </c>
      <c r="P1078" s="23">
        <f t="shared" si="81"/>
        <v>-1</v>
      </c>
      <c r="Q1078" s="24">
        <f t="shared" si="82"/>
        <v>-1</v>
      </c>
      <c r="R1078" s="3"/>
      <c r="S1078" s="1">
        <v>0</v>
      </c>
      <c r="T1078" s="24">
        <v>-1</v>
      </c>
      <c r="U1078"/>
      <c r="V1078" s="1">
        <v>0</v>
      </c>
      <c r="W1078" s="24">
        <v>-1</v>
      </c>
      <c r="X1078"/>
      <c r="Y1078" s="1">
        <v>0</v>
      </c>
      <c r="Z1078" s="24">
        <v>-1</v>
      </c>
      <c r="AA1078"/>
      <c r="AB1078" s="1">
        <v>0</v>
      </c>
      <c r="AC1078" s="24">
        <v>-1</v>
      </c>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c r="CA1078"/>
      <c r="CB1078"/>
      <c r="CC1078"/>
      <c r="CD1078"/>
      <c r="CE1078"/>
      <c r="CF1078"/>
      <c r="CG1078"/>
      <c r="CH1078"/>
      <c r="CI1078"/>
      <c r="CJ1078"/>
      <c r="CK1078"/>
      <c r="CL1078"/>
      <c r="CM1078"/>
      <c r="CN1078"/>
      <c r="CO1078"/>
      <c r="CP1078"/>
      <c r="CQ1078"/>
      <c r="CR1078"/>
      <c r="CS1078"/>
    </row>
    <row r="1079" spans="2:97">
      <c r="B1079"/>
      <c r="C1079" s="15"/>
      <c r="D1079" s="23"/>
      <c r="E1079" s="23"/>
      <c r="F1079" s="23"/>
      <c r="G1079" s="23">
        <f t="shared" si="78"/>
        <v>0</v>
      </c>
      <c r="H1079" s="23" t="e" cm="1">
        <f t="array" ref="H1079">INDEX('GLOBAL LOG'!#REF!,ROW()-169+15)</f>
        <v>#REF!</v>
      </c>
      <c r="I1079" s="23" t="e">
        <f>_xlfn.XLOOKUP(H1079,#REF!,#REF!,"",0,1)</f>
        <v>#REF!</v>
      </c>
      <c r="J1079" s="23" t="str">
        <f>IFERROR(I1079*#REF!,"")</f>
        <v/>
      </c>
      <c r="K1079" s="23" t="e" cm="1">
        <f t="array" ref="K1079">INDEX('GLOBAL LOG'!#REF!,ROW()-169+15)</f>
        <v>#REF!</v>
      </c>
      <c r="L1079" s="23" t="e">
        <f>_xlfn.XLOOKUP(K1079,#REF!,#REF!,"",0,1)</f>
        <v>#REF!</v>
      </c>
      <c r="M1079" s="23" t="str">
        <f>IFERROR(L1079*#REF!,"")</f>
        <v/>
      </c>
      <c r="N1079" s="23">
        <f t="shared" si="79"/>
        <v>-1</v>
      </c>
      <c r="O1079" s="23">
        <f t="shared" si="80"/>
        <v>-1</v>
      </c>
      <c r="P1079" s="23">
        <f t="shared" si="81"/>
        <v>-1</v>
      </c>
      <c r="Q1079" s="24">
        <f t="shared" si="82"/>
        <v>-1</v>
      </c>
      <c r="R1079" s="3"/>
      <c r="S1079" s="1">
        <v>0</v>
      </c>
      <c r="T1079" s="24">
        <v>-1</v>
      </c>
      <c r="U1079"/>
      <c r="V1079" s="1">
        <v>0</v>
      </c>
      <c r="W1079" s="24">
        <v>-1</v>
      </c>
      <c r="X1079"/>
      <c r="Y1079" s="1">
        <v>0</v>
      </c>
      <c r="Z1079" s="24">
        <v>-1</v>
      </c>
      <c r="AA1079"/>
      <c r="AB1079" s="1">
        <v>0</v>
      </c>
      <c r="AC1079" s="24">
        <v>-1</v>
      </c>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c r="CA1079"/>
      <c r="CB1079"/>
      <c r="CC1079"/>
      <c r="CD1079"/>
      <c r="CE1079"/>
      <c r="CF1079"/>
      <c r="CG1079"/>
      <c r="CH1079"/>
      <c r="CI1079"/>
      <c r="CJ1079"/>
      <c r="CK1079"/>
      <c r="CL1079"/>
      <c r="CM1079"/>
      <c r="CN1079"/>
      <c r="CO1079"/>
      <c r="CP1079"/>
      <c r="CQ1079"/>
      <c r="CR1079"/>
      <c r="CS1079"/>
    </row>
    <row r="1080" spans="2:97">
      <c r="B1080"/>
      <c r="C1080" s="15"/>
      <c r="D1080" s="23"/>
      <c r="E1080" s="23"/>
      <c r="F1080" s="23"/>
      <c r="G1080" s="23">
        <f t="shared" si="78"/>
        <v>0</v>
      </c>
      <c r="H1080" s="23" t="e" cm="1">
        <f t="array" ref="H1080">INDEX('GLOBAL LOG'!#REF!,ROW()-169+15)</f>
        <v>#REF!</v>
      </c>
      <c r="I1080" s="23" t="e">
        <f>_xlfn.XLOOKUP(H1080,#REF!,#REF!,"",0,1)</f>
        <v>#REF!</v>
      </c>
      <c r="J1080" s="23" t="str">
        <f>IFERROR(I1080*#REF!,"")</f>
        <v/>
      </c>
      <c r="K1080" s="23" t="e" cm="1">
        <f t="array" ref="K1080">INDEX('GLOBAL LOG'!#REF!,ROW()-169+15)</f>
        <v>#REF!</v>
      </c>
      <c r="L1080" s="23" t="e">
        <f>_xlfn.XLOOKUP(K1080,#REF!,#REF!,"",0,1)</f>
        <v>#REF!</v>
      </c>
      <c r="M1080" s="23" t="str">
        <f>IFERROR(L1080*#REF!,"")</f>
        <v/>
      </c>
      <c r="N1080" s="23">
        <f t="shared" si="79"/>
        <v>-1</v>
      </c>
      <c r="O1080" s="23">
        <f t="shared" si="80"/>
        <v>-1</v>
      </c>
      <c r="P1080" s="23">
        <f t="shared" si="81"/>
        <v>-1</v>
      </c>
      <c r="Q1080" s="24">
        <f t="shared" si="82"/>
        <v>-1</v>
      </c>
      <c r="R1080" s="3"/>
      <c r="S1080" s="1">
        <v>0</v>
      </c>
      <c r="T1080" s="24">
        <v>-1</v>
      </c>
      <c r="U1080"/>
      <c r="V1080" s="1">
        <v>0</v>
      </c>
      <c r="W1080" s="24">
        <v>-1</v>
      </c>
      <c r="X1080"/>
      <c r="Y1080" s="1">
        <v>0</v>
      </c>
      <c r="Z1080" s="24">
        <v>-1</v>
      </c>
      <c r="AA1080"/>
      <c r="AB1080" s="1">
        <v>0</v>
      </c>
      <c r="AC1080" s="24">
        <v>-1</v>
      </c>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c r="CA1080"/>
      <c r="CB1080"/>
      <c r="CC1080"/>
      <c r="CD1080"/>
      <c r="CE1080"/>
      <c r="CF1080"/>
      <c r="CG1080"/>
      <c r="CH1080"/>
      <c r="CI1080"/>
      <c r="CJ1080"/>
      <c r="CK1080"/>
      <c r="CL1080"/>
      <c r="CM1080"/>
      <c r="CN1080"/>
      <c r="CO1080"/>
      <c r="CP1080"/>
      <c r="CQ1080"/>
      <c r="CR1080"/>
      <c r="CS1080"/>
    </row>
    <row r="1081" spans="2:97">
      <c r="B1081"/>
      <c r="C1081" s="15"/>
      <c r="D1081" s="23"/>
      <c r="E1081" s="23"/>
      <c r="F1081" s="23"/>
      <c r="G1081" s="23">
        <f t="shared" si="78"/>
        <v>0</v>
      </c>
      <c r="H1081" s="23" t="e" cm="1">
        <f t="array" ref="H1081">INDEX('GLOBAL LOG'!#REF!,ROW()-169+15)</f>
        <v>#REF!</v>
      </c>
      <c r="I1081" s="23" t="e">
        <f>_xlfn.XLOOKUP(H1081,#REF!,#REF!,"",0,1)</f>
        <v>#REF!</v>
      </c>
      <c r="J1081" s="23" t="str">
        <f>IFERROR(I1081*#REF!,"")</f>
        <v/>
      </c>
      <c r="K1081" s="23" t="e" cm="1">
        <f t="array" ref="K1081">INDEX('GLOBAL LOG'!#REF!,ROW()-169+15)</f>
        <v>#REF!</v>
      </c>
      <c r="L1081" s="23" t="e">
        <f>_xlfn.XLOOKUP(K1081,#REF!,#REF!,"",0,1)</f>
        <v>#REF!</v>
      </c>
      <c r="M1081" s="23" t="str">
        <f>IFERROR(L1081*#REF!,"")</f>
        <v/>
      </c>
      <c r="N1081" s="23">
        <f t="shared" si="79"/>
        <v>-1</v>
      </c>
      <c r="O1081" s="23">
        <f t="shared" si="80"/>
        <v>-1</v>
      </c>
      <c r="P1081" s="23">
        <f t="shared" si="81"/>
        <v>-1</v>
      </c>
      <c r="Q1081" s="24">
        <f t="shared" si="82"/>
        <v>-1</v>
      </c>
      <c r="R1081" s="3"/>
      <c r="S1081" s="1">
        <v>0</v>
      </c>
      <c r="T1081" s="24">
        <v>-1</v>
      </c>
      <c r="U1081"/>
      <c r="V1081" s="1">
        <v>0</v>
      </c>
      <c r="W1081" s="24">
        <v>-1</v>
      </c>
      <c r="X1081"/>
      <c r="Y1081" s="1">
        <v>0</v>
      </c>
      <c r="Z1081" s="24">
        <v>-1</v>
      </c>
      <c r="AA1081"/>
      <c r="AB1081" s="1">
        <v>0</v>
      </c>
      <c r="AC1081" s="24">
        <v>-1</v>
      </c>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c r="CA1081"/>
      <c r="CB1081"/>
      <c r="CC1081"/>
      <c r="CD1081"/>
      <c r="CE1081"/>
      <c r="CF1081"/>
      <c r="CG1081"/>
      <c r="CH1081"/>
      <c r="CI1081"/>
      <c r="CJ1081"/>
      <c r="CK1081"/>
      <c r="CL1081"/>
      <c r="CM1081"/>
      <c r="CN1081"/>
      <c r="CO1081"/>
      <c r="CP1081"/>
      <c r="CQ1081"/>
      <c r="CR1081"/>
      <c r="CS1081"/>
    </row>
    <row r="1082" spans="2:97">
      <c r="B1082"/>
      <c r="C1082" s="15"/>
      <c r="D1082" s="23"/>
      <c r="E1082" s="23"/>
      <c r="F1082" s="23"/>
      <c r="G1082" s="23">
        <f t="shared" si="78"/>
        <v>0</v>
      </c>
      <c r="H1082" s="23" t="e" cm="1">
        <f t="array" ref="H1082">INDEX('GLOBAL LOG'!#REF!,ROW()-169+15)</f>
        <v>#REF!</v>
      </c>
      <c r="I1082" s="23" t="e">
        <f>_xlfn.XLOOKUP(H1082,#REF!,#REF!,"",0,1)</f>
        <v>#REF!</v>
      </c>
      <c r="J1082" s="23" t="str">
        <f>IFERROR(I1082*#REF!,"")</f>
        <v/>
      </c>
      <c r="K1082" s="23" t="e" cm="1">
        <f t="array" ref="K1082">INDEX('GLOBAL LOG'!#REF!,ROW()-169+15)</f>
        <v>#REF!</v>
      </c>
      <c r="L1082" s="23" t="e">
        <f>_xlfn.XLOOKUP(K1082,#REF!,#REF!,"",0,1)</f>
        <v>#REF!</v>
      </c>
      <c r="M1082" s="23" t="str">
        <f>IFERROR(L1082*#REF!,"")</f>
        <v/>
      </c>
      <c r="N1082" s="23">
        <f t="shared" si="79"/>
        <v>-1</v>
      </c>
      <c r="O1082" s="23">
        <f t="shared" si="80"/>
        <v>-1</v>
      </c>
      <c r="P1082" s="23">
        <f t="shared" si="81"/>
        <v>-1</v>
      </c>
      <c r="Q1082" s="24">
        <f t="shared" si="82"/>
        <v>-1</v>
      </c>
      <c r="R1082" s="3"/>
      <c r="S1082" s="1">
        <v>0</v>
      </c>
      <c r="T1082" s="24">
        <v>-1</v>
      </c>
      <c r="U1082"/>
      <c r="V1082" s="1">
        <v>0</v>
      </c>
      <c r="W1082" s="24">
        <v>-1</v>
      </c>
      <c r="X1082"/>
      <c r="Y1082" s="1">
        <v>0</v>
      </c>
      <c r="Z1082" s="24">
        <v>-1</v>
      </c>
      <c r="AA1082"/>
      <c r="AB1082" s="1">
        <v>0</v>
      </c>
      <c r="AC1082" s="24">
        <v>-1</v>
      </c>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c r="CA1082"/>
      <c r="CB1082"/>
      <c r="CC1082"/>
      <c r="CD1082"/>
      <c r="CE1082"/>
      <c r="CF1082"/>
      <c r="CG1082"/>
      <c r="CH1082"/>
      <c r="CI1082"/>
      <c r="CJ1082"/>
      <c r="CK1082"/>
      <c r="CL1082"/>
      <c r="CM1082"/>
      <c r="CN1082"/>
      <c r="CO1082"/>
      <c r="CP1082"/>
      <c r="CQ1082"/>
      <c r="CR1082"/>
      <c r="CS1082"/>
    </row>
    <row r="1083" spans="2:97">
      <c r="B1083"/>
      <c r="C1083" s="15"/>
      <c r="D1083" s="23"/>
      <c r="E1083" s="23"/>
      <c r="F1083" s="23"/>
      <c r="G1083" s="23">
        <f t="shared" si="78"/>
        <v>0</v>
      </c>
      <c r="H1083" s="23" t="e" cm="1">
        <f t="array" ref="H1083">INDEX('GLOBAL LOG'!#REF!,ROW()-169+15)</f>
        <v>#REF!</v>
      </c>
      <c r="I1083" s="23" t="e">
        <f>_xlfn.XLOOKUP(H1083,#REF!,#REF!,"",0,1)</f>
        <v>#REF!</v>
      </c>
      <c r="J1083" s="23" t="str">
        <f>IFERROR(I1083*#REF!,"")</f>
        <v/>
      </c>
      <c r="K1083" s="23" t="e" cm="1">
        <f t="array" ref="K1083">INDEX('GLOBAL LOG'!#REF!,ROW()-169+15)</f>
        <v>#REF!</v>
      </c>
      <c r="L1083" s="23" t="e">
        <f>_xlfn.XLOOKUP(K1083,#REF!,#REF!,"",0,1)</f>
        <v>#REF!</v>
      </c>
      <c r="M1083" s="23" t="str">
        <f>IFERROR(L1083*#REF!,"")</f>
        <v/>
      </c>
      <c r="N1083" s="23">
        <f t="shared" si="79"/>
        <v>-1</v>
      </c>
      <c r="O1083" s="23">
        <f t="shared" si="80"/>
        <v>-1</v>
      </c>
      <c r="P1083" s="23">
        <f t="shared" si="81"/>
        <v>-1</v>
      </c>
      <c r="Q1083" s="24">
        <f t="shared" si="82"/>
        <v>-1</v>
      </c>
      <c r="R1083" s="3"/>
      <c r="S1083" s="1">
        <v>0</v>
      </c>
      <c r="T1083" s="24">
        <v>-1</v>
      </c>
      <c r="U1083"/>
      <c r="V1083" s="1">
        <v>0</v>
      </c>
      <c r="W1083" s="24">
        <v>-1</v>
      </c>
      <c r="X1083"/>
      <c r="Y1083" s="1">
        <v>0</v>
      </c>
      <c r="Z1083" s="24">
        <v>-1</v>
      </c>
      <c r="AA1083"/>
      <c r="AB1083" s="1">
        <v>0</v>
      </c>
      <c r="AC1083" s="24">
        <v>-1</v>
      </c>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c r="CA1083"/>
      <c r="CB1083"/>
      <c r="CC1083"/>
      <c r="CD1083"/>
      <c r="CE1083"/>
      <c r="CF1083"/>
      <c r="CG1083"/>
      <c r="CH1083"/>
      <c r="CI1083"/>
      <c r="CJ1083"/>
      <c r="CK1083"/>
      <c r="CL1083"/>
      <c r="CM1083"/>
      <c r="CN1083"/>
      <c r="CO1083"/>
      <c r="CP1083"/>
      <c r="CQ1083"/>
      <c r="CR1083"/>
      <c r="CS1083"/>
    </row>
    <row r="1084" spans="2:97">
      <c r="B1084"/>
      <c r="C1084" s="15"/>
      <c r="D1084" s="23"/>
      <c r="E1084" s="23"/>
      <c r="F1084" s="23"/>
      <c r="G1084" s="23">
        <f t="shared" si="78"/>
        <v>0</v>
      </c>
      <c r="H1084" s="23" t="e" cm="1">
        <f t="array" ref="H1084">INDEX('GLOBAL LOG'!#REF!,ROW()-169+15)</f>
        <v>#REF!</v>
      </c>
      <c r="I1084" s="23" t="e">
        <f>_xlfn.XLOOKUP(H1084,#REF!,#REF!,"",0,1)</f>
        <v>#REF!</v>
      </c>
      <c r="J1084" s="23" t="str">
        <f>IFERROR(I1084*#REF!,"")</f>
        <v/>
      </c>
      <c r="K1084" s="23" t="e" cm="1">
        <f t="array" ref="K1084">INDEX('GLOBAL LOG'!#REF!,ROW()-169+15)</f>
        <v>#REF!</v>
      </c>
      <c r="L1084" s="23" t="e">
        <f>_xlfn.XLOOKUP(K1084,#REF!,#REF!,"",0,1)</f>
        <v>#REF!</v>
      </c>
      <c r="M1084" s="23" t="str">
        <f>IFERROR(L1084*#REF!,"")</f>
        <v/>
      </c>
      <c r="N1084" s="23">
        <f t="shared" si="79"/>
        <v>-1</v>
      </c>
      <c r="O1084" s="23">
        <f t="shared" si="80"/>
        <v>-1</v>
      </c>
      <c r="P1084" s="23">
        <f t="shared" si="81"/>
        <v>-1</v>
      </c>
      <c r="Q1084" s="24">
        <f t="shared" si="82"/>
        <v>-1</v>
      </c>
      <c r="R1084" s="3"/>
      <c r="S1084" s="1">
        <v>0</v>
      </c>
      <c r="T1084" s="24">
        <v>-1</v>
      </c>
      <c r="U1084"/>
      <c r="V1084" s="1">
        <v>0</v>
      </c>
      <c r="W1084" s="24">
        <v>-1</v>
      </c>
      <c r="X1084"/>
      <c r="Y1084" s="1">
        <v>0</v>
      </c>
      <c r="Z1084" s="24">
        <v>-1</v>
      </c>
      <c r="AA1084"/>
      <c r="AB1084" s="1">
        <v>0</v>
      </c>
      <c r="AC1084" s="24">
        <v>-1</v>
      </c>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c r="CA1084"/>
      <c r="CB1084"/>
      <c r="CC1084"/>
      <c r="CD1084"/>
      <c r="CE1084"/>
      <c r="CF1084"/>
      <c r="CG1084"/>
      <c r="CH1084"/>
      <c r="CI1084"/>
      <c r="CJ1084"/>
      <c r="CK1084"/>
      <c r="CL1084"/>
      <c r="CM1084"/>
      <c r="CN1084"/>
      <c r="CO1084"/>
      <c r="CP1084"/>
      <c r="CQ1084"/>
      <c r="CR1084"/>
      <c r="CS1084"/>
    </row>
    <row r="1085" spans="2:97">
      <c r="B1085"/>
      <c r="C1085" s="15"/>
      <c r="D1085" s="23"/>
      <c r="E1085" s="23"/>
      <c r="F1085" s="23"/>
      <c r="G1085" s="23">
        <f t="shared" si="78"/>
        <v>0</v>
      </c>
      <c r="H1085" s="23" t="e" cm="1">
        <f t="array" ref="H1085">INDEX('GLOBAL LOG'!#REF!,ROW()-169+15)</f>
        <v>#REF!</v>
      </c>
      <c r="I1085" s="23" t="e">
        <f>_xlfn.XLOOKUP(H1085,#REF!,#REF!,"",0,1)</f>
        <v>#REF!</v>
      </c>
      <c r="J1085" s="23" t="str">
        <f>IFERROR(I1085*#REF!,"")</f>
        <v/>
      </c>
      <c r="K1085" s="23" t="e" cm="1">
        <f t="array" ref="K1085">INDEX('GLOBAL LOG'!#REF!,ROW()-169+15)</f>
        <v>#REF!</v>
      </c>
      <c r="L1085" s="23" t="e">
        <f>_xlfn.XLOOKUP(K1085,#REF!,#REF!,"",0,1)</f>
        <v>#REF!</v>
      </c>
      <c r="M1085" s="23" t="str">
        <f>IFERROR(L1085*#REF!,"")</f>
        <v/>
      </c>
      <c r="N1085" s="23">
        <f t="shared" si="79"/>
        <v>-1</v>
      </c>
      <c r="O1085" s="23">
        <f t="shared" si="80"/>
        <v>-1</v>
      </c>
      <c r="P1085" s="23">
        <f t="shared" si="81"/>
        <v>-1</v>
      </c>
      <c r="Q1085" s="24">
        <f t="shared" si="82"/>
        <v>-1</v>
      </c>
      <c r="R1085" s="3"/>
      <c r="S1085" s="1">
        <v>0</v>
      </c>
      <c r="T1085" s="24">
        <v>-1</v>
      </c>
      <c r="U1085"/>
      <c r="V1085" s="1">
        <v>0</v>
      </c>
      <c r="W1085" s="24">
        <v>-1</v>
      </c>
      <c r="X1085"/>
      <c r="Y1085" s="1">
        <v>0</v>
      </c>
      <c r="Z1085" s="24">
        <v>-1</v>
      </c>
      <c r="AA1085"/>
      <c r="AB1085" s="1">
        <v>0</v>
      </c>
      <c r="AC1085" s="24">
        <v>-1</v>
      </c>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c r="CA1085"/>
      <c r="CB1085"/>
      <c r="CC1085"/>
      <c r="CD1085"/>
      <c r="CE1085"/>
      <c r="CF1085"/>
      <c r="CG1085"/>
      <c r="CH1085"/>
      <c r="CI1085"/>
      <c r="CJ1085"/>
      <c r="CK1085"/>
      <c r="CL1085"/>
      <c r="CM1085"/>
      <c r="CN1085"/>
      <c r="CO1085"/>
      <c r="CP1085"/>
      <c r="CQ1085"/>
      <c r="CR1085"/>
      <c r="CS1085"/>
    </row>
    <row r="1086" spans="2:97">
      <c r="B1086"/>
      <c r="C1086" s="15"/>
      <c r="D1086" s="23"/>
      <c r="E1086" s="23"/>
      <c r="F1086" s="23"/>
      <c r="G1086" s="23">
        <f t="shared" si="78"/>
        <v>0</v>
      </c>
      <c r="H1086" s="23" t="e" cm="1">
        <f t="array" ref="H1086">INDEX('GLOBAL LOG'!#REF!,ROW()-169+15)</f>
        <v>#REF!</v>
      </c>
      <c r="I1086" s="23" t="e">
        <f>_xlfn.XLOOKUP(H1086,#REF!,#REF!,"",0,1)</f>
        <v>#REF!</v>
      </c>
      <c r="J1086" s="23" t="str">
        <f>IFERROR(I1086*#REF!,"")</f>
        <v/>
      </c>
      <c r="K1086" s="23" t="e" cm="1">
        <f t="array" ref="K1086">INDEX('GLOBAL LOG'!#REF!,ROW()-169+15)</f>
        <v>#REF!</v>
      </c>
      <c r="L1086" s="23" t="e">
        <f>_xlfn.XLOOKUP(K1086,#REF!,#REF!,"",0,1)</f>
        <v>#REF!</v>
      </c>
      <c r="M1086" s="23" t="str">
        <f>IFERROR(L1086*#REF!,"")</f>
        <v/>
      </c>
      <c r="N1086" s="23">
        <f t="shared" si="79"/>
        <v>-1</v>
      </c>
      <c r="O1086" s="23">
        <f t="shared" si="80"/>
        <v>-1</v>
      </c>
      <c r="P1086" s="23">
        <f t="shared" si="81"/>
        <v>-1</v>
      </c>
      <c r="Q1086" s="24">
        <f t="shared" si="82"/>
        <v>-1</v>
      </c>
      <c r="R1086" s="3"/>
      <c r="S1086" s="1">
        <v>0</v>
      </c>
      <c r="T1086" s="24">
        <v>-1</v>
      </c>
      <c r="U1086"/>
      <c r="V1086" s="1">
        <v>0</v>
      </c>
      <c r="W1086" s="24">
        <v>-1</v>
      </c>
      <c r="X1086"/>
      <c r="Y1086" s="1">
        <v>0</v>
      </c>
      <c r="Z1086" s="24">
        <v>-1</v>
      </c>
      <c r="AA1086"/>
      <c r="AB1086" s="1">
        <v>0</v>
      </c>
      <c r="AC1086" s="24">
        <v>-1</v>
      </c>
      <c r="AD1086"/>
      <c r="AE1086"/>
      <c r="AF1086"/>
      <c r="AG1086"/>
      <c r="AH1086"/>
      <c r="AI1086"/>
      <c r="AJ1086"/>
      <c r="AK1086"/>
      <c r="AL1086"/>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c r="CA1086"/>
      <c r="CB1086"/>
      <c r="CC1086"/>
      <c r="CD1086"/>
      <c r="CE1086"/>
      <c r="CF1086"/>
      <c r="CG1086"/>
      <c r="CH1086"/>
      <c r="CI1086"/>
      <c r="CJ1086"/>
      <c r="CK1086"/>
      <c r="CL1086"/>
      <c r="CM1086"/>
      <c r="CN1086"/>
      <c r="CO1086"/>
      <c r="CP1086"/>
      <c r="CQ1086"/>
      <c r="CR1086"/>
      <c r="CS1086"/>
    </row>
    <row r="1087" spans="2:97">
      <c r="B1087"/>
      <c r="C1087" s="15"/>
      <c r="D1087" s="23"/>
      <c r="E1087" s="23"/>
      <c r="F1087" s="23"/>
      <c r="G1087" s="23">
        <f t="shared" si="78"/>
        <v>0</v>
      </c>
      <c r="H1087" s="23" t="e" cm="1">
        <f t="array" ref="H1087">INDEX('GLOBAL LOG'!#REF!,ROW()-169+15)</f>
        <v>#REF!</v>
      </c>
      <c r="I1087" s="23" t="e">
        <f>_xlfn.XLOOKUP(H1087,#REF!,#REF!,"",0,1)</f>
        <v>#REF!</v>
      </c>
      <c r="J1087" s="23" t="str">
        <f>IFERROR(I1087*#REF!,"")</f>
        <v/>
      </c>
      <c r="K1087" s="23" t="e" cm="1">
        <f t="array" ref="K1087">INDEX('GLOBAL LOG'!#REF!,ROW()-169+15)</f>
        <v>#REF!</v>
      </c>
      <c r="L1087" s="23" t="e">
        <f>_xlfn.XLOOKUP(K1087,#REF!,#REF!,"",0,1)</f>
        <v>#REF!</v>
      </c>
      <c r="M1087" s="23" t="str">
        <f>IFERROR(L1087*#REF!,"")</f>
        <v/>
      </c>
      <c r="N1087" s="23">
        <f t="shared" si="79"/>
        <v>-1</v>
      </c>
      <c r="O1087" s="23">
        <f t="shared" si="80"/>
        <v>-1</v>
      </c>
      <c r="P1087" s="23">
        <f t="shared" si="81"/>
        <v>-1</v>
      </c>
      <c r="Q1087" s="24">
        <f t="shared" si="82"/>
        <v>-1</v>
      </c>
      <c r="R1087" s="3"/>
      <c r="S1087" s="1">
        <v>0</v>
      </c>
      <c r="T1087" s="24">
        <v>-1</v>
      </c>
      <c r="U1087"/>
      <c r="V1087" s="1">
        <v>0</v>
      </c>
      <c r="W1087" s="24">
        <v>-1</v>
      </c>
      <c r="X1087"/>
      <c r="Y1087" s="1">
        <v>0</v>
      </c>
      <c r="Z1087" s="24">
        <v>-1</v>
      </c>
      <c r="AA1087"/>
      <c r="AB1087" s="1">
        <v>0</v>
      </c>
      <c r="AC1087" s="24">
        <v>-1</v>
      </c>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c r="CA1087"/>
      <c r="CB1087"/>
      <c r="CC1087"/>
      <c r="CD1087"/>
      <c r="CE1087"/>
      <c r="CF1087"/>
      <c r="CG1087"/>
      <c r="CH1087"/>
      <c r="CI1087"/>
      <c r="CJ1087"/>
      <c r="CK1087"/>
      <c r="CL1087"/>
      <c r="CM1087"/>
      <c r="CN1087"/>
      <c r="CO1087"/>
      <c r="CP1087"/>
      <c r="CQ1087"/>
      <c r="CR1087"/>
      <c r="CS1087"/>
    </row>
    <row r="1088" spans="2:97">
      <c r="B1088"/>
      <c r="C1088" s="15"/>
      <c r="D1088" s="23"/>
      <c r="E1088" s="23"/>
      <c r="F1088" s="23"/>
      <c r="G1088" s="23">
        <f t="shared" si="78"/>
        <v>0</v>
      </c>
      <c r="H1088" s="23" t="e" cm="1">
        <f t="array" ref="H1088">INDEX('GLOBAL LOG'!#REF!,ROW()-169+15)</f>
        <v>#REF!</v>
      </c>
      <c r="I1088" s="23" t="e">
        <f>_xlfn.XLOOKUP(H1088,#REF!,#REF!,"",0,1)</f>
        <v>#REF!</v>
      </c>
      <c r="J1088" s="23" t="str">
        <f>IFERROR(I1088*#REF!,"")</f>
        <v/>
      </c>
      <c r="K1088" s="23" t="e" cm="1">
        <f t="array" ref="K1088">INDEX('GLOBAL LOG'!#REF!,ROW()-169+15)</f>
        <v>#REF!</v>
      </c>
      <c r="L1088" s="23" t="e">
        <f>_xlfn.XLOOKUP(K1088,#REF!,#REF!,"",0,1)</f>
        <v>#REF!</v>
      </c>
      <c r="M1088" s="23" t="str">
        <f>IFERROR(L1088*#REF!,"")</f>
        <v/>
      </c>
      <c r="N1088" s="23">
        <f t="shared" si="79"/>
        <v>-1</v>
      </c>
      <c r="O1088" s="23">
        <f t="shared" si="80"/>
        <v>-1</v>
      </c>
      <c r="P1088" s="23">
        <f t="shared" si="81"/>
        <v>-1</v>
      </c>
      <c r="Q1088" s="24">
        <f t="shared" si="82"/>
        <v>-1</v>
      </c>
      <c r="R1088" s="3"/>
      <c r="S1088" s="1">
        <v>0</v>
      </c>
      <c r="T1088" s="24">
        <v>-1</v>
      </c>
      <c r="U1088"/>
      <c r="V1088" s="1">
        <v>0</v>
      </c>
      <c r="W1088" s="24">
        <v>-1</v>
      </c>
      <c r="X1088"/>
      <c r="Y1088" s="1">
        <v>0</v>
      </c>
      <c r="Z1088" s="24">
        <v>-1</v>
      </c>
      <c r="AA1088"/>
      <c r="AB1088" s="1">
        <v>0</v>
      </c>
      <c r="AC1088" s="24">
        <v>-1</v>
      </c>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c r="CA1088"/>
      <c r="CB1088"/>
      <c r="CC1088"/>
      <c r="CD1088"/>
      <c r="CE1088"/>
      <c r="CF1088"/>
      <c r="CG1088"/>
      <c r="CH1088"/>
      <c r="CI1088"/>
      <c r="CJ1088"/>
      <c r="CK1088"/>
      <c r="CL1088"/>
      <c r="CM1088"/>
      <c r="CN1088"/>
      <c r="CO1088"/>
      <c r="CP1088"/>
      <c r="CQ1088"/>
      <c r="CR1088"/>
      <c r="CS1088"/>
    </row>
    <row r="1089" spans="2:97">
      <c r="B1089"/>
      <c r="C1089" s="15"/>
      <c r="D1089" s="23"/>
      <c r="E1089" s="23"/>
      <c r="F1089" s="23"/>
      <c r="G1089" s="23">
        <f t="shared" si="78"/>
        <v>0</v>
      </c>
      <c r="H1089" s="23" t="e" cm="1">
        <f t="array" ref="H1089">INDEX('GLOBAL LOG'!#REF!,ROW()-169+15)</f>
        <v>#REF!</v>
      </c>
      <c r="I1089" s="23" t="e">
        <f>_xlfn.XLOOKUP(H1089,#REF!,#REF!,"",0,1)</f>
        <v>#REF!</v>
      </c>
      <c r="J1089" s="23" t="str">
        <f>IFERROR(I1089*#REF!,"")</f>
        <v/>
      </c>
      <c r="K1089" s="23" t="e" cm="1">
        <f t="array" ref="K1089">INDEX('GLOBAL LOG'!#REF!,ROW()-169+15)</f>
        <v>#REF!</v>
      </c>
      <c r="L1089" s="23" t="e">
        <f>_xlfn.XLOOKUP(K1089,#REF!,#REF!,"",0,1)</f>
        <v>#REF!</v>
      </c>
      <c r="M1089" s="23" t="str">
        <f>IFERROR(L1089*#REF!,"")</f>
        <v/>
      </c>
      <c r="N1089" s="23">
        <f t="shared" si="79"/>
        <v>-1</v>
      </c>
      <c r="O1089" s="23">
        <f t="shared" si="80"/>
        <v>-1</v>
      </c>
      <c r="P1089" s="23">
        <f t="shared" si="81"/>
        <v>-1</v>
      </c>
      <c r="Q1089" s="24">
        <f t="shared" si="82"/>
        <v>-1</v>
      </c>
      <c r="R1089" s="3"/>
      <c r="S1089" s="1">
        <v>0</v>
      </c>
      <c r="T1089" s="24">
        <v>-1</v>
      </c>
      <c r="U1089"/>
      <c r="V1089" s="1">
        <v>0</v>
      </c>
      <c r="W1089" s="24">
        <v>-1</v>
      </c>
      <c r="X1089"/>
      <c r="Y1089" s="1">
        <v>0</v>
      </c>
      <c r="Z1089" s="24">
        <v>-1</v>
      </c>
      <c r="AA1089"/>
      <c r="AB1089" s="1">
        <v>0</v>
      </c>
      <c r="AC1089" s="24">
        <v>-1</v>
      </c>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c r="CA1089"/>
      <c r="CB1089"/>
      <c r="CC1089"/>
      <c r="CD1089"/>
      <c r="CE1089"/>
      <c r="CF1089"/>
      <c r="CG1089"/>
      <c r="CH1089"/>
      <c r="CI1089"/>
      <c r="CJ1089"/>
      <c r="CK1089"/>
      <c r="CL1089"/>
      <c r="CM1089"/>
      <c r="CN1089"/>
      <c r="CO1089"/>
      <c r="CP1089"/>
      <c r="CQ1089"/>
      <c r="CR1089"/>
      <c r="CS1089"/>
    </row>
    <row r="1090" spans="2:97">
      <c r="B1090"/>
      <c r="C1090" s="15"/>
      <c r="D1090" s="23"/>
      <c r="E1090" s="23"/>
      <c r="F1090" s="23"/>
      <c r="G1090" s="23">
        <f t="shared" si="78"/>
        <v>0</v>
      </c>
      <c r="H1090" s="23" t="e" cm="1">
        <f t="array" ref="H1090">INDEX('GLOBAL LOG'!#REF!,ROW()-169+15)</f>
        <v>#REF!</v>
      </c>
      <c r="I1090" s="23" t="e">
        <f>_xlfn.XLOOKUP(H1090,#REF!,#REF!,"",0,1)</f>
        <v>#REF!</v>
      </c>
      <c r="J1090" s="23" t="str">
        <f>IFERROR(I1090*#REF!,"")</f>
        <v/>
      </c>
      <c r="K1090" s="23" t="e" cm="1">
        <f t="array" ref="K1090">INDEX('GLOBAL LOG'!#REF!,ROW()-169+15)</f>
        <v>#REF!</v>
      </c>
      <c r="L1090" s="23" t="e">
        <f>_xlfn.XLOOKUP(K1090,#REF!,#REF!,"",0,1)</f>
        <v>#REF!</v>
      </c>
      <c r="M1090" s="23" t="str">
        <f>IFERROR(L1090*#REF!,"")</f>
        <v/>
      </c>
      <c r="N1090" s="23">
        <f t="shared" si="79"/>
        <v>-1</v>
      </c>
      <c r="O1090" s="23">
        <f t="shared" si="80"/>
        <v>-1</v>
      </c>
      <c r="P1090" s="23">
        <f t="shared" si="81"/>
        <v>-1</v>
      </c>
      <c r="Q1090" s="24">
        <f t="shared" si="82"/>
        <v>-1</v>
      </c>
      <c r="R1090" s="3"/>
      <c r="S1090" s="1">
        <v>0</v>
      </c>
      <c r="T1090" s="24">
        <v>-1</v>
      </c>
      <c r="U1090"/>
      <c r="V1090" s="1">
        <v>0</v>
      </c>
      <c r="W1090" s="24">
        <v>-1</v>
      </c>
      <c r="X1090"/>
      <c r="Y1090" s="1">
        <v>0</v>
      </c>
      <c r="Z1090" s="24">
        <v>-1</v>
      </c>
      <c r="AA1090"/>
      <c r="AB1090" s="1">
        <v>0</v>
      </c>
      <c r="AC1090" s="24">
        <v>-1</v>
      </c>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c r="CA1090"/>
      <c r="CB1090"/>
      <c r="CC1090"/>
      <c r="CD1090"/>
      <c r="CE1090"/>
      <c r="CF1090"/>
      <c r="CG1090"/>
      <c r="CH1090"/>
      <c r="CI1090"/>
      <c r="CJ1090"/>
      <c r="CK1090"/>
      <c r="CL1090"/>
      <c r="CM1090"/>
      <c r="CN1090"/>
      <c r="CO1090"/>
      <c r="CP1090"/>
      <c r="CQ1090"/>
      <c r="CR1090"/>
      <c r="CS1090"/>
    </row>
    <row r="1091" spans="2:97">
      <c r="B1091"/>
      <c r="C1091" s="15"/>
      <c r="D1091" s="23"/>
      <c r="E1091" s="23"/>
      <c r="F1091" s="23"/>
      <c r="G1091" s="23">
        <f t="shared" si="78"/>
        <v>0</v>
      </c>
      <c r="H1091" s="23" t="e" cm="1">
        <f t="array" ref="H1091">INDEX('GLOBAL LOG'!#REF!,ROW()-169+15)</f>
        <v>#REF!</v>
      </c>
      <c r="I1091" s="23" t="e">
        <f>_xlfn.XLOOKUP(H1091,#REF!,#REF!,"",0,1)</f>
        <v>#REF!</v>
      </c>
      <c r="J1091" s="23" t="str">
        <f>IFERROR(I1091*#REF!,"")</f>
        <v/>
      </c>
      <c r="K1091" s="23" t="e" cm="1">
        <f t="array" ref="K1091">INDEX('GLOBAL LOG'!#REF!,ROW()-169+15)</f>
        <v>#REF!</v>
      </c>
      <c r="L1091" s="23" t="e">
        <f>_xlfn.XLOOKUP(K1091,#REF!,#REF!,"",0,1)</f>
        <v>#REF!</v>
      </c>
      <c r="M1091" s="23" t="str">
        <f>IFERROR(L1091*#REF!,"")</f>
        <v/>
      </c>
      <c r="N1091" s="23">
        <f t="shared" si="79"/>
        <v>-1</v>
      </c>
      <c r="O1091" s="23">
        <f t="shared" si="80"/>
        <v>-1</v>
      </c>
      <c r="P1091" s="23">
        <f t="shared" si="81"/>
        <v>-1</v>
      </c>
      <c r="Q1091" s="24">
        <f t="shared" si="82"/>
        <v>-1</v>
      </c>
      <c r="R1091" s="3"/>
      <c r="S1091" s="1">
        <v>0</v>
      </c>
      <c r="T1091" s="24">
        <v>-1</v>
      </c>
      <c r="U1091"/>
      <c r="V1091" s="1">
        <v>0</v>
      </c>
      <c r="W1091" s="24">
        <v>-1</v>
      </c>
      <c r="X1091"/>
      <c r="Y1091" s="1">
        <v>0</v>
      </c>
      <c r="Z1091" s="24">
        <v>-1</v>
      </c>
      <c r="AA1091"/>
      <c r="AB1091" s="1">
        <v>0</v>
      </c>
      <c r="AC1091" s="24">
        <v>-1</v>
      </c>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c r="CA1091"/>
      <c r="CB1091"/>
      <c r="CC1091"/>
      <c r="CD1091"/>
      <c r="CE1091"/>
      <c r="CF1091"/>
      <c r="CG1091"/>
      <c r="CH1091"/>
      <c r="CI1091"/>
      <c r="CJ1091"/>
      <c r="CK1091"/>
      <c r="CL1091"/>
      <c r="CM1091"/>
      <c r="CN1091"/>
      <c r="CO1091"/>
      <c r="CP1091"/>
      <c r="CQ1091"/>
      <c r="CR1091"/>
      <c r="CS1091"/>
    </row>
    <row r="1092" spans="2:97">
      <c r="B1092"/>
      <c r="C1092" s="15"/>
      <c r="D1092" s="23"/>
      <c r="E1092" s="23"/>
      <c r="F1092" s="23"/>
      <c r="G1092" s="23">
        <f t="shared" si="78"/>
        <v>0</v>
      </c>
      <c r="H1092" s="23" t="e" cm="1">
        <f t="array" ref="H1092">INDEX('GLOBAL LOG'!#REF!,ROW()-169+15)</f>
        <v>#REF!</v>
      </c>
      <c r="I1092" s="23" t="e">
        <f>_xlfn.XLOOKUP(H1092,#REF!,#REF!,"",0,1)</f>
        <v>#REF!</v>
      </c>
      <c r="J1092" s="23" t="str">
        <f>IFERROR(I1092*#REF!,"")</f>
        <v/>
      </c>
      <c r="K1092" s="23" t="e" cm="1">
        <f t="array" ref="K1092">INDEX('GLOBAL LOG'!#REF!,ROW()-169+15)</f>
        <v>#REF!</v>
      </c>
      <c r="L1092" s="23" t="e">
        <f>_xlfn.XLOOKUP(K1092,#REF!,#REF!,"",0,1)</f>
        <v>#REF!</v>
      </c>
      <c r="M1092" s="23" t="str">
        <f>IFERROR(L1092*#REF!,"")</f>
        <v/>
      </c>
      <c r="N1092" s="23">
        <f t="shared" si="79"/>
        <v>-1</v>
      </c>
      <c r="O1092" s="23">
        <f t="shared" si="80"/>
        <v>-1</v>
      </c>
      <c r="P1092" s="23">
        <f t="shared" si="81"/>
        <v>-1</v>
      </c>
      <c r="Q1092" s="24">
        <f t="shared" si="82"/>
        <v>-1</v>
      </c>
      <c r="R1092" s="3"/>
      <c r="S1092" s="1">
        <v>0</v>
      </c>
      <c r="T1092" s="24">
        <v>-1</v>
      </c>
      <c r="U1092"/>
      <c r="V1092" s="1">
        <v>0</v>
      </c>
      <c r="W1092" s="24">
        <v>-1</v>
      </c>
      <c r="X1092"/>
      <c r="Y1092" s="1">
        <v>0</v>
      </c>
      <c r="Z1092" s="24">
        <v>-1</v>
      </c>
      <c r="AA1092"/>
      <c r="AB1092" s="1">
        <v>0</v>
      </c>
      <c r="AC1092" s="24">
        <v>-1</v>
      </c>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c r="CA1092"/>
      <c r="CB1092"/>
      <c r="CC1092"/>
      <c r="CD1092"/>
      <c r="CE1092"/>
      <c r="CF1092"/>
      <c r="CG1092"/>
      <c r="CH1092"/>
      <c r="CI1092"/>
      <c r="CJ1092"/>
      <c r="CK1092"/>
      <c r="CL1092"/>
      <c r="CM1092"/>
      <c r="CN1092"/>
      <c r="CO1092"/>
      <c r="CP1092"/>
      <c r="CQ1092"/>
      <c r="CR1092"/>
      <c r="CS1092"/>
    </row>
    <row r="1093" spans="2:97">
      <c r="B1093"/>
      <c r="C1093" s="15"/>
      <c r="D1093" s="23"/>
      <c r="E1093" s="23"/>
      <c r="F1093" s="23"/>
      <c r="G1093" s="23">
        <f t="shared" si="78"/>
        <v>0</v>
      </c>
      <c r="H1093" s="23" t="e" cm="1">
        <f t="array" ref="H1093">INDEX('GLOBAL LOG'!#REF!,ROW()-169+15)</f>
        <v>#REF!</v>
      </c>
      <c r="I1093" s="23" t="e">
        <f>_xlfn.XLOOKUP(H1093,#REF!,#REF!,"",0,1)</f>
        <v>#REF!</v>
      </c>
      <c r="J1093" s="23" t="str">
        <f>IFERROR(I1093*#REF!,"")</f>
        <v/>
      </c>
      <c r="K1093" s="23" t="e" cm="1">
        <f t="array" ref="K1093">INDEX('GLOBAL LOG'!#REF!,ROW()-169+15)</f>
        <v>#REF!</v>
      </c>
      <c r="L1093" s="23" t="e">
        <f>_xlfn.XLOOKUP(K1093,#REF!,#REF!,"",0,1)</f>
        <v>#REF!</v>
      </c>
      <c r="M1093" s="23" t="str">
        <f>IFERROR(L1093*#REF!,"")</f>
        <v/>
      </c>
      <c r="N1093" s="23">
        <f t="shared" si="79"/>
        <v>-1</v>
      </c>
      <c r="O1093" s="23">
        <f t="shared" si="80"/>
        <v>-1</v>
      </c>
      <c r="P1093" s="23">
        <f t="shared" si="81"/>
        <v>-1</v>
      </c>
      <c r="Q1093" s="24">
        <f t="shared" si="82"/>
        <v>-1</v>
      </c>
      <c r="R1093" s="3"/>
      <c r="S1093" s="1">
        <v>0</v>
      </c>
      <c r="T1093" s="24">
        <v>-1</v>
      </c>
      <c r="U1093"/>
      <c r="V1093" s="1">
        <v>0</v>
      </c>
      <c r="W1093" s="24">
        <v>-1</v>
      </c>
      <c r="X1093"/>
      <c r="Y1093" s="1">
        <v>0</v>
      </c>
      <c r="Z1093" s="24">
        <v>-1</v>
      </c>
      <c r="AA1093"/>
      <c r="AB1093" s="1">
        <v>0</v>
      </c>
      <c r="AC1093" s="24">
        <v>-1</v>
      </c>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c r="CA1093"/>
      <c r="CB1093"/>
      <c r="CC1093"/>
      <c r="CD1093"/>
      <c r="CE1093"/>
      <c r="CF1093"/>
      <c r="CG1093"/>
      <c r="CH1093"/>
      <c r="CI1093"/>
      <c r="CJ1093"/>
      <c r="CK1093"/>
      <c r="CL1093"/>
      <c r="CM1093"/>
      <c r="CN1093"/>
      <c r="CO1093"/>
      <c r="CP1093"/>
      <c r="CQ1093"/>
      <c r="CR1093"/>
      <c r="CS1093"/>
    </row>
    <row r="1094" spans="2:97">
      <c r="B1094"/>
      <c r="C1094" s="15"/>
      <c r="D1094" s="23"/>
      <c r="E1094" s="23"/>
      <c r="F1094" s="23"/>
      <c r="G1094" s="23">
        <f t="shared" si="78"/>
        <v>0</v>
      </c>
      <c r="H1094" s="23" t="e" cm="1">
        <f t="array" ref="H1094">INDEX('GLOBAL LOG'!#REF!,ROW()-169+15)</f>
        <v>#REF!</v>
      </c>
      <c r="I1094" s="23" t="e">
        <f>_xlfn.XLOOKUP(H1094,#REF!,#REF!,"",0,1)</f>
        <v>#REF!</v>
      </c>
      <c r="J1094" s="23" t="str">
        <f>IFERROR(I1094*#REF!,"")</f>
        <v/>
      </c>
      <c r="K1094" s="23" t="e" cm="1">
        <f t="array" ref="K1094">INDEX('GLOBAL LOG'!#REF!,ROW()-169+15)</f>
        <v>#REF!</v>
      </c>
      <c r="L1094" s="23" t="e">
        <f>_xlfn.XLOOKUP(K1094,#REF!,#REF!,"",0,1)</f>
        <v>#REF!</v>
      </c>
      <c r="M1094" s="23" t="str">
        <f>IFERROR(L1094*#REF!,"")</f>
        <v/>
      </c>
      <c r="N1094" s="23">
        <f t="shared" si="79"/>
        <v>-1</v>
      </c>
      <c r="O1094" s="23">
        <f t="shared" si="80"/>
        <v>-1</v>
      </c>
      <c r="P1094" s="23">
        <f t="shared" si="81"/>
        <v>-1</v>
      </c>
      <c r="Q1094" s="24">
        <f t="shared" si="82"/>
        <v>-1</v>
      </c>
      <c r="R1094" s="3"/>
      <c r="S1094" s="1">
        <v>0</v>
      </c>
      <c r="T1094" s="24">
        <v>-1</v>
      </c>
      <c r="U1094"/>
      <c r="V1094" s="1">
        <v>0</v>
      </c>
      <c r="W1094" s="24">
        <v>-1</v>
      </c>
      <c r="X1094"/>
      <c r="Y1094" s="1">
        <v>0</v>
      </c>
      <c r="Z1094" s="24">
        <v>-1</v>
      </c>
      <c r="AA1094"/>
      <c r="AB1094" s="1">
        <v>0</v>
      </c>
      <c r="AC1094" s="24">
        <v>-1</v>
      </c>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c r="CA1094"/>
      <c r="CB1094"/>
      <c r="CC1094"/>
      <c r="CD1094"/>
      <c r="CE1094"/>
      <c r="CF1094"/>
      <c r="CG1094"/>
      <c r="CH1094"/>
      <c r="CI1094"/>
      <c r="CJ1094"/>
      <c r="CK1094"/>
      <c r="CL1094"/>
      <c r="CM1094"/>
      <c r="CN1094"/>
      <c r="CO1094"/>
      <c r="CP1094"/>
      <c r="CQ1094"/>
      <c r="CR1094"/>
      <c r="CS1094"/>
    </row>
    <row r="1095" spans="2:97">
      <c r="B1095"/>
      <c r="C1095" s="15"/>
      <c r="D1095" s="23"/>
      <c r="E1095" s="23"/>
      <c r="F1095" s="23"/>
      <c r="G1095" s="23">
        <f t="shared" si="78"/>
        <v>0</v>
      </c>
      <c r="H1095" s="23" t="e" cm="1">
        <f t="array" ref="H1095">INDEX('GLOBAL LOG'!#REF!,ROW()-169+15)</f>
        <v>#REF!</v>
      </c>
      <c r="I1095" s="23" t="e">
        <f>_xlfn.XLOOKUP(H1095,#REF!,#REF!,"",0,1)</f>
        <v>#REF!</v>
      </c>
      <c r="J1095" s="23" t="str">
        <f>IFERROR(I1095*#REF!,"")</f>
        <v/>
      </c>
      <c r="K1095" s="23" t="e" cm="1">
        <f t="array" ref="K1095">INDEX('GLOBAL LOG'!#REF!,ROW()-169+15)</f>
        <v>#REF!</v>
      </c>
      <c r="L1095" s="23" t="e">
        <f>_xlfn.XLOOKUP(K1095,#REF!,#REF!,"",0,1)</f>
        <v>#REF!</v>
      </c>
      <c r="M1095" s="23" t="str">
        <f>IFERROR(L1095*#REF!,"")</f>
        <v/>
      </c>
      <c r="N1095" s="23">
        <f t="shared" si="79"/>
        <v>-1</v>
      </c>
      <c r="O1095" s="23">
        <f t="shared" si="80"/>
        <v>-1</v>
      </c>
      <c r="P1095" s="23">
        <f t="shared" si="81"/>
        <v>-1</v>
      </c>
      <c r="Q1095" s="24">
        <f t="shared" si="82"/>
        <v>-1</v>
      </c>
      <c r="R1095" s="3"/>
      <c r="S1095" s="1">
        <v>0</v>
      </c>
      <c r="T1095" s="24">
        <v>-1</v>
      </c>
      <c r="U1095"/>
      <c r="V1095" s="1">
        <v>0</v>
      </c>
      <c r="W1095" s="24">
        <v>-1</v>
      </c>
      <c r="X1095"/>
      <c r="Y1095" s="1">
        <v>0</v>
      </c>
      <c r="Z1095" s="24">
        <v>-1</v>
      </c>
      <c r="AA1095"/>
      <c r="AB1095" s="1">
        <v>0</v>
      </c>
      <c r="AC1095" s="24">
        <v>-1</v>
      </c>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c r="CA1095"/>
      <c r="CB1095"/>
      <c r="CC1095"/>
      <c r="CD1095"/>
      <c r="CE1095"/>
      <c r="CF1095"/>
      <c r="CG1095"/>
      <c r="CH1095"/>
      <c r="CI1095"/>
      <c r="CJ1095"/>
      <c r="CK1095"/>
      <c r="CL1095"/>
      <c r="CM1095"/>
      <c r="CN1095"/>
      <c r="CO1095"/>
      <c r="CP1095"/>
      <c r="CQ1095"/>
      <c r="CR1095"/>
      <c r="CS1095"/>
    </row>
    <row r="1096" spans="2:97">
      <c r="B1096"/>
      <c r="C1096" s="15"/>
      <c r="D1096" s="23"/>
      <c r="E1096" s="23"/>
      <c r="F1096" s="23"/>
      <c r="G1096" s="23">
        <f t="shared" si="78"/>
        <v>0</v>
      </c>
      <c r="H1096" s="23" t="e" cm="1">
        <f t="array" ref="H1096">INDEX('GLOBAL LOG'!#REF!,ROW()-169+15)</f>
        <v>#REF!</v>
      </c>
      <c r="I1096" s="23" t="e">
        <f>_xlfn.XLOOKUP(H1096,#REF!,#REF!,"",0,1)</f>
        <v>#REF!</v>
      </c>
      <c r="J1096" s="23" t="str">
        <f>IFERROR(I1096*#REF!,"")</f>
        <v/>
      </c>
      <c r="K1096" s="23" t="e" cm="1">
        <f t="array" ref="K1096">INDEX('GLOBAL LOG'!#REF!,ROW()-169+15)</f>
        <v>#REF!</v>
      </c>
      <c r="L1096" s="23" t="e">
        <f>_xlfn.XLOOKUP(K1096,#REF!,#REF!,"",0,1)</f>
        <v>#REF!</v>
      </c>
      <c r="M1096" s="23" t="str">
        <f>IFERROR(L1096*#REF!,"")</f>
        <v/>
      </c>
      <c r="N1096" s="23">
        <f t="shared" si="79"/>
        <v>-1</v>
      </c>
      <c r="O1096" s="23">
        <f t="shared" si="80"/>
        <v>-1</v>
      </c>
      <c r="P1096" s="23">
        <f t="shared" si="81"/>
        <v>-1</v>
      </c>
      <c r="Q1096" s="24">
        <f t="shared" si="82"/>
        <v>-1</v>
      </c>
      <c r="R1096" s="3"/>
      <c r="S1096" s="1">
        <v>0</v>
      </c>
      <c r="T1096" s="24">
        <v>-1</v>
      </c>
      <c r="U1096"/>
      <c r="V1096" s="1">
        <v>0</v>
      </c>
      <c r="W1096" s="24">
        <v>-1</v>
      </c>
      <c r="X1096"/>
      <c r="Y1096" s="1">
        <v>0</v>
      </c>
      <c r="Z1096" s="24">
        <v>-1</v>
      </c>
      <c r="AA1096"/>
      <c r="AB1096" s="1">
        <v>0</v>
      </c>
      <c r="AC1096" s="24">
        <v>-1</v>
      </c>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c r="CA1096"/>
      <c r="CB1096"/>
      <c r="CC1096"/>
      <c r="CD1096"/>
      <c r="CE1096"/>
      <c r="CF1096"/>
      <c r="CG1096"/>
      <c r="CH1096"/>
      <c r="CI1096"/>
      <c r="CJ1096"/>
      <c r="CK1096"/>
      <c r="CL1096"/>
      <c r="CM1096"/>
      <c r="CN1096"/>
      <c r="CO1096"/>
      <c r="CP1096"/>
      <c r="CQ1096"/>
      <c r="CR1096"/>
      <c r="CS1096"/>
    </row>
    <row r="1097" spans="2:97">
      <c r="B1097"/>
      <c r="C1097" s="15"/>
      <c r="D1097" s="23"/>
      <c r="E1097" s="23"/>
      <c r="F1097" s="23"/>
      <c r="G1097" s="23">
        <f t="shared" si="78"/>
        <v>0</v>
      </c>
      <c r="H1097" s="23" t="e" cm="1">
        <f t="array" ref="H1097">INDEX('GLOBAL LOG'!#REF!,ROW()-169+15)</f>
        <v>#REF!</v>
      </c>
      <c r="I1097" s="23" t="e">
        <f>_xlfn.XLOOKUP(H1097,#REF!,#REF!,"",0,1)</f>
        <v>#REF!</v>
      </c>
      <c r="J1097" s="23" t="str">
        <f>IFERROR(I1097*#REF!,"")</f>
        <v/>
      </c>
      <c r="K1097" s="23" t="e" cm="1">
        <f t="array" ref="K1097">INDEX('GLOBAL LOG'!#REF!,ROW()-169+15)</f>
        <v>#REF!</v>
      </c>
      <c r="L1097" s="23" t="e">
        <f>_xlfn.XLOOKUP(K1097,#REF!,#REF!,"",0,1)</f>
        <v>#REF!</v>
      </c>
      <c r="M1097" s="23" t="str">
        <f>IFERROR(L1097*#REF!,"")</f>
        <v/>
      </c>
      <c r="N1097" s="23">
        <f t="shared" si="79"/>
        <v>-1</v>
      </c>
      <c r="O1097" s="23">
        <f t="shared" si="80"/>
        <v>-1</v>
      </c>
      <c r="P1097" s="23">
        <f t="shared" si="81"/>
        <v>-1</v>
      </c>
      <c r="Q1097" s="24">
        <f t="shared" si="82"/>
        <v>-1</v>
      </c>
      <c r="R1097" s="3"/>
      <c r="S1097" s="1">
        <v>0</v>
      </c>
      <c r="T1097" s="24">
        <v>-1</v>
      </c>
      <c r="U1097"/>
      <c r="V1097" s="1">
        <v>0</v>
      </c>
      <c r="W1097" s="24">
        <v>-1</v>
      </c>
      <c r="X1097"/>
      <c r="Y1097" s="1">
        <v>0</v>
      </c>
      <c r="Z1097" s="24">
        <v>-1</v>
      </c>
      <c r="AA1097"/>
      <c r="AB1097" s="1">
        <v>0</v>
      </c>
      <c r="AC1097" s="24">
        <v>-1</v>
      </c>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c r="CA1097"/>
      <c r="CB1097"/>
      <c r="CC1097"/>
      <c r="CD1097"/>
      <c r="CE1097"/>
      <c r="CF1097"/>
      <c r="CG1097"/>
      <c r="CH1097"/>
      <c r="CI1097"/>
      <c r="CJ1097"/>
      <c r="CK1097"/>
      <c r="CL1097"/>
      <c r="CM1097"/>
      <c r="CN1097"/>
      <c r="CO1097"/>
      <c r="CP1097"/>
      <c r="CQ1097"/>
      <c r="CR1097"/>
      <c r="CS1097"/>
    </row>
    <row r="1098" spans="2:97">
      <c r="B1098"/>
      <c r="C1098" s="15"/>
      <c r="D1098" s="23"/>
      <c r="E1098" s="23"/>
      <c r="F1098" s="23"/>
      <c r="G1098" s="23">
        <f t="shared" si="78"/>
        <v>0</v>
      </c>
      <c r="H1098" s="23" t="e" cm="1">
        <f t="array" ref="H1098">INDEX('GLOBAL LOG'!#REF!,ROW()-169+15)</f>
        <v>#REF!</v>
      </c>
      <c r="I1098" s="23" t="e">
        <f>_xlfn.XLOOKUP(H1098,#REF!,#REF!,"",0,1)</f>
        <v>#REF!</v>
      </c>
      <c r="J1098" s="23" t="str">
        <f>IFERROR(I1098*#REF!,"")</f>
        <v/>
      </c>
      <c r="K1098" s="23" t="e" cm="1">
        <f t="array" ref="K1098">INDEX('GLOBAL LOG'!#REF!,ROW()-169+15)</f>
        <v>#REF!</v>
      </c>
      <c r="L1098" s="23" t="e">
        <f>_xlfn.XLOOKUP(K1098,#REF!,#REF!,"",0,1)</f>
        <v>#REF!</v>
      </c>
      <c r="M1098" s="23" t="str">
        <f>IFERROR(L1098*#REF!,"")</f>
        <v/>
      </c>
      <c r="N1098" s="23">
        <f t="shared" si="79"/>
        <v>-1</v>
      </c>
      <c r="O1098" s="23">
        <f t="shared" si="80"/>
        <v>-1</v>
      </c>
      <c r="P1098" s="23">
        <f t="shared" si="81"/>
        <v>-1</v>
      </c>
      <c r="Q1098" s="24">
        <f t="shared" si="82"/>
        <v>-1</v>
      </c>
      <c r="R1098" s="3"/>
      <c r="S1098" s="1">
        <v>0</v>
      </c>
      <c r="T1098" s="24">
        <v>-1</v>
      </c>
      <c r="U1098"/>
      <c r="V1098" s="1">
        <v>0</v>
      </c>
      <c r="W1098" s="24">
        <v>-1</v>
      </c>
      <c r="X1098"/>
      <c r="Y1098" s="1">
        <v>0</v>
      </c>
      <c r="Z1098" s="24">
        <v>-1</v>
      </c>
      <c r="AA1098"/>
      <c r="AB1098" s="1">
        <v>0</v>
      </c>
      <c r="AC1098" s="24">
        <v>-1</v>
      </c>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c r="CA1098"/>
      <c r="CB1098"/>
      <c r="CC1098"/>
      <c r="CD1098"/>
      <c r="CE1098"/>
      <c r="CF1098"/>
      <c r="CG1098"/>
      <c r="CH1098"/>
      <c r="CI1098"/>
      <c r="CJ1098"/>
      <c r="CK1098"/>
      <c r="CL1098"/>
      <c r="CM1098"/>
      <c r="CN1098"/>
      <c r="CO1098"/>
      <c r="CP1098"/>
      <c r="CQ1098"/>
      <c r="CR1098"/>
      <c r="CS1098"/>
    </row>
    <row r="1099" spans="2:97">
      <c r="B1099"/>
      <c r="C1099" s="15"/>
      <c r="D1099" s="23"/>
      <c r="E1099" s="23"/>
      <c r="F1099" s="23"/>
      <c r="G1099" s="23">
        <f t="shared" si="78"/>
        <v>0</v>
      </c>
      <c r="H1099" s="23" t="e" cm="1">
        <f t="array" ref="H1099">INDEX('GLOBAL LOG'!#REF!,ROW()-169+15)</f>
        <v>#REF!</v>
      </c>
      <c r="I1099" s="23" t="e">
        <f>_xlfn.XLOOKUP(H1099,#REF!,#REF!,"",0,1)</f>
        <v>#REF!</v>
      </c>
      <c r="J1099" s="23" t="str">
        <f>IFERROR(I1099*#REF!,"")</f>
        <v/>
      </c>
      <c r="K1099" s="23" t="e" cm="1">
        <f t="array" ref="K1099">INDEX('GLOBAL LOG'!#REF!,ROW()-169+15)</f>
        <v>#REF!</v>
      </c>
      <c r="L1099" s="23" t="e">
        <f>_xlfn.XLOOKUP(K1099,#REF!,#REF!,"",0,1)</f>
        <v>#REF!</v>
      </c>
      <c r="M1099" s="23" t="str">
        <f>IFERROR(L1099*#REF!,"")</f>
        <v/>
      </c>
      <c r="N1099" s="23">
        <f t="shared" si="79"/>
        <v>-1</v>
      </c>
      <c r="O1099" s="23">
        <f t="shared" si="80"/>
        <v>-1</v>
      </c>
      <c r="P1099" s="23">
        <f t="shared" si="81"/>
        <v>-1</v>
      </c>
      <c r="Q1099" s="24">
        <f t="shared" si="82"/>
        <v>-1</v>
      </c>
      <c r="R1099" s="3"/>
      <c r="S1099" s="1">
        <v>0</v>
      </c>
      <c r="T1099" s="24">
        <v>-1</v>
      </c>
      <c r="U1099"/>
      <c r="V1099" s="1">
        <v>0</v>
      </c>
      <c r="W1099" s="24">
        <v>-1</v>
      </c>
      <c r="X1099"/>
      <c r="Y1099" s="1">
        <v>0</v>
      </c>
      <c r="Z1099" s="24">
        <v>-1</v>
      </c>
      <c r="AA1099"/>
      <c r="AB1099" s="1">
        <v>0</v>
      </c>
      <c r="AC1099" s="24">
        <v>-1</v>
      </c>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c r="CA1099"/>
      <c r="CB1099"/>
      <c r="CC1099"/>
      <c r="CD1099"/>
      <c r="CE1099"/>
      <c r="CF1099"/>
      <c r="CG1099"/>
      <c r="CH1099"/>
      <c r="CI1099"/>
      <c r="CJ1099"/>
      <c r="CK1099"/>
      <c r="CL1099"/>
      <c r="CM1099"/>
      <c r="CN1099"/>
      <c r="CO1099"/>
      <c r="CP1099"/>
      <c r="CQ1099"/>
      <c r="CR1099"/>
      <c r="CS1099"/>
    </row>
    <row r="1100" spans="2:97">
      <c r="B1100"/>
      <c r="C1100" s="15"/>
      <c r="D1100" s="23"/>
      <c r="E1100" s="23"/>
      <c r="F1100" s="23"/>
      <c r="G1100" s="23">
        <f t="shared" si="78"/>
        <v>0</v>
      </c>
      <c r="H1100" s="23" t="e" cm="1">
        <f t="array" ref="H1100">INDEX('GLOBAL LOG'!#REF!,ROW()-169+15)</f>
        <v>#REF!</v>
      </c>
      <c r="I1100" s="23" t="e">
        <f>_xlfn.XLOOKUP(H1100,#REF!,#REF!,"",0,1)</f>
        <v>#REF!</v>
      </c>
      <c r="J1100" s="23" t="str">
        <f>IFERROR(I1100*#REF!,"")</f>
        <v/>
      </c>
      <c r="K1100" s="23" t="e" cm="1">
        <f t="array" ref="K1100">INDEX('GLOBAL LOG'!#REF!,ROW()-169+15)</f>
        <v>#REF!</v>
      </c>
      <c r="L1100" s="23" t="e">
        <f>_xlfn.XLOOKUP(K1100,#REF!,#REF!,"",0,1)</f>
        <v>#REF!</v>
      </c>
      <c r="M1100" s="23" t="str">
        <f>IFERROR(L1100*#REF!,"")</f>
        <v/>
      </c>
      <c r="N1100" s="23">
        <f t="shared" si="79"/>
        <v>-1</v>
      </c>
      <c r="O1100" s="23">
        <f t="shared" si="80"/>
        <v>-1</v>
      </c>
      <c r="P1100" s="23">
        <f t="shared" si="81"/>
        <v>-1</v>
      </c>
      <c r="Q1100" s="24">
        <f t="shared" si="82"/>
        <v>-1</v>
      </c>
      <c r="R1100" s="3"/>
      <c r="S1100" s="1">
        <v>0</v>
      </c>
      <c r="T1100" s="24">
        <v>-1</v>
      </c>
      <c r="U1100"/>
      <c r="V1100" s="1">
        <v>0</v>
      </c>
      <c r="W1100" s="24">
        <v>-1</v>
      </c>
      <c r="X1100"/>
      <c r="Y1100" s="1">
        <v>0</v>
      </c>
      <c r="Z1100" s="24">
        <v>-1</v>
      </c>
      <c r="AA1100"/>
      <c r="AB1100" s="1">
        <v>0</v>
      </c>
      <c r="AC1100" s="24">
        <v>-1</v>
      </c>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c r="CA1100"/>
      <c r="CB1100"/>
      <c r="CC1100"/>
      <c r="CD1100"/>
      <c r="CE1100"/>
      <c r="CF1100"/>
      <c r="CG1100"/>
      <c r="CH1100"/>
      <c r="CI1100"/>
      <c r="CJ1100"/>
      <c r="CK1100"/>
      <c r="CL1100"/>
      <c r="CM1100"/>
      <c r="CN1100"/>
      <c r="CO1100"/>
      <c r="CP1100"/>
      <c r="CQ1100"/>
      <c r="CR1100"/>
      <c r="CS1100"/>
    </row>
    <row r="1101" spans="2:97">
      <c r="B1101"/>
      <c r="C1101" s="15"/>
      <c r="D1101" s="23"/>
      <c r="E1101" s="23"/>
      <c r="F1101" s="23"/>
      <c r="G1101" s="23">
        <f t="shared" si="78"/>
        <v>0</v>
      </c>
      <c r="H1101" s="23" t="e" cm="1">
        <f t="array" ref="H1101">INDEX('GLOBAL LOG'!#REF!,ROW()-169+15)</f>
        <v>#REF!</v>
      </c>
      <c r="I1101" s="23" t="e">
        <f>_xlfn.XLOOKUP(H1101,#REF!,#REF!,"",0,1)</f>
        <v>#REF!</v>
      </c>
      <c r="J1101" s="23" t="str">
        <f>IFERROR(I1101*#REF!,"")</f>
        <v/>
      </c>
      <c r="K1101" s="23" t="e" cm="1">
        <f t="array" ref="K1101">INDEX('GLOBAL LOG'!#REF!,ROW()-169+15)</f>
        <v>#REF!</v>
      </c>
      <c r="L1101" s="23" t="e">
        <f>_xlfn.XLOOKUP(K1101,#REF!,#REF!,"",0,1)</f>
        <v>#REF!</v>
      </c>
      <c r="M1101" s="23" t="str">
        <f>IFERROR(L1101*#REF!,"")</f>
        <v/>
      </c>
      <c r="N1101" s="23">
        <f t="shared" si="79"/>
        <v>-1</v>
      </c>
      <c r="O1101" s="23">
        <f t="shared" si="80"/>
        <v>-1</v>
      </c>
      <c r="P1101" s="23">
        <f t="shared" si="81"/>
        <v>-1</v>
      </c>
      <c r="Q1101" s="24">
        <f t="shared" si="82"/>
        <v>-1</v>
      </c>
      <c r="R1101" s="3"/>
      <c r="S1101" s="1">
        <v>0</v>
      </c>
      <c r="T1101" s="24">
        <v>-1</v>
      </c>
      <c r="U1101"/>
      <c r="V1101" s="1">
        <v>0</v>
      </c>
      <c r="W1101" s="24">
        <v>-1</v>
      </c>
      <c r="X1101"/>
      <c r="Y1101" s="1">
        <v>0</v>
      </c>
      <c r="Z1101" s="24">
        <v>-1</v>
      </c>
      <c r="AA1101"/>
      <c r="AB1101" s="1">
        <v>0</v>
      </c>
      <c r="AC1101" s="24">
        <v>-1</v>
      </c>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c r="CA1101"/>
      <c r="CB1101"/>
      <c r="CC1101"/>
      <c r="CD1101"/>
      <c r="CE1101"/>
      <c r="CF1101"/>
      <c r="CG1101"/>
      <c r="CH1101"/>
      <c r="CI1101"/>
      <c r="CJ1101"/>
      <c r="CK1101"/>
      <c r="CL1101"/>
      <c r="CM1101"/>
      <c r="CN1101"/>
      <c r="CO1101"/>
      <c r="CP1101"/>
      <c r="CQ1101"/>
      <c r="CR1101"/>
      <c r="CS1101"/>
    </row>
    <row r="1102" spans="2:97">
      <c r="B1102"/>
      <c r="C1102" s="15"/>
      <c r="D1102" s="23"/>
      <c r="E1102" s="23"/>
      <c r="F1102" s="23"/>
      <c r="G1102" s="23">
        <f t="shared" si="78"/>
        <v>0</v>
      </c>
      <c r="H1102" s="23" t="e" cm="1">
        <f t="array" ref="H1102">INDEX('GLOBAL LOG'!#REF!,ROW()-169+15)</f>
        <v>#REF!</v>
      </c>
      <c r="I1102" s="23" t="e">
        <f>_xlfn.XLOOKUP(H1102,#REF!,#REF!,"",0,1)</f>
        <v>#REF!</v>
      </c>
      <c r="J1102" s="23" t="str">
        <f>IFERROR(I1102*#REF!,"")</f>
        <v/>
      </c>
      <c r="K1102" s="23" t="e" cm="1">
        <f t="array" ref="K1102">INDEX('GLOBAL LOG'!#REF!,ROW()-169+15)</f>
        <v>#REF!</v>
      </c>
      <c r="L1102" s="23" t="e">
        <f>_xlfn.XLOOKUP(K1102,#REF!,#REF!,"",0,1)</f>
        <v>#REF!</v>
      </c>
      <c r="M1102" s="23" t="str">
        <f>IFERROR(L1102*#REF!,"")</f>
        <v/>
      </c>
      <c r="N1102" s="23">
        <f t="shared" si="79"/>
        <v>-1</v>
      </c>
      <c r="O1102" s="23">
        <f t="shared" si="80"/>
        <v>-1</v>
      </c>
      <c r="P1102" s="23">
        <f t="shared" si="81"/>
        <v>-1</v>
      </c>
      <c r="Q1102" s="24">
        <f t="shared" si="82"/>
        <v>-1</v>
      </c>
      <c r="R1102" s="3"/>
      <c r="S1102" s="1">
        <v>0</v>
      </c>
      <c r="T1102" s="24">
        <v>-1</v>
      </c>
      <c r="U1102"/>
      <c r="V1102" s="1">
        <v>0</v>
      </c>
      <c r="W1102" s="24">
        <v>-1</v>
      </c>
      <c r="X1102"/>
      <c r="Y1102" s="1">
        <v>0</v>
      </c>
      <c r="Z1102" s="24">
        <v>-1</v>
      </c>
      <c r="AA1102"/>
      <c r="AB1102" s="1">
        <v>0</v>
      </c>
      <c r="AC1102" s="24">
        <v>-1</v>
      </c>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c r="CA1102"/>
      <c r="CB1102"/>
      <c r="CC1102"/>
      <c r="CD1102"/>
      <c r="CE1102"/>
      <c r="CF1102"/>
      <c r="CG1102"/>
      <c r="CH1102"/>
      <c r="CI1102"/>
      <c r="CJ1102"/>
      <c r="CK1102"/>
      <c r="CL1102"/>
      <c r="CM1102"/>
      <c r="CN1102"/>
      <c r="CO1102"/>
      <c r="CP1102"/>
      <c r="CQ1102"/>
      <c r="CR1102"/>
      <c r="CS1102"/>
    </row>
    <row r="1103" spans="2:97">
      <c r="B1103"/>
      <c r="C1103" s="15"/>
      <c r="D1103" s="23"/>
      <c r="E1103" s="23"/>
      <c r="F1103" s="23"/>
      <c r="G1103" s="23">
        <f t="shared" si="78"/>
        <v>0</v>
      </c>
      <c r="H1103" s="23" t="e" cm="1">
        <f t="array" ref="H1103">INDEX('GLOBAL LOG'!#REF!,ROW()-169+15)</f>
        <v>#REF!</v>
      </c>
      <c r="I1103" s="23" t="e">
        <f>_xlfn.XLOOKUP(H1103,#REF!,#REF!,"",0,1)</f>
        <v>#REF!</v>
      </c>
      <c r="J1103" s="23" t="str">
        <f>IFERROR(I1103*#REF!,"")</f>
        <v/>
      </c>
      <c r="K1103" s="23" t="e" cm="1">
        <f t="array" ref="K1103">INDEX('GLOBAL LOG'!#REF!,ROW()-169+15)</f>
        <v>#REF!</v>
      </c>
      <c r="L1103" s="23" t="e">
        <f>_xlfn.XLOOKUP(K1103,#REF!,#REF!,"",0,1)</f>
        <v>#REF!</v>
      </c>
      <c r="M1103" s="23" t="str">
        <f>IFERROR(L1103*#REF!,"")</f>
        <v/>
      </c>
      <c r="N1103" s="23">
        <f t="shared" si="79"/>
        <v>-1</v>
      </c>
      <c r="O1103" s="23">
        <f t="shared" si="80"/>
        <v>-1</v>
      </c>
      <c r="P1103" s="23">
        <f t="shared" si="81"/>
        <v>-1</v>
      </c>
      <c r="Q1103" s="24">
        <f t="shared" si="82"/>
        <v>-1</v>
      </c>
      <c r="R1103" s="3"/>
      <c r="S1103" s="1">
        <v>0</v>
      </c>
      <c r="T1103" s="24">
        <v>-1</v>
      </c>
      <c r="U1103"/>
      <c r="V1103" s="1">
        <v>0</v>
      </c>
      <c r="W1103" s="24">
        <v>-1</v>
      </c>
      <c r="X1103"/>
      <c r="Y1103" s="1">
        <v>0</v>
      </c>
      <c r="Z1103" s="24">
        <v>-1</v>
      </c>
      <c r="AA1103"/>
      <c r="AB1103" s="1">
        <v>0</v>
      </c>
      <c r="AC1103" s="24">
        <v>-1</v>
      </c>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c r="CA1103"/>
      <c r="CB1103"/>
      <c r="CC1103"/>
      <c r="CD1103"/>
      <c r="CE1103"/>
      <c r="CF1103"/>
      <c r="CG1103"/>
      <c r="CH1103"/>
      <c r="CI1103"/>
      <c r="CJ1103"/>
      <c r="CK1103"/>
      <c r="CL1103"/>
      <c r="CM1103"/>
      <c r="CN1103"/>
      <c r="CO1103"/>
      <c r="CP1103"/>
      <c r="CQ1103"/>
      <c r="CR1103"/>
      <c r="CS1103"/>
    </row>
    <row r="1104" spans="2:97">
      <c r="B1104"/>
      <c r="C1104" s="15"/>
      <c r="D1104" s="23"/>
      <c r="E1104" s="23"/>
      <c r="F1104" s="23"/>
      <c r="G1104" s="23">
        <f t="shared" si="78"/>
        <v>0</v>
      </c>
      <c r="H1104" s="23" t="e" cm="1">
        <f t="array" ref="H1104">INDEX('GLOBAL LOG'!#REF!,ROW()-169+15)</f>
        <v>#REF!</v>
      </c>
      <c r="I1104" s="23" t="e">
        <f>_xlfn.XLOOKUP(H1104,#REF!,#REF!,"",0,1)</f>
        <v>#REF!</v>
      </c>
      <c r="J1104" s="23" t="str">
        <f>IFERROR(I1104*#REF!,"")</f>
        <v/>
      </c>
      <c r="K1104" s="23" t="e" cm="1">
        <f t="array" ref="K1104">INDEX('GLOBAL LOG'!#REF!,ROW()-169+15)</f>
        <v>#REF!</v>
      </c>
      <c r="L1104" s="23" t="e">
        <f>_xlfn.XLOOKUP(K1104,#REF!,#REF!,"",0,1)</f>
        <v>#REF!</v>
      </c>
      <c r="M1104" s="23" t="str">
        <f>IFERROR(L1104*#REF!,"")</f>
        <v/>
      </c>
      <c r="N1104" s="23">
        <f t="shared" si="79"/>
        <v>-1</v>
      </c>
      <c r="O1104" s="23">
        <f t="shared" si="80"/>
        <v>-1</v>
      </c>
      <c r="P1104" s="23">
        <f t="shared" si="81"/>
        <v>-1</v>
      </c>
      <c r="Q1104" s="24">
        <f t="shared" si="82"/>
        <v>-1</v>
      </c>
      <c r="R1104" s="3"/>
      <c r="S1104" s="1">
        <v>0</v>
      </c>
      <c r="T1104" s="24">
        <v>-1</v>
      </c>
      <c r="U1104"/>
      <c r="V1104" s="1">
        <v>0</v>
      </c>
      <c r="W1104" s="24">
        <v>-1</v>
      </c>
      <c r="X1104"/>
      <c r="Y1104" s="1">
        <v>0</v>
      </c>
      <c r="Z1104" s="24">
        <v>-1</v>
      </c>
      <c r="AA1104"/>
      <c r="AB1104" s="1">
        <v>0</v>
      </c>
      <c r="AC1104" s="24">
        <v>-1</v>
      </c>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c r="CA1104"/>
      <c r="CB1104"/>
      <c r="CC1104"/>
      <c r="CD1104"/>
      <c r="CE1104"/>
      <c r="CF1104"/>
      <c r="CG1104"/>
      <c r="CH1104"/>
      <c r="CI1104"/>
      <c r="CJ1104"/>
      <c r="CK1104"/>
      <c r="CL1104"/>
      <c r="CM1104"/>
      <c r="CN1104"/>
      <c r="CO1104"/>
      <c r="CP1104"/>
      <c r="CQ1104"/>
      <c r="CR1104"/>
      <c r="CS1104"/>
    </row>
    <row r="1105" spans="2:97">
      <c r="B1105"/>
      <c r="C1105" s="15"/>
      <c r="D1105" s="23"/>
      <c r="E1105" s="23"/>
      <c r="F1105" s="23"/>
      <c r="G1105" s="23">
        <f t="shared" ref="G1105:G1168" si="83">E1105+F1105</f>
        <v>0</v>
      </c>
      <c r="H1105" s="23" t="e" cm="1">
        <f t="array" ref="H1105">INDEX('GLOBAL LOG'!#REF!,ROW()-34+15)</f>
        <v>#REF!</v>
      </c>
      <c r="I1105" s="23" t="e">
        <f>_xlfn.XLOOKUP(H1105,#REF!,#REF!,"",0,1)</f>
        <v>#REF!</v>
      </c>
      <c r="J1105" s="23" t="str">
        <f>IFERROR(I1105*#REF!,"")</f>
        <v/>
      </c>
      <c r="K1105" s="23" t="e" cm="1">
        <f t="array" ref="K1105">INDEX('GLOBAL LOG'!#REF!,ROW()-34+15)</f>
        <v>#REF!</v>
      </c>
      <c r="L1105" s="23" t="e">
        <f>_xlfn.XLOOKUP(K1105,#REF!,#REF!,"",0,1)</f>
        <v>#REF!</v>
      </c>
      <c r="M1105" s="23" t="str">
        <f>IFERROR(L1105*#REF!,"")</f>
        <v/>
      </c>
      <c r="N1105" s="23">
        <f t="shared" ref="N1105:N1168" si="84">IFERROR(D1105*J1105*M1105,-1)</f>
        <v>-1</v>
      </c>
      <c r="O1105" s="23">
        <f t="shared" si="5"/>
        <v>-1</v>
      </c>
      <c r="P1105" s="23">
        <f t="shared" si="6"/>
        <v>-1</v>
      </c>
      <c r="Q1105" s="24">
        <f t="shared" si="7"/>
        <v>-1</v>
      </c>
      <c r="R1105" s="3"/>
      <c r="S1105" s="1">
        <v>0</v>
      </c>
      <c r="T1105" s="24">
        <v>-1</v>
      </c>
      <c r="U1105"/>
      <c r="V1105" s="1">
        <v>0</v>
      </c>
      <c r="W1105" s="24">
        <v>-1</v>
      </c>
      <c r="X1105"/>
      <c r="Y1105" s="1">
        <v>0</v>
      </c>
      <c r="Z1105" s="24">
        <v>-1</v>
      </c>
      <c r="AA1105"/>
      <c r="AB1105" s="1">
        <v>0</v>
      </c>
      <c r="AC1105" s="24">
        <v>-1</v>
      </c>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c r="CA1105"/>
      <c r="CB1105"/>
      <c r="CC1105"/>
      <c r="CD1105"/>
      <c r="CE1105"/>
      <c r="CF1105"/>
      <c r="CG1105"/>
      <c r="CH1105"/>
      <c r="CI1105"/>
      <c r="CJ1105"/>
      <c r="CK1105"/>
      <c r="CL1105"/>
      <c r="CM1105"/>
      <c r="CN1105"/>
      <c r="CO1105"/>
      <c r="CP1105"/>
      <c r="CQ1105"/>
      <c r="CR1105"/>
      <c r="CS1105"/>
    </row>
    <row r="1106" spans="2:97">
      <c r="B1106"/>
      <c r="C1106" s="15"/>
      <c r="D1106" s="23"/>
      <c r="E1106" s="23"/>
      <c r="F1106" s="23"/>
      <c r="G1106" s="23">
        <f t="shared" si="83"/>
        <v>0</v>
      </c>
      <c r="H1106" s="23" t="e" cm="1">
        <f t="array" ref="H1106">INDEX('GLOBAL LOG'!#REF!,ROW()-34+15)</f>
        <v>#REF!</v>
      </c>
      <c r="I1106" s="23" t="e">
        <f>_xlfn.XLOOKUP(H1106,#REF!,#REF!,"",0,1)</f>
        <v>#REF!</v>
      </c>
      <c r="J1106" s="23" t="str">
        <f>IFERROR(I1106*#REF!,"")</f>
        <v/>
      </c>
      <c r="K1106" s="23" t="e" cm="1">
        <f t="array" ref="K1106">INDEX('GLOBAL LOG'!#REF!,ROW()-34+15)</f>
        <v>#REF!</v>
      </c>
      <c r="L1106" s="23" t="e">
        <f>_xlfn.XLOOKUP(K1106,#REF!,#REF!,"",0,1)</f>
        <v>#REF!</v>
      </c>
      <c r="M1106" s="23" t="str">
        <f>IFERROR(L1106*#REF!,"")</f>
        <v/>
      </c>
      <c r="N1106" s="23">
        <f t="shared" si="84"/>
        <v>-1</v>
      </c>
      <c r="O1106" s="23">
        <f t="shared" si="5"/>
        <v>-1</v>
      </c>
      <c r="P1106" s="23">
        <f t="shared" si="6"/>
        <v>-1</v>
      </c>
      <c r="Q1106" s="24">
        <f t="shared" si="7"/>
        <v>-1</v>
      </c>
      <c r="R1106" s="3"/>
      <c r="S1106" s="1">
        <v>0</v>
      </c>
      <c r="T1106" s="24">
        <v>-1</v>
      </c>
      <c r="U1106"/>
      <c r="V1106" s="1">
        <v>0</v>
      </c>
      <c r="W1106" s="24">
        <v>-1</v>
      </c>
      <c r="X1106"/>
      <c r="Y1106" s="1">
        <v>0</v>
      </c>
      <c r="Z1106" s="24">
        <v>-1</v>
      </c>
      <c r="AA1106"/>
      <c r="AB1106" s="1">
        <v>0</v>
      </c>
      <c r="AC1106" s="24">
        <v>-1</v>
      </c>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c r="CA1106"/>
      <c r="CB1106"/>
      <c r="CC1106"/>
      <c r="CD1106"/>
      <c r="CE1106"/>
      <c r="CF1106"/>
      <c r="CG1106"/>
      <c r="CH1106"/>
      <c r="CI1106"/>
      <c r="CJ1106"/>
      <c r="CK1106"/>
      <c r="CL1106"/>
      <c r="CM1106"/>
      <c r="CN1106"/>
      <c r="CO1106"/>
      <c r="CP1106"/>
      <c r="CQ1106"/>
      <c r="CR1106"/>
      <c r="CS1106"/>
    </row>
    <row r="1107" spans="2:97">
      <c r="B1107"/>
      <c r="C1107" s="15"/>
      <c r="D1107" s="23"/>
      <c r="E1107" s="23"/>
      <c r="F1107" s="23"/>
      <c r="G1107" s="23">
        <f t="shared" si="83"/>
        <v>0</v>
      </c>
      <c r="H1107" s="23" t="e" cm="1">
        <f t="array" ref="H1107">INDEX('GLOBAL LOG'!#REF!,ROW()-34+15)</f>
        <v>#REF!</v>
      </c>
      <c r="I1107" s="23" t="e">
        <f>_xlfn.XLOOKUP(H1107,#REF!,#REF!,"",0,1)</f>
        <v>#REF!</v>
      </c>
      <c r="J1107" s="23" t="str">
        <f>IFERROR(I1107*#REF!,"")</f>
        <v/>
      </c>
      <c r="K1107" s="23" t="e" cm="1">
        <f t="array" ref="K1107">INDEX('GLOBAL LOG'!#REF!,ROW()-34+15)</f>
        <v>#REF!</v>
      </c>
      <c r="L1107" s="23" t="e">
        <f>_xlfn.XLOOKUP(K1107,#REF!,#REF!,"",0,1)</f>
        <v>#REF!</v>
      </c>
      <c r="M1107" s="23" t="str">
        <f>IFERROR(L1107*#REF!,"")</f>
        <v/>
      </c>
      <c r="N1107" s="23">
        <f t="shared" si="84"/>
        <v>-1</v>
      </c>
      <c r="O1107" s="23">
        <f t="shared" si="5"/>
        <v>-1</v>
      </c>
      <c r="P1107" s="23">
        <f t="shared" si="6"/>
        <v>-1</v>
      </c>
      <c r="Q1107" s="24">
        <f t="shared" si="7"/>
        <v>-1</v>
      </c>
      <c r="R1107" s="3"/>
      <c r="S1107" s="1">
        <v>0</v>
      </c>
      <c r="T1107" s="24">
        <v>-1</v>
      </c>
      <c r="U1107"/>
      <c r="V1107" s="1">
        <v>0</v>
      </c>
      <c r="W1107" s="24">
        <v>-1</v>
      </c>
      <c r="X1107"/>
      <c r="Y1107" s="1">
        <v>0</v>
      </c>
      <c r="Z1107" s="24">
        <v>-1</v>
      </c>
      <c r="AA1107"/>
      <c r="AB1107" s="1">
        <v>0</v>
      </c>
      <c r="AC1107" s="24">
        <v>-1</v>
      </c>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c r="CA1107"/>
      <c r="CB1107"/>
      <c r="CC1107"/>
      <c r="CD1107"/>
      <c r="CE1107"/>
      <c r="CF1107"/>
      <c r="CG1107"/>
      <c r="CH1107"/>
      <c r="CI1107"/>
      <c r="CJ1107"/>
      <c r="CK1107"/>
      <c r="CL1107"/>
      <c r="CM1107"/>
      <c r="CN1107"/>
      <c r="CO1107"/>
      <c r="CP1107"/>
      <c r="CQ1107"/>
      <c r="CR1107"/>
      <c r="CS1107"/>
    </row>
    <row r="1108" spans="2:97">
      <c r="B1108"/>
      <c r="C1108" s="15"/>
      <c r="D1108" s="23"/>
      <c r="E1108" s="23"/>
      <c r="F1108" s="23"/>
      <c r="G1108" s="23">
        <f t="shared" si="83"/>
        <v>0</v>
      </c>
      <c r="H1108" s="23" t="e" cm="1">
        <f t="array" ref="H1108">INDEX('GLOBAL LOG'!#REF!,ROW()-34+15)</f>
        <v>#REF!</v>
      </c>
      <c r="I1108" s="23" t="e">
        <f>_xlfn.XLOOKUP(H1108,#REF!,#REF!,"",0,1)</f>
        <v>#REF!</v>
      </c>
      <c r="J1108" s="23" t="str">
        <f>IFERROR(I1108*#REF!,"")</f>
        <v/>
      </c>
      <c r="K1108" s="23" t="e" cm="1">
        <f t="array" ref="K1108">INDEX('GLOBAL LOG'!#REF!,ROW()-34+15)</f>
        <v>#REF!</v>
      </c>
      <c r="L1108" s="23" t="e">
        <f>_xlfn.XLOOKUP(K1108,#REF!,#REF!,"",0,1)</f>
        <v>#REF!</v>
      </c>
      <c r="M1108" s="23" t="str">
        <f>IFERROR(L1108*#REF!,"")</f>
        <v/>
      </c>
      <c r="N1108" s="23">
        <f t="shared" si="84"/>
        <v>-1</v>
      </c>
      <c r="O1108" s="23">
        <f t="shared" si="5"/>
        <v>-1</v>
      </c>
      <c r="P1108" s="23">
        <f t="shared" si="6"/>
        <v>-1</v>
      </c>
      <c r="Q1108" s="24">
        <f t="shared" si="7"/>
        <v>-1</v>
      </c>
      <c r="R1108" s="3"/>
      <c r="S1108" s="1">
        <v>0</v>
      </c>
      <c r="T1108" s="24">
        <v>-1</v>
      </c>
      <c r="U1108"/>
      <c r="V1108" s="1">
        <v>0</v>
      </c>
      <c r="W1108" s="24">
        <v>-1</v>
      </c>
      <c r="X1108"/>
      <c r="Y1108" s="1">
        <v>0</v>
      </c>
      <c r="Z1108" s="24">
        <v>-1</v>
      </c>
      <c r="AA1108"/>
      <c r="AB1108" s="1">
        <v>0</v>
      </c>
      <c r="AC1108" s="24">
        <v>-1</v>
      </c>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c r="CA1108"/>
      <c r="CB1108"/>
      <c r="CC1108"/>
      <c r="CD1108"/>
      <c r="CE1108"/>
      <c r="CF1108"/>
      <c r="CG1108"/>
      <c r="CH1108"/>
      <c r="CI1108"/>
      <c r="CJ1108"/>
      <c r="CK1108"/>
      <c r="CL1108"/>
      <c r="CM1108"/>
      <c r="CN1108"/>
      <c r="CO1108"/>
      <c r="CP1108"/>
      <c r="CQ1108"/>
      <c r="CR1108"/>
      <c r="CS1108"/>
    </row>
    <row r="1109" spans="2:97">
      <c r="B1109"/>
      <c r="C1109" s="15"/>
      <c r="D1109" s="23"/>
      <c r="E1109" s="23"/>
      <c r="F1109" s="23"/>
      <c r="G1109" s="23">
        <f t="shared" si="83"/>
        <v>0</v>
      </c>
      <c r="H1109" s="23" t="e" cm="1">
        <f t="array" ref="H1109">INDEX('GLOBAL LOG'!#REF!,ROW()-34+15)</f>
        <v>#REF!</v>
      </c>
      <c r="I1109" s="23" t="e">
        <f>_xlfn.XLOOKUP(H1109,#REF!,#REF!,"",0,1)</f>
        <v>#REF!</v>
      </c>
      <c r="J1109" s="23" t="str">
        <f>IFERROR(I1109*#REF!,"")</f>
        <v/>
      </c>
      <c r="K1109" s="23" t="e" cm="1">
        <f t="array" ref="K1109">INDEX('GLOBAL LOG'!#REF!,ROW()-34+15)</f>
        <v>#REF!</v>
      </c>
      <c r="L1109" s="23" t="e">
        <f>_xlfn.XLOOKUP(K1109,#REF!,#REF!,"",0,1)</f>
        <v>#REF!</v>
      </c>
      <c r="M1109" s="23" t="str">
        <f>IFERROR(L1109*#REF!,"")</f>
        <v/>
      </c>
      <c r="N1109" s="23">
        <f t="shared" si="84"/>
        <v>-1</v>
      </c>
      <c r="O1109" s="23">
        <f t="shared" si="5"/>
        <v>-1</v>
      </c>
      <c r="P1109" s="23">
        <f t="shared" si="6"/>
        <v>-1</v>
      </c>
      <c r="Q1109" s="24">
        <f t="shared" si="7"/>
        <v>-1</v>
      </c>
      <c r="R1109" s="3"/>
      <c r="S1109" s="1">
        <v>0</v>
      </c>
      <c r="T1109" s="24">
        <v>-1</v>
      </c>
      <c r="U1109"/>
      <c r="V1109" s="1">
        <v>0</v>
      </c>
      <c r="W1109" s="24">
        <v>-1</v>
      </c>
      <c r="X1109"/>
      <c r="Y1109" s="1">
        <v>0</v>
      </c>
      <c r="Z1109" s="24">
        <v>-1</v>
      </c>
      <c r="AA1109"/>
      <c r="AB1109" s="1">
        <v>0</v>
      </c>
      <c r="AC1109" s="24">
        <v>-1</v>
      </c>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c r="CA1109"/>
      <c r="CB1109"/>
      <c r="CC1109"/>
      <c r="CD1109"/>
      <c r="CE1109"/>
      <c r="CF1109"/>
      <c r="CG1109"/>
      <c r="CH1109"/>
      <c r="CI1109"/>
      <c r="CJ1109"/>
      <c r="CK1109"/>
      <c r="CL1109"/>
      <c r="CM1109"/>
      <c r="CN1109"/>
      <c r="CO1109"/>
      <c r="CP1109"/>
      <c r="CQ1109"/>
      <c r="CR1109"/>
      <c r="CS1109"/>
    </row>
    <row r="1110" spans="2:97">
      <c r="B1110"/>
      <c r="C1110" s="15"/>
      <c r="D1110" s="23"/>
      <c r="E1110" s="23"/>
      <c r="F1110" s="23"/>
      <c r="G1110" s="23">
        <f t="shared" si="83"/>
        <v>0</v>
      </c>
      <c r="H1110" s="23" t="e" cm="1">
        <f t="array" ref="H1110">INDEX('GLOBAL LOG'!#REF!,ROW()-34+15)</f>
        <v>#REF!</v>
      </c>
      <c r="I1110" s="23" t="e">
        <f>_xlfn.XLOOKUP(H1110,#REF!,#REF!,"",0,1)</f>
        <v>#REF!</v>
      </c>
      <c r="J1110" s="23" t="str">
        <f>IFERROR(I1110*#REF!,"")</f>
        <v/>
      </c>
      <c r="K1110" s="23" t="e" cm="1">
        <f t="array" ref="K1110">INDEX('GLOBAL LOG'!#REF!,ROW()-34+15)</f>
        <v>#REF!</v>
      </c>
      <c r="L1110" s="23" t="e">
        <f>_xlfn.XLOOKUP(K1110,#REF!,#REF!,"",0,1)</f>
        <v>#REF!</v>
      </c>
      <c r="M1110" s="23" t="str">
        <f>IFERROR(L1110*#REF!,"")</f>
        <v/>
      </c>
      <c r="N1110" s="23">
        <f t="shared" si="84"/>
        <v>-1</v>
      </c>
      <c r="O1110" s="23">
        <f t="shared" si="5"/>
        <v>-1</v>
      </c>
      <c r="P1110" s="23">
        <f t="shared" si="6"/>
        <v>-1</v>
      </c>
      <c r="Q1110" s="24">
        <f t="shared" si="7"/>
        <v>-1</v>
      </c>
      <c r="R1110" s="3"/>
      <c r="S1110" s="1">
        <v>0</v>
      </c>
      <c r="T1110" s="24">
        <v>-1</v>
      </c>
      <c r="U1110"/>
      <c r="V1110" s="1">
        <v>0</v>
      </c>
      <c r="W1110" s="24">
        <v>-1</v>
      </c>
      <c r="X1110"/>
      <c r="Y1110" s="1">
        <v>0</v>
      </c>
      <c r="Z1110" s="24">
        <v>-1</v>
      </c>
      <c r="AA1110"/>
      <c r="AB1110" s="1">
        <v>0</v>
      </c>
      <c r="AC1110" s="24">
        <v>-1</v>
      </c>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c r="CA1110"/>
      <c r="CB1110"/>
      <c r="CC1110"/>
      <c r="CD1110"/>
      <c r="CE1110"/>
      <c r="CF1110"/>
      <c r="CG1110"/>
      <c r="CH1110"/>
      <c r="CI1110"/>
      <c r="CJ1110"/>
      <c r="CK1110"/>
      <c r="CL1110"/>
      <c r="CM1110"/>
      <c r="CN1110"/>
      <c r="CO1110"/>
      <c r="CP1110"/>
      <c r="CQ1110"/>
      <c r="CR1110"/>
      <c r="CS1110"/>
    </row>
    <row r="1111" spans="2:97">
      <c r="B1111"/>
      <c r="C1111" s="15"/>
      <c r="D1111" s="23"/>
      <c r="E1111" s="23"/>
      <c r="F1111" s="23"/>
      <c r="G1111" s="23">
        <f t="shared" si="83"/>
        <v>0</v>
      </c>
      <c r="H1111" s="23" t="e" cm="1">
        <f t="array" ref="H1111">INDEX('GLOBAL LOG'!#REF!,ROW()-34+15)</f>
        <v>#REF!</v>
      </c>
      <c r="I1111" s="23" t="e">
        <f>_xlfn.XLOOKUP(H1111,#REF!,#REF!,"",0,1)</f>
        <v>#REF!</v>
      </c>
      <c r="J1111" s="23" t="str">
        <f>IFERROR(I1111*#REF!,"")</f>
        <v/>
      </c>
      <c r="K1111" s="23" t="e" cm="1">
        <f t="array" ref="K1111">INDEX('GLOBAL LOG'!#REF!,ROW()-34+15)</f>
        <v>#REF!</v>
      </c>
      <c r="L1111" s="23" t="e">
        <f>_xlfn.XLOOKUP(K1111,#REF!,#REF!,"",0,1)</f>
        <v>#REF!</v>
      </c>
      <c r="M1111" s="23" t="str">
        <f>IFERROR(L1111*#REF!,"")</f>
        <v/>
      </c>
      <c r="N1111" s="23">
        <f t="shared" si="84"/>
        <v>-1</v>
      </c>
      <c r="O1111" s="23">
        <f t="shared" si="5"/>
        <v>-1</v>
      </c>
      <c r="P1111" s="23">
        <f t="shared" si="6"/>
        <v>-1</v>
      </c>
      <c r="Q1111" s="24">
        <f t="shared" si="7"/>
        <v>-1</v>
      </c>
      <c r="R1111" s="3"/>
      <c r="S1111" s="1">
        <v>0</v>
      </c>
      <c r="T1111" s="24">
        <v>-1</v>
      </c>
      <c r="U1111"/>
      <c r="V1111" s="1">
        <v>0</v>
      </c>
      <c r="W1111" s="24">
        <v>-1</v>
      </c>
      <c r="X1111"/>
      <c r="Y1111" s="1">
        <v>0</v>
      </c>
      <c r="Z1111" s="24">
        <v>-1</v>
      </c>
      <c r="AA1111"/>
      <c r="AB1111" s="1">
        <v>0</v>
      </c>
      <c r="AC1111" s="24">
        <v>-1</v>
      </c>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c r="CA1111"/>
      <c r="CB1111"/>
      <c r="CC1111"/>
      <c r="CD1111"/>
      <c r="CE1111"/>
      <c r="CF1111"/>
      <c r="CG1111"/>
      <c r="CH1111"/>
      <c r="CI1111"/>
      <c r="CJ1111"/>
      <c r="CK1111"/>
      <c r="CL1111"/>
      <c r="CM1111"/>
      <c r="CN1111"/>
      <c r="CO1111"/>
      <c r="CP1111"/>
      <c r="CQ1111"/>
      <c r="CR1111"/>
      <c r="CS1111"/>
    </row>
    <row r="1112" spans="2:97">
      <c r="B1112"/>
      <c r="C1112" s="15"/>
      <c r="D1112" s="23"/>
      <c r="E1112" s="23"/>
      <c r="F1112" s="23"/>
      <c r="G1112" s="23">
        <f t="shared" si="83"/>
        <v>0</v>
      </c>
      <c r="H1112" s="23" t="e" cm="1">
        <f t="array" ref="H1112">INDEX('GLOBAL LOG'!#REF!,ROW()-34+15)</f>
        <v>#REF!</v>
      </c>
      <c r="I1112" s="23" t="e">
        <f>_xlfn.XLOOKUP(H1112,#REF!,#REF!,"",0,1)</f>
        <v>#REF!</v>
      </c>
      <c r="J1112" s="23" t="str">
        <f>IFERROR(I1112*#REF!,"")</f>
        <v/>
      </c>
      <c r="K1112" s="23" t="e" cm="1">
        <f t="array" ref="K1112">INDEX('GLOBAL LOG'!#REF!,ROW()-34+15)</f>
        <v>#REF!</v>
      </c>
      <c r="L1112" s="23" t="e">
        <f>_xlfn.XLOOKUP(K1112,#REF!,#REF!,"",0,1)</f>
        <v>#REF!</v>
      </c>
      <c r="M1112" s="23" t="str">
        <f>IFERROR(L1112*#REF!,"")</f>
        <v/>
      </c>
      <c r="N1112" s="23">
        <f t="shared" si="84"/>
        <v>-1</v>
      </c>
      <c r="O1112" s="23">
        <f t="shared" si="5"/>
        <v>-1</v>
      </c>
      <c r="P1112" s="23">
        <f t="shared" si="6"/>
        <v>-1</v>
      </c>
      <c r="Q1112" s="24">
        <f t="shared" si="7"/>
        <v>-1</v>
      </c>
      <c r="R1112" s="3"/>
      <c r="S1112" s="1">
        <v>0</v>
      </c>
      <c r="T1112" s="24">
        <v>-1</v>
      </c>
      <c r="U1112"/>
      <c r="V1112" s="1">
        <v>0</v>
      </c>
      <c r="W1112" s="24">
        <v>-1</v>
      </c>
      <c r="X1112"/>
      <c r="Y1112" s="1">
        <v>0</v>
      </c>
      <c r="Z1112" s="24">
        <v>-1</v>
      </c>
      <c r="AA1112"/>
      <c r="AB1112" s="1">
        <v>0</v>
      </c>
      <c r="AC1112" s="24">
        <v>-1</v>
      </c>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c r="CA1112"/>
      <c r="CB1112"/>
      <c r="CC1112"/>
      <c r="CD1112"/>
      <c r="CE1112"/>
      <c r="CF1112"/>
      <c r="CG1112"/>
      <c r="CH1112"/>
      <c r="CI1112"/>
      <c r="CJ1112"/>
      <c r="CK1112"/>
      <c r="CL1112"/>
      <c r="CM1112"/>
      <c r="CN1112"/>
      <c r="CO1112"/>
      <c r="CP1112"/>
      <c r="CQ1112"/>
      <c r="CR1112"/>
      <c r="CS1112"/>
    </row>
    <row r="1113" spans="2:97">
      <c r="B1113"/>
      <c r="C1113" s="15"/>
      <c r="D1113" s="23"/>
      <c r="E1113" s="23"/>
      <c r="F1113" s="23"/>
      <c r="G1113" s="23">
        <f t="shared" si="83"/>
        <v>0</v>
      </c>
      <c r="H1113" s="23" t="e" cm="1">
        <f t="array" ref="H1113">INDEX('GLOBAL LOG'!#REF!,ROW()-34+15)</f>
        <v>#REF!</v>
      </c>
      <c r="I1113" s="23" t="e">
        <f>_xlfn.XLOOKUP(H1113,#REF!,#REF!,"",0,1)</f>
        <v>#REF!</v>
      </c>
      <c r="J1113" s="23" t="str">
        <f>IFERROR(I1113*#REF!,"")</f>
        <v/>
      </c>
      <c r="K1113" s="23" t="e" cm="1">
        <f t="array" ref="K1113">INDEX('GLOBAL LOG'!#REF!,ROW()-34+15)</f>
        <v>#REF!</v>
      </c>
      <c r="L1113" s="23" t="e">
        <f>_xlfn.XLOOKUP(K1113,#REF!,#REF!,"",0,1)</f>
        <v>#REF!</v>
      </c>
      <c r="M1113" s="23" t="str">
        <f>IFERROR(L1113*#REF!,"")</f>
        <v/>
      </c>
      <c r="N1113" s="23">
        <f t="shared" si="84"/>
        <v>-1</v>
      </c>
      <c r="O1113" s="23">
        <f t="shared" si="5"/>
        <v>-1</v>
      </c>
      <c r="P1113" s="23">
        <f t="shared" si="6"/>
        <v>-1</v>
      </c>
      <c r="Q1113" s="24">
        <f t="shared" si="7"/>
        <v>-1</v>
      </c>
      <c r="R1113" s="3"/>
      <c r="S1113" s="1">
        <v>0</v>
      </c>
      <c r="T1113" s="24">
        <v>-1</v>
      </c>
      <c r="U1113"/>
      <c r="V1113" s="1">
        <v>0</v>
      </c>
      <c r="W1113" s="24">
        <v>-1</v>
      </c>
      <c r="X1113"/>
      <c r="Y1113" s="1">
        <v>0</v>
      </c>
      <c r="Z1113" s="24">
        <v>-1</v>
      </c>
      <c r="AA1113"/>
      <c r="AB1113" s="1">
        <v>0</v>
      </c>
      <c r="AC1113" s="24">
        <v>-1</v>
      </c>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c r="CA1113"/>
      <c r="CB1113"/>
      <c r="CC1113"/>
      <c r="CD1113"/>
      <c r="CE1113"/>
      <c r="CF1113"/>
      <c r="CG1113"/>
      <c r="CH1113"/>
      <c r="CI1113"/>
      <c r="CJ1113"/>
      <c r="CK1113"/>
      <c r="CL1113"/>
      <c r="CM1113"/>
      <c r="CN1113"/>
      <c r="CO1113"/>
      <c r="CP1113"/>
      <c r="CQ1113"/>
      <c r="CR1113"/>
      <c r="CS1113"/>
    </row>
    <row r="1114" spans="2:97">
      <c r="B1114"/>
      <c r="C1114" s="15"/>
      <c r="D1114" s="23"/>
      <c r="E1114" s="23"/>
      <c r="F1114" s="23"/>
      <c r="G1114" s="23">
        <f t="shared" si="83"/>
        <v>0</v>
      </c>
      <c r="H1114" s="23" t="e" cm="1">
        <f t="array" ref="H1114">INDEX('GLOBAL LOG'!#REF!,ROW()-34+15)</f>
        <v>#REF!</v>
      </c>
      <c r="I1114" s="23" t="e">
        <f>_xlfn.XLOOKUP(H1114,#REF!,#REF!,"",0,1)</f>
        <v>#REF!</v>
      </c>
      <c r="J1114" s="23" t="str">
        <f>IFERROR(I1114*#REF!,"")</f>
        <v/>
      </c>
      <c r="K1114" s="23" t="e" cm="1">
        <f t="array" ref="K1114">INDEX('GLOBAL LOG'!#REF!,ROW()-34+15)</f>
        <v>#REF!</v>
      </c>
      <c r="L1114" s="23" t="e">
        <f>_xlfn.XLOOKUP(K1114,#REF!,#REF!,"",0,1)</f>
        <v>#REF!</v>
      </c>
      <c r="M1114" s="23" t="str">
        <f>IFERROR(L1114*#REF!,"")</f>
        <v/>
      </c>
      <c r="N1114" s="23">
        <f t="shared" si="84"/>
        <v>-1</v>
      </c>
      <c r="O1114" s="23">
        <f t="shared" si="5"/>
        <v>-1</v>
      </c>
      <c r="P1114" s="23">
        <f t="shared" si="6"/>
        <v>-1</v>
      </c>
      <c r="Q1114" s="24">
        <f t="shared" si="7"/>
        <v>-1</v>
      </c>
      <c r="R1114" s="3"/>
      <c r="S1114" s="1">
        <v>0</v>
      </c>
      <c r="T1114" s="24">
        <v>-1</v>
      </c>
      <c r="U1114"/>
      <c r="V1114" s="1">
        <v>0</v>
      </c>
      <c r="W1114" s="24">
        <v>-1</v>
      </c>
      <c r="X1114"/>
      <c r="Y1114" s="1">
        <v>0</v>
      </c>
      <c r="Z1114" s="24">
        <v>-1</v>
      </c>
      <c r="AA1114"/>
      <c r="AB1114" s="1">
        <v>0</v>
      </c>
      <c r="AC1114" s="24">
        <v>-1</v>
      </c>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c r="CA1114"/>
      <c r="CB1114"/>
      <c r="CC1114"/>
      <c r="CD1114"/>
      <c r="CE1114"/>
      <c r="CF1114"/>
      <c r="CG1114"/>
      <c r="CH1114"/>
      <c r="CI1114"/>
      <c r="CJ1114"/>
      <c r="CK1114"/>
      <c r="CL1114"/>
      <c r="CM1114"/>
      <c r="CN1114"/>
      <c r="CO1114"/>
      <c r="CP1114"/>
      <c r="CQ1114"/>
      <c r="CR1114"/>
      <c r="CS1114"/>
    </row>
    <row r="1115" spans="2:97">
      <c r="B1115"/>
      <c r="C1115" s="15"/>
      <c r="D1115" s="23"/>
      <c r="E1115" s="23"/>
      <c r="F1115" s="23"/>
      <c r="G1115" s="23">
        <f t="shared" si="83"/>
        <v>0</v>
      </c>
      <c r="H1115" s="23" t="e" cm="1">
        <f t="array" ref="H1115">INDEX('GLOBAL LOG'!#REF!,ROW()-34+15)</f>
        <v>#REF!</v>
      </c>
      <c r="I1115" s="23" t="e">
        <f>_xlfn.XLOOKUP(H1115,#REF!,#REF!,"",0,1)</f>
        <v>#REF!</v>
      </c>
      <c r="J1115" s="23" t="str">
        <f>IFERROR(I1115*#REF!,"")</f>
        <v/>
      </c>
      <c r="K1115" s="23" t="e" cm="1">
        <f t="array" ref="K1115">INDEX('GLOBAL LOG'!#REF!,ROW()-34+15)</f>
        <v>#REF!</v>
      </c>
      <c r="L1115" s="23" t="e">
        <f>_xlfn.XLOOKUP(K1115,#REF!,#REF!,"",0,1)</f>
        <v>#REF!</v>
      </c>
      <c r="M1115" s="23" t="str">
        <f>IFERROR(L1115*#REF!,"")</f>
        <v/>
      </c>
      <c r="N1115" s="23">
        <f t="shared" si="84"/>
        <v>-1</v>
      </c>
      <c r="O1115" s="23">
        <f t="shared" si="5"/>
        <v>-1</v>
      </c>
      <c r="P1115" s="23">
        <f t="shared" si="6"/>
        <v>-1</v>
      </c>
      <c r="Q1115" s="24">
        <f t="shared" si="7"/>
        <v>-1</v>
      </c>
      <c r="R1115" s="3"/>
      <c r="S1115" s="1">
        <v>0</v>
      </c>
      <c r="T1115" s="24">
        <v>-1</v>
      </c>
      <c r="U1115"/>
      <c r="V1115" s="1">
        <v>0</v>
      </c>
      <c r="W1115" s="24">
        <v>-1</v>
      </c>
      <c r="X1115"/>
      <c r="Y1115" s="1">
        <v>0</v>
      </c>
      <c r="Z1115" s="24">
        <v>-1</v>
      </c>
      <c r="AA1115"/>
      <c r="AB1115" s="1">
        <v>0</v>
      </c>
      <c r="AC1115" s="24">
        <v>-1</v>
      </c>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c r="CA1115"/>
      <c r="CB1115"/>
      <c r="CC1115"/>
      <c r="CD1115"/>
      <c r="CE1115"/>
      <c r="CF1115"/>
      <c r="CG1115"/>
      <c r="CH1115"/>
      <c r="CI1115"/>
      <c r="CJ1115"/>
      <c r="CK1115"/>
      <c r="CL1115"/>
      <c r="CM1115"/>
      <c r="CN1115"/>
      <c r="CO1115"/>
      <c r="CP1115"/>
      <c r="CQ1115"/>
      <c r="CR1115"/>
      <c r="CS1115"/>
    </row>
    <row r="1116" spans="2:97">
      <c r="B1116"/>
      <c r="C1116" s="15"/>
      <c r="D1116" s="23"/>
      <c r="E1116" s="23"/>
      <c r="F1116" s="23"/>
      <c r="G1116" s="23">
        <f t="shared" si="83"/>
        <v>0</v>
      </c>
      <c r="H1116" s="23" t="e" cm="1">
        <f t="array" ref="H1116">INDEX('GLOBAL LOG'!#REF!,ROW()-34+15)</f>
        <v>#REF!</v>
      </c>
      <c r="I1116" s="23" t="e">
        <f>_xlfn.XLOOKUP(H1116,#REF!,#REF!,"",0,1)</f>
        <v>#REF!</v>
      </c>
      <c r="J1116" s="23" t="str">
        <f>IFERROR(I1116*#REF!,"")</f>
        <v/>
      </c>
      <c r="K1116" s="23" t="e" cm="1">
        <f t="array" ref="K1116">INDEX('GLOBAL LOG'!#REF!,ROW()-34+15)</f>
        <v>#REF!</v>
      </c>
      <c r="L1116" s="23" t="e">
        <f>_xlfn.XLOOKUP(K1116,#REF!,#REF!,"",0,1)</f>
        <v>#REF!</v>
      </c>
      <c r="M1116" s="23" t="str">
        <f>IFERROR(L1116*#REF!,"")</f>
        <v/>
      </c>
      <c r="N1116" s="23">
        <f t="shared" si="84"/>
        <v>-1</v>
      </c>
      <c r="O1116" s="23">
        <f t="shared" si="5"/>
        <v>-1</v>
      </c>
      <c r="P1116" s="23">
        <f t="shared" si="6"/>
        <v>-1</v>
      </c>
      <c r="Q1116" s="24">
        <f t="shared" si="7"/>
        <v>-1</v>
      </c>
      <c r="R1116" s="3"/>
      <c r="S1116" s="1">
        <v>0</v>
      </c>
      <c r="T1116" s="24">
        <v>-1</v>
      </c>
      <c r="U1116"/>
      <c r="V1116" s="1">
        <v>0</v>
      </c>
      <c r="W1116" s="24">
        <v>-1</v>
      </c>
      <c r="X1116"/>
      <c r="Y1116" s="1">
        <v>0</v>
      </c>
      <c r="Z1116" s="24">
        <v>-1</v>
      </c>
      <c r="AA1116"/>
      <c r="AB1116" s="1">
        <v>0</v>
      </c>
      <c r="AC1116" s="24">
        <v>-1</v>
      </c>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c r="CA1116"/>
      <c r="CB1116"/>
      <c r="CC1116"/>
      <c r="CD1116"/>
      <c r="CE1116"/>
      <c r="CF1116"/>
      <c r="CG1116"/>
      <c r="CH1116"/>
      <c r="CI1116"/>
      <c r="CJ1116"/>
      <c r="CK1116"/>
      <c r="CL1116"/>
      <c r="CM1116"/>
      <c r="CN1116"/>
      <c r="CO1116"/>
      <c r="CP1116"/>
      <c r="CQ1116"/>
      <c r="CR1116"/>
      <c r="CS1116"/>
    </row>
    <row r="1117" spans="2:97">
      <c r="B1117"/>
      <c r="C1117" s="15"/>
      <c r="D1117" s="23"/>
      <c r="E1117" s="23"/>
      <c r="F1117" s="23"/>
      <c r="G1117" s="23">
        <f t="shared" si="83"/>
        <v>0</v>
      </c>
      <c r="H1117" s="23" t="e" cm="1">
        <f t="array" ref="H1117">INDEX('GLOBAL LOG'!#REF!,ROW()-34+15)</f>
        <v>#REF!</v>
      </c>
      <c r="I1117" s="23" t="e">
        <f>_xlfn.XLOOKUP(H1117,#REF!,#REF!,"",0,1)</f>
        <v>#REF!</v>
      </c>
      <c r="J1117" s="23" t="str">
        <f>IFERROR(I1117*#REF!,"")</f>
        <v/>
      </c>
      <c r="K1117" s="23" t="e" cm="1">
        <f t="array" ref="K1117">INDEX('GLOBAL LOG'!#REF!,ROW()-34+15)</f>
        <v>#REF!</v>
      </c>
      <c r="L1117" s="23" t="e">
        <f>_xlfn.XLOOKUP(K1117,#REF!,#REF!,"",0,1)</f>
        <v>#REF!</v>
      </c>
      <c r="M1117" s="23" t="str">
        <f>IFERROR(L1117*#REF!,"")</f>
        <v/>
      </c>
      <c r="N1117" s="23">
        <f t="shared" si="84"/>
        <v>-1</v>
      </c>
      <c r="O1117" s="23">
        <f t="shared" si="5"/>
        <v>-1</v>
      </c>
      <c r="P1117" s="23">
        <f t="shared" si="6"/>
        <v>-1</v>
      </c>
      <c r="Q1117" s="24">
        <f t="shared" si="7"/>
        <v>-1</v>
      </c>
      <c r="R1117" s="3"/>
      <c r="S1117" s="1">
        <v>0</v>
      </c>
      <c r="T1117" s="24">
        <v>-1</v>
      </c>
      <c r="U1117"/>
      <c r="V1117" s="1">
        <v>0</v>
      </c>
      <c r="W1117" s="24">
        <v>-1</v>
      </c>
      <c r="X1117"/>
      <c r="Y1117" s="1">
        <v>0</v>
      </c>
      <c r="Z1117" s="24">
        <v>-1</v>
      </c>
      <c r="AA1117"/>
      <c r="AB1117" s="1">
        <v>0</v>
      </c>
      <c r="AC1117" s="24">
        <v>-1</v>
      </c>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c r="CA1117"/>
      <c r="CB1117"/>
      <c r="CC1117"/>
      <c r="CD1117"/>
      <c r="CE1117"/>
      <c r="CF1117"/>
      <c r="CG1117"/>
      <c r="CH1117"/>
      <c r="CI1117"/>
      <c r="CJ1117"/>
      <c r="CK1117"/>
      <c r="CL1117"/>
      <c r="CM1117"/>
      <c r="CN1117"/>
      <c r="CO1117"/>
      <c r="CP1117"/>
      <c r="CQ1117"/>
      <c r="CR1117"/>
      <c r="CS1117"/>
    </row>
    <row r="1118" spans="2:97">
      <c r="B1118"/>
      <c r="C1118" s="15"/>
      <c r="D1118" s="23"/>
      <c r="E1118" s="23"/>
      <c r="F1118" s="23"/>
      <c r="G1118" s="23">
        <f t="shared" si="83"/>
        <v>0</v>
      </c>
      <c r="H1118" s="23" t="e" cm="1">
        <f t="array" ref="H1118">INDEX('GLOBAL LOG'!#REF!,ROW()-34+15)</f>
        <v>#REF!</v>
      </c>
      <c r="I1118" s="23" t="e">
        <f>_xlfn.XLOOKUP(H1118,#REF!,#REF!,"",0,1)</f>
        <v>#REF!</v>
      </c>
      <c r="J1118" s="23" t="str">
        <f>IFERROR(I1118*#REF!,"")</f>
        <v/>
      </c>
      <c r="K1118" s="23" t="e" cm="1">
        <f t="array" ref="K1118">INDEX('GLOBAL LOG'!#REF!,ROW()-34+15)</f>
        <v>#REF!</v>
      </c>
      <c r="L1118" s="23" t="e">
        <f>_xlfn.XLOOKUP(K1118,#REF!,#REF!,"",0,1)</f>
        <v>#REF!</v>
      </c>
      <c r="M1118" s="23" t="str">
        <f>IFERROR(L1118*#REF!,"")</f>
        <v/>
      </c>
      <c r="N1118" s="23">
        <f t="shared" si="84"/>
        <v>-1</v>
      </c>
      <c r="O1118" s="23">
        <f t="shared" si="5"/>
        <v>-1</v>
      </c>
      <c r="P1118" s="23">
        <f t="shared" si="6"/>
        <v>-1</v>
      </c>
      <c r="Q1118" s="24">
        <f t="shared" si="7"/>
        <v>-1</v>
      </c>
      <c r="R1118" s="3"/>
      <c r="S1118" s="1">
        <v>0</v>
      </c>
      <c r="T1118" s="24">
        <v>-1</v>
      </c>
      <c r="U1118"/>
      <c r="V1118" s="1">
        <v>0</v>
      </c>
      <c r="W1118" s="24">
        <v>-1</v>
      </c>
      <c r="X1118"/>
      <c r="Y1118" s="1">
        <v>0</v>
      </c>
      <c r="Z1118" s="24">
        <v>-1</v>
      </c>
      <c r="AA1118"/>
      <c r="AB1118" s="1">
        <v>0</v>
      </c>
      <c r="AC1118" s="24">
        <v>-1</v>
      </c>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c r="CA1118"/>
      <c r="CB1118"/>
      <c r="CC1118"/>
      <c r="CD1118"/>
      <c r="CE1118"/>
      <c r="CF1118"/>
      <c r="CG1118"/>
      <c r="CH1118"/>
      <c r="CI1118"/>
      <c r="CJ1118"/>
      <c r="CK1118"/>
      <c r="CL1118"/>
      <c r="CM1118"/>
      <c r="CN1118"/>
      <c r="CO1118"/>
      <c r="CP1118"/>
      <c r="CQ1118"/>
      <c r="CR1118"/>
      <c r="CS1118"/>
    </row>
    <row r="1119" spans="2:97">
      <c r="B1119"/>
      <c r="C1119" s="15"/>
      <c r="D1119" s="23"/>
      <c r="E1119" s="23"/>
      <c r="F1119" s="23"/>
      <c r="G1119" s="23">
        <f t="shared" si="83"/>
        <v>0</v>
      </c>
      <c r="H1119" s="23" t="e" cm="1">
        <f t="array" ref="H1119">INDEX('GLOBAL LOG'!#REF!,ROW()-34+15)</f>
        <v>#REF!</v>
      </c>
      <c r="I1119" s="23" t="e">
        <f>_xlfn.XLOOKUP(H1119,#REF!,#REF!,"",0,1)</f>
        <v>#REF!</v>
      </c>
      <c r="J1119" s="23" t="str">
        <f>IFERROR(I1119*#REF!,"")</f>
        <v/>
      </c>
      <c r="K1119" s="23" t="e" cm="1">
        <f t="array" ref="K1119">INDEX('GLOBAL LOG'!#REF!,ROW()-34+15)</f>
        <v>#REF!</v>
      </c>
      <c r="L1119" s="23" t="e">
        <f>_xlfn.XLOOKUP(K1119,#REF!,#REF!,"",0,1)</f>
        <v>#REF!</v>
      </c>
      <c r="M1119" s="23" t="str">
        <f>IFERROR(L1119*#REF!,"")</f>
        <v/>
      </c>
      <c r="N1119" s="23">
        <f t="shared" si="84"/>
        <v>-1</v>
      </c>
      <c r="O1119" s="23">
        <f t="shared" si="5"/>
        <v>-1</v>
      </c>
      <c r="P1119" s="23">
        <f t="shared" si="6"/>
        <v>-1</v>
      </c>
      <c r="Q1119" s="24">
        <f t="shared" si="7"/>
        <v>-1</v>
      </c>
      <c r="R1119" s="3"/>
      <c r="S1119" s="1">
        <v>0</v>
      </c>
      <c r="T1119" s="24">
        <v>-1</v>
      </c>
      <c r="U1119"/>
      <c r="V1119" s="1">
        <v>0</v>
      </c>
      <c r="W1119" s="24">
        <v>-1</v>
      </c>
      <c r="X1119"/>
      <c r="Y1119" s="1">
        <v>0</v>
      </c>
      <c r="Z1119" s="24">
        <v>-1</v>
      </c>
      <c r="AA1119"/>
      <c r="AB1119" s="1">
        <v>0</v>
      </c>
      <c r="AC1119" s="24">
        <v>-1</v>
      </c>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c r="CA1119"/>
      <c r="CB1119"/>
      <c r="CC1119"/>
      <c r="CD1119"/>
      <c r="CE1119"/>
      <c r="CF1119"/>
      <c r="CG1119"/>
      <c r="CH1119"/>
      <c r="CI1119"/>
      <c r="CJ1119"/>
      <c r="CK1119"/>
      <c r="CL1119"/>
      <c r="CM1119"/>
      <c r="CN1119"/>
      <c r="CO1119"/>
      <c r="CP1119"/>
      <c r="CQ1119"/>
      <c r="CR1119"/>
      <c r="CS1119"/>
    </row>
    <row r="1120" spans="2:97">
      <c r="B1120"/>
      <c r="C1120" s="15"/>
      <c r="D1120" s="23"/>
      <c r="E1120" s="23"/>
      <c r="F1120" s="23"/>
      <c r="G1120" s="23">
        <f t="shared" si="83"/>
        <v>0</v>
      </c>
      <c r="H1120" s="23" t="e" cm="1">
        <f t="array" ref="H1120">INDEX('GLOBAL LOG'!#REF!,ROW()-34+15)</f>
        <v>#REF!</v>
      </c>
      <c r="I1120" s="23" t="e">
        <f>_xlfn.XLOOKUP(H1120,#REF!,#REF!,"",0,1)</f>
        <v>#REF!</v>
      </c>
      <c r="J1120" s="23" t="str">
        <f>IFERROR(I1120*#REF!,"")</f>
        <v/>
      </c>
      <c r="K1120" s="23" t="e" cm="1">
        <f t="array" ref="K1120">INDEX('GLOBAL LOG'!#REF!,ROW()-34+15)</f>
        <v>#REF!</v>
      </c>
      <c r="L1120" s="23" t="e">
        <f>_xlfn.XLOOKUP(K1120,#REF!,#REF!,"",0,1)</f>
        <v>#REF!</v>
      </c>
      <c r="M1120" s="23" t="str">
        <f>IFERROR(L1120*#REF!,"")</f>
        <v/>
      </c>
      <c r="N1120" s="23">
        <f t="shared" si="84"/>
        <v>-1</v>
      </c>
      <c r="O1120" s="23">
        <f t="shared" si="5"/>
        <v>-1</v>
      </c>
      <c r="P1120" s="23">
        <f t="shared" si="6"/>
        <v>-1</v>
      </c>
      <c r="Q1120" s="24">
        <f t="shared" si="7"/>
        <v>-1</v>
      </c>
      <c r="R1120" s="3"/>
      <c r="S1120" s="1">
        <v>0</v>
      </c>
      <c r="T1120" s="24">
        <v>-1</v>
      </c>
      <c r="U1120"/>
      <c r="V1120" s="1">
        <v>0</v>
      </c>
      <c r="W1120" s="24">
        <v>-1</v>
      </c>
      <c r="X1120"/>
      <c r="Y1120" s="1">
        <v>0</v>
      </c>
      <c r="Z1120" s="24">
        <v>-1</v>
      </c>
      <c r="AA1120"/>
      <c r="AB1120" s="1">
        <v>0</v>
      </c>
      <c r="AC1120" s="24">
        <v>-1</v>
      </c>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c r="CA1120"/>
      <c r="CB1120"/>
      <c r="CC1120"/>
      <c r="CD1120"/>
      <c r="CE1120"/>
      <c r="CF1120"/>
      <c r="CG1120"/>
      <c r="CH1120"/>
      <c r="CI1120"/>
      <c r="CJ1120"/>
      <c r="CK1120"/>
      <c r="CL1120"/>
      <c r="CM1120"/>
      <c r="CN1120"/>
      <c r="CO1120"/>
      <c r="CP1120"/>
      <c r="CQ1120"/>
      <c r="CR1120"/>
      <c r="CS1120"/>
    </row>
    <row r="1121" spans="2:97">
      <c r="B1121"/>
      <c r="C1121" s="15"/>
      <c r="D1121" s="23"/>
      <c r="E1121" s="23"/>
      <c r="F1121" s="23"/>
      <c r="G1121" s="23">
        <f t="shared" si="83"/>
        <v>0</v>
      </c>
      <c r="H1121" s="23" t="e" cm="1">
        <f t="array" ref="H1121">INDEX('GLOBAL LOG'!#REF!,ROW()-34+15)</f>
        <v>#REF!</v>
      </c>
      <c r="I1121" s="23" t="e">
        <f>_xlfn.XLOOKUP(H1121,#REF!,#REF!,"",0,1)</f>
        <v>#REF!</v>
      </c>
      <c r="J1121" s="23" t="str">
        <f>IFERROR(I1121*#REF!,"")</f>
        <v/>
      </c>
      <c r="K1121" s="23" t="e" cm="1">
        <f t="array" ref="K1121">INDEX('GLOBAL LOG'!#REF!,ROW()-34+15)</f>
        <v>#REF!</v>
      </c>
      <c r="L1121" s="23" t="e">
        <f>_xlfn.XLOOKUP(K1121,#REF!,#REF!,"",0,1)</f>
        <v>#REF!</v>
      </c>
      <c r="M1121" s="23" t="str">
        <f>IFERROR(L1121*#REF!,"")</f>
        <v/>
      </c>
      <c r="N1121" s="23">
        <f t="shared" si="84"/>
        <v>-1</v>
      </c>
      <c r="O1121" s="23">
        <f t="shared" si="5"/>
        <v>-1</v>
      </c>
      <c r="P1121" s="23">
        <f t="shared" si="6"/>
        <v>-1</v>
      </c>
      <c r="Q1121" s="24">
        <f t="shared" si="7"/>
        <v>-1</v>
      </c>
      <c r="R1121" s="3"/>
      <c r="S1121" s="1">
        <v>0</v>
      </c>
      <c r="T1121" s="24">
        <v>-1</v>
      </c>
      <c r="U1121"/>
      <c r="V1121" s="1">
        <v>0</v>
      </c>
      <c r="W1121" s="24">
        <v>-1</v>
      </c>
      <c r="X1121"/>
      <c r="Y1121" s="1">
        <v>0</v>
      </c>
      <c r="Z1121" s="24">
        <v>-1</v>
      </c>
      <c r="AA1121"/>
      <c r="AB1121" s="1">
        <v>0</v>
      </c>
      <c r="AC1121" s="24">
        <v>-1</v>
      </c>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c r="CA1121"/>
      <c r="CB1121"/>
      <c r="CC1121"/>
      <c r="CD1121"/>
      <c r="CE1121"/>
      <c r="CF1121"/>
      <c r="CG1121"/>
      <c r="CH1121"/>
      <c r="CI1121"/>
      <c r="CJ1121"/>
      <c r="CK1121"/>
      <c r="CL1121"/>
      <c r="CM1121"/>
      <c r="CN1121"/>
      <c r="CO1121"/>
      <c r="CP1121"/>
      <c r="CQ1121"/>
      <c r="CR1121"/>
      <c r="CS1121"/>
    </row>
    <row r="1122" spans="2:97">
      <c r="B1122"/>
      <c r="C1122" s="15"/>
      <c r="D1122" s="23"/>
      <c r="E1122" s="23"/>
      <c r="F1122" s="23"/>
      <c r="G1122" s="23">
        <f t="shared" si="83"/>
        <v>0</v>
      </c>
      <c r="H1122" s="23" t="e" cm="1">
        <f t="array" ref="H1122">INDEX('GLOBAL LOG'!#REF!,ROW()-34+15)</f>
        <v>#REF!</v>
      </c>
      <c r="I1122" s="23" t="e">
        <f>_xlfn.XLOOKUP(H1122,#REF!,#REF!,"",0,1)</f>
        <v>#REF!</v>
      </c>
      <c r="J1122" s="23" t="str">
        <f>IFERROR(I1122*#REF!,"")</f>
        <v/>
      </c>
      <c r="K1122" s="23" t="e" cm="1">
        <f t="array" ref="K1122">INDEX('GLOBAL LOG'!#REF!,ROW()-34+15)</f>
        <v>#REF!</v>
      </c>
      <c r="L1122" s="23" t="e">
        <f>_xlfn.XLOOKUP(K1122,#REF!,#REF!,"",0,1)</f>
        <v>#REF!</v>
      </c>
      <c r="M1122" s="23" t="str">
        <f>IFERROR(L1122*#REF!,"")</f>
        <v/>
      </c>
      <c r="N1122" s="23">
        <f t="shared" si="84"/>
        <v>-1</v>
      </c>
      <c r="O1122" s="23">
        <f t="shared" si="5"/>
        <v>-1</v>
      </c>
      <c r="P1122" s="23">
        <f t="shared" si="6"/>
        <v>-1</v>
      </c>
      <c r="Q1122" s="24">
        <f t="shared" si="7"/>
        <v>-1</v>
      </c>
      <c r="R1122" s="3"/>
      <c r="S1122" s="1">
        <v>0</v>
      </c>
      <c r="T1122" s="24">
        <v>-1</v>
      </c>
      <c r="U1122"/>
      <c r="V1122" s="1">
        <v>0</v>
      </c>
      <c r="W1122" s="24">
        <v>-1</v>
      </c>
      <c r="X1122"/>
      <c r="Y1122" s="1">
        <v>0</v>
      </c>
      <c r="Z1122" s="24">
        <v>-1</v>
      </c>
      <c r="AA1122"/>
      <c r="AB1122" s="1">
        <v>0</v>
      </c>
      <c r="AC1122" s="24">
        <v>-1</v>
      </c>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c r="CA1122"/>
      <c r="CB1122"/>
      <c r="CC1122"/>
      <c r="CD1122"/>
      <c r="CE1122"/>
      <c r="CF1122"/>
      <c r="CG1122"/>
      <c r="CH1122"/>
      <c r="CI1122"/>
      <c r="CJ1122"/>
      <c r="CK1122"/>
      <c r="CL1122"/>
      <c r="CM1122"/>
      <c r="CN1122"/>
      <c r="CO1122"/>
      <c r="CP1122"/>
      <c r="CQ1122"/>
      <c r="CR1122"/>
      <c r="CS1122"/>
    </row>
    <row r="1123" spans="2:97">
      <c r="B1123"/>
      <c r="C1123" s="15"/>
      <c r="D1123" s="23"/>
      <c r="E1123" s="23"/>
      <c r="F1123" s="23"/>
      <c r="G1123" s="23">
        <f t="shared" si="83"/>
        <v>0</v>
      </c>
      <c r="H1123" s="23" t="e" cm="1">
        <f t="array" ref="H1123">INDEX('GLOBAL LOG'!#REF!,ROW()-34+15)</f>
        <v>#REF!</v>
      </c>
      <c r="I1123" s="23" t="e">
        <f>_xlfn.XLOOKUP(H1123,#REF!,#REF!,"",0,1)</f>
        <v>#REF!</v>
      </c>
      <c r="J1123" s="23" t="str">
        <f>IFERROR(I1123*#REF!,"")</f>
        <v/>
      </c>
      <c r="K1123" s="23" t="e" cm="1">
        <f t="array" ref="K1123">INDEX('GLOBAL LOG'!#REF!,ROW()-34+15)</f>
        <v>#REF!</v>
      </c>
      <c r="L1123" s="23" t="e">
        <f>_xlfn.XLOOKUP(K1123,#REF!,#REF!,"",0,1)</f>
        <v>#REF!</v>
      </c>
      <c r="M1123" s="23" t="str">
        <f>IFERROR(L1123*#REF!,"")</f>
        <v/>
      </c>
      <c r="N1123" s="23">
        <f t="shared" si="84"/>
        <v>-1</v>
      </c>
      <c r="O1123" s="23">
        <f t="shared" si="5"/>
        <v>-1</v>
      </c>
      <c r="P1123" s="23">
        <f t="shared" si="6"/>
        <v>-1</v>
      </c>
      <c r="Q1123" s="24">
        <f t="shared" si="7"/>
        <v>-1</v>
      </c>
      <c r="R1123" s="3"/>
      <c r="S1123" s="1">
        <v>0</v>
      </c>
      <c r="T1123" s="24">
        <v>-1</v>
      </c>
      <c r="U1123"/>
      <c r="V1123" s="1">
        <v>0</v>
      </c>
      <c r="W1123" s="24">
        <v>-1</v>
      </c>
      <c r="X1123"/>
      <c r="Y1123" s="1">
        <v>0</v>
      </c>
      <c r="Z1123" s="24">
        <v>-1</v>
      </c>
      <c r="AA1123"/>
      <c r="AB1123" s="1">
        <v>0</v>
      </c>
      <c r="AC1123" s="24">
        <v>-1</v>
      </c>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c r="CA1123"/>
      <c r="CB1123"/>
      <c r="CC1123"/>
      <c r="CD1123"/>
      <c r="CE1123"/>
      <c r="CF1123"/>
      <c r="CG1123"/>
      <c r="CH1123"/>
      <c r="CI1123"/>
      <c r="CJ1123"/>
      <c r="CK1123"/>
      <c r="CL1123"/>
      <c r="CM1123"/>
      <c r="CN1123"/>
      <c r="CO1123"/>
      <c r="CP1123"/>
      <c r="CQ1123"/>
      <c r="CR1123"/>
      <c r="CS1123"/>
    </row>
    <row r="1124" spans="2:97">
      <c r="B1124"/>
      <c r="C1124" s="15"/>
      <c r="D1124" s="23"/>
      <c r="E1124" s="23"/>
      <c r="F1124" s="23"/>
      <c r="G1124" s="23">
        <f t="shared" si="83"/>
        <v>0</v>
      </c>
      <c r="H1124" s="23" t="e" cm="1">
        <f t="array" ref="H1124">INDEX('GLOBAL LOG'!#REF!,ROW()-34+15)</f>
        <v>#REF!</v>
      </c>
      <c r="I1124" s="23" t="e">
        <f>_xlfn.XLOOKUP(H1124,#REF!,#REF!,"",0,1)</f>
        <v>#REF!</v>
      </c>
      <c r="J1124" s="23" t="str">
        <f>IFERROR(I1124*#REF!,"")</f>
        <v/>
      </c>
      <c r="K1124" s="23" t="e" cm="1">
        <f t="array" ref="K1124">INDEX('GLOBAL LOG'!#REF!,ROW()-34+15)</f>
        <v>#REF!</v>
      </c>
      <c r="L1124" s="23" t="e">
        <f>_xlfn.XLOOKUP(K1124,#REF!,#REF!,"",0,1)</f>
        <v>#REF!</v>
      </c>
      <c r="M1124" s="23" t="str">
        <f>IFERROR(L1124*#REF!,"")</f>
        <v/>
      </c>
      <c r="N1124" s="23">
        <f t="shared" si="84"/>
        <v>-1</v>
      </c>
      <c r="O1124" s="23">
        <f t="shared" si="5"/>
        <v>-1</v>
      </c>
      <c r="P1124" s="23">
        <f t="shared" si="6"/>
        <v>-1</v>
      </c>
      <c r="Q1124" s="24">
        <f t="shared" si="7"/>
        <v>-1</v>
      </c>
      <c r="R1124" s="3"/>
      <c r="S1124" s="1">
        <v>0</v>
      </c>
      <c r="T1124" s="24">
        <v>-1</v>
      </c>
      <c r="U1124"/>
      <c r="V1124" s="1">
        <v>0</v>
      </c>
      <c r="W1124" s="24">
        <v>-1</v>
      </c>
      <c r="X1124"/>
      <c r="Y1124" s="1">
        <v>0</v>
      </c>
      <c r="Z1124" s="24">
        <v>-1</v>
      </c>
      <c r="AA1124"/>
      <c r="AB1124" s="1">
        <v>0</v>
      </c>
      <c r="AC1124" s="24">
        <v>-1</v>
      </c>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c r="CA1124"/>
      <c r="CB1124"/>
      <c r="CC1124"/>
      <c r="CD1124"/>
      <c r="CE1124"/>
      <c r="CF1124"/>
      <c r="CG1124"/>
      <c r="CH1124"/>
      <c r="CI1124"/>
      <c r="CJ1124"/>
      <c r="CK1124"/>
      <c r="CL1124"/>
      <c r="CM1124"/>
      <c r="CN1124"/>
      <c r="CO1124"/>
      <c r="CP1124"/>
      <c r="CQ1124"/>
      <c r="CR1124"/>
      <c r="CS1124"/>
    </row>
    <row r="1125" spans="2:97">
      <c r="B1125"/>
      <c r="C1125" s="15"/>
      <c r="D1125" s="23"/>
      <c r="E1125" s="23"/>
      <c r="F1125" s="23"/>
      <c r="G1125" s="23">
        <f t="shared" si="83"/>
        <v>0</v>
      </c>
      <c r="H1125" s="23" t="e" cm="1">
        <f t="array" ref="H1125">INDEX('GLOBAL LOG'!#REF!,ROW()-34+15)</f>
        <v>#REF!</v>
      </c>
      <c r="I1125" s="23" t="e">
        <f>_xlfn.XLOOKUP(H1125,#REF!,#REF!,"",0,1)</f>
        <v>#REF!</v>
      </c>
      <c r="J1125" s="23" t="str">
        <f>IFERROR(I1125*#REF!,"")</f>
        <v/>
      </c>
      <c r="K1125" s="23" t="e" cm="1">
        <f t="array" ref="K1125">INDEX('GLOBAL LOG'!#REF!,ROW()-34+15)</f>
        <v>#REF!</v>
      </c>
      <c r="L1125" s="23" t="e">
        <f>_xlfn.XLOOKUP(K1125,#REF!,#REF!,"",0,1)</f>
        <v>#REF!</v>
      </c>
      <c r="M1125" s="23" t="str">
        <f>IFERROR(L1125*#REF!,"")</f>
        <v/>
      </c>
      <c r="N1125" s="23">
        <f t="shared" si="84"/>
        <v>-1</v>
      </c>
      <c r="O1125" s="23">
        <f t="shared" si="5"/>
        <v>-1</v>
      </c>
      <c r="P1125" s="23">
        <f t="shared" si="6"/>
        <v>-1</v>
      </c>
      <c r="Q1125" s="24">
        <f t="shared" si="7"/>
        <v>-1</v>
      </c>
      <c r="R1125" s="3"/>
      <c r="S1125" s="1">
        <v>0</v>
      </c>
      <c r="T1125" s="24">
        <v>-1</v>
      </c>
      <c r="U1125"/>
      <c r="V1125" s="1">
        <v>0</v>
      </c>
      <c r="W1125" s="24">
        <v>-1</v>
      </c>
      <c r="X1125"/>
      <c r="Y1125" s="1">
        <v>0</v>
      </c>
      <c r="Z1125" s="24">
        <v>-1</v>
      </c>
      <c r="AA1125"/>
      <c r="AB1125" s="1">
        <v>0</v>
      </c>
      <c r="AC1125" s="24">
        <v>-1</v>
      </c>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c r="CA1125"/>
      <c r="CB1125"/>
      <c r="CC1125"/>
      <c r="CD1125"/>
      <c r="CE1125"/>
      <c r="CF1125"/>
      <c r="CG1125"/>
      <c r="CH1125"/>
      <c r="CI1125"/>
      <c r="CJ1125"/>
      <c r="CK1125"/>
      <c r="CL1125"/>
      <c r="CM1125"/>
      <c r="CN1125"/>
      <c r="CO1125"/>
      <c r="CP1125"/>
      <c r="CQ1125"/>
      <c r="CR1125"/>
      <c r="CS1125"/>
    </row>
    <row r="1126" spans="2:97">
      <c r="B1126"/>
      <c r="C1126" s="15"/>
      <c r="D1126" s="23"/>
      <c r="E1126" s="23"/>
      <c r="F1126" s="23"/>
      <c r="G1126" s="23">
        <f t="shared" si="83"/>
        <v>0</v>
      </c>
      <c r="H1126" s="23" t="e" cm="1">
        <f t="array" ref="H1126">INDEX('GLOBAL LOG'!#REF!,ROW()-34+15)</f>
        <v>#REF!</v>
      </c>
      <c r="I1126" s="23" t="e">
        <f>_xlfn.XLOOKUP(H1126,#REF!,#REF!,"",0,1)</f>
        <v>#REF!</v>
      </c>
      <c r="J1126" s="23" t="str">
        <f>IFERROR(I1126*#REF!,"")</f>
        <v/>
      </c>
      <c r="K1126" s="23" t="e" cm="1">
        <f t="array" ref="K1126">INDEX('GLOBAL LOG'!#REF!,ROW()-34+15)</f>
        <v>#REF!</v>
      </c>
      <c r="L1126" s="23" t="e">
        <f>_xlfn.XLOOKUP(K1126,#REF!,#REF!,"",0,1)</f>
        <v>#REF!</v>
      </c>
      <c r="M1126" s="23" t="str">
        <f>IFERROR(L1126*#REF!,"")</f>
        <v/>
      </c>
      <c r="N1126" s="23">
        <f t="shared" si="84"/>
        <v>-1</v>
      </c>
      <c r="O1126" s="23">
        <f t="shared" si="5"/>
        <v>-1</v>
      </c>
      <c r="P1126" s="23">
        <f t="shared" si="6"/>
        <v>-1</v>
      </c>
      <c r="Q1126" s="24">
        <f t="shared" si="7"/>
        <v>-1</v>
      </c>
      <c r="R1126" s="3"/>
      <c r="S1126" s="1">
        <v>0</v>
      </c>
      <c r="T1126" s="24">
        <v>-1</v>
      </c>
      <c r="U1126"/>
      <c r="V1126" s="1">
        <v>0</v>
      </c>
      <c r="W1126" s="24">
        <v>-1</v>
      </c>
      <c r="X1126"/>
      <c r="Y1126" s="1">
        <v>0</v>
      </c>
      <c r="Z1126" s="24">
        <v>-1</v>
      </c>
      <c r="AA1126"/>
      <c r="AB1126" s="1">
        <v>0</v>
      </c>
      <c r="AC1126" s="24">
        <v>-1</v>
      </c>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c r="CA1126"/>
      <c r="CB1126"/>
      <c r="CC1126"/>
      <c r="CD1126"/>
      <c r="CE1126"/>
      <c r="CF1126"/>
      <c r="CG1126"/>
      <c r="CH1126"/>
      <c r="CI1126"/>
      <c r="CJ1126"/>
      <c r="CK1126"/>
      <c r="CL1126"/>
      <c r="CM1126"/>
      <c r="CN1126"/>
      <c r="CO1126"/>
      <c r="CP1126"/>
      <c r="CQ1126"/>
      <c r="CR1126"/>
      <c r="CS1126"/>
    </row>
    <row r="1127" spans="2:97">
      <c r="B1127"/>
      <c r="C1127" s="15"/>
      <c r="D1127" s="23"/>
      <c r="E1127" s="23"/>
      <c r="F1127" s="23"/>
      <c r="G1127" s="23">
        <f t="shared" si="83"/>
        <v>0</v>
      </c>
      <c r="H1127" s="23" t="e" cm="1">
        <f t="array" ref="H1127">INDEX('GLOBAL LOG'!#REF!,ROW()-34+15)</f>
        <v>#REF!</v>
      </c>
      <c r="I1127" s="23" t="e">
        <f>_xlfn.XLOOKUP(H1127,#REF!,#REF!,"",0,1)</f>
        <v>#REF!</v>
      </c>
      <c r="J1127" s="23" t="str">
        <f>IFERROR(I1127*#REF!,"")</f>
        <v/>
      </c>
      <c r="K1127" s="23" t="e" cm="1">
        <f t="array" ref="K1127">INDEX('GLOBAL LOG'!#REF!,ROW()-34+15)</f>
        <v>#REF!</v>
      </c>
      <c r="L1127" s="23" t="e">
        <f>_xlfn.XLOOKUP(K1127,#REF!,#REF!,"",0,1)</f>
        <v>#REF!</v>
      </c>
      <c r="M1127" s="23" t="str">
        <f>IFERROR(L1127*#REF!,"")</f>
        <v/>
      </c>
      <c r="N1127" s="23">
        <f t="shared" si="84"/>
        <v>-1</v>
      </c>
      <c r="O1127" s="23">
        <f t="shared" si="5"/>
        <v>-1</v>
      </c>
      <c r="P1127" s="23">
        <f t="shared" si="6"/>
        <v>-1</v>
      </c>
      <c r="Q1127" s="24">
        <f t="shared" si="7"/>
        <v>-1</v>
      </c>
      <c r="R1127" s="3"/>
      <c r="S1127" s="1">
        <v>0</v>
      </c>
      <c r="T1127" s="24">
        <v>-1</v>
      </c>
      <c r="U1127"/>
      <c r="V1127" s="1">
        <v>0</v>
      </c>
      <c r="W1127" s="24">
        <v>-1</v>
      </c>
      <c r="X1127"/>
      <c r="Y1127" s="1">
        <v>0</v>
      </c>
      <c r="Z1127" s="24">
        <v>-1</v>
      </c>
      <c r="AA1127"/>
      <c r="AB1127" s="1">
        <v>0</v>
      </c>
      <c r="AC1127" s="24">
        <v>-1</v>
      </c>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c r="CA1127"/>
      <c r="CB1127"/>
      <c r="CC1127"/>
      <c r="CD1127"/>
      <c r="CE1127"/>
      <c r="CF1127"/>
      <c r="CG1127"/>
      <c r="CH1127"/>
      <c r="CI1127"/>
      <c r="CJ1127"/>
      <c r="CK1127"/>
      <c r="CL1127"/>
      <c r="CM1127"/>
      <c r="CN1127"/>
      <c r="CO1127"/>
      <c r="CP1127"/>
      <c r="CQ1127"/>
      <c r="CR1127"/>
      <c r="CS1127"/>
    </row>
    <row r="1128" spans="2:97">
      <c r="B1128"/>
      <c r="C1128" s="15"/>
      <c r="D1128" s="23"/>
      <c r="E1128" s="23"/>
      <c r="F1128" s="23"/>
      <c r="G1128" s="23">
        <f t="shared" si="83"/>
        <v>0</v>
      </c>
      <c r="H1128" s="23" t="e" cm="1">
        <f t="array" ref="H1128">INDEX('GLOBAL LOG'!#REF!,ROW()-34+15)</f>
        <v>#REF!</v>
      </c>
      <c r="I1128" s="23" t="e">
        <f>_xlfn.XLOOKUP(H1128,#REF!,#REF!,"",0,1)</f>
        <v>#REF!</v>
      </c>
      <c r="J1128" s="23" t="str">
        <f>IFERROR(I1128*#REF!,"")</f>
        <v/>
      </c>
      <c r="K1128" s="23" t="e" cm="1">
        <f t="array" ref="K1128">INDEX('GLOBAL LOG'!#REF!,ROW()-34+15)</f>
        <v>#REF!</v>
      </c>
      <c r="L1128" s="23" t="e">
        <f>_xlfn.XLOOKUP(K1128,#REF!,#REF!,"",0,1)</f>
        <v>#REF!</v>
      </c>
      <c r="M1128" s="23" t="str">
        <f>IFERROR(L1128*#REF!,"")</f>
        <v/>
      </c>
      <c r="N1128" s="23">
        <f t="shared" si="84"/>
        <v>-1</v>
      </c>
      <c r="O1128" s="23">
        <f t="shared" si="5"/>
        <v>-1</v>
      </c>
      <c r="P1128" s="23">
        <f t="shared" si="6"/>
        <v>-1</v>
      </c>
      <c r="Q1128" s="24">
        <f t="shared" si="7"/>
        <v>-1</v>
      </c>
      <c r="R1128" s="3"/>
      <c r="S1128" s="1">
        <v>0</v>
      </c>
      <c r="T1128" s="24">
        <v>-1</v>
      </c>
      <c r="U1128"/>
      <c r="V1128" s="1">
        <v>0</v>
      </c>
      <c r="W1128" s="24">
        <v>-1</v>
      </c>
      <c r="X1128"/>
      <c r="Y1128" s="1">
        <v>0</v>
      </c>
      <c r="Z1128" s="24">
        <v>-1</v>
      </c>
      <c r="AA1128"/>
      <c r="AB1128" s="1">
        <v>0</v>
      </c>
      <c r="AC1128" s="24">
        <v>-1</v>
      </c>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c r="CA1128"/>
      <c r="CB1128"/>
      <c r="CC1128"/>
      <c r="CD1128"/>
      <c r="CE1128"/>
      <c r="CF1128"/>
      <c r="CG1128"/>
      <c r="CH1128"/>
      <c r="CI1128"/>
      <c r="CJ1128"/>
      <c r="CK1128"/>
      <c r="CL1128"/>
      <c r="CM1128"/>
      <c r="CN1128"/>
      <c r="CO1128"/>
      <c r="CP1128"/>
      <c r="CQ1128"/>
      <c r="CR1128"/>
      <c r="CS1128"/>
    </row>
    <row r="1129" spans="2:97">
      <c r="B1129"/>
      <c r="C1129" s="15"/>
      <c r="D1129" s="23"/>
      <c r="E1129" s="23"/>
      <c r="F1129" s="23"/>
      <c r="G1129" s="23">
        <f t="shared" si="83"/>
        <v>0</v>
      </c>
      <c r="H1129" s="23" t="e" cm="1">
        <f t="array" ref="H1129">INDEX('GLOBAL LOG'!#REF!,ROW()-34+15)</f>
        <v>#REF!</v>
      </c>
      <c r="I1129" s="23" t="e">
        <f>_xlfn.XLOOKUP(H1129,#REF!,#REF!,"",0,1)</f>
        <v>#REF!</v>
      </c>
      <c r="J1129" s="23" t="str">
        <f>IFERROR(I1129*#REF!,"")</f>
        <v/>
      </c>
      <c r="K1129" s="23" t="e" cm="1">
        <f t="array" ref="K1129">INDEX('GLOBAL LOG'!#REF!,ROW()-34+15)</f>
        <v>#REF!</v>
      </c>
      <c r="L1129" s="23" t="e">
        <f>_xlfn.XLOOKUP(K1129,#REF!,#REF!,"",0,1)</f>
        <v>#REF!</v>
      </c>
      <c r="M1129" s="23" t="str">
        <f>IFERROR(L1129*#REF!,"")</f>
        <v/>
      </c>
      <c r="N1129" s="23">
        <f t="shared" si="84"/>
        <v>-1</v>
      </c>
      <c r="O1129" s="23">
        <f t="shared" si="5"/>
        <v>-1</v>
      </c>
      <c r="P1129" s="23">
        <f t="shared" si="6"/>
        <v>-1</v>
      </c>
      <c r="Q1129" s="24">
        <f t="shared" si="7"/>
        <v>-1</v>
      </c>
      <c r="R1129" s="3"/>
      <c r="S1129" s="1">
        <v>0</v>
      </c>
      <c r="T1129" s="24">
        <v>-1</v>
      </c>
      <c r="U1129"/>
      <c r="V1129" s="1">
        <v>0</v>
      </c>
      <c r="W1129" s="24">
        <v>-1</v>
      </c>
      <c r="X1129"/>
      <c r="Y1129" s="1">
        <v>0</v>
      </c>
      <c r="Z1129" s="24">
        <v>-1</v>
      </c>
      <c r="AA1129"/>
      <c r="AB1129" s="1">
        <v>0</v>
      </c>
      <c r="AC1129" s="24">
        <v>-1</v>
      </c>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c r="CA1129"/>
      <c r="CB1129"/>
      <c r="CC1129"/>
      <c r="CD1129"/>
      <c r="CE1129"/>
      <c r="CF1129"/>
      <c r="CG1129"/>
      <c r="CH1129"/>
      <c r="CI1129"/>
      <c r="CJ1129"/>
      <c r="CK1129"/>
      <c r="CL1129"/>
      <c r="CM1129"/>
      <c r="CN1129"/>
      <c r="CO1129"/>
      <c r="CP1129"/>
      <c r="CQ1129"/>
      <c r="CR1129"/>
      <c r="CS1129"/>
    </row>
    <row r="1130" spans="2:97">
      <c r="B1130"/>
      <c r="C1130" s="15"/>
      <c r="D1130" s="23"/>
      <c r="E1130" s="23"/>
      <c r="F1130" s="23"/>
      <c r="G1130" s="23">
        <f t="shared" si="83"/>
        <v>0</v>
      </c>
      <c r="H1130" s="23" t="e" cm="1">
        <f t="array" ref="H1130">INDEX('GLOBAL LOG'!#REF!,ROW()-34+15)</f>
        <v>#REF!</v>
      </c>
      <c r="I1130" s="23" t="e">
        <f>_xlfn.XLOOKUP(H1130,#REF!,#REF!,"",0,1)</f>
        <v>#REF!</v>
      </c>
      <c r="J1130" s="23" t="str">
        <f>IFERROR(I1130*#REF!,"")</f>
        <v/>
      </c>
      <c r="K1130" s="23" t="e" cm="1">
        <f t="array" ref="K1130">INDEX('GLOBAL LOG'!#REF!,ROW()-34+15)</f>
        <v>#REF!</v>
      </c>
      <c r="L1130" s="23" t="e">
        <f>_xlfn.XLOOKUP(K1130,#REF!,#REF!,"",0,1)</f>
        <v>#REF!</v>
      </c>
      <c r="M1130" s="23" t="str">
        <f>IFERROR(L1130*#REF!,"")</f>
        <v/>
      </c>
      <c r="N1130" s="23">
        <f t="shared" si="84"/>
        <v>-1</v>
      </c>
      <c r="O1130" s="23">
        <f t="shared" si="5"/>
        <v>-1</v>
      </c>
      <c r="P1130" s="23">
        <f t="shared" si="6"/>
        <v>-1</v>
      </c>
      <c r="Q1130" s="24">
        <f t="shared" si="7"/>
        <v>-1</v>
      </c>
      <c r="R1130" s="3"/>
      <c r="S1130" s="1">
        <v>0</v>
      </c>
      <c r="T1130" s="24">
        <v>-1</v>
      </c>
      <c r="U1130"/>
      <c r="V1130" s="1">
        <v>0</v>
      </c>
      <c r="W1130" s="24">
        <v>-1</v>
      </c>
      <c r="X1130"/>
      <c r="Y1130" s="1">
        <v>0</v>
      </c>
      <c r="Z1130" s="24">
        <v>-1</v>
      </c>
      <c r="AA1130"/>
      <c r="AB1130" s="1">
        <v>0</v>
      </c>
      <c r="AC1130" s="24">
        <v>-1</v>
      </c>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c r="CA1130"/>
      <c r="CB1130"/>
      <c r="CC1130"/>
      <c r="CD1130"/>
      <c r="CE1130"/>
      <c r="CF1130"/>
      <c r="CG1130"/>
      <c r="CH1130"/>
      <c r="CI1130"/>
      <c r="CJ1130"/>
      <c r="CK1130"/>
      <c r="CL1130"/>
      <c r="CM1130"/>
      <c r="CN1130"/>
      <c r="CO1130"/>
      <c r="CP1130"/>
      <c r="CQ1130"/>
      <c r="CR1130"/>
      <c r="CS1130"/>
    </row>
    <row r="1131" spans="2:97">
      <c r="B1131"/>
      <c r="C1131" s="15"/>
      <c r="D1131" s="23"/>
      <c r="E1131" s="23"/>
      <c r="F1131" s="23"/>
      <c r="G1131" s="23">
        <f t="shared" si="83"/>
        <v>0</v>
      </c>
      <c r="H1131" s="23" t="e" cm="1">
        <f t="array" ref="H1131">INDEX('GLOBAL LOG'!#REF!,ROW()-34+15)</f>
        <v>#REF!</v>
      </c>
      <c r="I1131" s="23" t="e">
        <f>_xlfn.XLOOKUP(H1131,#REF!,#REF!,"",0,1)</f>
        <v>#REF!</v>
      </c>
      <c r="J1131" s="23" t="str">
        <f>IFERROR(I1131*#REF!,"")</f>
        <v/>
      </c>
      <c r="K1131" s="23" t="e" cm="1">
        <f t="array" ref="K1131">INDEX('GLOBAL LOG'!#REF!,ROW()-34+15)</f>
        <v>#REF!</v>
      </c>
      <c r="L1131" s="23" t="e">
        <f>_xlfn.XLOOKUP(K1131,#REF!,#REF!,"",0,1)</f>
        <v>#REF!</v>
      </c>
      <c r="M1131" s="23" t="str">
        <f>IFERROR(L1131*#REF!,"")</f>
        <v/>
      </c>
      <c r="N1131" s="23">
        <f t="shared" si="84"/>
        <v>-1</v>
      </c>
      <c r="O1131" s="23">
        <f t="shared" si="5"/>
        <v>-1</v>
      </c>
      <c r="P1131" s="23">
        <f t="shared" si="6"/>
        <v>-1</v>
      </c>
      <c r="Q1131" s="24">
        <f t="shared" si="7"/>
        <v>-1</v>
      </c>
      <c r="R1131" s="3"/>
      <c r="S1131" s="1">
        <v>0</v>
      </c>
      <c r="T1131" s="24">
        <v>-1</v>
      </c>
      <c r="U1131"/>
      <c r="V1131" s="1">
        <v>0</v>
      </c>
      <c r="W1131" s="24">
        <v>-1</v>
      </c>
      <c r="X1131"/>
      <c r="Y1131" s="1">
        <v>0</v>
      </c>
      <c r="Z1131" s="24">
        <v>-1</v>
      </c>
      <c r="AA1131"/>
      <c r="AB1131" s="1">
        <v>0</v>
      </c>
      <c r="AC1131" s="24">
        <v>-1</v>
      </c>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c r="CA1131"/>
      <c r="CB1131"/>
      <c r="CC1131"/>
      <c r="CD1131"/>
      <c r="CE1131"/>
      <c r="CF1131"/>
      <c r="CG1131"/>
      <c r="CH1131"/>
      <c r="CI1131"/>
      <c r="CJ1131"/>
      <c r="CK1131"/>
      <c r="CL1131"/>
      <c r="CM1131"/>
      <c r="CN1131"/>
      <c r="CO1131"/>
      <c r="CP1131"/>
      <c r="CQ1131"/>
      <c r="CR1131"/>
      <c r="CS1131"/>
    </row>
    <row r="1132" spans="2:97">
      <c r="B1132"/>
      <c r="C1132" s="15"/>
      <c r="D1132" s="23"/>
      <c r="E1132" s="23"/>
      <c r="F1132" s="23"/>
      <c r="G1132" s="23">
        <f t="shared" si="83"/>
        <v>0</v>
      </c>
      <c r="H1132" s="23" t="e" cm="1">
        <f t="array" ref="H1132">INDEX('GLOBAL LOG'!#REF!,ROW()-34+15)</f>
        <v>#REF!</v>
      </c>
      <c r="I1132" s="23" t="e">
        <f>_xlfn.XLOOKUP(H1132,#REF!,#REF!,"",0,1)</f>
        <v>#REF!</v>
      </c>
      <c r="J1132" s="23" t="str">
        <f>IFERROR(I1132*#REF!,"")</f>
        <v/>
      </c>
      <c r="K1132" s="23" t="e" cm="1">
        <f t="array" ref="K1132">INDEX('GLOBAL LOG'!#REF!,ROW()-34+15)</f>
        <v>#REF!</v>
      </c>
      <c r="L1132" s="23" t="e">
        <f>_xlfn.XLOOKUP(K1132,#REF!,#REF!,"",0,1)</f>
        <v>#REF!</v>
      </c>
      <c r="M1132" s="23" t="str">
        <f>IFERROR(L1132*#REF!,"")</f>
        <v/>
      </c>
      <c r="N1132" s="23">
        <f t="shared" si="84"/>
        <v>-1</v>
      </c>
      <c r="O1132" s="23">
        <f t="shared" si="5"/>
        <v>-1</v>
      </c>
      <c r="P1132" s="23">
        <f t="shared" si="6"/>
        <v>-1</v>
      </c>
      <c r="Q1132" s="24">
        <f t="shared" si="7"/>
        <v>-1</v>
      </c>
      <c r="R1132" s="3"/>
      <c r="S1132" s="1">
        <v>0</v>
      </c>
      <c r="T1132" s="24">
        <v>-1</v>
      </c>
      <c r="U1132"/>
      <c r="V1132" s="1">
        <v>0</v>
      </c>
      <c r="W1132" s="24">
        <v>-1</v>
      </c>
      <c r="X1132"/>
      <c r="Y1132" s="1">
        <v>0</v>
      </c>
      <c r="Z1132" s="24">
        <v>-1</v>
      </c>
      <c r="AA1132"/>
      <c r="AB1132" s="1">
        <v>0</v>
      </c>
      <c r="AC1132" s="24">
        <v>-1</v>
      </c>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c r="CA1132"/>
      <c r="CB1132"/>
      <c r="CC1132"/>
      <c r="CD1132"/>
      <c r="CE1132"/>
      <c r="CF1132"/>
      <c r="CG1132"/>
      <c r="CH1132"/>
      <c r="CI1132"/>
      <c r="CJ1132"/>
      <c r="CK1132"/>
      <c r="CL1132"/>
      <c r="CM1132"/>
      <c r="CN1132"/>
      <c r="CO1132"/>
      <c r="CP1132"/>
      <c r="CQ1132"/>
      <c r="CR1132"/>
      <c r="CS1132"/>
    </row>
    <row r="1133" spans="2:97">
      <c r="B1133"/>
      <c r="C1133" s="15"/>
      <c r="D1133" s="23"/>
      <c r="E1133" s="23"/>
      <c r="F1133" s="23"/>
      <c r="G1133" s="23">
        <f t="shared" si="83"/>
        <v>0</v>
      </c>
      <c r="H1133" s="23" t="e" cm="1">
        <f t="array" ref="H1133">INDEX('GLOBAL LOG'!#REF!,ROW()-34+15)</f>
        <v>#REF!</v>
      </c>
      <c r="I1133" s="23" t="e">
        <f>_xlfn.XLOOKUP(H1133,#REF!,#REF!,"",0,1)</f>
        <v>#REF!</v>
      </c>
      <c r="J1133" s="23" t="str">
        <f>IFERROR(I1133*#REF!,"")</f>
        <v/>
      </c>
      <c r="K1133" s="23" t="e" cm="1">
        <f t="array" ref="K1133">INDEX('GLOBAL LOG'!#REF!,ROW()-34+15)</f>
        <v>#REF!</v>
      </c>
      <c r="L1133" s="23" t="e">
        <f>_xlfn.XLOOKUP(K1133,#REF!,#REF!,"",0,1)</f>
        <v>#REF!</v>
      </c>
      <c r="M1133" s="23" t="str">
        <f>IFERROR(L1133*#REF!,"")</f>
        <v/>
      </c>
      <c r="N1133" s="23">
        <f t="shared" si="84"/>
        <v>-1</v>
      </c>
      <c r="O1133" s="23">
        <f t="shared" si="5"/>
        <v>-1</v>
      </c>
      <c r="P1133" s="23">
        <f t="shared" si="6"/>
        <v>-1</v>
      </c>
      <c r="Q1133" s="24">
        <f t="shared" si="7"/>
        <v>-1</v>
      </c>
      <c r="R1133" s="3"/>
      <c r="S1133" s="1">
        <v>0</v>
      </c>
      <c r="T1133" s="24">
        <v>-1</v>
      </c>
      <c r="U1133"/>
      <c r="V1133" s="1">
        <v>0</v>
      </c>
      <c r="W1133" s="24">
        <v>-1</v>
      </c>
      <c r="X1133"/>
      <c r="Y1133" s="1">
        <v>0</v>
      </c>
      <c r="Z1133" s="24">
        <v>-1</v>
      </c>
      <c r="AA1133"/>
      <c r="AB1133" s="1">
        <v>0</v>
      </c>
      <c r="AC1133" s="24">
        <v>-1</v>
      </c>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c r="CA1133"/>
      <c r="CB1133"/>
      <c r="CC1133"/>
      <c r="CD1133"/>
      <c r="CE1133"/>
      <c r="CF1133"/>
      <c r="CG1133"/>
      <c r="CH1133"/>
      <c r="CI1133"/>
      <c r="CJ1133"/>
      <c r="CK1133"/>
      <c r="CL1133"/>
      <c r="CM1133"/>
      <c r="CN1133"/>
      <c r="CO1133"/>
      <c r="CP1133"/>
      <c r="CQ1133"/>
      <c r="CR1133"/>
      <c r="CS1133"/>
    </row>
    <row r="1134" spans="2:97">
      <c r="B1134"/>
      <c r="C1134" s="15"/>
      <c r="D1134" s="23"/>
      <c r="E1134" s="23"/>
      <c r="F1134" s="23"/>
      <c r="G1134" s="23">
        <f t="shared" si="83"/>
        <v>0</v>
      </c>
      <c r="H1134" s="23" t="e" cm="1">
        <f t="array" ref="H1134">INDEX('GLOBAL LOG'!#REF!,ROW()-34+15)</f>
        <v>#REF!</v>
      </c>
      <c r="I1134" s="23" t="e">
        <f>_xlfn.XLOOKUP(H1134,#REF!,#REF!,"",0,1)</f>
        <v>#REF!</v>
      </c>
      <c r="J1134" s="23" t="str">
        <f>IFERROR(I1134*#REF!,"")</f>
        <v/>
      </c>
      <c r="K1134" s="23" t="e" cm="1">
        <f t="array" ref="K1134">INDEX('GLOBAL LOG'!#REF!,ROW()-34+15)</f>
        <v>#REF!</v>
      </c>
      <c r="L1134" s="23" t="e">
        <f>_xlfn.XLOOKUP(K1134,#REF!,#REF!,"",0,1)</f>
        <v>#REF!</v>
      </c>
      <c r="M1134" s="23" t="str">
        <f>IFERROR(L1134*#REF!,"")</f>
        <v/>
      </c>
      <c r="N1134" s="23">
        <f t="shared" si="84"/>
        <v>-1</v>
      </c>
      <c r="O1134" s="23">
        <f t="shared" si="5"/>
        <v>-1</v>
      </c>
      <c r="P1134" s="23">
        <f t="shared" si="6"/>
        <v>-1</v>
      </c>
      <c r="Q1134" s="24">
        <f t="shared" si="7"/>
        <v>-1</v>
      </c>
      <c r="R1134" s="3"/>
      <c r="S1134" s="1">
        <v>0</v>
      </c>
      <c r="T1134" s="24">
        <v>-1</v>
      </c>
      <c r="U1134"/>
      <c r="V1134" s="1">
        <v>0</v>
      </c>
      <c r="W1134" s="24">
        <v>-1</v>
      </c>
      <c r="X1134"/>
      <c r="Y1134" s="1">
        <v>0</v>
      </c>
      <c r="Z1134" s="24">
        <v>-1</v>
      </c>
      <c r="AA1134"/>
      <c r="AB1134" s="1">
        <v>0</v>
      </c>
      <c r="AC1134" s="24">
        <v>-1</v>
      </c>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c r="CA1134"/>
      <c r="CB1134"/>
      <c r="CC1134"/>
      <c r="CD1134"/>
      <c r="CE1134"/>
      <c r="CF1134"/>
      <c r="CG1134"/>
      <c r="CH1134"/>
      <c r="CI1134"/>
      <c r="CJ1134"/>
      <c r="CK1134"/>
      <c r="CL1134"/>
      <c r="CM1134"/>
      <c r="CN1134"/>
      <c r="CO1134"/>
      <c r="CP1134"/>
      <c r="CQ1134"/>
      <c r="CR1134"/>
      <c r="CS1134"/>
    </row>
    <row r="1135" spans="2:97">
      <c r="B1135"/>
      <c r="C1135" s="15"/>
      <c r="D1135" s="23"/>
      <c r="E1135" s="23"/>
      <c r="F1135" s="23"/>
      <c r="G1135" s="23">
        <f t="shared" si="83"/>
        <v>0</v>
      </c>
      <c r="H1135" s="23" t="e" cm="1">
        <f t="array" ref="H1135">INDEX('GLOBAL LOG'!#REF!,ROW()-34+15)</f>
        <v>#REF!</v>
      </c>
      <c r="I1135" s="23" t="e">
        <f>_xlfn.XLOOKUP(H1135,#REF!,#REF!,"",0,1)</f>
        <v>#REF!</v>
      </c>
      <c r="J1135" s="23" t="str">
        <f>IFERROR(I1135*#REF!,"")</f>
        <v/>
      </c>
      <c r="K1135" s="23" t="e" cm="1">
        <f t="array" ref="K1135">INDEX('GLOBAL LOG'!#REF!,ROW()-34+15)</f>
        <v>#REF!</v>
      </c>
      <c r="L1135" s="23" t="e">
        <f>_xlfn.XLOOKUP(K1135,#REF!,#REF!,"",0,1)</f>
        <v>#REF!</v>
      </c>
      <c r="M1135" s="23" t="str">
        <f>IFERROR(L1135*#REF!,"")</f>
        <v/>
      </c>
      <c r="N1135" s="23">
        <f t="shared" si="84"/>
        <v>-1</v>
      </c>
      <c r="O1135" s="23">
        <f t="shared" si="5"/>
        <v>-1</v>
      </c>
      <c r="P1135" s="23">
        <f t="shared" si="6"/>
        <v>-1</v>
      </c>
      <c r="Q1135" s="24">
        <f t="shared" si="7"/>
        <v>-1</v>
      </c>
      <c r="R1135" s="3"/>
      <c r="S1135" s="1">
        <v>0</v>
      </c>
      <c r="T1135" s="24">
        <v>-1</v>
      </c>
      <c r="U1135"/>
      <c r="V1135" s="1">
        <v>0</v>
      </c>
      <c r="W1135" s="24">
        <v>-1</v>
      </c>
      <c r="X1135"/>
      <c r="Y1135" s="1">
        <v>0</v>
      </c>
      <c r="Z1135" s="24">
        <v>-1</v>
      </c>
      <c r="AA1135"/>
      <c r="AB1135" s="1">
        <v>0</v>
      </c>
      <c r="AC1135" s="24">
        <v>-1</v>
      </c>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c r="CA1135"/>
      <c r="CB1135"/>
      <c r="CC1135"/>
      <c r="CD1135"/>
      <c r="CE1135"/>
      <c r="CF1135"/>
      <c r="CG1135"/>
      <c r="CH1135"/>
      <c r="CI1135"/>
      <c r="CJ1135"/>
      <c r="CK1135"/>
      <c r="CL1135"/>
      <c r="CM1135"/>
      <c r="CN1135"/>
      <c r="CO1135"/>
      <c r="CP1135"/>
      <c r="CQ1135"/>
      <c r="CR1135"/>
      <c r="CS1135"/>
    </row>
    <row r="1136" spans="2:97">
      <c r="B1136"/>
      <c r="C1136" s="15"/>
      <c r="D1136" s="23"/>
      <c r="E1136" s="23"/>
      <c r="F1136" s="23"/>
      <c r="G1136" s="23">
        <f t="shared" si="83"/>
        <v>0</v>
      </c>
      <c r="H1136" s="23" t="e" cm="1">
        <f t="array" ref="H1136">INDEX('GLOBAL LOG'!#REF!,ROW()-34+15)</f>
        <v>#REF!</v>
      </c>
      <c r="I1136" s="23" t="e">
        <f>_xlfn.XLOOKUP(H1136,#REF!,#REF!,"",0,1)</f>
        <v>#REF!</v>
      </c>
      <c r="J1136" s="23" t="str">
        <f>IFERROR(I1136*#REF!,"")</f>
        <v/>
      </c>
      <c r="K1136" s="23" t="e" cm="1">
        <f t="array" ref="K1136">INDEX('GLOBAL LOG'!#REF!,ROW()-34+15)</f>
        <v>#REF!</v>
      </c>
      <c r="L1136" s="23" t="e">
        <f>_xlfn.XLOOKUP(K1136,#REF!,#REF!,"",0,1)</f>
        <v>#REF!</v>
      </c>
      <c r="M1136" s="23" t="str">
        <f>IFERROR(L1136*#REF!,"")</f>
        <v/>
      </c>
      <c r="N1136" s="23">
        <f t="shared" si="84"/>
        <v>-1</v>
      </c>
      <c r="O1136" s="23">
        <f t="shared" ref="O1136:O1167" si="85">IFERROR(E1136*J1136*M1136,-1)</f>
        <v>-1</v>
      </c>
      <c r="P1136" s="23">
        <f t="shared" ref="P1136:P1167" si="86">IFERROR(F1136*J1136*M1136,-1)</f>
        <v>-1</v>
      </c>
      <c r="Q1136" s="24">
        <f t="shared" ref="Q1136:Q1167" si="87">IFERROR(G1136*J1136*M1136,-1)</f>
        <v>-1</v>
      </c>
      <c r="R1136" s="3"/>
      <c r="S1136" s="1">
        <v>0</v>
      </c>
      <c r="T1136" s="24">
        <v>-1</v>
      </c>
      <c r="U1136"/>
      <c r="V1136" s="1">
        <v>0</v>
      </c>
      <c r="W1136" s="24">
        <v>-1</v>
      </c>
      <c r="X1136"/>
      <c r="Y1136" s="1">
        <v>0</v>
      </c>
      <c r="Z1136" s="24">
        <v>-1</v>
      </c>
      <c r="AA1136"/>
      <c r="AB1136" s="1">
        <v>0</v>
      </c>
      <c r="AC1136" s="24">
        <v>-1</v>
      </c>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c r="CA1136"/>
      <c r="CB1136"/>
      <c r="CC1136"/>
      <c r="CD1136"/>
      <c r="CE1136"/>
      <c r="CF1136"/>
      <c r="CG1136"/>
      <c r="CH1136"/>
      <c r="CI1136"/>
      <c r="CJ1136"/>
      <c r="CK1136"/>
      <c r="CL1136"/>
      <c r="CM1136"/>
      <c r="CN1136"/>
      <c r="CO1136"/>
      <c r="CP1136"/>
      <c r="CQ1136"/>
      <c r="CR1136"/>
      <c r="CS1136"/>
    </row>
    <row r="1137" spans="2:97">
      <c r="B1137"/>
      <c r="C1137" s="15"/>
      <c r="D1137" s="23"/>
      <c r="E1137" s="23"/>
      <c r="F1137" s="23"/>
      <c r="G1137" s="23">
        <f t="shared" si="83"/>
        <v>0</v>
      </c>
      <c r="H1137" s="23" t="e" cm="1">
        <f t="array" ref="H1137">INDEX('GLOBAL LOG'!#REF!,ROW()-34+15)</f>
        <v>#REF!</v>
      </c>
      <c r="I1137" s="23" t="e">
        <f>_xlfn.XLOOKUP(H1137,#REF!,#REF!,"",0,1)</f>
        <v>#REF!</v>
      </c>
      <c r="J1137" s="23" t="str">
        <f>IFERROR(I1137*#REF!,"")</f>
        <v/>
      </c>
      <c r="K1137" s="23" t="e" cm="1">
        <f t="array" ref="K1137">INDEX('GLOBAL LOG'!#REF!,ROW()-34+15)</f>
        <v>#REF!</v>
      </c>
      <c r="L1137" s="23" t="e">
        <f>_xlfn.XLOOKUP(K1137,#REF!,#REF!,"",0,1)</f>
        <v>#REF!</v>
      </c>
      <c r="M1137" s="23" t="str">
        <f>IFERROR(L1137*#REF!,"")</f>
        <v/>
      </c>
      <c r="N1137" s="23">
        <f t="shared" si="84"/>
        <v>-1</v>
      </c>
      <c r="O1137" s="23">
        <f t="shared" si="85"/>
        <v>-1</v>
      </c>
      <c r="P1137" s="23">
        <f t="shared" si="86"/>
        <v>-1</v>
      </c>
      <c r="Q1137" s="24">
        <f t="shared" si="87"/>
        <v>-1</v>
      </c>
      <c r="R1137" s="3"/>
      <c r="S1137" s="1">
        <v>0</v>
      </c>
      <c r="T1137" s="24">
        <v>-1</v>
      </c>
      <c r="U1137"/>
      <c r="V1137" s="1">
        <v>0</v>
      </c>
      <c r="W1137" s="24">
        <v>-1</v>
      </c>
      <c r="X1137"/>
      <c r="Y1137" s="1">
        <v>0</v>
      </c>
      <c r="Z1137" s="24">
        <v>-1</v>
      </c>
      <c r="AA1137"/>
      <c r="AB1137" s="1">
        <v>0</v>
      </c>
      <c r="AC1137" s="24">
        <v>-1</v>
      </c>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c r="CA1137"/>
      <c r="CB1137"/>
      <c r="CC1137"/>
      <c r="CD1137"/>
      <c r="CE1137"/>
      <c r="CF1137"/>
      <c r="CG1137"/>
      <c r="CH1137"/>
      <c r="CI1137"/>
      <c r="CJ1137"/>
      <c r="CK1137"/>
      <c r="CL1137"/>
      <c r="CM1137"/>
      <c r="CN1137"/>
      <c r="CO1137"/>
      <c r="CP1137"/>
      <c r="CQ1137"/>
      <c r="CR1137"/>
      <c r="CS1137"/>
    </row>
    <row r="1138" spans="2:97">
      <c r="B1138"/>
      <c r="C1138" s="15"/>
      <c r="D1138" s="23"/>
      <c r="E1138" s="23"/>
      <c r="F1138" s="23"/>
      <c r="G1138" s="23">
        <f t="shared" si="83"/>
        <v>0</v>
      </c>
      <c r="H1138" s="23" t="e" cm="1">
        <f t="array" ref="H1138">INDEX('GLOBAL LOG'!#REF!,ROW()-34+15)</f>
        <v>#REF!</v>
      </c>
      <c r="I1138" s="23" t="e">
        <f>_xlfn.XLOOKUP(H1138,#REF!,#REF!,"",0,1)</f>
        <v>#REF!</v>
      </c>
      <c r="J1138" s="23" t="str">
        <f>IFERROR(I1138*#REF!,"")</f>
        <v/>
      </c>
      <c r="K1138" s="23" t="e" cm="1">
        <f t="array" ref="K1138">INDEX('GLOBAL LOG'!#REF!,ROW()-34+15)</f>
        <v>#REF!</v>
      </c>
      <c r="L1138" s="23" t="e">
        <f>_xlfn.XLOOKUP(K1138,#REF!,#REF!,"",0,1)</f>
        <v>#REF!</v>
      </c>
      <c r="M1138" s="23" t="str">
        <f>IFERROR(L1138*#REF!,"")</f>
        <v/>
      </c>
      <c r="N1138" s="23">
        <f t="shared" si="84"/>
        <v>-1</v>
      </c>
      <c r="O1138" s="23">
        <f t="shared" si="85"/>
        <v>-1</v>
      </c>
      <c r="P1138" s="23">
        <f t="shared" si="86"/>
        <v>-1</v>
      </c>
      <c r="Q1138" s="24">
        <f t="shared" si="87"/>
        <v>-1</v>
      </c>
      <c r="R1138" s="3"/>
      <c r="S1138" s="1">
        <v>0</v>
      </c>
      <c r="T1138" s="24">
        <v>-1</v>
      </c>
      <c r="U1138"/>
      <c r="V1138" s="1">
        <v>0</v>
      </c>
      <c r="W1138" s="24">
        <v>-1</v>
      </c>
      <c r="X1138"/>
      <c r="Y1138" s="1">
        <v>0</v>
      </c>
      <c r="Z1138" s="24">
        <v>-1</v>
      </c>
      <c r="AA1138"/>
      <c r="AB1138" s="1">
        <v>0</v>
      </c>
      <c r="AC1138" s="24">
        <v>-1</v>
      </c>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c r="CA1138"/>
      <c r="CB1138"/>
      <c r="CC1138"/>
      <c r="CD1138"/>
      <c r="CE1138"/>
      <c r="CF1138"/>
      <c r="CG1138"/>
      <c r="CH1138"/>
      <c r="CI1138"/>
      <c r="CJ1138"/>
      <c r="CK1138"/>
      <c r="CL1138"/>
      <c r="CM1138"/>
      <c r="CN1138"/>
      <c r="CO1138"/>
      <c r="CP1138"/>
      <c r="CQ1138"/>
      <c r="CR1138"/>
      <c r="CS1138"/>
    </row>
    <row r="1139" spans="2:97">
      <c r="B1139"/>
      <c r="C1139" s="15"/>
      <c r="D1139" s="23"/>
      <c r="E1139" s="23"/>
      <c r="F1139" s="23"/>
      <c r="G1139" s="23">
        <f t="shared" si="83"/>
        <v>0</v>
      </c>
      <c r="H1139" s="23" t="e" cm="1">
        <f t="array" ref="H1139">INDEX('GLOBAL LOG'!#REF!,ROW()-34+15)</f>
        <v>#REF!</v>
      </c>
      <c r="I1139" s="23" t="e">
        <f>_xlfn.XLOOKUP(H1139,#REF!,#REF!,"",0,1)</f>
        <v>#REF!</v>
      </c>
      <c r="J1139" s="23" t="str">
        <f>IFERROR(I1139*#REF!,"")</f>
        <v/>
      </c>
      <c r="K1139" s="23" t="e" cm="1">
        <f t="array" ref="K1139">INDEX('GLOBAL LOG'!#REF!,ROW()-34+15)</f>
        <v>#REF!</v>
      </c>
      <c r="L1139" s="23" t="e">
        <f>_xlfn.XLOOKUP(K1139,#REF!,#REF!,"",0,1)</f>
        <v>#REF!</v>
      </c>
      <c r="M1139" s="23" t="str">
        <f>IFERROR(L1139*#REF!,"")</f>
        <v/>
      </c>
      <c r="N1139" s="23">
        <f t="shared" si="84"/>
        <v>-1</v>
      </c>
      <c r="O1139" s="23">
        <f t="shared" si="85"/>
        <v>-1</v>
      </c>
      <c r="P1139" s="23">
        <f t="shared" si="86"/>
        <v>-1</v>
      </c>
      <c r="Q1139" s="24">
        <f t="shared" si="87"/>
        <v>-1</v>
      </c>
      <c r="R1139" s="3"/>
      <c r="S1139" s="1">
        <v>0</v>
      </c>
      <c r="T1139" s="24">
        <v>-1</v>
      </c>
      <c r="U1139"/>
      <c r="V1139" s="1">
        <v>0</v>
      </c>
      <c r="W1139" s="24">
        <v>-1</v>
      </c>
      <c r="X1139"/>
      <c r="Y1139" s="1">
        <v>0</v>
      </c>
      <c r="Z1139" s="24">
        <v>-1</v>
      </c>
      <c r="AA1139"/>
      <c r="AB1139" s="1">
        <v>0</v>
      </c>
      <c r="AC1139" s="24">
        <v>-1</v>
      </c>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c r="CA1139"/>
      <c r="CB1139"/>
      <c r="CC1139"/>
      <c r="CD1139"/>
      <c r="CE1139"/>
      <c r="CF1139"/>
      <c r="CG1139"/>
      <c r="CH1139"/>
      <c r="CI1139"/>
      <c r="CJ1139"/>
      <c r="CK1139"/>
      <c r="CL1139"/>
      <c r="CM1139"/>
      <c r="CN1139"/>
      <c r="CO1139"/>
      <c r="CP1139"/>
      <c r="CQ1139"/>
      <c r="CR1139"/>
      <c r="CS1139"/>
    </row>
    <row r="1140" spans="2:97">
      <c r="B1140"/>
      <c r="C1140" s="15"/>
      <c r="D1140" s="23"/>
      <c r="E1140" s="23"/>
      <c r="F1140" s="23"/>
      <c r="G1140" s="23">
        <f t="shared" si="83"/>
        <v>0</v>
      </c>
      <c r="H1140" s="23" t="e" cm="1">
        <f t="array" ref="H1140">INDEX('GLOBAL LOG'!#REF!,ROW()-34+15)</f>
        <v>#REF!</v>
      </c>
      <c r="I1140" s="23" t="e">
        <f>_xlfn.XLOOKUP(H1140,#REF!,#REF!,"",0,1)</f>
        <v>#REF!</v>
      </c>
      <c r="J1140" s="23" t="str">
        <f>IFERROR(I1140*#REF!,"")</f>
        <v/>
      </c>
      <c r="K1140" s="23" t="e" cm="1">
        <f t="array" ref="K1140">INDEX('GLOBAL LOG'!#REF!,ROW()-34+15)</f>
        <v>#REF!</v>
      </c>
      <c r="L1140" s="23" t="e">
        <f>_xlfn.XLOOKUP(K1140,#REF!,#REF!,"",0,1)</f>
        <v>#REF!</v>
      </c>
      <c r="M1140" s="23" t="str">
        <f>IFERROR(L1140*#REF!,"")</f>
        <v/>
      </c>
      <c r="N1140" s="23">
        <f t="shared" si="84"/>
        <v>-1</v>
      </c>
      <c r="O1140" s="23">
        <f t="shared" si="85"/>
        <v>-1</v>
      </c>
      <c r="P1140" s="23">
        <f t="shared" si="86"/>
        <v>-1</v>
      </c>
      <c r="Q1140" s="24">
        <f t="shared" si="87"/>
        <v>-1</v>
      </c>
      <c r="R1140" s="3"/>
      <c r="S1140" s="1">
        <v>0</v>
      </c>
      <c r="T1140" s="24">
        <v>-1</v>
      </c>
      <c r="U1140"/>
      <c r="V1140" s="1">
        <v>0</v>
      </c>
      <c r="W1140" s="24">
        <v>-1</v>
      </c>
      <c r="X1140"/>
      <c r="Y1140" s="1">
        <v>0</v>
      </c>
      <c r="Z1140" s="24">
        <v>-1</v>
      </c>
      <c r="AA1140"/>
      <c r="AB1140" s="1">
        <v>0</v>
      </c>
      <c r="AC1140" s="24">
        <v>-1</v>
      </c>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c r="CA1140"/>
      <c r="CB1140"/>
      <c r="CC1140"/>
      <c r="CD1140"/>
      <c r="CE1140"/>
      <c r="CF1140"/>
      <c r="CG1140"/>
      <c r="CH1140"/>
      <c r="CI1140"/>
      <c r="CJ1140"/>
      <c r="CK1140"/>
      <c r="CL1140"/>
      <c r="CM1140"/>
      <c r="CN1140"/>
      <c r="CO1140"/>
      <c r="CP1140"/>
      <c r="CQ1140"/>
      <c r="CR1140"/>
      <c r="CS1140"/>
    </row>
    <row r="1141" spans="2:97">
      <c r="B1141"/>
      <c r="C1141" s="15"/>
      <c r="D1141" s="23"/>
      <c r="E1141" s="23"/>
      <c r="F1141" s="23"/>
      <c r="G1141" s="23">
        <f t="shared" si="83"/>
        <v>0</v>
      </c>
      <c r="H1141" s="23" t="e" cm="1">
        <f t="array" ref="H1141">INDEX('GLOBAL LOG'!#REF!,ROW()-34+15)</f>
        <v>#REF!</v>
      </c>
      <c r="I1141" s="23" t="e">
        <f>_xlfn.XLOOKUP(H1141,#REF!,#REF!,"",0,1)</f>
        <v>#REF!</v>
      </c>
      <c r="J1141" s="23" t="str">
        <f>IFERROR(I1141*#REF!,"")</f>
        <v/>
      </c>
      <c r="K1141" s="23" t="e" cm="1">
        <f t="array" ref="K1141">INDEX('GLOBAL LOG'!#REF!,ROW()-34+15)</f>
        <v>#REF!</v>
      </c>
      <c r="L1141" s="23" t="e">
        <f>_xlfn.XLOOKUP(K1141,#REF!,#REF!,"",0,1)</f>
        <v>#REF!</v>
      </c>
      <c r="M1141" s="23" t="str">
        <f>IFERROR(L1141*#REF!,"")</f>
        <v/>
      </c>
      <c r="N1141" s="23">
        <f t="shared" si="84"/>
        <v>-1</v>
      </c>
      <c r="O1141" s="23">
        <f t="shared" si="85"/>
        <v>-1</v>
      </c>
      <c r="P1141" s="23">
        <f t="shared" si="86"/>
        <v>-1</v>
      </c>
      <c r="Q1141" s="24">
        <f t="shared" si="87"/>
        <v>-1</v>
      </c>
      <c r="R1141" s="3"/>
      <c r="S1141" s="1">
        <v>0</v>
      </c>
      <c r="T1141" s="24">
        <v>-1</v>
      </c>
      <c r="U1141"/>
      <c r="V1141" s="1">
        <v>0</v>
      </c>
      <c r="W1141" s="24">
        <v>-1</v>
      </c>
      <c r="X1141"/>
      <c r="Y1141" s="1">
        <v>0</v>
      </c>
      <c r="Z1141" s="24">
        <v>-1</v>
      </c>
      <c r="AA1141"/>
      <c r="AB1141" s="1">
        <v>0</v>
      </c>
      <c r="AC1141" s="24">
        <v>-1</v>
      </c>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c r="CA1141"/>
      <c r="CB1141"/>
      <c r="CC1141"/>
      <c r="CD1141"/>
      <c r="CE1141"/>
      <c r="CF1141"/>
      <c r="CG1141"/>
      <c r="CH1141"/>
      <c r="CI1141"/>
      <c r="CJ1141"/>
      <c r="CK1141"/>
      <c r="CL1141"/>
      <c r="CM1141"/>
      <c r="CN1141"/>
      <c r="CO1141"/>
      <c r="CP1141"/>
      <c r="CQ1141"/>
      <c r="CR1141"/>
      <c r="CS1141"/>
    </row>
    <row r="1142" spans="2:97">
      <c r="B1142"/>
      <c r="C1142" s="15"/>
      <c r="D1142" s="23"/>
      <c r="E1142" s="23"/>
      <c r="F1142" s="23"/>
      <c r="G1142" s="23">
        <f t="shared" si="83"/>
        <v>0</v>
      </c>
      <c r="H1142" s="23" t="e" cm="1">
        <f t="array" ref="H1142">INDEX('GLOBAL LOG'!#REF!,ROW()-34+15)</f>
        <v>#REF!</v>
      </c>
      <c r="I1142" s="23" t="e">
        <f>_xlfn.XLOOKUP(H1142,#REF!,#REF!,"",0,1)</f>
        <v>#REF!</v>
      </c>
      <c r="J1142" s="23" t="str">
        <f>IFERROR(I1142*#REF!,"")</f>
        <v/>
      </c>
      <c r="K1142" s="23" t="e" cm="1">
        <f t="array" ref="K1142">INDEX('GLOBAL LOG'!#REF!,ROW()-34+15)</f>
        <v>#REF!</v>
      </c>
      <c r="L1142" s="23" t="e">
        <f>_xlfn.XLOOKUP(K1142,#REF!,#REF!,"",0,1)</f>
        <v>#REF!</v>
      </c>
      <c r="M1142" s="23" t="str">
        <f>IFERROR(L1142*#REF!,"")</f>
        <v/>
      </c>
      <c r="N1142" s="23">
        <f t="shared" si="84"/>
        <v>-1</v>
      </c>
      <c r="O1142" s="23">
        <f t="shared" si="85"/>
        <v>-1</v>
      </c>
      <c r="P1142" s="23">
        <f t="shared" si="86"/>
        <v>-1</v>
      </c>
      <c r="Q1142" s="24">
        <f t="shared" si="87"/>
        <v>-1</v>
      </c>
      <c r="R1142" s="3"/>
      <c r="S1142" s="1">
        <v>0</v>
      </c>
      <c r="T1142" s="24">
        <v>-1</v>
      </c>
      <c r="U1142"/>
      <c r="V1142" s="1">
        <v>0</v>
      </c>
      <c r="W1142" s="24">
        <v>-1</v>
      </c>
      <c r="X1142"/>
      <c r="Y1142" s="1">
        <v>0</v>
      </c>
      <c r="Z1142" s="24">
        <v>-1</v>
      </c>
      <c r="AA1142"/>
      <c r="AB1142" s="1">
        <v>0</v>
      </c>
      <c r="AC1142" s="24">
        <v>-1</v>
      </c>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c r="CA1142"/>
      <c r="CB1142"/>
      <c r="CC1142"/>
      <c r="CD1142"/>
      <c r="CE1142"/>
      <c r="CF1142"/>
      <c r="CG1142"/>
      <c r="CH1142"/>
      <c r="CI1142"/>
      <c r="CJ1142"/>
      <c r="CK1142"/>
      <c r="CL1142"/>
      <c r="CM1142"/>
      <c r="CN1142"/>
      <c r="CO1142"/>
      <c r="CP1142"/>
      <c r="CQ1142"/>
      <c r="CR1142"/>
      <c r="CS1142"/>
    </row>
    <row r="1143" spans="2:97">
      <c r="B1143"/>
      <c r="C1143" s="15"/>
      <c r="D1143" s="23"/>
      <c r="E1143" s="23"/>
      <c r="F1143" s="23"/>
      <c r="G1143" s="23">
        <f t="shared" si="83"/>
        <v>0</v>
      </c>
      <c r="H1143" s="23" t="e" cm="1">
        <f t="array" ref="H1143">INDEX('GLOBAL LOG'!#REF!,ROW()-34+15)</f>
        <v>#REF!</v>
      </c>
      <c r="I1143" s="23" t="e">
        <f>_xlfn.XLOOKUP(H1143,#REF!,#REF!,"",0,1)</f>
        <v>#REF!</v>
      </c>
      <c r="J1143" s="23" t="str">
        <f>IFERROR(I1143*#REF!,"")</f>
        <v/>
      </c>
      <c r="K1143" s="23" t="e" cm="1">
        <f t="array" ref="K1143">INDEX('GLOBAL LOG'!#REF!,ROW()-34+15)</f>
        <v>#REF!</v>
      </c>
      <c r="L1143" s="23" t="e">
        <f>_xlfn.XLOOKUP(K1143,#REF!,#REF!,"",0,1)</f>
        <v>#REF!</v>
      </c>
      <c r="M1143" s="23" t="str">
        <f>IFERROR(L1143*#REF!,"")</f>
        <v/>
      </c>
      <c r="N1143" s="23">
        <f t="shared" si="84"/>
        <v>-1</v>
      </c>
      <c r="O1143" s="23">
        <f t="shared" si="85"/>
        <v>-1</v>
      </c>
      <c r="P1143" s="23">
        <f t="shared" si="86"/>
        <v>-1</v>
      </c>
      <c r="Q1143" s="24">
        <f t="shared" si="87"/>
        <v>-1</v>
      </c>
      <c r="R1143" s="3"/>
      <c r="S1143" s="1">
        <v>0</v>
      </c>
      <c r="T1143" s="24">
        <v>-1</v>
      </c>
      <c r="U1143"/>
      <c r="V1143" s="1">
        <v>0</v>
      </c>
      <c r="W1143" s="24">
        <v>-1</v>
      </c>
      <c r="X1143"/>
      <c r="Y1143" s="1">
        <v>0</v>
      </c>
      <c r="Z1143" s="24">
        <v>-1</v>
      </c>
      <c r="AA1143"/>
      <c r="AB1143" s="1">
        <v>0</v>
      </c>
      <c r="AC1143" s="24">
        <v>-1</v>
      </c>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c r="CA1143"/>
      <c r="CB1143"/>
      <c r="CC1143"/>
      <c r="CD1143"/>
      <c r="CE1143"/>
      <c r="CF1143"/>
      <c r="CG1143"/>
      <c r="CH1143"/>
      <c r="CI1143"/>
      <c r="CJ1143"/>
      <c r="CK1143"/>
      <c r="CL1143"/>
      <c r="CM1143"/>
      <c r="CN1143"/>
      <c r="CO1143"/>
      <c r="CP1143"/>
      <c r="CQ1143"/>
      <c r="CR1143"/>
      <c r="CS1143"/>
    </row>
    <row r="1144" spans="2:97">
      <c r="B1144"/>
      <c r="C1144" s="15"/>
      <c r="D1144" s="23"/>
      <c r="E1144" s="23"/>
      <c r="F1144" s="23"/>
      <c r="G1144" s="23">
        <f t="shared" si="83"/>
        <v>0</v>
      </c>
      <c r="H1144" s="23" t="e" cm="1">
        <f t="array" ref="H1144">INDEX('GLOBAL LOG'!#REF!,ROW()-34+15)</f>
        <v>#REF!</v>
      </c>
      <c r="I1144" s="23" t="e">
        <f>_xlfn.XLOOKUP(H1144,#REF!,#REF!,"",0,1)</f>
        <v>#REF!</v>
      </c>
      <c r="J1144" s="23" t="str">
        <f>IFERROR(I1144*#REF!,"")</f>
        <v/>
      </c>
      <c r="K1144" s="23" t="e" cm="1">
        <f t="array" ref="K1144">INDEX('GLOBAL LOG'!#REF!,ROW()-34+15)</f>
        <v>#REF!</v>
      </c>
      <c r="L1144" s="23" t="e">
        <f>_xlfn.XLOOKUP(K1144,#REF!,#REF!,"",0,1)</f>
        <v>#REF!</v>
      </c>
      <c r="M1144" s="23" t="str">
        <f>IFERROR(L1144*#REF!,"")</f>
        <v/>
      </c>
      <c r="N1144" s="23">
        <f t="shared" si="84"/>
        <v>-1</v>
      </c>
      <c r="O1144" s="23">
        <f t="shared" si="85"/>
        <v>-1</v>
      </c>
      <c r="P1144" s="23">
        <f t="shared" si="86"/>
        <v>-1</v>
      </c>
      <c r="Q1144" s="24">
        <f t="shared" si="87"/>
        <v>-1</v>
      </c>
      <c r="R1144" s="3"/>
      <c r="S1144" s="1">
        <v>0</v>
      </c>
      <c r="T1144" s="24">
        <v>-1</v>
      </c>
      <c r="U1144"/>
      <c r="V1144" s="1">
        <v>0</v>
      </c>
      <c r="W1144" s="24">
        <v>-1</v>
      </c>
      <c r="X1144"/>
      <c r="Y1144" s="1">
        <v>0</v>
      </c>
      <c r="Z1144" s="24">
        <v>-1</v>
      </c>
      <c r="AA1144"/>
      <c r="AB1144" s="1">
        <v>0</v>
      </c>
      <c r="AC1144" s="24">
        <v>-1</v>
      </c>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c r="CA1144"/>
      <c r="CB1144"/>
      <c r="CC1144"/>
      <c r="CD1144"/>
      <c r="CE1144"/>
      <c r="CF1144"/>
      <c r="CG1144"/>
      <c r="CH1144"/>
      <c r="CI1144"/>
      <c r="CJ1144"/>
      <c r="CK1144"/>
      <c r="CL1144"/>
      <c r="CM1144"/>
      <c r="CN1144"/>
      <c r="CO1144"/>
      <c r="CP1144"/>
      <c r="CQ1144"/>
      <c r="CR1144"/>
      <c r="CS1144"/>
    </row>
    <row r="1145" spans="2:97">
      <c r="B1145"/>
      <c r="C1145" s="15"/>
      <c r="D1145" s="23"/>
      <c r="E1145" s="23"/>
      <c r="F1145" s="23"/>
      <c r="G1145" s="23">
        <f t="shared" si="83"/>
        <v>0</v>
      </c>
      <c r="H1145" s="23" t="e" cm="1">
        <f t="array" ref="H1145">INDEX('GLOBAL LOG'!#REF!,ROW()-34+15)</f>
        <v>#REF!</v>
      </c>
      <c r="I1145" s="23" t="e">
        <f>_xlfn.XLOOKUP(H1145,#REF!,#REF!,"",0,1)</f>
        <v>#REF!</v>
      </c>
      <c r="J1145" s="23" t="str">
        <f>IFERROR(I1145*#REF!,"")</f>
        <v/>
      </c>
      <c r="K1145" s="23" t="e" cm="1">
        <f t="array" ref="K1145">INDEX('GLOBAL LOG'!#REF!,ROW()-34+15)</f>
        <v>#REF!</v>
      </c>
      <c r="L1145" s="23" t="e">
        <f>_xlfn.XLOOKUP(K1145,#REF!,#REF!,"",0,1)</f>
        <v>#REF!</v>
      </c>
      <c r="M1145" s="23" t="str">
        <f>IFERROR(L1145*#REF!,"")</f>
        <v/>
      </c>
      <c r="N1145" s="23">
        <f t="shared" si="84"/>
        <v>-1</v>
      </c>
      <c r="O1145" s="23">
        <f t="shared" si="85"/>
        <v>-1</v>
      </c>
      <c r="P1145" s="23">
        <f t="shared" si="86"/>
        <v>-1</v>
      </c>
      <c r="Q1145" s="24">
        <f t="shared" si="87"/>
        <v>-1</v>
      </c>
      <c r="R1145" s="3"/>
      <c r="S1145" s="1">
        <v>0</v>
      </c>
      <c r="T1145" s="24">
        <v>-1</v>
      </c>
      <c r="U1145"/>
      <c r="V1145" s="1">
        <v>0</v>
      </c>
      <c r="W1145" s="24">
        <v>-1</v>
      </c>
      <c r="X1145"/>
      <c r="Y1145" s="1">
        <v>0</v>
      </c>
      <c r="Z1145" s="24">
        <v>-1</v>
      </c>
      <c r="AA1145"/>
      <c r="AB1145" s="1">
        <v>0</v>
      </c>
      <c r="AC1145" s="24">
        <v>-1</v>
      </c>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c r="CA1145"/>
      <c r="CB1145"/>
      <c r="CC1145"/>
      <c r="CD1145"/>
      <c r="CE1145"/>
      <c r="CF1145"/>
      <c r="CG1145"/>
      <c r="CH1145"/>
      <c r="CI1145"/>
      <c r="CJ1145"/>
      <c r="CK1145"/>
      <c r="CL1145"/>
      <c r="CM1145"/>
      <c r="CN1145"/>
      <c r="CO1145"/>
      <c r="CP1145"/>
      <c r="CQ1145"/>
      <c r="CR1145"/>
      <c r="CS1145"/>
    </row>
    <row r="1146" spans="2:97">
      <c r="B1146"/>
      <c r="C1146" s="15"/>
      <c r="D1146" s="23"/>
      <c r="E1146" s="23"/>
      <c r="F1146" s="23"/>
      <c r="G1146" s="23">
        <f t="shared" si="83"/>
        <v>0</v>
      </c>
      <c r="H1146" s="23" t="e" cm="1">
        <f t="array" ref="H1146">INDEX('GLOBAL LOG'!#REF!,ROW()-34+15)</f>
        <v>#REF!</v>
      </c>
      <c r="I1146" s="23" t="e">
        <f>_xlfn.XLOOKUP(H1146,#REF!,#REF!,"",0,1)</f>
        <v>#REF!</v>
      </c>
      <c r="J1146" s="23" t="str">
        <f>IFERROR(I1146*#REF!,"")</f>
        <v/>
      </c>
      <c r="K1146" s="23" t="e" cm="1">
        <f t="array" ref="K1146">INDEX('GLOBAL LOG'!#REF!,ROW()-34+15)</f>
        <v>#REF!</v>
      </c>
      <c r="L1146" s="23" t="e">
        <f>_xlfn.XLOOKUP(K1146,#REF!,#REF!,"",0,1)</f>
        <v>#REF!</v>
      </c>
      <c r="M1146" s="23" t="str">
        <f>IFERROR(L1146*#REF!,"")</f>
        <v/>
      </c>
      <c r="N1146" s="23">
        <f t="shared" si="84"/>
        <v>-1</v>
      </c>
      <c r="O1146" s="23">
        <f t="shared" si="85"/>
        <v>-1</v>
      </c>
      <c r="P1146" s="23">
        <f t="shared" si="86"/>
        <v>-1</v>
      </c>
      <c r="Q1146" s="24">
        <f t="shared" si="87"/>
        <v>-1</v>
      </c>
      <c r="R1146" s="3"/>
      <c r="S1146" s="1">
        <v>0</v>
      </c>
      <c r="T1146" s="24">
        <v>-1</v>
      </c>
      <c r="U1146"/>
      <c r="V1146" s="1">
        <v>0</v>
      </c>
      <c r="W1146" s="24">
        <v>-1</v>
      </c>
      <c r="X1146"/>
      <c r="Y1146" s="1">
        <v>0</v>
      </c>
      <c r="Z1146" s="24">
        <v>-1</v>
      </c>
      <c r="AA1146"/>
      <c r="AB1146" s="1">
        <v>0</v>
      </c>
      <c r="AC1146" s="24">
        <v>-1</v>
      </c>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c r="CA1146"/>
      <c r="CB1146"/>
      <c r="CC1146"/>
      <c r="CD1146"/>
      <c r="CE1146"/>
      <c r="CF1146"/>
      <c r="CG1146"/>
      <c r="CH1146"/>
      <c r="CI1146"/>
      <c r="CJ1146"/>
      <c r="CK1146"/>
      <c r="CL1146"/>
      <c r="CM1146"/>
      <c r="CN1146"/>
      <c r="CO1146"/>
      <c r="CP1146"/>
      <c r="CQ1146"/>
      <c r="CR1146"/>
      <c r="CS1146"/>
    </row>
    <row r="1147" spans="2:97">
      <c r="B1147"/>
      <c r="C1147" s="15"/>
      <c r="D1147" s="23"/>
      <c r="E1147" s="23"/>
      <c r="F1147" s="23"/>
      <c r="G1147" s="23">
        <f t="shared" si="83"/>
        <v>0</v>
      </c>
      <c r="H1147" s="23" t="e" cm="1">
        <f t="array" ref="H1147">INDEX('GLOBAL LOG'!#REF!,ROW()-34+15)</f>
        <v>#REF!</v>
      </c>
      <c r="I1147" s="23" t="e">
        <f>_xlfn.XLOOKUP(H1147,#REF!,#REF!,"",0,1)</f>
        <v>#REF!</v>
      </c>
      <c r="J1147" s="23" t="str">
        <f>IFERROR(I1147*#REF!,"")</f>
        <v/>
      </c>
      <c r="K1147" s="23" t="e" cm="1">
        <f t="array" ref="K1147">INDEX('GLOBAL LOG'!#REF!,ROW()-34+15)</f>
        <v>#REF!</v>
      </c>
      <c r="L1147" s="23" t="e">
        <f>_xlfn.XLOOKUP(K1147,#REF!,#REF!,"",0,1)</f>
        <v>#REF!</v>
      </c>
      <c r="M1147" s="23" t="str">
        <f>IFERROR(L1147*#REF!,"")</f>
        <v/>
      </c>
      <c r="N1147" s="23">
        <f t="shared" si="84"/>
        <v>-1</v>
      </c>
      <c r="O1147" s="23">
        <f t="shared" si="85"/>
        <v>-1</v>
      </c>
      <c r="P1147" s="23">
        <f t="shared" si="86"/>
        <v>-1</v>
      </c>
      <c r="Q1147" s="24">
        <f t="shared" si="87"/>
        <v>-1</v>
      </c>
      <c r="R1147" s="3"/>
      <c r="S1147" s="1">
        <v>0</v>
      </c>
      <c r="T1147" s="24">
        <v>-1</v>
      </c>
      <c r="U1147"/>
      <c r="V1147" s="1">
        <v>0</v>
      </c>
      <c r="W1147" s="24">
        <v>-1</v>
      </c>
      <c r="X1147"/>
      <c r="Y1147" s="1">
        <v>0</v>
      </c>
      <c r="Z1147" s="24">
        <v>-1</v>
      </c>
      <c r="AA1147"/>
      <c r="AB1147" s="1">
        <v>0</v>
      </c>
      <c r="AC1147" s="24">
        <v>-1</v>
      </c>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c r="CA1147"/>
      <c r="CB1147"/>
      <c r="CC1147"/>
      <c r="CD1147"/>
      <c r="CE1147"/>
      <c r="CF1147"/>
      <c r="CG1147"/>
      <c r="CH1147"/>
      <c r="CI1147"/>
      <c r="CJ1147"/>
      <c r="CK1147"/>
      <c r="CL1147"/>
      <c r="CM1147"/>
      <c r="CN1147"/>
      <c r="CO1147"/>
      <c r="CP1147"/>
      <c r="CQ1147"/>
      <c r="CR1147"/>
      <c r="CS1147"/>
    </row>
    <row r="1148" spans="2:97">
      <c r="B1148"/>
      <c r="C1148" s="15"/>
      <c r="D1148" s="23"/>
      <c r="E1148" s="23"/>
      <c r="F1148" s="23"/>
      <c r="G1148" s="23">
        <f t="shared" si="83"/>
        <v>0</v>
      </c>
      <c r="H1148" s="23" t="e" cm="1">
        <f t="array" ref="H1148">INDEX('GLOBAL LOG'!#REF!,ROW()-34+15)</f>
        <v>#REF!</v>
      </c>
      <c r="I1148" s="23" t="e">
        <f>_xlfn.XLOOKUP(H1148,#REF!,#REF!,"",0,1)</f>
        <v>#REF!</v>
      </c>
      <c r="J1148" s="23" t="str">
        <f>IFERROR(I1148*#REF!,"")</f>
        <v/>
      </c>
      <c r="K1148" s="23" t="e" cm="1">
        <f t="array" ref="K1148">INDEX('GLOBAL LOG'!#REF!,ROW()-34+15)</f>
        <v>#REF!</v>
      </c>
      <c r="L1148" s="23" t="e">
        <f>_xlfn.XLOOKUP(K1148,#REF!,#REF!,"",0,1)</f>
        <v>#REF!</v>
      </c>
      <c r="M1148" s="23" t="str">
        <f>IFERROR(L1148*#REF!,"")</f>
        <v/>
      </c>
      <c r="N1148" s="23">
        <f t="shared" si="84"/>
        <v>-1</v>
      </c>
      <c r="O1148" s="23">
        <f t="shared" si="85"/>
        <v>-1</v>
      </c>
      <c r="P1148" s="23">
        <f t="shared" si="86"/>
        <v>-1</v>
      </c>
      <c r="Q1148" s="24">
        <f t="shared" si="87"/>
        <v>-1</v>
      </c>
      <c r="R1148" s="3"/>
      <c r="S1148" s="1">
        <v>0</v>
      </c>
      <c r="T1148" s="24">
        <v>-1</v>
      </c>
      <c r="U1148"/>
      <c r="V1148" s="1">
        <v>0</v>
      </c>
      <c r="W1148" s="24">
        <v>-1</v>
      </c>
      <c r="X1148"/>
      <c r="Y1148" s="1">
        <v>0</v>
      </c>
      <c r="Z1148" s="24">
        <v>-1</v>
      </c>
      <c r="AA1148"/>
      <c r="AB1148" s="1">
        <v>0</v>
      </c>
      <c r="AC1148" s="24">
        <v>-1</v>
      </c>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c r="CA1148"/>
      <c r="CB1148"/>
      <c r="CC1148"/>
      <c r="CD1148"/>
      <c r="CE1148"/>
      <c r="CF1148"/>
      <c r="CG1148"/>
      <c r="CH1148"/>
      <c r="CI1148"/>
      <c r="CJ1148"/>
      <c r="CK1148"/>
      <c r="CL1148"/>
      <c r="CM1148"/>
      <c r="CN1148"/>
      <c r="CO1148"/>
      <c r="CP1148"/>
      <c r="CQ1148"/>
      <c r="CR1148"/>
      <c r="CS1148"/>
    </row>
    <row r="1149" spans="2:97">
      <c r="B1149"/>
      <c r="C1149" s="15"/>
      <c r="D1149" s="23"/>
      <c r="E1149" s="23"/>
      <c r="F1149" s="23"/>
      <c r="G1149" s="23">
        <f t="shared" si="83"/>
        <v>0</v>
      </c>
      <c r="H1149" s="23" t="e" cm="1">
        <f t="array" ref="H1149">INDEX('GLOBAL LOG'!#REF!,ROW()-34+15)</f>
        <v>#REF!</v>
      </c>
      <c r="I1149" s="23" t="e">
        <f>_xlfn.XLOOKUP(H1149,#REF!,#REF!,"",0,1)</f>
        <v>#REF!</v>
      </c>
      <c r="J1149" s="23" t="str">
        <f>IFERROR(I1149*#REF!,"")</f>
        <v/>
      </c>
      <c r="K1149" s="23" t="e" cm="1">
        <f t="array" ref="K1149">INDEX('GLOBAL LOG'!#REF!,ROW()-34+15)</f>
        <v>#REF!</v>
      </c>
      <c r="L1149" s="23" t="e">
        <f>_xlfn.XLOOKUP(K1149,#REF!,#REF!,"",0,1)</f>
        <v>#REF!</v>
      </c>
      <c r="M1149" s="23" t="str">
        <f>IFERROR(L1149*#REF!,"")</f>
        <v/>
      </c>
      <c r="N1149" s="23">
        <f t="shared" si="84"/>
        <v>-1</v>
      </c>
      <c r="O1149" s="23">
        <f t="shared" si="85"/>
        <v>-1</v>
      </c>
      <c r="P1149" s="23">
        <f t="shared" si="86"/>
        <v>-1</v>
      </c>
      <c r="Q1149" s="24">
        <f t="shared" si="87"/>
        <v>-1</v>
      </c>
      <c r="R1149" s="3"/>
      <c r="S1149" s="1">
        <v>0</v>
      </c>
      <c r="T1149" s="24">
        <v>-1</v>
      </c>
      <c r="U1149"/>
      <c r="V1149" s="1">
        <v>0</v>
      </c>
      <c r="W1149" s="24">
        <v>-1</v>
      </c>
      <c r="X1149"/>
      <c r="Y1149" s="1">
        <v>0</v>
      </c>
      <c r="Z1149" s="24">
        <v>-1</v>
      </c>
      <c r="AA1149"/>
      <c r="AB1149" s="1">
        <v>0</v>
      </c>
      <c r="AC1149" s="24">
        <v>-1</v>
      </c>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c r="CA1149"/>
      <c r="CB1149"/>
      <c r="CC1149"/>
      <c r="CD1149"/>
      <c r="CE1149"/>
      <c r="CF1149"/>
      <c r="CG1149"/>
      <c r="CH1149"/>
      <c r="CI1149"/>
      <c r="CJ1149"/>
      <c r="CK1149"/>
      <c r="CL1149"/>
      <c r="CM1149"/>
      <c r="CN1149"/>
      <c r="CO1149"/>
      <c r="CP1149"/>
      <c r="CQ1149"/>
      <c r="CR1149"/>
      <c r="CS1149"/>
    </row>
    <row r="1150" spans="2:97">
      <c r="B1150"/>
      <c r="C1150" s="15"/>
      <c r="D1150" s="23"/>
      <c r="E1150" s="23"/>
      <c r="F1150" s="23"/>
      <c r="G1150" s="23">
        <f t="shared" si="83"/>
        <v>0</v>
      </c>
      <c r="H1150" s="23" t="e" cm="1">
        <f t="array" ref="H1150">INDEX('GLOBAL LOG'!#REF!,ROW()-34+15)</f>
        <v>#REF!</v>
      </c>
      <c r="I1150" s="23" t="e">
        <f>_xlfn.XLOOKUP(H1150,#REF!,#REF!,"",0,1)</f>
        <v>#REF!</v>
      </c>
      <c r="J1150" s="23" t="str">
        <f>IFERROR(I1150*#REF!,"")</f>
        <v/>
      </c>
      <c r="K1150" s="23" t="e" cm="1">
        <f t="array" ref="K1150">INDEX('GLOBAL LOG'!#REF!,ROW()-34+15)</f>
        <v>#REF!</v>
      </c>
      <c r="L1150" s="23" t="e">
        <f>_xlfn.XLOOKUP(K1150,#REF!,#REF!,"",0,1)</f>
        <v>#REF!</v>
      </c>
      <c r="M1150" s="23" t="str">
        <f>IFERROR(L1150*#REF!,"")</f>
        <v/>
      </c>
      <c r="N1150" s="23">
        <f t="shared" si="84"/>
        <v>-1</v>
      </c>
      <c r="O1150" s="23">
        <f t="shared" si="85"/>
        <v>-1</v>
      </c>
      <c r="P1150" s="23">
        <f t="shared" si="86"/>
        <v>-1</v>
      </c>
      <c r="Q1150" s="24">
        <f t="shared" si="87"/>
        <v>-1</v>
      </c>
      <c r="R1150" s="3"/>
      <c r="S1150" s="1">
        <v>0</v>
      </c>
      <c r="T1150" s="24">
        <v>-1</v>
      </c>
      <c r="U1150"/>
      <c r="V1150" s="1">
        <v>0</v>
      </c>
      <c r="W1150" s="24">
        <v>-1</v>
      </c>
      <c r="X1150"/>
      <c r="Y1150" s="1">
        <v>0</v>
      </c>
      <c r="Z1150" s="24">
        <v>-1</v>
      </c>
      <c r="AA1150"/>
      <c r="AB1150" s="1">
        <v>0</v>
      </c>
      <c r="AC1150" s="24">
        <v>-1</v>
      </c>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c r="CA1150"/>
      <c r="CB1150"/>
      <c r="CC1150"/>
      <c r="CD1150"/>
      <c r="CE1150"/>
      <c r="CF1150"/>
      <c r="CG1150"/>
      <c r="CH1150"/>
      <c r="CI1150"/>
      <c r="CJ1150"/>
      <c r="CK1150"/>
      <c r="CL1150"/>
      <c r="CM1150"/>
      <c r="CN1150"/>
      <c r="CO1150"/>
      <c r="CP1150"/>
      <c r="CQ1150"/>
      <c r="CR1150"/>
      <c r="CS1150"/>
    </row>
    <row r="1151" spans="2:97">
      <c r="B1151"/>
      <c r="C1151" s="15"/>
      <c r="D1151" s="23"/>
      <c r="E1151" s="23"/>
      <c r="F1151" s="23"/>
      <c r="G1151" s="23">
        <f t="shared" si="83"/>
        <v>0</v>
      </c>
      <c r="H1151" s="23" t="e" cm="1">
        <f t="array" ref="H1151">INDEX('GLOBAL LOG'!#REF!,ROW()-34+15)</f>
        <v>#REF!</v>
      </c>
      <c r="I1151" s="23" t="e">
        <f>_xlfn.XLOOKUP(H1151,#REF!,#REF!,"",0,1)</f>
        <v>#REF!</v>
      </c>
      <c r="J1151" s="23" t="str">
        <f>IFERROR(I1151*#REF!,"")</f>
        <v/>
      </c>
      <c r="K1151" s="23" t="e" cm="1">
        <f t="array" ref="K1151">INDEX('GLOBAL LOG'!#REF!,ROW()-34+15)</f>
        <v>#REF!</v>
      </c>
      <c r="L1151" s="23" t="e">
        <f>_xlfn.XLOOKUP(K1151,#REF!,#REF!,"",0,1)</f>
        <v>#REF!</v>
      </c>
      <c r="M1151" s="23" t="str">
        <f>IFERROR(L1151*#REF!,"")</f>
        <v/>
      </c>
      <c r="N1151" s="23">
        <f t="shared" si="84"/>
        <v>-1</v>
      </c>
      <c r="O1151" s="23">
        <f t="shared" si="85"/>
        <v>-1</v>
      </c>
      <c r="P1151" s="23">
        <f t="shared" si="86"/>
        <v>-1</v>
      </c>
      <c r="Q1151" s="24">
        <f t="shared" si="87"/>
        <v>-1</v>
      </c>
      <c r="R1151" s="3"/>
      <c r="S1151" s="1">
        <v>0</v>
      </c>
      <c r="T1151" s="24">
        <v>-1</v>
      </c>
      <c r="U1151"/>
      <c r="V1151" s="1">
        <v>0</v>
      </c>
      <c r="W1151" s="24">
        <v>-1</v>
      </c>
      <c r="X1151"/>
      <c r="Y1151" s="1">
        <v>0</v>
      </c>
      <c r="Z1151" s="24">
        <v>-1</v>
      </c>
      <c r="AA1151"/>
      <c r="AB1151" s="1">
        <v>0</v>
      </c>
      <c r="AC1151" s="24">
        <v>-1</v>
      </c>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c r="CA1151"/>
      <c r="CB1151"/>
      <c r="CC1151"/>
      <c r="CD1151"/>
      <c r="CE1151"/>
      <c r="CF1151"/>
      <c r="CG1151"/>
      <c r="CH1151"/>
      <c r="CI1151"/>
      <c r="CJ1151"/>
      <c r="CK1151"/>
      <c r="CL1151"/>
      <c r="CM1151"/>
      <c r="CN1151"/>
      <c r="CO1151"/>
      <c r="CP1151"/>
      <c r="CQ1151"/>
      <c r="CR1151"/>
      <c r="CS1151"/>
    </row>
    <row r="1152" spans="2:97">
      <c r="B1152"/>
      <c r="C1152" s="15"/>
      <c r="D1152" s="23"/>
      <c r="E1152" s="23"/>
      <c r="F1152" s="23"/>
      <c r="G1152" s="23">
        <f t="shared" si="83"/>
        <v>0</v>
      </c>
      <c r="H1152" s="23" t="e" cm="1">
        <f t="array" ref="H1152">INDEX('GLOBAL LOG'!#REF!,ROW()-34+15)</f>
        <v>#REF!</v>
      </c>
      <c r="I1152" s="23" t="e">
        <f>_xlfn.XLOOKUP(H1152,#REF!,#REF!,"",0,1)</f>
        <v>#REF!</v>
      </c>
      <c r="J1152" s="23" t="str">
        <f>IFERROR(I1152*#REF!,"")</f>
        <v/>
      </c>
      <c r="K1152" s="23" t="e" cm="1">
        <f t="array" ref="K1152">INDEX('GLOBAL LOG'!#REF!,ROW()-34+15)</f>
        <v>#REF!</v>
      </c>
      <c r="L1152" s="23" t="e">
        <f>_xlfn.XLOOKUP(K1152,#REF!,#REF!,"",0,1)</f>
        <v>#REF!</v>
      </c>
      <c r="M1152" s="23" t="str">
        <f>IFERROR(L1152*#REF!,"")</f>
        <v/>
      </c>
      <c r="N1152" s="23">
        <f t="shared" si="84"/>
        <v>-1</v>
      </c>
      <c r="O1152" s="23">
        <f t="shared" si="85"/>
        <v>-1</v>
      </c>
      <c r="P1152" s="23">
        <f t="shared" si="86"/>
        <v>-1</v>
      </c>
      <c r="Q1152" s="24">
        <f t="shared" si="87"/>
        <v>-1</v>
      </c>
      <c r="R1152" s="3"/>
      <c r="S1152" s="1">
        <v>0</v>
      </c>
      <c r="T1152" s="24">
        <v>-1</v>
      </c>
      <c r="U1152"/>
      <c r="V1152" s="1">
        <v>0</v>
      </c>
      <c r="W1152" s="24">
        <v>-1</v>
      </c>
      <c r="X1152"/>
      <c r="Y1152" s="1">
        <v>0</v>
      </c>
      <c r="Z1152" s="24">
        <v>-1</v>
      </c>
      <c r="AA1152"/>
      <c r="AB1152" s="1">
        <v>0</v>
      </c>
      <c r="AC1152" s="24">
        <v>-1</v>
      </c>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c r="CA1152"/>
      <c r="CB1152"/>
      <c r="CC1152"/>
      <c r="CD1152"/>
      <c r="CE1152"/>
      <c r="CF1152"/>
      <c r="CG1152"/>
      <c r="CH1152"/>
      <c r="CI1152"/>
      <c r="CJ1152"/>
      <c r="CK1152"/>
      <c r="CL1152"/>
      <c r="CM1152"/>
      <c r="CN1152"/>
      <c r="CO1152"/>
      <c r="CP1152"/>
      <c r="CQ1152"/>
      <c r="CR1152"/>
      <c r="CS1152"/>
    </row>
    <row r="1153" spans="2:97">
      <c r="B1153"/>
      <c r="C1153" s="15"/>
      <c r="D1153" s="23"/>
      <c r="E1153" s="23"/>
      <c r="F1153" s="23"/>
      <c r="G1153" s="23">
        <f t="shared" si="83"/>
        <v>0</v>
      </c>
      <c r="H1153" s="23" t="e" cm="1">
        <f t="array" ref="H1153">INDEX('GLOBAL LOG'!#REF!,ROW()-34+15)</f>
        <v>#REF!</v>
      </c>
      <c r="I1153" s="23" t="e">
        <f>_xlfn.XLOOKUP(H1153,#REF!,#REF!,"",0,1)</f>
        <v>#REF!</v>
      </c>
      <c r="J1153" s="23" t="str">
        <f>IFERROR(I1153*#REF!,"")</f>
        <v/>
      </c>
      <c r="K1153" s="23" t="e" cm="1">
        <f t="array" ref="K1153">INDEX('GLOBAL LOG'!#REF!,ROW()-34+15)</f>
        <v>#REF!</v>
      </c>
      <c r="L1153" s="23" t="e">
        <f>_xlfn.XLOOKUP(K1153,#REF!,#REF!,"",0,1)</f>
        <v>#REF!</v>
      </c>
      <c r="M1153" s="23" t="str">
        <f>IFERROR(L1153*#REF!,"")</f>
        <v/>
      </c>
      <c r="N1153" s="23">
        <f t="shared" si="84"/>
        <v>-1</v>
      </c>
      <c r="O1153" s="23">
        <f t="shared" si="85"/>
        <v>-1</v>
      </c>
      <c r="P1153" s="23">
        <f t="shared" si="86"/>
        <v>-1</v>
      </c>
      <c r="Q1153" s="24">
        <f t="shared" si="87"/>
        <v>-1</v>
      </c>
      <c r="R1153" s="3"/>
      <c r="S1153" s="1">
        <v>0</v>
      </c>
      <c r="T1153" s="24">
        <v>-1</v>
      </c>
      <c r="U1153"/>
      <c r="V1153" s="1">
        <v>0</v>
      </c>
      <c r="W1153" s="24">
        <v>-1</v>
      </c>
      <c r="X1153"/>
      <c r="Y1153" s="1">
        <v>0</v>
      </c>
      <c r="Z1153" s="24">
        <v>-1</v>
      </c>
      <c r="AA1153"/>
      <c r="AB1153" s="1">
        <v>0</v>
      </c>
      <c r="AC1153" s="24">
        <v>-1</v>
      </c>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c r="CA1153"/>
      <c r="CB1153"/>
      <c r="CC1153"/>
      <c r="CD1153"/>
      <c r="CE1153"/>
      <c r="CF1153"/>
      <c r="CG1153"/>
      <c r="CH1153"/>
      <c r="CI1153"/>
      <c r="CJ1153"/>
      <c r="CK1153"/>
      <c r="CL1153"/>
      <c r="CM1153"/>
      <c r="CN1153"/>
      <c r="CO1153"/>
      <c r="CP1153"/>
      <c r="CQ1153"/>
      <c r="CR1153"/>
      <c r="CS1153"/>
    </row>
    <row r="1154" spans="2:97">
      <c r="B1154"/>
      <c r="C1154" s="15"/>
      <c r="D1154" s="23"/>
      <c r="E1154" s="23"/>
      <c r="F1154" s="23"/>
      <c r="G1154" s="23">
        <f t="shared" si="83"/>
        <v>0</v>
      </c>
      <c r="H1154" s="23" t="e" cm="1">
        <f t="array" ref="H1154">INDEX('GLOBAL LOG'!#REF!,ROW()-34+15)</f>
        <v>#REF!</v>
      </c>
      <c r="I1154" s="23" t="e">
        <f>_xlfn.XLOOKUP(H1154,#REF!,#REF!,"",0,1)</f>
        <v>#REF!</v>
      </c>
      <c r="J1154" s="23" t="str">
        <f>IFERROR(I1154*#REF!,"")</f>
        <v/>
      </c>
      <c r="K1154" s="23" t="e" cm="1">
        <f t="array" ref="K1154">INDEX('GLOBAL LOG'!#REF!,ROW()-34+15)</f>
        <v>#REF!</v>
      </c>
      <c r="L1154" s="23" t="e">
        <f>_xlfn.XLOOKUP(K1154,#REF!,#REF!,"",0,1)</f>
        <v>#REF!</v>
      </c>
      <c r="M1154" s="23" t="str">
        <f>IFERROR(L1154*#REF!,"")</f>
        <v/>
      </c>
      <c r="N1154" s="23">
        <f t="shared" si="84"/>
        <v>-1</v>
      </c>
      <c r="O1154" s="23">
        <f t="shared" si="85"/>
        <v>-1</v>
      </c>
      <c r="P1154" s="23">
        <f t="shared" si="86"/>
        <v>-1</v>
      </c>
      <c r="Q1154" s="24">
        <f t="shared" si="87"/>
        <v>-1</v>
      </c>
      <c r="R1154" s="3"/>
      <c r="S1154" s="1">
        <v>0</v>
      </c>
      <c r="T1154" s="24">
        <v>-1</v>
      </c>
      <c r="U1154"/>
      <c r="V1154" s="1">
        <v>0</v>
      </c>
      <c r="W1154" s="24">
        <v>-1</v>
      </c>
      <c r="X1154"/>
      <c r="Y1154" s="1">
        <v>0</v>
      </c>
      <c r="Z1154" s="24">
        <v>-1</v>
      </c>
      <c r="AA1154"/>
      <c r="AB1154" s="1">
        <v>0</v>
      </c>
      <c r="AC1154" s="24">
        <v>-1</v>
      </c>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c r="CA1154"/>
      <c r="CB1154"/>
      <c r="CC1154"/>
      <c r="CD1154"/>
      <c r="CE1154"/>
      <c r="CF1154"/>
      <c r="CG1154"/>
      <c r="CH1154"/>
      <c r="CI1154"/>
      <c r="CJ1154"/>
      <c r="CK1154"/>
      <c r="CL1154"/>
      <c r="CM1154"/>
      <c r="CN1154"/>
      <c r="CO1154"/>
      <c r="CP1154"/>
      <c r="CQ1154"/>
      <c r="CR1154"/>
      <c r="CS1154"/>
    </row>
    <row r="1155" spans="2:97">
      <c r="B1155"/>
      <c r="C1155" s="15"/>
      <c r="D1155" s="23"/>
      <c r="E1155" s="23"/>
      <c r="F1155" s="23"/>
      <c r="G1155" s="23">
        <f t="shared" si="83"/>
        <v>0</v>
      </c>
      <c r="H1155" s="23" t="e" cm="1">
        <f t="array" ref="H1155">INDEX('GLOBAL LOG'!#REF!,ROW()-34+15)</f>
        <v>#REF!</v>
      </c>
      <c r="I1155" s="23" t="e">
        <f>_xlfn.XLOOKUP(H1155,#REF!,#REF!,"",0,1)</f>
        <v>#REF!</v>
      </c>
      <c r="J1155" s="23" t="str">
        <f>IFERROR(I1155*#REF!,"")</f>
        <v/>
      </c>
      <c r="K1155" s="23" t="e" cm="1">
        <f t="array" ref="K1155">INDEX('GLOBAL LOG'!#REF!,ROW()-34+15)</f>
        <v>#REF!</v>
      </c>
      <c r="L1155" s="23" t="e">
        <f>_xlfn.XLOOKUP(K1155,#REF!,#REF!,"",0,1)</f>
        <v>#REF!</v>
      </c>
      <c r="M1155" s="23" t="str">
        <f>IFERROR(L1155*#REF!,"")</f>
        <v/>
      </c>
      <c r="N1155" s="23">
        <f t="shared" si="84"/>
        <v>-1</v>
      </c>
      <c r="O1155" s="23">
        <f t="shared" si="85"/>
        <v>-1</v>
      </c>
      <c r="P1155" s="23">
        <f t="shared" si="86"/>
        <v>-1</v>
      </c>
      <c r="Q1155" s="24">
        <f t="shared" si="87"/>
        <v>-1</v>
      </c>
      <c r="R1155" s="3"/>
      <c r="S1155" s="1">
        <v>0</v>
      </c>
      <c r="T1155" s="24">
        <v>-1</v>
      </c>
      <c r="U1155"/>
      <c r="V1155" s="1">
        <v>0</v>
      </c>
      <c r="W1155" s="24">
        <v>-1</v>
      </c>
      <c r="X1155"/>
      <c r="Y1155" s="1">
        <v>0</v>
      </c>
      <c r="Z1155" s="24">
        <v>-1</v>
      </c>
      <c r="AA1155"/>
      <c r="AB1155" s="1">
        <v>0</v>
      </c>
      <c r="AC1155" s="24">
        <v>-1</v>
      </c>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c r="CA1155"/>
      <c r="CB1155"/>
      <c r="CC1155"/>
      <c r="CD1155"/>
      <c r="CE1155"/>
      <c r="CF1155"/>
      <c r="CG1155"/>
      <c r="CH1155"/>
      <c r="CI1155"/>
      <c r="CJ1155"/>
      <c r="CK1155"/>
      <c r="CL1155"/>
      <c r="CM1155"/>
      <c r="CN1155"/>
      <c r="CO1155"/>
      <c r="CP1155"/>
      <c r="CQ1155"/>
      <c r="CR1155"/>
      <c r="CS1155"/>
    </row>
    <row r="1156" spans="2:97">
      <c r="B1156"/>
      <c r="C1156" s="15"/>
      <c r="D1156" s="23"/>
      <c r="E1156" s="23"/>
      <c r="F1156" s="23"/>
      <c r="G1156" s="23">
        <f t="shared" si="83"/>
        <v>0</v>
      </c>
      <c r="H1156" s="23" t="e" cm="1">
        <f t="array" ref="H1156">INDEX('GLOBAL LOG'!#REF!,ROW()-34+15)</f>
        <v>#REF!</v>
      </c>
      <c r="I1156" s="23" t="e">
        <f>_xlfn.XLOOKUP(H1156,#REF!,#REF!,"",0,1)</f>
        <v>#REF!</v>
      </c>
      <c r="J1156" s="23" t="str">
        <f>IFERROR(I1156*#REF!,"")</f>
        <v/>
      </c>
      <c r="K1156" s="23" t="e" cm="1">
        <f t="array" ref="K1156">INDEX('GLOBAL LOG'!#REF!,ROW()-34+15)</f>
        <v>#REF!</v>
      </c>
      <c r="L1156" s="23" t="e">
        <f>_xlfn.XLOOKUP(K1156,#REF!,#REF!,"",0,1)</f>
        <v>#REF!</v>
      </c>
      <c r="M1156" s="23" t="str">
        <f>IFERROR(L1156*#REF!,"")</f>
        <v/>
      </c>
      <c r="N1156" s="23">
        <f t="shared" si="84"/>
        <v>-1</v>
      </c>
      <c r="O1156" s="23">
        <f t="shared" si="85"/>
        <v>-1</v>
      </c>
      <c r="P1156" s="23">
        <f t="shared" si="86"/>
        <v>-1</v>
      </c>
      <c r="Q1156" s="24">
        <f t="shared" si="87"/>
        <v>-1</v>
      </c>
      <c r="R1156" s="3"/>
      <c r="S1156" s="1">
        <v>0</v>
      </c>
      <c r="T1156" s="24">
        <v>-1</v>
      </c>
      <c r="U1156"/>
      <c r="V1156" s="1">
        <v>0</v>
      </c>
      <c r="W1156" s="24">
        <v>-1</v>
      </c>
      <c r="X1156"/>
      <c r="Y1156" s="1">
        <v>0</v>
      </c>
      <c r="Z1156" s="24">
        <v>-1</v>
      </c>
      <c r="AA1156"/>
      <c r="AB1156" s="1">
        <v>0</v>
      </c>
      <c r="AC1156" s="24">
        <v>-1</v>
      </c>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c r="CA1156"/>
      <c r="CB1156"/>
      <c r="CC1156"/>
      <c r="CD1156"/>
      <c r="CE1156"/>
      <c r="CF1156"/>
      <c r="CG1156"/>
      <c r="CH1156"/>
      <c r="CI1156"/>
      <c r="CJ1156"/>
      <c r="CK1156"/>
      <c r="CL1156"/>
      <c r="CM1156"/>
      <c r="CN1156"/>
      <c r="CO1156"/>
      <c r="CP1156"/>
      <c r="CQ1156"/>
      <c r="CR1156"/>
      <c r="CS1156"/>
    </row>
    <row r="1157" spans="2:97">
      <c r="B1157"/>
      <c r="C1157" s="15"/>
      <c r="D1157" s="23"/>
      <c r="E1157" s="23"/>
      <c r="F1157" s="23"/>
      <c r="G1157" s="23">
        <f t="shared" si="83"/>
        <v>0</v>
      </c>
      <c r="H1157" s="23" t="e" cm="1">
        <f t="array" ref="H1157">INDEX('GLOBAL LOG'!#REF!,ROW()-34+15)</f>
        <v>#REF!</v>
      </c>
      <c r="I1157" s="23" t="e">
        <f>_xlfn.XLOOKUP(H1157,#REF!,#REF!,"",0,1)</f>
        <v>#REF!</v>
      </c>
      <c r="J1157" s="23" t="str">
        <f>IFERROR(I1157*#REF!,"")</f>
        <v/>
      </c>
      <c r="K1157" s="23" t="e" cm="1">
        <f t="array" ref="K1157">INDEX('GLOBAL LOG'!#REF!,ROW()-34+15)</f>
        <v>#REF!</v>
      </c>
      <c r="L1157" s="23" t="e">
        <f>_xlfn.XLOOKUP(K1157,#REF!,#REF!,"",0,1)</f>
        <v>#REF!</v>
      </c>
      <c r="M1157" s="23" t="str">
        <f>IFERROR(L1157*#REF!,"")</f>
        <v/>
      </c>
      <c r="N1157" s="23">
        <f t="shared" si="84"/>
        <v>-1</v>
      </c>
      <c r="O1157" s="23">
        <f t="shared" si="85"/>
        <v>-1</v>
      </c>
      <c r="P1157" s="23">
        <f t="shared" si="86"/>
        <v>-1</v>
      </c>
      <c r="Q1157" s="24">
        <f t="shared" si="87"/>
        <v>-1</v>
      </c>
      <c r="R1157" s="3"/>
      <c r="S1157" s="1">
        <v>0</v>
      </c>
      <c r="T1157" s="24">
        <v>-1</v>
      </c>
      <c r="U1157"/>
      <c r="V1157" s="1">
        <v>0</v>
      </c>
      <c r="W1157" s="24">
        <v>-1</v>
      </c>
      <c r="X1157"/>
      <c r="Y1157" s="1">
        <v>0</v>
      </c>
      <c r="Z1157" s="24">
        <v>-1</v>
      </c>
      <c r="AA1157"/>
      <c r="AB1157" s="1">
        <v>0</v>
      </c>
      <c r="AC1157" s="24">
        <v>-1</v>
      </c>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c r="CA1157"/>
      <c r="CB1157"/>
      <c r="CC1157"/>
      <c r="CD1157"/>
      <c r="CE1157"/>
      <c r="CF1157"/>
      <c r="CG1157"/>
      <c r="CH1157"/>
      <c r="CI1157"/>
      <c r="CJ1157"/>
      <c r="CK1157"/>
      <c r="CL1157"/>
      <c r="CM1157"/>
      <c r="CN1157"/>
      <c r="CO1157"/>
      <c r="CP1157"/>
      <c r="CQ1157"/>
      <c r="CR1157"/>
      <c r="CS1157"/>
    </row>
    <row r="1158" spans="2:97">
      <c r="B1158"/>
      <c r="C1158" s="15"/>
      <c r="D1158" s="23"/>
      <c r="E1158" s="23"/>
      <c r="F1158" s="23"/>
      <c r="G1158" s="23">
        <f t="shared" si="83"/>
        <v>0</v>
      </c>
      <c r="H1158" s="23" t="e" cm="1">
        <f t="array" ref="H1158">INDEX('GLOBAL LOG'!#REF!,ROW()-34+15)</f>
        <v>#REF!</v>
      </c>
      <c r="I1158" s="23" t="e">
        <f>_xlfn.XLOOKUP(H1158,#REF!,#REF!,"",0,1)</f>
        <v>#REF!</v>
      </c>
      <c r="J1158" s="23" t="str">
        <f>IFERROR(I1158*#REF!,"")</f>
        <v/>
      </c>
      <c r="K1158" s="23" t="e" cm="1">
        <f t="array" ref="K1158">INDEX('GLOBAL LOG'!#REF!,ROW()-34+15)</f>
        <v>#REF!</v>
      </c>
      <c r="L1158" s="23" t="e">
        <f>_xlfn.XLOOKUP(K1158,#REF!,#REF!,"",0,1)</f>
        <v>#REF!</v>
      </c>
      <c r="M1158" s="23" t="str">
        <f>IFERROR(L1158*#REF!,"")</f>
        <v/>
      </c>
      <c r="N1158" s="23">
        <f t="shared" si="84"/>
        <v>-1</v>
      </c>
      <c r="O1158" s="23">
        <f t="shared" si="85"/>
        <v>-1</v>
      </c>
      <c r="P1158" s="23">
        <f t="shared" si="86"/>
        <v>-1</v>
      </c>
      <c r="Q1158" s="24">
        <f t="shared" si="87"/>
        <v>-1</v>
      </c>
      <c r="R1158" s="3"/>
      <c r="S1158" s="1">
        <v>0</v>
      </c>
      <c r="T1158" s="24">
        <v>-1</v>
      </c>
      <c r="U1158"/>
      <c r="V1158" s="1">
        <v>0</v>
      </c>
      <c r="W1158" s="24">
        <v>-1</v>
      </c>
      <c r="X1158"/>
      <c r="Y1158" s="1">
        <v>0</v>
      </c>
      <c r="Z1158" s="24">
        <v>-1</v>
      </c>
      <c r="AA1158"/>
      <c r="AB1158" s="1">
        <v>0</v>
      </c>
      <c r="AC1158" s="24">
        <v>-1</v>
      </c>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c r="CA1158"/>
      <c r="CB1158"/>
      <c r="CC1158"/>
      <c r="CD1158"/>
      <c r="CE1158"/>
      <c r="CF1158"/>
      <c r="CG1158"/>
      <c r="CH1158"/>
      <c r="CI1158"/>
      <c r="CJ1158"/>
      <c r="CK1158"/>
      <c r="CL1158"/>
      <c r="CM1158"/>
      <c r="CN1158"/>
      <c r="CO1158"/>
      <c r="CP1158"/>
      <c r="CQ1158"/>
      <c r="CR1158"/>
      <c r="CS1158"/>
    </row>
    <row r="1159" spans="2:97">
      <c r="B1159"/>
      <c r="C1159" s="15"/>
      <c r="D1159" s="23"/>
      <c r="E1159" s="23"/>
      <c r="F1159" s="23"/>
      <c r="G1159" s="23">
        <f t="shared" si="83"/>
        <v>0</v>
      </c>
      <c r="H1159" s="23" t="e" cm="1">
        <f t="array" ref="H1159">INDEX('GLOBAL LOG'!#REF!,ROW()-34+15)</f>
        <v>#REF!</v>
      </c>
      <c r="I1159" s="23" t="e">
        <f>_xlfn.XLOOKUP(H1159,#REF!,#REF!,"",0,1)</f>
        <v>#REF!</v>
      </c>
      <c r="J1159" s="23" t="str">
        <f>IFERROR(I1159*#REF!,"")</f>
        <v/>
      </c>
      <c r="K1159" s="23" t="e" cm="1">
        <f t="array" ref="K1159">INDEX('GLOBAL LOG'!#REF!,ROW()-34+15)</f>
        <v>#REF!</v>
      </c>
      <c r="L1159" s="23" t="e">
        <f>_xlfn.XLOOKUP(K1159,#REF!,#REF!,"",0,1)</f>
        <v>#REF!</v>
      </c>
      <c r="M1159" s="23" t="str">
        <f>IFERROR(L1159*#REF!,"")</f>
        <v/>
      </c>
      <c r="N1159" s="23">
        <f t="shared" si="84"/>
        <v>-1</v>
      </c>
      <c r="O1159" s="23">
        <f t="shared" si="85"/>
        <v>-1</v>
      </c>
      <c r="P1159" s="23">
        <f t="shared" si="86"/>
        <v>-1</v>
      </c>
      <c r="Q1159" s="24">
        <f t="shared" si="87"/>
        <v>-1</v>
      </c>
      <c r="R1159" s="3"/>
      <c r="S1159" s="1">
        <v>0</v>
      </c>
      <c r="T1159" s="24">
        <v>-1</v>
      </c>
      <c r="U1159"/>
      <c r="V1159" s="1">
        <v>0</v>
      </c>
      <c r="W1159" s="24">
        <v>-1</v>
      </c>
      <c r="X1159"/>
      <c r="Y1159" s="1">
        <v>0</v>
      </c>
      <c r="Z1159" s="24">
        <v>-1</v>
      </c>
      <c r="AA1159"/>
      <c r="AB1159" s="1">
        <v>0</v>
      </c>
      <c r="AC1159" s="24">
        <v>-1</v>
      </c>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c r="CA1159"/>
      <c r="CB1159"/>
      <c r="CC1159"/>
      <c r="CD1159"/>
      <c r="CE1159"/>
      <c r="CF1159"/>
      <c r="CG1159"/>
      <c r="CH1159"/>
      <c r="CI1159"/>
      <c r="CJ1159"/>
      <c r="CK1159"/>
      <c r="CL1159"/>
      <c r="CM1159"/>
      <c r="CN1159"/>
      <c r="CO1159"/>
      <c r="CP1159"/>
      <c r="CQ1159"/>
      <c r="CR1159"/>
      <c r="CS1159"/>
    </row>
    <row r="1160" spans="2:97">
      <c r="B1160"/>
      <c r="C1160" s="15"/>
      <c r="D1160" s="23"/>
      <c r="E1160" s="23"/>
      <c r="F1160" s="23"/>
      <c r="G1160" s="23">
        <f t="shared" si="83"/>
        <v>0</v>
      </c>
      <c r="H1160" s="23" t="e" cm="1">
        <f t="array" ref="H1160">INDEX('GLOBAL LOG'!#REF!,ROW()-34+15)</f>
        <v>#REF!</v>
      </c>
      <c r="I1160" s="23" t="e">
        <f>_xlfn.XLOOKUP(H1160,#REF!,#REF!,"",0,1)</f>
        <v>#REF!</v>
      </c>
      <c r="J1160" s="23" t="str">
        <f>IFERROR(I1160*#REF!,"")</f>
        <v/>
      </c>
      <c r="K1160" s="23" t="e" cm="1">
        <f t="array" ref="K1160">INDEX('GLOBAL LOG'!#REF!,ROW()-34+15)</f>
        <v>#REF!</v>
      </c>
      <c r="L1160" s="23" t="e">
        <f>_xlfn.XLOOKUP(K1160,#REF!,#REF!,"",0,1)</f>
        <v>#REF!</v>
      </c>
      <c r="M1160" s="23" t="str">
        <f>IFERROR(L1160*#REF!,"")</f>
        <v/>
      </c>
      <c r="N1160" s="23">
        <f t="shared" si="84"/>
        <v>-1</v>
      </c>
      <c r="O1160" s="23">
        <f t="shared" si="85"/>
        <v>-1</v>
      </c>
      <c r="P1160" s="23">
        <f t="shared" si="86"/>
        <v>-1</v>
      </c>
      <c r="Q1160" s="24">
        <f t="shared" si="87"/>
        <v>-1</v>
      </c>
      <c r="R1160" s="3"/>
      <c r="S1160" s="1">
        <v>0</v>
      </c>
      <c r="T1160" s="24">
        <v>-1</v>
      </c>
      <c r="U1160"/>
      <c r="V1160" s="1">
        <v>0</v>
      </c>
      <c r="W1160" s="24">
        <v>-1</v>
      </c>
      <c r="X1160"/>
      <c r="Y1160" s="1">
        <v>0</v>
      </c>
      <c r="Z1160" s="24">
        <v>-1</v>
      </c>
      <c r="AA1160"/>
      <c r="AB1160" s="1">
        <v>0</v>
      </c>
      <c r="AC1160" s="24">
        <v>-1</v>
      </c>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c r="CA1160"/>
      <c r="CB1160"/>
      <c r="CC1160"/>
      <c r="CD1160"/>
      <c r="CE1160"/>
      <c r="CF1160"/>
      <c r="CG1160"/>
      <c r="CH1160"/>
      <c r="CI1160"/>
      <c r="CJ1160"/>
      <c r="CK1160"/>
      <c r="CL1160"/>
      <c r="CM1160"/>
      <c r="CN1160"/>
      <c r="CO1160"/>
      <c r="CP1160"/>
      <c r="CQ1160"/>
      <c r="CR1160"/>
      <c r="CS1160"/>
    </row>
    <row r="1161" spans="2:97">
      <c r="B1161"/>
      <c r="C1161" s="15"/>
      <c r="D1161" s="23"/>
      <c r="E1161" s="23"/>
      <c r="F1161" s="23"/>
      <c r="G1161" s="23">
        <f t="shared" si="83"/>
        <v>0</v>
      </c>
      <c r="H1161" s="23" t="e" cm="1">
        <f t="array" ref="H1161">INDEX('GLOBAL LOG'!#REF!,ROW()-34+15)</f>
        <v>#REF!</v>
      </c>
      <c r="I1161" s="23" t="e">
        <f>_xlfn.XLOOKUP(H1161,#REF!,#REF!,"",0,1)</f>
        <v>#REF!</v>
      </c>
      <c r="J1161" s="23" t="str">
        <f>IFERROR(I1161*#REF!,"")</f>
        <v/>
      </c>
      <c r="K1161" s="23" t="e" cm="1">
        <f t="array" ref="K1161">INDEX('GLOBAL LOG'!#REF!,ROW()-34+15)</f>
        <v>#REF!</v>
      </c>
      <c r="L1161" s="23" t="e">
        <f>_xlfn.XLOOKUP(K1161,#REF!,#REF!,"",0,1)</f>
        <v>#REF!</v>
      </c>
      <c r="M1161" s="23" t="str">
        <f>IFERROR(L1161*#REF!,"")</f>
        <v/>
      </c>
      <c r="N1161" s="23">
        <f t="shared" si="84"/>
        <v>-1</v>
      </c>
      <c r="O1161" s="23">
        <f t="shared" si="85"/>
        <v>-1</v>
      </c>
      <c r="P1161" s="23">
        <f t="shared" si="86"/>
        <v>-1</v>
      </c>
      <c r="Q1161" s="24">
        <f t="shared" si="87"/>
        <v>-1</v>
      </c>
      <c r="R1161" s="3"/>
      <c r="S1161" s="1">
        <v>0</v>
      </c>
      <c r="T1161" s="24">
        <v>-1</v>
      </c>
      <c r="U1161"/>
      <c r="V1161" s="1">
        <v>0</v>
      </c>
      <c r="W1161" s="24">
        <v>-1</v>
      </c>
      <c r="X1161"/>
      <c r="Y1161" s="1">
        <v>0</v>
      </c>
      <c r="Z1161" s="24">
        <v>-1</v>
      </c>
      <c r="AA1161"/>
      <c r="AB1161" s="1">
        <v>0</v>
      </c>
      <c r="AC1161" s="24">
        <v>-1</v>
      </c>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c r="CA1161"/>
      <c r="CB1161"/>
      <c r="CC1161"/>
      <c r="CD1161"/>
      <c r="CE1161"/>
      <c r="CF1161"/>
      <c r="CG1161"/>
      <c r="CH1161"/>
      <c r="CI1161"/>
      <c r="CJ1161"/>
      <c r="CK1161"/>
      <c r="CL1161"/>
      <c r="CM1161"/>
      <c r="CN1161"/>
      <c r="CO1161"/>
      <c r="CP1161"/>
      <c r="CQ1161"/>
      <c r="CR1161"/>
      <c r="CS1161"/>
    </row>
    <row r="1162" spans="2:97">
      <c r="B1162"/>
      <c r="C1162" s="15"/>
      <c r="D1162" s="23"/>
      <c r="E1162" s="23"/>
      <c r="F1162" s="23"/>
      <c r="G1162" s="23">
        <f t="shared" si="83"/>
        <v>0</v>
      </c>
      <c r="H1162" s="23" t="e" cm="1">
        <f t="array" ref="H1162">INDEX('GLOBAL LOG'!#REF!,ROW()-34+15)</f>
        <v>#REF!</v>
      </c>
      <c r="I1162" s="23" t="e">
        <f>_xlfn.XLOOKUP(H1162,#REF!,#REF!,"",0,1)</f>
        <v>#REF!</v>
      </c>
      <c r="J1162" s="23" t="str">
        <f>IFERROR(I1162*#REF!,"")</f>
        <v/>
      </c>
      <c r="K1162" s="23" t="e" cm="1">
        <f t="array" ref="K1162">INDEX('GLOBAL LOG'!#REF!,ROW()-34+15)</f>
        <v>#REF!</v>
      </c>
      <c r="L1162" s="23" t="e">
        <f>_xlfn.XLOOKUP(K1162,#REF!,#REF!,"",0,1)</f>
        <v>#REF!</v>
      </c>
      <c r="M1162" s="23" t="str">
        <f>IFERROR(L1162*#REF!,"")</f>
        <v/>
      </c>
      <c r="N1162" s="23">
        <f t="shared" si="84"/>
        <v>-1</v>
      </c>
      <c r="O1162" s="23">
        <f t="shared" si="85"/>
        <v>-1</v>
      </c>
      <c r="P1162" s="23">
        <f t="shared" si="86"/>
        <v>-1</v>
      </c>
      <c r="Q1162" s="24">
        <f t="shared" si="87"/>
        <v>-1</v>
      </c>
      <c r="R1162" s="3"/>
      <c r="S1162" s="1">
        <v>0</v>
      </c>
      <c r="T1162" s="24">
        <v>-1</v>
      </c>
      <c r="U1162"/>
      <c r="V1162" s="1">
        <v>0</v>
      </c>
      <c r="W1162" s="24">
        <v>-1</v>
      </c>
      <c r="X1162"/>
      <c r="Y1162" s="1">
        <v>0</v>
      </c>
      <c r="Z1162" s="24">
        <v>-1</v>
      </c>
      <c r="AA1162"/>
      <c r="AB1162" s="1">
        <v>0</v>
      </c>
      <c r="AC1162" s="24">
        <v>-1</v>
      </c>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c r="CA1162"/>
      <c r="CB1162"/>
      <c r="CC1162"/>
      <c r="CD1162"/>
      <c r="CE1162"/>
      <c r="CF1162"/>
      <c r="CG1162"/>
      <c r="CH1162"/>
      <c r="CI1162"/>
      <c r="CJ1162"/>
      <c r="CK1162"/>
      <c r="CL1162"/>
      <c r="CM1162"/>
      <c r="CN1162"/>
      <c r="CO1162"/>
      <c r="CP1162"/>
      <c r="CQ1162"/>
      <c r="CR1162"/>
      <c r="CS1162"/>
    </row>
    <row r="1163" spans="2:97">
      <c r="B1163"/>
      <c r="C1163" s="15"/>
      <c r="D1163" s="23"/>
      <c r="E1163" s="23"/>
      <c r="F1163" s="23"/>
      <c r="G1163" s="23">
        <f t="shared" si="83"/>
        <v>0</v>
      </c>
      <c r="H1163" s="23" t="e" cm="1">
        <f t="array" ref="H1163">INDEX('GLOBAL LOG'!#REF!,ROW()-34+15)</f>
        <v>#REF!</v>
      </c>
      <c r="I1163" s="23" t="e">
        <f>_xlfn.XLOOKUP(H1163,#REF!,#REF!,"",0,1)</f>
        <v>#REF!</v>
      </c>
      <c r="J1163" s="23" t="str">
        <f>IFERROR(I1163*#REF!,"")</f>
        <v/>
      </c>
      <c r="K1163" s="23" t="e" cm="1">
        <f t="array" ref="K1163">INDEX('GLOBAL LOG'!#REF!,ROW()-34+15)</f>
        <v>#REF!</v>
      </c>
      <c r="L1163" s="23" t="e">
        <f>_xlfn.XLOOKUP(K1163,#REF!,#REF!,"",0,1)</f>
        <v>#REF!</v>
      </c>
      <c r="M1163" s="23" t="str">
        <f>IFERROR(L1163*#REF!,"")</f>
        <v/>
      </c>
      <c r="N1163" s="23">
        <f t="shared" si="84"/>
        <v>-1</v>
      </c>
      <c r="O1163" s="23">
        <f t="shared" si="85"/>
        <v>-1</v>
      </c>
      <c r="P1163" s="23">
        <f t="shared" si="86"/>
        <v>-1</v>
      </c>
      <c r="Q1163" s="24">
        <f t="shared" si="87"/>
        <v>-1</v>
      </c>
      <c r="R1163" s="3"/>
      <c r="S1163" s="1">
        <v>0</v>
      </c>
      <c r="T1163" s="24">
        <v>-1</v>
      </c>
      <c r="U1163"/>
      <c r="V1163" s="1">
        <v>0</v>
      </c>
      <c r="W1163" s="24">
        <v>-1</v>
      </c>
      <c r="X1163"/>
      <c r="Y1163" s="1">
        <v>0</v>
      </c>
      <c r="Z1163" s="24">
        <v>-1</v>
      </c>
      <c r="AA1163"/>
      <c r="AB1163" s="1">
        <v>0</v>
      </c>
      <c r="AC1163" s="24">
        <v>-1</v>
      </c>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c r="CA1163"/>
      <c r="CB1163"/>
      <c r="CC1163"/>
      <c r="CD1163"/>
      <c r="CE1163"/>
      <c r="CF1163"/>
      <c r="CG1163"/>
      <c r="CH1163"/>
      <c r="CI1163"/>
      <c r="CJ1163"/>
      <c r="CK1163"/>
      <c r="CL1163"/>
      <c r="CM1163"/>
      <c r="CN1163"/>
      <c r="CO1163"/>
      <c r="CP1163"/>
      <c r="CQ1163"/>
      <c r="CR1163"/>
      <c r="CS1163"/>
    </row>
    <row r="1164" spans="2:97">
      <c r="B1164"/>
      <c r="C1164" s="15"/>
      <c r="D1164" s="23"/>
      <c r="E1164" s="23"/>
      <c r="F1164" s="23"/>
      <c r="G1164" s="23">
        <f t="shared" si="83"/>
        <v>0</v>
      </c>
      <c r="H1164" s="23" t="e" cm="1">
        <f t="array" ref="H1164">INDEX('GLOBAL LOG'!#REF!,ROW()-34+15)</f>
        <v>#REF!</v>
      </c>
      <c r="I1164" s="23" t="e">
        <f>_xlfn.XLOOKUP(H1164,#REF!,#REF!,"",0,1)</f>
        <v>#REF!</v>
      </c>
      <c r="J1164" s="23" t="str">
        <f>IFERROR(I1164*#REF!,"")</f>
        <v/>
      </c>
      <c r="K1164" s="23" t="e" cm="1">
        <f t="array" ref="K1164">INDEX('GLOBAL LOG'!#REF!,ROW()-34+15)</f>
        <v>#REF!</v>
      </c>
      <c r="L1164" s="23" t="e">
        <f>_xlfn.XLOOKUP(K1164,#REF!,#REF!,"",0,1)</f>
        <v>#REF!</v>
      </c>
      <c r="M1164" s="23" t="str">
        <f>IFERROR(L1164*#REF!,"")</f>
        <v/>
      </c>
      <c r="N1164" s="23">
        <f t="shared" si="84"/>
        <v>-1</v>
      </c>
      <c r="O1164" s="23">
        <f t="shared" si="85"/>
        <v>-1</v>
      </c>
      <c r="P1164" s="23">
        <f t="shared" si="86"/>
        <v>-1</v>
      </c>
      <c r="Q1164" s="24">
        <f t="shared" si="87"/>
        <v>-1</v>
      </c>
      <c r="R1164" s="3"/>
      <c r="S1164" s="1">
        <v>0</v>
      </c>
      <c r="T1164" s="24">
        <v>-1</v>
      </c>
      <c r="U1164"/>
      <c r="V1164" s="1">
        <v>0</v>
      </c>
      <c r="W1164" s="24">
        <v>-1</v>
      </c>
      <c r="X1164"/>
      <c r="Y1164" s="1">
        <v>0</v>
      </c>
      <c r="Z1164" s="24">
        <v>-1</v>
      </c>
      <c r="AA1164"/>
      <c r="AB1164" s="1">
        <v>0</v>
      </c>
      <c r="AC1164" s="24">
        <v>-1</v>
      </c>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c r="CA1164"/>
      <c r="CB1164"/>
      <c r="CC1164"/>
      <c r="CD1164"/>
      <c r="CE1164"/>
      <c r="CF1164"/>
      <c r="CG1164"/>
      <c r="CH1164"/>
      <c r="CI1164"/>
      <c r="CJ1164"/>
      <c r="CK1164"/>
      <c r="CL1164"/>
      <c r="CM1164"/>
      <c r="CN1164"/>
      <c r="CO1164"/>
      <c r="CP1164"/>
      <c r="CQ1164"/>
      <c r="CR1164"/>
      <c r="CS1164"/>
    </row>
    <row r="1165" spans="2:97">
      <c r="B1165"/>
      <c r="C1165" s="15"/>
      <c r="D1165" s="23"/>
      <c r="E1165" s="23"/>
      <c r="F1165" s="23"/>
      <c r="G1165" s="23">
        <f t="shared" si="83"/>
        <v>0</v>
      </c>
      <c r="H1165" s="23" t="e" cm="1">
        <f t="array" ref="H1165">INDEX('GLOBAL LOG'!#REF!,ROW()-34+15)</f>
        <v>#REF!</v>
      </c>
      <c r="I1165" s="23" t="e">
        <f>_xlfn.XLOOKUP(H1165,#REF!,#REF!,"",0,1)</f>
        <v>#REF!</v>
      </c>
      <c r="J1165" s="23" t="str">
        <f>IFERROR(I1165*#REF!,"")</f>
        <v/>
      </c>
      <c r="K1165" s="23" t="e" cm="1">
        <f t="array" ref="K1165">INDEX('GLOBAL LOG'!#REF!,ROW()-34+15)</f>
        <v>#REF!</v>
      </c>
      <c r="L1165" s="23" t="e">
        <f>_xlfn.XLOOKUP(K1165,#REF!,#REF!,"",0,1)</f>
        <v>#REF!</v>
      </c>
      <c r="M1165" s="23" t="str">
        <f>IFERROR(L1165*#REF!,"")</f>
        <v/>
      </c>
      <c r="N1165" s="23">
        <f t="shared" si="84"/>
        <v>-1</v>
      </c>
      <c r="O1165" s="23">
        <f t="shared" si="85"/>
        <v>-1</v>
      </c>
      <c r="P1165" s="23">
        <f t="shared" si="86"/>
        <v>-1</v>
      </c>
      <c r="Q1165" s="24">
        <f t="shared" si="87"/>
        <v>-1</v>
      </c>
      <c r="R1165" s="3"/>
      <c r="S1165" s="1">
        <v>0</v>
      </c>
      <c r="T1165" s="24">
        <v>-1</v>
      </c>
      <c r="U1165"/>
      <c r="V1165" s="1">
        <v>0</v>
      </c>
      <c r="W1165" s="24">
        <v>-1</v>
      </c>
      <c r="X1165"/>
      <c r="Y1165" s="1">
        <v>0</v>
      </c>
      <c r="Z1165" s="24">
        <v>-1</v>
      </c>
      <c r="AA1165"/>
      <c r="AB1165" s="1">
        <v>0</v>
      </c>
      <c r="AC1165" s="24">
        <v>-1</v>
      </c>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c r="CA1165"/>
      <c r="CB1165"/>
      <c r="CC1165"/>
      <c r="CD1165"/>
      <c r="CE1165"/>
      <c r="CF1165"/>
      <c r="CG1165"/>
      <c r="CH1165"/>
      <c r="CI1165"/>
      <c r="CJ1165"/>
      <c r="CK1165"/>
      <c r="CL1165"/>
      <c r="CM1165"/>
      <c r="CN1165"/>
      <c r="CO1165"/>
      <c r="CP1165"/>
      <c r="CQ1165"/>
      <c r="CR1165"/>
      <c r="CS1165"/>
    </row>
    <row r="1166" spans="2:97">
      <c r="B1166"/>
      <c r="C1166" s="15"/>
      <c r="D1166" s="23"/>
      <c r="E1166" s="23"/>
      <c r="F1166" s="23"/>
      <c r="G1166" s="23">
        <f t="shared" si="83"/>
        <v>0</v>
      </c>
      <c r="H1166" s="23" t="e" cm="1">
        <f t="array" ref="H1166">INDEX('GLOBAL LOG'!#REF!,ROW()-34+15)</f>
        <v>#REF!</v>
      </c>
      <c r="I1166" s="23" t="e">
        <f>_xlfn.XLOOKUP(H1166,#REF!,#REF!,"",0,1)</f>
        <v>#REF!</v>
      </c>
      <c r="J1166" s="23" t="str">
        <f>IFERROR(I1166*#REF!,"")</f>
        <v/>
      </c>
      <c r="K1166" s="23" t="e" cm="1">
        <f t="array" ref="K1166">INDEX('GLOBAL LOG'!#REF!,ROW()-34+15)</f>
        <v>#REF!</v>
      </c>
      <c r="L1166" s="23" t="e">
        <f>_xlfn.XLOOKUP(K1166,#REF!,#REF!,"",0,1)</f>
        <v>#REF!</v>
      </c>
      <c r="M1166" s="23" t="str">
        <f>IFERROR(L1166*#REF!,"")</f>
        <v/>
      </c>
      <c r="N1166" s="23">
        <f t="shared" si="84"/>
        <v>-1</v>
      </c>
      <c r="O1166" s="23">
        <f t="shared" si="85"/>
        <v>-1</v>
      </c>
      <c r="P1166" s="23">
        <f t="shared" si="86"/>
        <v>-1</v>
      </c>
      <c r="Q1166" s="24">
        <f t="shared" si="87"/>
        <v>-1</v>
      </c>
      <c r="R1166" s="3"/>
      <c r="S1166" s="1">
        <v>0</v>
      </c>
      <c r="T1166" s="24">
        <v>-1</v>
      </c>
      <c r="U1166"/>
      <c r="V1166" s="1">
        <v>0</v>
      </c>
      <c r="W1166" s="24">
        <v>-1</v>
      </c>
      <c r="X1166"/>
      <c r="Y1166" s="1">
        <v>0</v>
      </c>
      <c r="Z1166" s="24">
        <v>-1</v>
      </c>
      <c r="AA1166"/>
      <c r="AB1166" s="1">
        <v>0</v>
      </c>
      <c r="AC1166" s="24">
        <v>-1</v>
      </c>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c r="CA1166"/>
      <c r="CB1166"/>
      <c r="CC1166"/>
      <c r="CD1166"/>
      <c r="CE1166"/>
      <c r="CF1166"/>
      <c r="CG1166"/>
      <c r="CH1166"/>
      <c r="CI1166"/>
      <c r="CJ1166"/>
      <c r="CK1166"/>
      <c r="CL1166"/>
      <c r="CM1166"/>
      <c r="CN1166"/>
      <c r="CO1166"/>
      <c r="CP1166"/>
      <c r="CQ1166"/>
      <c r="CR1166"/>
      <c r="CS1166"/>
    </row>
    <row r="1167" spans="2:97">
      <c r="B1167"/>
      <c r="C1167" s="15"/>
      <c r="D1167" s="23"/>
      <c r="E1167" s="23"/>
      <c r="F1167" s="23"/>
      <c r="G1167" s="23">
        <f t="shared" si="83"/>
        <v>0</v>
      </c>
      <c r="H1167" s="23" t="e" cm="1">
        <f t="array" ref="H1167">INDEX('GLOBAL LOG'!#REF!,ROW()-34+15)</f>
        <v>#REF!</v>
      </c>
      <c r="I1167" s="23" t="e">
        <f>_xlfn.XLOOKUP(H1167,#REF!,#REF!,"",0,1)</f>
        <v>#REF!</v>
      </c>
      <c r="J1167" s="23" t="str">
        <f>IFERROR(I1167*#REF!,"")</f>
        <v/>
      </c>
      <c r="K1167" s="23" t="e" cm="1">
        <f t="array" ref="K1167">INDEX('GLOBAL LOG'!#REF!,ROW()-34+15)</f>
        <v>#REF!</v>
      </c>
      <c r="L1167" s="23" t="e">
        <f>_xlfn.XLOOKUP(K1167,#REF!,#REF!,"",0,1)</f>
        <v>#REF!</v>
      </c>
      <c r="M1167" s="23" t="str">
        <f>IFERROR(L1167*#REF!,"")</f>
        <v/>
      </c>
      <c r="N1167" s="23">
        <f t="shared" si="84"/>
        <v>-1</v>
      </c>
      <c r="O1167" s="23">
        <f t="shared" si="85"/>
        <v>-1</v>
      </c>
      <c r="P1167" s="23">
        <f t="shared" si="86"/>
        <v>-1</v>
      </c>
      <c r="Q1167" s="24">
        <f t="shared" si="87"/>
        <v>-1</v>
      </c>
      <c r="R1167" s="3"/>
      <c r="S1167" s="1">
        <v>0</v>
      </c>
      <c r="T1167" s="24">
        <v>-1</v>
      </c>
      <c r="U1167"/>
      <c r="V1167" s="1">
        <v>0</v>
      </c>
      <c r="W1167" s="24">
        <v>-1</v>
      </c>
      <c r="X1167"/>
      <c r="Y1167" s="1">
        <v>0</v>
      </c>
      <c r="Z1167" s="24">
        <v>-1</v>
      </c>
      <c r="AA1167"/>
      <c r="AB1167" s="1">
        <v>0</v>
      </c>
      <c r="AC1167" s="24">
        <v>-1</v>
      </c>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c r="CA1167"/>
      <c r="CB1167"/>
      <c r="CC1167"/>
      <c r="CD1167"/>
      <c r="CE1167"/>
      <c r="CF1167"/>
      <c r="CG1167"/>
      <c r="CH1167"/>
      <c r="CI1167"/>
      <c r="CJ1167"/>
      <c r="CK1167"/>
      <c r="CL1167"/>
      <c r="CM1167"/>
      <c r="CN1167"/>
      <c r="CO1167"/>
      <c r="CP1167"/>
      <c r="CQ1167"/>
      <c r="CR1167"/>
      <c r="CS1167"/>
    </row>
    <row r="1168" spans="2:97">
      <c r="B1168"/>
      <c r="C1168" s="15"/>
      <c r="D1168" s="23"/>
      <c r="E1168" s="23"/>
      <c r="F1168" s="23"/>
      <c r="G1168" s="23">
        <f t="shared" si="83"/>
        <v>0</v>
      </c>
      <c r="H1168" s="23" t="e" cm="1">
        <f t="array" ref="H1168">INDEX('GLOBAL LOG'!#REF!,ROW()-34+15)</f>
        <v>#REF!</v>
      </c>
      <c r="I1168" s="23" t="e">
        <f>_xlfn.XLOOKUP(H1168,#REF!,#REF!,"",0,1)</f>
        <v>#REF!</v>
      </c>
      <c r="J1168" s="23" t="str">
        <f>IFERROR(I1168*#REF!,"")</f>
        <v/>
      </c>
      <c r="K1168" s="23" t="e" cm="1">
        <f t="array" ref="K1168">INDEX('GLOBAL LOG'!#REF!,ROW()-34+15)</f>
        <v>#REF!</v>
      </c>
      <c r="L1168" s="23" t="e">
        <f>_xlfn.XLOOKUP(K1168,#REF!,#REF!,"",0,1)</f>
        <v>#REF!</v>
      </c>
      <c r="M1168" s="23" t="str">
        <f>IFERROR(L1168*#REF!,"")</f>
        <v/>
      </c>
      <c r="N1168" s="23">
        <f t="shared" si="84"/>
        <v>-1</v>
      </c>
      <c r="O1168" s="23">
        <f t="shared" ref="O1168:O1189" si="88">IFERROR(E1168*J1168*M1168,-1)</f>
        <v>-1</v>
      </c>
      <c r="P1168" s="23">
        <f t="shared" ref="P1168:P1189" si="89">IFERROR(F1168*J1168*M1168,-1)</f>
        <v>-1</v>
      </c>
      <c r="Q1168" s="24">
        <f t="shared" ref="Q1168:Q1189" si="90">IFERROR(G1168*J1168*M1168,-1)</f>
        <v>-1</v>
      </c>
      <c r="R1168" s="3"/>
      <c r="S1168" s="1">
        <v>0</v>
      </c>
      <c r="T1168" s="24">
        <v>-1</v>
      </c>
      <c r="U1168"/>
      <c r="V1168" s="1">
        <v>0</v>
      </c>
      <c r="W1168" s="24">
        <v>-1</v>
      </c>
      <c r="X1168"/>
      <c r="Y1168" s="1">
        <v>0</v>
      </c>
      <c r="Z1168" s="24">
        <v>-1</v>
      </c>
      <c r="AA1168"/>
      <c r="AB1168" s="1">
        <v>0</v>
      </c>
      <c r="AC1168" s="24">
        <v>-1</v>
      </c>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c r="CA1168"/>
      <c r="CB1168"/>
      <c r="CC1168"/>
      <c r="CD1168"/>
      <c r="CE1168"/>
      <c r="CF1168"/>
      <c r="CG1168"/>
      <c r="CH1168"/>
      <c r="CI1168"/>
      <c r="CJ1168"/>
      <c r="CK1168"/>
      <c r="CL1168"/>
      <c r="CM1168"/>
      <c r="CN1168"/>
      <c r="CO1168"/>
      <c r="CP1168"/>
      <c r="CQ1168"/>
      <c r="CR1168"/>
      <c r="CS1168"/>
    </row>
    <row r="1169" spans="2:97">
      <c r="B1169"/>
      <c r="C1169" s="15"/>
      <c r="D1169" s="23"/>
      <c r="E1169" s="23"/>
      <c r="F1169" s="23"/>
      <c r="G1169" s="23">
        <f t="shared" ref="G1169:G1189" si="91">E1169+F1169</f>
        <v>0</v>
      </c>
      <c r="H1169" s="23" t="e" cm="1">
        <f t="array" ref="H1169">INDEX('GLOBAL LOG'!#REF!,ROW()-34+15)</f>
        <v>#REF!</v>
      </c>
      <c r="I1169" s="23" t="e">
        <f>_xlfn.XLOOKUP(H1169,#REF!,#REF!,"",0,1)</f>
        <v>#REF!</v>
      </c>
      <c r="J1169" s="23" t="str">
        <f>IFERROR(I1169*#REF!,"")</f>
        <v/>
      </c>
      <c r="K1169" s="23" t="e" cm="1">
        <f t="array" ref="K1169">INDEX('GLOBAL LOG'!#REF!,ROW()-34+15)</f>
        <v>#REF!</v>
      </c>
      <c r="L1169" s="23" t="e">
        <f>_xlfn.XLOOKUP(K1169,#REF!,#REF!,"",0,1)</f>
        <v>#REF!</v>
      </c>
      <c r="M1169" s="23" t="str">
        <f>IFERROR(L1169*#REF!,"")</f>
        <v/>
      </c>
      <c r="N1169" s="23">
        <f t="shared" ref="N1169:N1189" si="92">IFERROR(D1169*J1169*M1169,-1)</f>
        <v>-1</v>
      </c>
      <c r="O1169" s="23">
        <f t="shared" si="88"/>
        <v>-1</v>
      </c>
      <c r="P1169" s="23">
        <f t="shared" si="89"/>
        <v>-1</v>
      </c>
      <c r="Q1169" s="24">
        <f t="shared" si="90"/>
        <v>-1</v>
      </c>
      <c r="R1169" s="3"/>
      <c r="S1169" s="1">
        <v>0</v>
      </c>
      <c r="T1169" s="24">
        <v>-1</v>
      </c>
      <c r="U1169"/>
      <c r="V1169" s="1">
        <v>0</v>
      </c>
      <c r="W1169" s="24">
        <v>-1</v>
      </c>
      <c r="X1169"/>
      <c r="Y1169" s="1">
        <v>0</v>
      </c>
      <c r="Z1169" s="24">
        <v>-1</v>
      </c>
      <c r="AA1169"/>
      <c r="AB1169" s="1">
        <v>0</v>
      </c>
      <c r="AC1169" s="24">
        <v>-1</v>
      </c>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c r="CA1169"/>
      <c r="CB1169"/>
      <c r="CC1169"/>
      <c r="CD1169"/>
      <c r="CE1169"/>
      <c r="CF1169"/>
      <c r="CG1169"/>
      <c r="CH1169"/>
      <c r="CI1169"/>
      <c r="CJ1169"/>
      <c r="CK1169"/>
      <c r="CL1169"/>
      <c r="CM1169"/>
      <c r="CN1169"/>
      <c r="CO1169"/>
      <c r="CP1169"/>
      <c r="CQ1169"/>
      <c r="CR1169"/>
      <c r="CS1169"/>
    </row>
    <row r="1170" spans="2:97">
      <c r="B1170"/>
      <c r="C1170" s="15"/>
      <c r="D1170" s="23"/>
      <c r="E1170" s="23"/>
      <c r="F1170" s="23"/>
      <c r="G1170" s="23">
        <f t="shared" si="91"/>
        <v>0</v>
      </c>
      <c r="H1170" s="23" t="e" cm="1">
        <f t="array" ref="H1170">INDEX('GLOBAL LOG'!#REF!,ROW()-34+15)</f>
        <v>#REF!</v>
      </c>
      <c r="I1170" s="23" t="e">
        <f>_xlfn.XLOOKUP(H1170,#REF!,#REF!,"",0,1)</f>
        <v>#REF!</v>
      </c>
      <c r="J1170" s="23" t="str">
        <f>IFERROR(I1170*#REF!,"")</f>
        <v/>
      </c>
      <c r="K1170" s="23" t="e" cm="1">
        <f t="array" ref="K1170">INDEX('GLOBAL LOG'!#REF!,ROW()-34+15)</f>
        <v>#REF!</v>
      </c>
      <c r="L1170" s="23" t="e">
        <f>_xlfn.XLOOKUP(K1170,#REF!,#REF!,"",0,1)</f>
        <v>#REF!</v>
      </c>
      <c r="M1170" s="23" t="str">
        <f>IFERROR(L1170*#REF!,"")</f>
        <v/>
      </c>
      <c r="N1170" s="23">
        <f t="shared" si="92"/>
        <v>-1</v>
      </c>
      <c r="O1170" s="23">
        <f t="shared" si="88"/>
        <v>-1</v>
      </c>
      <c r="P1170" s="23">
        <f t="shared" si="89"/>
        <v>-1</v>
      </c>
      <c r="Q1170" s="24">
        <f t="shared" si="90"/>
        <v>-1</v>
      </c>
      <c r="R1170" s="3"/>
      <c r="S1170" s="1">
        <v>0</v>
      </c>
      <c r="T1170" s="24">
        <v>-1</v>
      </c>
      <c r="U1170"/>
      <c r="V1170" s="1">
        <v>0</v>
      </c>
      <c r="W1170" s="24">
        <v>-1</v>
      </c>
      <c r="X1170"/>
      <c r="Y1170" s="1">
        <v>0</v>
      </c>
      <c r="Z1170" s="24">
        <v>-1</v>
      </c>
      <c r="AA1170"/>
      <c r="AB1170" s="1">
        <v>0</v>
      </c>
      <c r="AC1170" s="24">
        <v>-1</v>
      </c>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c r="CA1170"/>
      <c r="CB1170"/>
      <c r="CC1170"/>
      <c r="CD1170"/>
      <c r="CE1170"/>
      <c r="CF1170"/>
      <c r="CG1170"/>
      <c r="CH1170"/>
      <c r="CI1170"/>
      <c r="CJ1170"/>
      <c r="CK1170"/>
      <c r="CL1170"/>
      <c r="CM1170"/>
      <c r="CN1170"/>
      <c r="CO1170"/>
      <c r="CP1170"/>
      <c r="CQ1170"/>
      <c r="CR1170"/>
      <c r="CS1170"/>
    </row>
    <row r="1171" spans="2:97">
      <c r="B1171"/>
      <c r="C1171" s="15"/>
      <c r="D1171" s="23"/>
      <c r="E1171" s="23"/>
      <c r="F1171" s="23"/>
      <c r="G1171" s="23">
        <f t="shared" si="91"/>
        <v>0</v>
      </c>
      <c r="H1171" s="23" t="e" cm="1">
        <f t="array" ref="H1171">INDEX('GLOBAL LOG'!#REF!,ROW()-34+15)</f>
        <v>#REF!</v>
      </c>
      <c r="I1171" s="23" t="e">
        <f>_xlfn.XLOOKUP(H1171,#REF!,#REF!,"",0,1)</f>
        <v>#REF!</v>
      </c>
      <c r="J1171" s="23" t="str">
        <f>IFERROR(I1171*#REF!,"")</f>
        <v/>
      </c>
      <c r="K1171" s="23" t="e" cm="1">
        <f t="array" ref="K1171">INDEX('GLOBAL LOG'!#REF!,ROW()-34+15)</f>
        <v>#REF!</v>
      </c>
      <c r="L1171" s="23" t="e">
        <f>_xlfn.XLOOKUP(K1171,#REF!,#REF!,"",0,1)</f>
        <v>#REF!</v>
      </c>
      <c r="M1171" s="23" t="str">
        <f>IFERROR(L1171*#REF!,"")</f>
        <v/>
      </c>
      <c r="N1171" s="23">
        <f t="shared" si="92"/>
        <v>-1</v>
      </c>
      <c r="O1171" s="23">
        <f t="shared" si="88"/>
        <v>-1</v>
      </c>
      <c r="P1171" s="23">
        <f t="shared" si="89"/>
        <v>-1</v>
      </c>
      <c r="Q1171" s="24">
        <f t="shared" si="90"/>
        <v>-1</v>
      </c>
      <c r="R1171" s="3"/>
      <c r="S1171" s="1">
        <v>0</v>
      </c>
      <c r="T1171" s="24">
        <v>-1</v>
      </c>
      <c r="U1171"/>
      <c r="V1171" s="1">
        <v>0</v>
      </c>
      <c r="W1171" s="24">
        <v>-1</v>
      </c>
      <c r="X1171"/>
      <c r="Y1171" s="1">
        <v>0</v>
      </c>
      <c r="Z1171" s="24">
        <v>-1</v>
      </c>
      <c r="AA1171"/>
      <c r="AB1171" s="1">
        <v>0</v>
      </c>
      <c r="AC1171" s="24">
        <v>-1</v>
      </c>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c r="CA1171"/>
      <c r="CB1171"/>
      <c r="CC1171"/>
      <c r="CD1171"/>
      <c r="CE1171"/>
      <c r="CF1171"/>
      <c r="CG1171"/>
      <c r="CH1171"/>
      <c r="CI1171"/>
      <c r="CJ1171"/>
      <c r="CK1171"/>
      <c r="CL1171"/>
      <c r="CM1171"/>
      <c r="CN1171"/>
      <c r="CO1171"/>
      <c r="CP1171"/>
      <c r="CQ1171"/>
      <c r="CR1171"/>
      <c r="CS1171"/>
    </row>
    <row r="1172" spans="2:97">
      <c r="B1172"/>
      <c r="C1172" s="15"/>
      <c r="D1172" s="23"/>
      <c r="E1172" s="23"/>
      <c r="F1172" s="23"/>
      <c r="G1172" s="23">
        <f t="shared" si="91"/>
        <v>0</v>
      </c>
      <c r="H1172" s="23" t="e" cm="1">
        <f t="array" ref="H1172">INDEX('GLOBAL LOG'!#REF!,ROW()-34+15)</f>
        <v>#REF!</v>
      </c>
      <c r="I1172" s="23" t="e">
        <f>_xlfn.XLOOKUP(H1172,#REF!,#REF!,"",0,1)</f>
        <v>#REF!</v>
      </c>
      <c r="J1172" s="23" t="str">
        <f>IFERROR(I1172*#REF!,"")</f>
        <v/>
      </c>
      <c r="K1172" s="23" t="e" cm="1">
        <f t="array" ref="K1172">INDEX('GLOBAL LOG'!#REF!,ROW()-34+15)</f>
        <v>#REF!</v>
      </c>
      <c r="L1172" s="23" t="e">
        <f>_xlfn.XLOOKUP(K1172,#REF!,#REF!,"",0,1)</f>
        <v>#REF!</v>
      </c>
      <c r="M1172" s="23" t="str">
        <f>IFERROR(L1172*#REF!,"")</f>
        <v/>
      </c>
      <c r="N1172" s="23">
        <f t="shared" si="92"/>
        <v>-1</v>
      </c>
      <c r="O1172" s="23">
        <f t="shared" si="88"/>
        <v>-1</v>
      </c>
      <c r="P1172" s="23">
        <f t="shared" si="89"/>
        <v>-1</v>
      </c>
      <c r="Q1172" s="24">
        <f t="shared" si="90"/>
        <v>-1</v>
      </c>
      <c r="R1172" s="3"/>
      <c r="S1172" s="1">
        <v>0</v>
      </c>
      <c r="T1172" s="24">
        <v>-1</v>
      </c>
      <c r="U1172"/>
      <c r="V1172" s="1">
        <v>0</v>
      </c>
      <c r="W1172" s="24">
        <v>-1</v>
      </c>
      <c r="X1172"/>
      <c r="Y1172" s="1">
        <v>0</v>
      </c>
      <c r="Z1172" s="24">
        <v>-1</v>
      </c>
      <c r="AA1172"/>
      <c r="AB1172" s="1">
        <v>0</v>
      </c>
      <c r="AC1172" s="24">
        <v>-1</v>
      </c>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c r="CA1172"/>
      <c r="CB1172"/>
      <c r="CC1172"/>
      <c r="CD1172"/>
      <c r="CE1172"/>
      <c r="CF1172"/>
      <c r="CG1172"/>
      <c r="CH1172"/>
      <c r="CI1172"/>
      <c r="CJ1172"/>
      <c r="CK1172"/>
      <c r="CL1172"/>
      <c r="CM1172"/>
      <c r="CN1172"/>
      <c r="CO1172"/>
      <c r="CP1172"/>
      <c r="CQ1172"/>
      <c r="CR1172"/>
      <c r="CS1172"/>
    </row>
    <row r="1173" spans="2:97">
      <c r="B1173"/>
      <c r="C1173" s="15"/>
      <c r="D1173" s="23"/>
      <c r="E1173" s="23"/>
      <c r="F1173" s="23"/>
      <c r="G1173" s="23">
        <f t="shared" si="91"/>
        <v>0</v>
      </c>
      <c r="H1173" s="23" t="e" cm="1">
        <f t="array" ref="H1173">INDEX('GLOBAL LOG'!#REF!,ROW()-34+15)</f>
        <v>#REF!</v>
      </c>
      <c r="I1173" s="23" t="e">
        <f>_xlfn.XLOOKUP(H1173,#REF!,#REF!,"",0,1)</f>
        <v>#REF!</v>
      </c>
      <c r="J1173" s="23" t="str">
        <f>IFERROR(I1173*#REF!,"")</f>
        <v/>
      </c>
      <c r="K1173" s="23" t="e" cm="1">
        <f t="array" ref="K1173">INDEX('GLOBAL LOG'!#REF!,ROW()-34+15)</f>
        <v>#REF!</v>
      </c>
      <c r="L1173" s="23" t="e">
        <f>_xlfn.XLOOKUP(K1173,#REF!,#REF!,"",0,1)</f>
        <v>#REF!</v>
      </c>
      <c r="M1173" s="23" t="str">
        <f>IFERROR(L1173*#REF!,"")</f>
        <v/>
      </c>
      <c r="N1173" s="23">
        <f t="shared" si="92"/>
        <v>-1</v>
      </c>
      <c r="O1173" s="23">
        <f t="shared" si="88"/>
        <v>-1</v>
      </c>
      <c r="P1173" s="23">
        <f t="shared" si="89"/>
        <v>-1</v>
      </c>
      <c r="Q1173" s="24">
        <f t="shared" si="90"/>
        <v>-1</v>
      </c>
      <c r="R1173" s="3"/>
      <c r="S1173" s="1">
        <v>0</v>
      </c>
      <c r="T1173" s="24">
        <v>-1</v>
      </c>
      <c r="U1173"/>
      <c r="V1173" s="1">
        <v>0</v>
      </c>
      <c r="W1173" s="24">
        <v>-1</v>
      </c>
      <c r="X1173"/>
      <c r="Y1173" s="1">
        <v>0</v>
      </c>
      <c r="Z1173" s="24">
        <v>-1</v>
      </c>
      <c r="AA1173"/>
      <c r="AB1173" s="1">
        <v>0</v>
      </c>
      <c r="AC1173" s="24">
        <v>-1</v>
      </c>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c r="CA1173"/>
      <c r="CB1173"/>
      <c r="CC1173"/>
      <c r="CD1173"/>
      <c r="CE1173"/>
      <c r="CF1173"/>
      <c r="CG1173"/>
      <c r="CH1173"/>
      <c r="CI1173"/>
      <c r="CJ1173"/>
      <c r="CK1173"/>
      <c r="CL1173"/>
      <c r="CM1173"/>
      <c r="CN1173"/>
      <c r="CO1173"/>
      <c r="CP1173"/>
      <c r="CQ1173"/>
      <c r="CR1173"/>
      <c r="CS1173"/>
    </row>
    <row r="1174" spans="2:97">
      <c r="B1174"/>
      <c r="C1174" s="15"/>
      <c r="D1174" s="23"/>
      <c r="E1174" s="23"/>
      <c r="F1174" s="23"/>
      <c r="G1174" s="23">
        <f t="shared" si="91"/>
        <v>0</v>
      </c>
      <c r="H1174" s="23" t="e" cm="1">
        <f t="array" ref="H1174">INDEX('GLOBAL LOG'!#REF!,ROW()-34+15)</f>
        <v>#REF!</v>
      </c>
      <c r="I1174" s="23" t="e">
        <f>_xlfn.XLOOKUP(H1174,#REF!,#REF!,"",0,1)</f>
        <v>#REF!</v>
      </c>
      <c r="J1174" s="23" t="str">
        <f>IFERROR(I1174*#REF!,"")</f>
        <v/>
      </c>
      <c r="K1174" s="23" t="e" cm="1">
        <f t="array" ref="K1174">INDEX('GLOBAL LOG'!#REF!,ROW()-34+15)</f>
        <v>#REF!</v>
      </c>
      <c r="L1174" s="23" t="e">
        <f>_xlfn.XLOOKUP(K1174,#REF!,#REF!,"",0,1)</f>
        <v>#REF!</v>
      </c>
      <c r="M1174" s="23" t="str">
        <f>IFERROR(L1174*#REF!,"")</f>
        <v/>
      </c>
      <c r="N1174" s="23">
        <f t="shared" si="92"/>
        <v>-1</v>
      </c>
      <c r="O1174" s="23">
        <f t="shared" si="88"/>
        <v>-1</v>
      </c>
      <c r="P1174" s="23">
        <f t="shared" si="89"/>
        <v>-1</v>
      </c>
      <c r="Q1174" s="24">
        <f t="shared" si="90"/>
        <v>-1</v>
      </c>
      <c r="R1174" s="3"/>
      <c r="S1174" s="1">
        <v>0</v>
      </c>
      <c r="T1174" s="24">
        <v>-1</v>
      </c>
      <c r="U1174"/>
      <c r="V1174" s="1">
        <v>0</v>
      </c>
      <c r="W1174" s="24">
        <v>-1</v>
      </c>
      <c r="X1174"/>
      <c r="Y1174" s="1">
        <v>0</v>
      </c>
      <c r="Z1174" s="24">
        <v>-1</v>
      </c>
      <c r="AA1174"/>
      <c r="AB1174" s="1">
        <v>0</v>
      </c>
      <c r="AC1174" s="24">
        <v>-1</v>
      </c>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c r="CA1174"/>
      <c r="CB1174"/>
      <c r="CC1174"/>
      <c r="CD1174"/>
      <c r="CE1174"/>
      <c r="CF1174"/>
      <c r="CG1174"/>
      <c r="CH1174"/>
      <c r="CI1174"/>
      <c r="CJ1174"/>
      <c r="CK1174"/>
      <c r="CL1174"/>
      <c r="CM1174"/>
      <c r="CN1174"/>
      <c r="CO1174"/>
      <c r="CP1174"/>
      <c r="CQ1174"/>
      <c r="CR1174"/>
      <c r="CS1174"/>
    </row>
    <row r="1175" spans="2:97">
      <c r="B1175"/>
      <c r="C1175" s="15"/>
      <c r="D1175" s="23"/>
      <c r="E1175" s="23"/>
      <c r="F1175" s="23"/>
      <c r="G1175" s="23">
        <f t="shared" si="91"/>
        <v>0</v>
      </c>
      <c r="H1175" s="23" t="e" cm="1">
        <f t="array" ref="H1175">INDEX('GLOBAL LOG'!#REF!,ROW()-34+15)</f>
        <v>#REF!</v>
      </c>
      <c r="I1175" s="23" t="e">
        <f>_xlfn.XLOOKUP(H1175,#REF!,#REF!,"",0,1)</f>
        <v>#REF!</v>
      </c>
      <c r="J1175" s="23" t="str">
        <f>IFERROR(I1175*#REF!,"")</f>
        <v/>
      </c>
      <c r="K1175" s="23" t="e" cm="1">
        <f t="array" ref="K1175">INDEX('GLOBAL LOG'!#REF!,ROW()-34+15)</f>
        <v>#REF!</v>
      </c>
      <c r="L1175" s="23" t="e">
        <f>_xlfn.XLOOKUP(K1175,#REF!,#REF!,"",0,1)</f>
        <v>#REF!</v>
      </c>
      <c r="M1175" s="23" t="str">
        <f>IFERROR(L1175*#REF!,"")</f>
        <v/>
      </c>
      <c r="N1175" s="23">
        <f t="shared" si="92"/>
        <v>-1</v>
      </c>
      <c r="O1175" s="23">
        <f t="shared" si="88"/>
        <v>-1</v>
      </c>
      <c r="P1175" s="23">
        <f t="shared" si="89"/>
        <v>-1</v>
      </c>
      <c r="Q1175" s="24">
        <f t="shared" si="90"/>
        <v>-1</v>
      </c>
      <c r="R1175" s="3"/>
      <c r="S1175" s="1">
        <v>0</v>
      </c>
      <c r="T1175" s="24">
        <v>-1</v>
      </c>
      <c r="U1175"/>
      <c r="V1175" s="1">
        <v>0</v>
      </c>
      <c r="W1175" s="24">
        <v>-1</v>
      </c>
      <c r="X1175"/>
      <c r="Y1175" s="1">
        <v>0</v>
      </c>
      <c r="Z1175" s="24">
        <v>-1</v>
      </c>
      <c r="AA1175"/>
      <c r="AB1175" s="1">
        <v>0</v>
      </c>
      <c r="AC1175" s="24">
        <v>-1</v>
      </c>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c r="CA1175"/>
      <c r="CB1175"/>
      <c r="CC1175"/>
      <c r="CD1175"/>
      <c r="CE1175"/>
      <c r="CF1175"/>
      <c r="CG1175"/>
      <c r="CH1175"/>
      <c r="CI1175"/>
      <c r="CJ1175"/>
      <c r="CK1175"/>
      <c r="CL1175"/>
      <c r="CM1175"/>
      <c r="CN1175"/>
      <c r="CO1175"/>
      <c r="CP1175"/>
      <c r="CQ1175"/>
      <c r="CR1175"/>
      <c r="CS1175"/>
    </row>
    <row r="1176" spans="2:97">
      <c r="B1176"/>
      <c r="C1176" s="15"/>
      <c r="D1176" s="23"/>
      <c r="E1176" s="23"/>
      <c r="F1176" s="23"/>
      <c r="G1176" s="23">
        <f t="shared" si="91"/>
        <v>0</v>
      </c>
      <c r="H1176" s="23" t="e" cm="1">
        <f t="array" ref="H1176">INDEX('GLOBAL LOG'!#REF!,ROW()-34+15)</f>
        <v>#REF!</v>
      </c>
      <c r="I1176" s="23" t="e">
        <f>_xlfn.XLOOKUP(H1176,#REF!,#REF!,"",0,1)</f>
        <v>#REF!</v>
      </c>
      <c r="J1176" s="23" t="str">
        <f>IFERROR(I1176*#REF!,"")</f>
        <v/>
      </c>
      <c r="K1176" s="23" t="e" cm="1">
        <f t="array" ref="K1176">INDEX('GLOBAL LOG'!#REF!,ROW()-34+15)</f>
        <v>#REF!</v>
      </c>
      <c r="L1176" s="23" t="e">
        <f>_xlfn.XLOOKUP(K1176,#REF!,#REF!,"",0,1)</f>
        <v>#REF!</v>
      </c>
      <c r="M1176" s="23" t="str">
        <f>IFERROR(L1176*#REF!,"")</f>
        <v/>
      </c>
      <c r="N1176" s="23">
        <f t="shared" si="92"/>
        <v>-1</v>
      </c>
      <c r="O1176" s="23">
        <f t="shared" si="88"/>
        <v>-1</v>
      </c>
      <c r="P1176" s="23">
        <f t="shared" si="89"/>
        <v>-1</v>
      </c>
      <c r="Q1176" s="24">
        <f t="shared" si="90"/>
        <v>-1</v>
      </c>
      <c r="R1176" s="3"/>
      <c r="S1176" s="1">
        <v>0</v>
      </c>
      <c r="T1176" s="24">
        <v>-1</v>
      </c>
      <c r="U1176"/>
      <c r="V1176" s="1">
        <v>0</v>
      </c>
      <c r="W1176" s="24">
        <v>-1</v>
      </c>
      <c r="X1176"/>
      <c r="Y1176" s="1">
        <v>0</v>
      </c>
      <c r="Z1176" s="24">
        <v>-1</v>
      </c>
      <c r="AA1176"/>
      <c r="AB1176" s="1">
        <v>0</v>
      </c>
      <c r="AC1176" s="24">
        <v>-1</v>
      </c>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c r="CA1176"/>
      <c r="CB1176"/>
      <c r="CC1176"/>
      <c r="CD1176"/>
      <c r="CE1176"/>
      <c r="CF1176"/>
      <c r="CG1176"/>
      <c r="CH1176"/>
      <c r="CI1176"/>
      <c r="CJ1176"/>
      <c r="CK1176"/>
      <c r="CL1176"/>
      <c r="CM1176"/>
      <c r="CN1176"/>
      <c r="CO1176"/>
      <c r="CP1176"/>
      <c r="CQ1176"/>
      <c r="CR1176"/>
      <c r="CS1176"/>
    </row>
    <row r="1177" spans="2:97">
      <c r="B1177"/>
      <c r="C1177" s="15"/>
      <c r="D1177" s="23"/>
      <c r="E1177" s="23"/>
      <c r="F1177" s="23"/>
      <c r="G1177" s="23">
        <f t="shared" si="91"/>
        <v>0</v>
      </c>
      <c r="H1177" s="23" t="e" cm="1">
        <f t="array" ref="H1177">INDEX('GLOBAL LOG'!#REF!,ROW()-34+15)</f>
        <v>#REF!</v>
      </c>
      <c r="I1177" s="23" t="e">
        <f>_xlfn.XLOOKUP(H1177,#REF!,#REF!,"",0,1)</f>
        <v>#REF!</v>
      </c>
      <c r="J1177" s="23" t="str">
        <f>IFERROR(I1177*#REF!,"")</f>
        <v/>
      </c>
      <c r="K1177" s="23" t="e" cm="1">
        <f t="array" ref="K1177">INDEX('GLOBAL LOG'!#REF!,ROW()-34+15)</f>
        <v>#REF!</v>
      </c>
      <c r="L1177" s="23" t="e">
        <f>_xlfn.XLOOKUP(K1177,#REF!,#REF!,"",0,1)</f>
        <v>#REF!</v>
      </c>
      <c r="M1177" s="23" t="str">
        <f>IFERROR(L1177*#REF!,"")</f>
        <v/>
      </c>
      <c r="N1177" s="23">
        <f t="shared" si="92"/>
        <v>-1</v>
      </c>
      <c r="O1177" s="23">
        <f t="shared" si="88"/>
        <v>-1</v>
      </c>
      <c r="P1177" s="23">
        <f t="shared" si="89"/>
        <v>-1</v>
      </c>
      <c r="Q1177" s="24">
        <f t="shared" si="90"/>
        <v>-1</v>
      </c>
      <c r="R1177" s="3"/>
      <c r="S1177" s="1">
        <v>0</v>
      </c>
      <c r="T1177" s="24">
        <v>-1</v>
      </c>
      <c r="U1177"/>
      <c r="V1177" s="1">
        <v>0</v>
      </c>
      <c r="W1177" s="24">
        <v>-1</v>
      </c>
      <c r="X1177"/>
      <c r="Y1177" s="1">
        <v>0</v>
      </c>
      <c r="Z1177" s="24">
        <v>-1</v>
      </c>
      <c r="AA1177"/>
      <c r="AB1177" s="1">
        <v>0</v>
      </c>
      <c r="AC1177" s="24">
        <v>-1</v>
      </c>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c r="CA1177"/>
      <c r="CB1177"/>
      <c r="CC1177"/>
      <c r="CD1177"/>
      <c r="CE1177"/>
      <c r="CF1177"/>
      <c r="CG1177"/>
      <c r="CH1177"/>
      <c r="CI1177"/>
      <c r="CJ1177"/>
      <c r="CK1177"/>
      <c r="CL1177"/>
      <c r="CM1177"/>
      <c r="CN1177"/>
      <c r="CO1177"/>
      <c r="CP1177"/>
      <c r="CQ1177"/>
      <c r="CR1177"/>
      <c r="CS1177"/>
    </row>
    <row r="1178" spans="2:97">
      <c r="B1178"/>
      <c r="C1178" s="15"/>
      <c r="D1178" s="23"/>
      <c r="E1178" s="23"/>
      <c r="F1178" s="23"/>
      <c r="G1178" s="23">
        <f t="shared" si="91"/>
        <v>0</v>
      </c>
      <c r="H1178" s="23" t="e" cm="1">
        <f t="array" ref="H1178">INDEX('GLOBAL LOG'!#REF!,ROW()-34+15)</f>
        <v>#REF!</v>
      </c>
      <c r="I1178" s="23" t="e">
        <f>_xlfn.XLOOKUP(H1178,#REF!,#REF!,"",0,1)</f>
        <v>#REF!</v>
      </c>
      <c r="J1178" s="23" t="str">
        <f>IFERROR(I1178*#REF!,"")</f>
        <v/>
      </c>
      <c r="K1178" s="23" t="e" cm="1">
        <f t="array" ref="K1178">INDEX('GLOBAL LOG'!#REF!,ROW()-34+15)</f>
        <v>#REF!</v>
      </c>
      <c r="L1178" s="23" t="e">
        <f>_xlfn.XLOOKUP(K1178,#REF!,#REF!,"",0,1)</f>
        <v>#REF!</v>
      </c>
      <c r="M1178" s="23" t="str">
        <f>IFERROR(L1178*#REF!,"")</f>
        <v/>
      </c>
      <c r="N1178" s="23">
        <f t="shared" si="92"/>
        <v>-1</v>
      </c>
      <c r="O1178" s="23">
        <f t="shared" si="88"/>
        <v>-1</v>
      </c>
      <c r="P1178" s="23">
        <f t="shared" si="89"/>
        <v>-1</v>
      </c>
      <c r="Q1178" s="24">
        <f t="shared" si="90"/>
        <v>-1</v>
      </c>
      <c r="R1178" s="3"/>
      <c r="S1178" s="1">
        <v>0</v>
      </c>
      <c r="T1178" s="24">
        <v>-1</v>
      </c>
      <c r="U1178"/>
      <c r="V1178" s="1">
        <v>0</v>
      </c>
      <c r="W1178" s="24">
        <v>-1</v>
      </c>
      <c r="X1178"/>
      <c r="Y1178" s="1">
        <v>0</v>
      </c>
      <c r="Z1178" s="24">
        <v>-1</v>
      </c>
      <c r="AA1178"/>
      <c r="AB1178" s="1">
        <v>0</v>
      </c>
      <c r="AC1178" s="24">
        <v>-1</v>
      </c>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c r="CA1178"/>
      <c r="CB1178"/>
      <c r="CC1178"/>
      <c r="CD1178"/>
      <c r="CE1178"/>
      <c r="CF1178"/>
      <c r="CG1178"/>
      <c r="CH1178"/>
      <c r="CI1178"/>
      <c r="CJ1178"/>
      <c r="CK1178"/>
      <c r="CL1178"/>
      <c r="CM1178"/>
      <c r="CN1178"/>
      <c r="CO1178"/>
      <c r="CP1178"/>
      <c r="CQ1178"/>
      <c r="CR1178"/>
      <c r="CS1178"/>
    </row>
    <row r="1179" spans="2:97">
      <c r="B1179"/>
      <c r="C1179" s="15"/>
      <c r="D1179" s="23"/>
      <c r="E1179" s="23"/>
      <c r="F1179" s="23"/>
      <c r="G1179" s="23">
        <f t="shared" si="91"/>
        <v>0</v>
      </c>
      <c r="H1179" s="23" t="e" cm="1">
        <f t="array" ref="H1179">INDEX('GLOBAL LOG'!#REF!,ROW()-34+15)</f>
        <v>#REF!</v>
      </c>
      <c r="I1179" s="23" t="e">
        <f>_xlfn.XLOOKUP(H1179,#REF!,#REF!,"",0,1)</f>
        <v>#REF!</v>
      </c>
      <c r="J1179" s="23" t="str">
        <f>IFERROR(I1179*#REF!,"")</f>
        <v/>
      </c>
      <c r="K1179" s="23" t="e" cm="1">
        <f t="array" ref="K1179">INDEX('GLOBAL LOG'!#REF!,ROW()-34+15)</f>
        <v>#REF!</v>
      </c>
      <c r="L1179" s="23" t="e">
        <f>_xlfn.XLOOKUP(K1179,#REF!,#REF!,"",0,1)</f>
        <v>#REF!</v>
      </c>
      <c r="M1179" s="23" t="str">
        <f>IFERROR(L1179*#REF!,"")</f>
        <v/>
      </c>
      <c r="N1179" s="23">
        <f t="shared" si="92"/>
        <v>-1</v>
      </c>
      <c r="O1179" s="23">
        <f t="shared" si="88"/>
        <v>-1</v>
      </c>
      <c r="P1179" s="23">
        <f t="shared" si="89"/>
        <v>-1</v>
      </c>
      <c r="Q1179" s="24">
        <f t="shared" si="90"/>
        <v>-1</v>
      </c>
      <c r="R1179" s="3"/>
      <c r="S1179" s="1">
        <v>0</v>
      </c>
      <c r="T1179" s="24">
        <v>-1</v>
      </c>
      <c r="U1179"/>
      <c r="V1179" s="1">
        <v>0</v>
      </c>
      <c r="W1179" s="24">
        <v>-1</v>
      </c>
      <c r="X1179"/>
      <c r="Y1179" s="1">
        <v>0</v>
      </c>
      <c r="Z1179" s="24">
        <v>-1</v>
      </c>
      <c r="AA1179"/>
      <c r="AB1179" s="1">
        <v>0</v>
      </c>
      <c r="AC1179" s="24">
        <v>-1</v>
      </c>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c r="CA1179"/>
      <c r="CB1179"/>
      <c r="CC1179"/>
      <c r="CD1179"/>
      <c r="CE1179"/>
      <c r="CF1179"/>
      <c r="CG1179"/>
      <c r="CH1179"/>
      <c r="CI1179"/>
      <c r="CJ1179"/>
      <c r="CK1179"/>
      <c r="CL1179"/>
      <c r="CM1179"/>
      <c r="CN1179"/>
      <c r="CO1179"/>
      <c r="CP1179"/>
      <c r="CQ1179"/>
      <c r="CR1179"/>
      <c r="CS1179"/>
    </row>
    <row r="1180" spans="2:97">
      <c r="B1180"/>
      <c r="C1180" s="15"/>
      <c r="D1180" s="23"/>
      <c r="E1180" s="23"/>
      <c r="F1180" s="23"/>
      <c r="G1180" s="23">
        <f t="shared" si="91"/>
        <v>0</v>
      </c>
      <c r="H1180" s="23" t="e" cm="1">
        <f t="array" ref="H1180">INDEX('GLOBAL LOG'!#REF!,ROW()-34+15)</f>
        <v>#REF!</v>
      </c>
      <c r="I1180" s="23" t="e">
        <f>_xlfn.XLOOKUP(H1180,#REF!,#REF!,"",0,1)</f>
        <v>#REF!</v>
      </c>
      <c r="J1180" s="23" t="str">
        <f>IFERROR(I1180*#REF!,"")</f>
        <v/>
      </c>
      <c r="K1180" s="23" t="e" cm="1">
        <f t="array" ref="K1180">INDEX('GLOBAL LOG'!#REF!,ROW()-34+15)</f>
        <v>#REF!</v>
      </c>
      <c r="L1180" s="23" t="e">
        <f>_xlfn.XLOOKUP(K1180,#REF!,#REF!,"",0,1)</f>
        <v>#REF!</v>
      </c>
      <c r="M1180" s="23" t="str">
        <f>IFERROR(L1180*#REF!,"")</f>
        <v/>
      </c>
      <c r="N1180" s="23">
        <f t="shared" si="92"/>
        <v>-1</v>
      </c>
      <c r="O1180" s="23">
        <f t="shared" si="88"/>
        <v>-1</v>
      </c>
      <c r="P1180" s="23">
        <f t="shared" si="89"/>
        <v>-1</v>
      </c>
      <c r="Q1180" s="24">
        <f t="shared" si="90"/>
        <v>-1</v>
      </c>
      <c r="R1180" s="3"/>
      <c r="S1180" s="1">
        <v>0</v>
      </c>
      <c r="T1180" s="24">
        <v>-1</v>
      </c>
      <c r="U1180"/>
      <c r="V1180" s="1">
        <v>0</v>
      </c>
      <c r="W1180" s="24">
        <v>-1</v>
      </c>
      <c r="X1180"/>
      <c r="Y1180" s="1">
        <v>0</v>
      </c>
      <c r="Z1180" s="24">
        <v>-1</v>
      </c>
      <c r="AA1180"/>
      <c r="AB1180" s="1">
        <v>0</v>
      </c>
      <c r="AC1180" s="24">
        <v>-1</v>
      </c>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c r="CA1180"/>
      <c r="CB1180"/>
      <c r="CC1180"/>
      <c r="CD1180"/>
      <c r="CE1180"/>
      <c r="CF1180"/>
      <c r="CG1180"/>
      <c r="CH1180"/>
      <c r="CI1180"/>
      <c r="CJ1180"/>
      <c r="CK1180"/>
      <c r="CL1180"/>
      <c r="CM1180"/>
      <c r="CN1180"/>
      <c r="CO1180"/>
      <c r="CP1180"/>
      <c r="CQ1180"/>
      <c r="CR1180"/>
      <c r="CS1180"/>
    </row>
    <row r="1181" spans="2:97">
      <c r="B1181"/>
      <c r="C1181" s="15"/>
      <c r="D1181" s="23"/>
      <c r="E1181" s="23"/>
      <c r="F1181" s="23"/>
      <c r="G1181" s="23">
        <f t="shared" si="91"/>
        <v>0</v>
      </c>
      <c r="H1181" s="23" t="e" cm="1">
        <f t="array" ref="H1181">INDEX('GLOBAL LOG'!#REF!,ROW()-34+15)</f>
        <v>#REF!</v>
      </c>
      <c r="I1181" s="23" t="e">
        <f>_xlfn.XLOOKUP(H1181,#REF!,#REF!,"",0,1)</f>
        <v>#REF!</v>
      </c>
      <c r="J1181" s="23" t="str">
        <f>IFERROR(I1181*#REF!,"")</f>
        <v/>
      </c>
      <c r="K1181" s="23" t="e" cm="1">
        <f t="array" ref="K1181">INDEX('GLOBAL LOG'!#REF!,ROW()-34+15)</f>
        <v>#REF!</v>
      </c>
      <c r="L1181" s="23" t="e">
        <f>_xlfn.XLOOKUP(K1181,#REF!,#REF!,"",0,1)</f>
        <v>#REF!</v>
      </c>
      <c r="M1181" s="23" t="str">
        <f>IFERROR(L1181*#REF!,"")</f>
        <v/>
      </c>
      <c r="N1181" s="23">
        <f t="shared" si="92"/>
        <v>-1</v>
      </c>
      <c r="O1181" s="23">
        <f t="shared" si="88"/>
        <v>-1</v>
      </c>
      <c r="P1181" s="23">
        <f t="shared" si="89"/>
        <v>-1</v>
      </c>
      <c r="Q1181" s="24">
        <f t="shared" si="90"/>
        <v>-1</v>
      </c>
      <c r="R1181" s="3"/>
      <c r="S1181" s="1">
        <v>0</v>
      </c>
      <c r="T1181" s="24">
        <v>-1</v>
      </c>
      <c r="U1181"/>
      <c r="V1181" s="1">
        <v>0</v>
      </c>
      <c r="W1181" s="24">
        <v>-1</v>
      </c>
      <c r="X1181"/>
      <c r="Y1181" s="1">
        <v>0</v>
      </c>
      <c r="Z1181" s="24">
        <v>-1</v>
      </c>
      <c r="AA1181"/>
      <c r="AB1181" s="1">
        <v>0</v>
      </c>
      <c r="AC1181" s="24">
        <v>-1</v>
      </c>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c r="CA1181"/>
      <c r="CB1181"/>
      <c r="CC1181"/>
      <c r="CD1181"/>
      <c r="CE1181"/>
      <c r="CF1181"/>
      <c r="CG1181"/>
      <c r="CH1181"/>
      <c r="CI1181"/>
      <c r="CJ1181"/>
      <c r="CK1181"/>
      <c r="CL1181"/>
      <c r="CM1181"/>
      <c r="CN1181"/>
      <c r="CO1181"/>
      <c r="CP1181"/>
      <c r="CQ1181"/>
      <c r="CR1181"/>
      <c r="CS1181"/>
    </row>
    <row r="1182" spans="2:97">
      <c r="B1182"/>
      <c r="C1182" s="15"/>
      <c r="D1182" s="23"/>
      <c r="E1182" s="23"/>
      <c r="F1182" s="23"/>
      <c r="G1182" s="23">
        <f t="shared" si="91"/>
        <v>0</v>
      </c>
      <c r="H1182" s="23" t="e" cm="1">
        <f t="array" ref="H1182">INDEX('GLOBAL LOG'!#REF!,ROW()-34+15)</f>
        <v>#REF!</v>
      </c>
      <c r="I1182" s="23" t="e">
        <f>_xlfn.XLOOKUP(H1182,#REF!,#REF!,"",0,1)</f>
        <v>#REF!</v>
      </c>
      <c r="J1182" s="23" t="str">
        <f>IFERROR(I1182*#REF!,"")</f>
        <v/>
      </c>
      <c r="K1182" s="23" t="e" cm="1">
        <f t="array" ref="K1182">INDEX('GLOBAL LOG'!#REF!,ROW()-34+15)</f>
        <v>#REF!</v>
      </c>
      <c r="L1182" s="23" t="e">
        <f>_xlfn.XLOOKUP(K1182,#REF!,#REF!,"",0,1)</f>
        <v>#REF!</v>
      </c>
      <c r="M1182" s="23" t="str">
        <f>IFERROR(L1182*#REF!,"")</f>
        <v/>
      </c>
      <c r="N1182" s="23">
        <f t="shared" si="92"/>
        <v>-1</v>
      </c>
      <c r="O1182" s="23">
        <f t="shared" si="88"/>
        <v>-1</v>
      </c>
      <c r="P1182" s="23">
        <f t="shared" si="89"/>
        <v>-1</v>
      </c>
      <c r="Q1182" s="24">
        <f t="shared" si="90"/>
        <v>-1</v>
      </c>
      <c r="R1182" s="3"/>
      <c r="S1182" s="1">
        <v>0</v>
      </c>
      <c r="T1182" s="24">
        <v>-1</v>
      </c>
      <c r="U1182"/>
      <c r="V1182" s="1">
        <v>0</v>
      </c>
      <c r="W1182" s="24">
        <v>-1</v>
      </c>
      <c r="X1182"/>
      <c r="Y1182" s="1">
        <v>0</v>
      </c>
      <c r="Z1182" s="24">
        <v>-1</v>
      </c>
      <c r="AA1182"/>
      <c r="AB1182" s="1">
        <v>0</v>
      </c>
      <c r="AC1182" s="24">
        <v>-1</v>
      </c>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c r="CA1182"/>
      <c r="CB1182"/>
      <c r="CC1182"/>
      <c r="CD1182"/>
      <c r="CE1182"/>
      <c r="CF1182"/>
      <c r="CG1182"/>
      <c r="CH1182"/>
      <c r="CI1182"/>
      <c r="CJ1182"/>
      <c r="CK1182"/>
      <c r="CL1182"/>
      <c r="CM1182"/>
      <c r="CN1182"/>
      <c r="CO1182"/>
      <c r="CP1182"/>
      <c r="CQ1182"/>
      <c r="CR1182"/>
      <c r="CS1182"/>
    </row>
    <row r="1183" spans="2:97">
      <c r="B1183"/>
      <c r="C1183" s="15"/>
      <c r="D1183" s="23"/>
      <c r="E1183" s="23"/>
      <c r="F1183" s="23"/>
      <c r="G1183" s="23">
        <f t="shared" si="91"/>
        <v>0</v>
      </c>
      <c r="H1183" s="23" t="e" cm="1">
        <f t="array" ref="H1183">INDEX('GLOBAL LOG'!#REF!,ROW()-34+15)</f>
        <v>#REF!</v>
      </c>
      <c r="I1183" s="23" t="e">
        <f>_xlfn.XLOOKUP(H1183,#REF!,#REF!,"",0,1)</f>
        <v>#REF!</v>
      </c>
      <c r="J1183" s="23" t="str">
        <f>IFERROR(I1183*#REF!,"")</f>
        <v/>
      </c>
      <c r="K1183" s="23" t="e" cm="1">
        <f t="array" ref="K1183">INDEX('GLOBAL LOG'!#REF!,ROW()-34+15)</f>
        <v>#REF!</v>
      </c>
      <c r="L1183" s="23" t="e">
        <f>_xlfn.XLOOKUP(K1183,#REF!,#REF!,"",0,1)</f>
        <v>#REF!</v>
      </c>
      <c r="M1183" s="23" t="str">
        <f>IFERROR(L1183*#REF!,"")</f>
        <v/>
      </c>
      <c r="N1183" s="23">
        <f t="shared" si="92"/>
        <v>-1</v>
      </c>
      <c r="O1183" s="23">
        <f t="shared" si="88"/>
        <v>-1</v>
      </c>
      <c r="P1183" s="23">
        <f t="shared" si="89"/>
        <v>-1</v>
      </c>
      <c r="Q1183" s="24">
        <f t="shared" si="90"/>
        <v>-1</v>
      </c>
      <c r="R1183" s="3"/>
      <c r="S1183" s="1">
        <v>0</v>
      </c>
      <c r="T1183" s="24">
        <v>-1</v>
      </c>
      <c r="U1183"/>
      <c r="V1183" s="1">
        <v>0</v>
      </c>
      <c r="W1183" s="24">
        <v>-1</v>
      </c>
      <c r="X1183"/>
      <c r="Y1183" s="1">
        <v>0</v>
      </c>
      <c r="Z1183" s="24">
        <v>-1</v>
      </c>
      <c r="AA1183"/>
      <c r="AB1183" s="1">
        <v>0</v>
      </c>
      <c r="AC1183" s="24">
        <v>-1</v>
      </c>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c r="CA1183"/>
      <c r="CB1183"/>
      <c r="CC1183"/>
      <c r="CD1183"/>
      <c r="CE1183"/>
      <c r="CF1183"/>
      <c r="CG1183"/>
      <c r="CH1183"/>
      <c r="CI1183"/>
      <c r="CJ1183"/>
      <c r="CK1183"/>
      <c r="CL1183"/>
      <c r="CM1183"/>
      <c r="CN1183"/>
      <c r="CO1183"/>
      <c r="CP1183"/>
      <c r="CQ1183"/>
      <c r="CR1183"/>
      <c r="CS1183"/>
    </row>
    <row r="1184" spans="2:97">
      <c r="B1184"/>
      <c r="C1184" s="15"/>
      <c r="D1184" s="23"/>
      <c r="E1184" s="23"/>
      <c r="F1184" s="23"/>
      <c r="G1184" s="23">
        <f t="shared" si="91"/>
        <v>0</v>
      </c>
      <c r="H1184" s="23" t="e" cm="1">
        <f t="array" ref="H1184">INDEX('GLOBAL LOG'!#REF!,ROW()-34+15)</f>
        <v>#REF!</v>
      </c>
      <c r="I1184" s="23" t="e">
        <f>_xlfn.XLOOKUP(H1184,#REF!,#REF!,"",0,1)</f>
        <v>#REF!</v>
      </c>
      <c r="J1184" s="23" t="str">
        <f>IFERROR(I1184*#REF!,"")</f>
        <v/>
      </c>
      <c r="K1184" s="23" t="e" cm="1">
        <f t="array" ref="K1184">INDEX('GLOBAL LOG'!#REF!,ROW()-34+15)</f>
        <v>#REF!</v>
      </c>
      <c r="L1184" s="23" t="e">
        <f>_xlfn.XLOOKUP(K1184,#REF!,#REF!,"",0,1)</f>
        <v>#REF!</v>
      </c>
      <c r="M1184" s="23" t="str">
        <f>IFERROR(L1184*#REF!,"")</f>
        <v/>
      </c>
      <c r="N1184" s="23">
        <f t="shared" si="92"/>
        <v>-1</v>
      </c>
      <c r="O1184" s="23">
        <f t="shared" si="88"/>
        <v>-1</v>
      </c>
      <c r="P1184" s="23">
        <f t="shared" si="89"/>
        <v>-1</v>
      </c>
      <c r="Q1184" s="24">
        <f t="shared" si="90"/>
        <v>-1</v>
      </c>
      <c r="R1184" s="3"/>
      <c r="S1184" s="1">
        <v>0</v>
      </c>
      <c r="T1184" s="24">
        <v>-1</v>
      </c>
      <c r="U1184"/>
      <c r="V1184" s="1">
        <v>0</v>
      </c>
      <c r="W1184" s="24">
        <v>-1</v>
      </c>
      <c r="X1184"/>
      <c r="Y1184" s="1">
        <v>0</v>
      </c>
      <c r="Z1184" s="24">
        <v>-1</v>
      </c>
      <c r="AA1184"/>
      <c r="AB1184" s="1">
        <v>0</v>
      </c>
      <c r="AC1184" s="24">
        <v>-1</v>
      </c>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c r="CA1184"/>
      <c r="CB1184"/>
      <c r="CC1184"/>
      <c r="CD1184"/>
      <c r="CE1184"/>
      <c r="CF1184"/>
      <c r="CG1184"/>
      <c r="CH1184"/>
      <c r="CI1184"/>
      <c r="CJ1184"/>
      <c r="CK1184"/>
      <c r="CL1184"/>
      <c r="CM1184"/>
      <c r="CN1184"/>
      <c r="CO1184"/>
      <c r="CP1184"/>
      <c r="CQ1184"/>
      <c r="CR1184"/>
      <c r="CS1184"/>
    </row>
    <row r="1185" spans="2:97">
      <c r="B1185"/>
      <c r="C1185" s="15"/>
      <c r="D1185" s="23"/>
      <c r="E1185" s="23"/>
      <c r="F1185" s="23"/>
      <c r="G1185" s="23">
        <f t="shared" si="91"/>
        <v>0</v>
      </c>
      <c r="H1185" s="23" t="e" cm="1">
        <f t="array" ref="H1185">INDEX('GLOBAL LOG'!#REF!,ROW()-34+15)</f>
        <v>#REF!</v>
      </c>
      <c r="I1185" s="23" t="e">
        <f>_xlfn.XLOOKUP(H1185,#REF!,#REF!,"",0,1)</f>
        <v>#REF!</v>
      </c>
      <c r="J1185" s="23" t="str">
        <f>IFERROR(I1185*#REF!,"")</f>
        <v/>
      </c>
      <c r="K1185" s="23" t="e" cm="1">
        <f t="array" ref="K1185">INDEX('GLOBAL LOG'!#REF!,ROW()-34+15)</f>
        <v>#REF!</v>
      </c>
      <c r="L1185" s="23" t="e">
        <f>_xlfn.XLOOKUP(K1185,#REF!,#REF!,"",0,1)</f>
        <v>#REF!</v>
      </c>
      <c r="M1185" s="23" t="str">
        <f>IFERROR(L1185*#REF!,"")</f>
        <v/>
      </c>
      <c r="N1185" s="23">
        <f t="shared" si="92"/>
        <v>-1</v>
      </c>
      <c r="O1185" s="23">
        <f t="shared" si="88"/>
        <v>-1</v>
      </c>
      <c r="P1185" s="23">
        <f t="shared" si="89"/>
        <v>-1</v>
      </c>
      <c r="Q1185" s="24">
        <f t="shared" si="90"/>
        <v>-1</v>
      </c>
      <c r="R1185" s="3"/>
      <c r="S1185" s="1">
        <v>0</v>
      </c>
      <c r="T1185" s="24">
        <v>-1</v>
      </c>
      <c r="U1185"/>
      <c r="V1185" s="1">
        <v>0</v>
      </c>
      <c r="W1185" s="24">
        <v>-1</v>
      </c>
      <c r="X1185"/>
      <c r="Y1185" s="1">
        <v>0</v>
      </c>
      <c r="Z1185" s="24">
        <v>-1</v>
      </c>
      <c r="AA1185"/>
      <c r="AB1185" s="1">
        <v>0</v>
      </c>
      <c r="AC1185" s="24">
        <v>-1</v>
      </c>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c r="CA1185"/>
      <c r="CB1185"/>
      <c r="CC1185"/>
      <c r="CD1185"/>
      <c r="CE1185"/>
      <c r="CF1185"/>
      <c r="CG1185"/>
      <c r="CH1185"/>
      <c r="CI1185"/>
      <c r="CJ1185"/>
      <c r="CK1185"/>
      <c r="CL1185"/>
      <c r="CM1185"/>
      <c r="CN1185"/>
      <c r="CO1185"/>
      <c r="CP1185"/>
      <c r="CQ1185"/>
      <c r="CR1185"/>
      <c r="CS1185"/>
    </row>
    <row r="1186" spans="2:97">
      <c r="B1186"/>
      <c r="C1186" s="15"/>
      <c r="D1186" s="23"/>
      <c r="E1186" s="23"/>
      <c r="F1186" s="23"/>
      <c r="G1186" s="23">
        <f t="shared" si="91"/>
        <v>0</v>
      </c>
      <c r="H1186" s="23" t="e" cm="1">
        <f t="array" ref="H1186">INDEX('GLOBAL LOG'!#REF!,ROW()-34+15)</f>
        <v>#REF!</v>
      </c>
      <c r="I1186" s="23" t="e">
        <f>_xlfn.XLOOKUP(H1186,#REF!,#REF!,"",0,1)</f>
        <v>#REF!</v>
      </c>
      <c r="J1186" s="23" t="str">
        <f>IFERROR(I1186*#REF!,"")</f>
        <v/>
      </c>
      <c r="K1186" s="23" t="e" cm="1">
        <f t="array" ref="K1186">INDEX('GLOBAL LOG'!#REF!,ROW()-34+15)</f>
        <v>#REF!</v>
      </c>
      <c r="L1186" s="23" t="e">
        <f>_xlfn.XLOOKUP(K1186,#REF!,#REF!,"",0,1)</f>
        <v>#REF!</v>
      </c>
      <c r="M1186" s="23" t="str">
        <f>IFERROR(L1186*#REF!,"")</f>
        <v/>
      </c>
      <c r="N1186" s="23">
        <f t="shared" si="92"/>
        <v>-1</v>
      </c>
      <c r="O1186" s="23">
        <f t="shared" si="88"/>
        <v>-1</v>
      </c>
      <c r="P1186" s="23">
        <f t="shared" si="89"/>
        <v>-1</v>
      </c>
      <c r="Q1186" s="24">
        <f t="shared" si="90"/>
        <v>-1</v>
      </c>
      <c r="R1186" s="3"/>
      <c r="S1186" s="1">
        <v>0</v>
      </c>
      <c r="T1186" s="24">
        <v>-1</v>
      </c>
      <c r="U1186"/>
      <c r="V1186" s="1">
        <v>0</v>
      </c>
      <c r="W1186" s="24">
        <v>-1</v>
      </c>
      <c r="X1186"/>
      <c r="Y1186" s="1">
        <v>0</v>
      </c>
      <c r="Z1186" s="24">
        <v>-1</v>
      </c>
      <c r="AA1186"/>
      <c r="AB1186" s="1">
        <v>0</v>
      </c>
      <c r="AC1186" s="24">
        <v>-1</v>
      </c>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c r="CA1186"/>
      <c r="CB1186"/>
      <c r="CC1186"/>
      <c r="CD1186"/>
      <c r="CE1186"/>
      <c r="CF1186"/>
      <c r="CG1186"/>
      <c r="CH1186"/>
      <c r="CI1186"/>
      <c r="CJ1186"/>
      <c r="CK1186"/>
      <c r="CL1186"/>
      <c r="CM1186"/>
      <c r="CN1186"/>
      <c r="CO1186"/>
      <c r="CP1186"/>
      <c r="CQ1186"/>
      <c r="CR1186"/>
      <c r="CS1186"/>
    </row>
    <row r="1187" spans="2:97">
      <c r="B1187"/>
      <c r="C1187" s="15"/>
      <c r="D1187" s="23"/>
      <c r="E1187" s="23"/>
      <c r="F1187" s="23"/>
      <c r="G1187" s="23">
        <f t="shared" si="91"/>
        <v>0</v>
      </c>
      <c r="H1187" s="23" t="e" cm="1">
        <f t="array" ref="H1187">INDEX('GLOBAL LOG'!#REF!,ROW()-34+15)</f>
        <v>#REF!</v>
      </c>
      <c r="I1187" s="23" t="e">
        <f>_xlfn.XLOOKUP(H1187,#REF!,#REF!,"",0,1)</f>
        <v>#REF!</v>
      </c>
      <c r="J1187" s="23" t="str">
        <f>IFERROR(I1187*#REF!,"")</f>
        <v/>
      </c>
      <c r="K1187" s="23" t="e" cm="1">
        <f t="array" ref="K1187">INDEX('GLOBAL LOG'!#REF!,ROW()-34+15)</f>
        <v>#REF!</v>
      </c>
      <c r="L1187" s="23" t="e">
        <f>_xlfn.XLOOKUP(K1187,#REF!,#REF!,"",0,1)</f>
        <v>#REF!</v>
      </c>
      <c r="M1187" s="23" t="str">
        <f>IFERROR(L1187*#REF!,"")</f>
        <v/>
      </c>
      <c r="N1187" s="23">
        <f t="shared" si="92"/>
        <v>-1</v>
      </c>
      <c r="O1187" s="23">
        <f t="shared" si="88"/>
        <v>-1</v>
      </c>
      <c r="P1187" s="23">
        <f t="shared" si="89"/>
        <v>-1</v>
      </c>
      <c r="Q1187" s="24">
        <f t="shared" si="90"/>
        <v>-1</v>
      </c>
      <c r="R1187" s="3"/>
      <c r="S1187" s="1">
        <v>0</v>
      </c>
      <c r="T1187" s="24">
        <v>-1</v>
      </c>
      <c r="U1187"/>
      <c r="V1187" s="1">
        <v>0</v>
      </c>
      <c r="W1187" s="24">
        <v>-1</v>
      </c>
      <c r="X1187"/>
      <c r="Y1187" s="1">
        <v>0</v>
      </c>
      <c r="Z1187" s="24">
        <v>-1</v>
      </c>
      <c r="AA1187"/>
      <c r="AB1187" s="1">
        <v>0</v>
      </c>
      <c r="AC1187" s="24">
        <v>-1</v>
      </c>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c r="CA1187"/>
      <c r="CB1187"/>
      <c r="CC1187"/>
      <c r="CD1187"/>
      <c r="CE1187"/>
      <c r="CF1187"/>
      <c r="CG1187"/>
      <c r="CH1187"/>
      <c r="CI1187"/>
      <c r="CJ1187"/>
      <c r="CK1187"/>
      <c r="CL1187"/>
      <c r="CM1187"/>
      <c r="CN1187"/>
      <c r="CO1187"/>
      <c r="CP1187"/>
      <c r="CQ1187"/>
      <c r="CR1187"/>
      <c r="CS1187"/>
    </row>
    <row r="1188" spans="2:97">
      <c r="B1188"/>
      <c r="C1188" s="15"/>
      <c r="D1188" s="23"/>
      <c r="E1188" s="23"/>
      <c r="F1188" s="23"/>
      <c r="G1188" s="23">
        <f t="shared" si="91"/>
        <v>0</v>
      </c>
      <c r="H1188" s="23" t="e" cm="1">
        <f t="array" ref="H1188">INDEX('GLOBAL LOG'!#REF!,ROW()-34+15)</f>
        <v>#REF!</v>
      </c>
      <c r="I1188" s="23" t="e">
        <f>_xlfn.XLOOKUP(H1188,#REF!,#REF!,"",0,1)</f>
        <v>#REF!</v>
      </c>
      <c r="J1188" s="23" t="str">
        <f>IFERROR(I1188*#REF!,"")</f>
        <v/>
      </c>
      <c r="K1188" s="23" t="e" cm="1">
        <f t="array" ref="K1188">INDEX('GLOBAL LOG'!#REF!,ROW()-34+15)</f>
        <v>#REF!</v>
      </c>
      <c r="L1188" s="23" t="e">
        <f>_xlfn.XLOOKUP(K1188,#REF!,#REF!,"",0,1)</f>
        <v>#REF!</v>
      </c>
      <c r="M1188" s="23" t="str">
        <f>IFERROR(L1188*#REF!,"")</f>
        <v/>
      </c>
      <c r="N1188" s="23">
        <f t="shared" si="92"/>
        <v>-1</v>
      </c>
      <c r="O1188" s="23">
        <f t="shared" si="88"/>
        <v>-1</v>
      </c>
      <c r="P1188" s="23">
        <f t="shared" si="89"/>
        <v>-1</v>
      </c>
      <c r="Q1188" s="24">
        <f t="shared" si="90"/>
        <v>-1</v>
      </c>
      <c r="R1188" s="3"/>
      <c r="S1188" s="1">
        <v>0</v>
      </c>
      <c r="T1188" s="24">
        <v>-1</v>
      </c>
      <c r="U1188"/>
      <c r="V1188" s="1">
        <v>0</v>
      </c>
      <c r="W1188" s="24">
        <v>-1</v>
      </c>
      <c r="X1188"/>
      <c r="Y1188" s="1">
        <v>0</v>
      </c>
      <c r="Z1188" s="24">
        <v>-1</v>
      </c>
      <c r="AA1188"/>
      <c r="AB1188" s="1">
        <v>0</v>
      </c>
      <c r="AC1188" s="24">
        <v>-1</v>
      </c>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c r="CA1188"/>
      <c r="CB1188"/>
      <c r="CC1188"/>
      <c r="CD1188"/>
      <c r="CE1188"/>
      <c r="CF1188"/>
      <c r="CG1188"/>
      <c r="CH1188"/>
      <c r="CI1188"/>
      <c r="CJ1188"/>
      <c r="CK1188"/>
      <c r="CL1188"/>
      <c r="CM1188"/>
      <c r="CN1188"/>
      <c r="CO1188"/>
      <c r="CP1188"/>
      <c r="CQ1188"/>
      <c r="CR1188"/>
      <c r="CS1188"/>
    </row>
    <row r="1189" spans="2:97">
      <c r="B1189"/>
      <c r="C1189" s="15"/>
      <c r="D1189" s="23"/>
      <c r="E1189" s="23"/>
      <c r="F1189" s="23"/>
      <c r="G1189" s="23">
        <f t="shared" si="91"/>
        <v>0</v>
      </c>
      <c r="H1189" s="23" t="e" cm="1">
        <f t="array" ref="H1189">INDEX('GLOBAL LOG'!#REF!,ROW()-34+15)</f>
        <v>#REF!</v>
      </c>
      <c r="I1189" s="23" t="e">
        <f>_xlfn.XLOOKUP(H1189,#REF!,#REF!,"",0,1)</f>
        <v>#REF!</v>
      </c>
      <c r="J1189" s="23" t="str">
        <f>IFERROR(I1189*#REF!,"")</f>
        <v/>
      </c>
      <c r="K1189" s="23" t="e" cm="1">
        <f t="array" ref="K1189">INDEX('GLOBAL LOG'!#REF!,ROW()-34+15)</f>
        <v>#REF!</v>
      </c>
      <c r="L1189" s="23" t="e">
        <f>_xlfn.XLOOKUP(K1189,#REF!,#REF!,"",0,1)</f>
        <v>#REF!</v>
      </c>
      <c r="M1189" s="23" t="str">
        <f>IFERROR(L1189*#REF!,"")</f>
        <v/>
      </c>
      <c r="N1189" s="23">
        <f t="shared" si="92"/>
        <v>-1</v>
      </c>
      <c r="O1189" s="23">
        <f t="shared" si="88"/>
        <v>-1</v>
      </c>
      <c r="P1189" s="23">
        <f t="shared" si="89"/>
        <v>-1</v>
      </c>
      <c r="Q1189" s="24">
        <f t="shared" si="90"/>
        <v>-1</v>
      </c>
      <c r="R1189" s="3"/>
      <c r="S1189" s="1">
        <v>0</v>
      </c>
      <c r="T1189" s="24">
        <v>-1</v>
      </c>
      <c r="U1189"/>
      <c r="V1189" s="1">
        <v>0</v>
      </c>
      <c r="W1189" s="24">
        <v>-1</v>
      </c>
      <c r="X1189"/>
      <c r="Y1189" s="1">
        <v>0</v>
      </c>
      <c r="Z1189" s="24">
        <v>-1</v>
      </c>
      <c r="AA1189"/>
      <c r="AB1189" s="1">
        <v>0</v>
      </c>
      <c r="AC1189" s="24">
        <v>-1</v>
      </c>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c r="CA1189"/>
      <c r="CB1189"/>
      <c r="CC1189"/>
      <c r="CD1189"/>
      <c r="CE1189"/>
      <c r="CF1189"/>
      <c r="CG1189"/>
      <c r="CH1189"/>
      <c r="CI1189"/>
      <c r="CJ1189"/>
      <c r="CK1189"/>
      <c r="CL1189"/>
      <c r="CM1189"/>
      <c r="CN1189"/>
      <c r="CO1189"/>
      <c r="CP1189"/>
      <c r="CQ1189"/>
      <c r="CR1189"/>
      <c r="CS1189"/>
    </row>
    <row r="1190" spans="2:97" ht="15" thickBot="1">
      <c r="B1190"/>
      <c r="C1190"/>
      <c r="D1190" s="3"/>
      <c r="E1190" s="3"/>
      <c r="F1190" s="3"/>
      <c r="G1190" s="3"/>
      <c r="H1190" s="3"/>
      <c r="I1190" s="3"/>
      <c r="J1190" s="3"/>
      <c r="K1190" s="3"/>
      <c r="L1190" s="3"/>
      <c r="M1190" s="3"/>
      <c r="N1190" s="3"/>
      <c r="O1190" s="3"/>
      <c r="P1190" s="3"/>
      <c r="Q1190"/>
      <c r="R1190"/>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c r="CA1190"/>
      <c r="CB1190"/>
      <c r="CC1190"/>
      <c r="CD1190"/>
      <c r="CE1190"/>
      <c r="CF1190"/>
      <c r="CG1190"/>
      <c r="CH1190"/>
      <c r="CI1190"/>
      <c r="CJ1190"/>
      <c r="CK1190"/>
      <c r="CL1190"/>
      <c r="CM1190"/>
      <c r="CN1190"/>
      <c r="CO1190"/>
      <c r="CP1190"/>
      <c r="CQ1190"/>
      <c r="CR1190"/>
      <c r="CS1190"/>
    </row>
    <row r="1191" spans="2:97" ht="15" thickBot="1">
      <c r="B1191"/>
      <c r="C1191" s="206" t="s">
        <v>322</v>
      </c>
      <c r="D1191" s="207"/>
      <c r="E1191" s="3"/>
      <c r="F1191" s="3"/>
      <c r="G1191" s="3"/>
      <c r="H1191" s="3"/>
      <c r="I1191" s="3"/>
      <c r="J1191" s="3"/>
      <c r="K1191" s="3"/>
      <c r="L1191" s="3"/>
      <c r="M1191" s="3"/>
      <c r="N1191" s="3"/>
      <c r="O1191" s="3"/>
      <c r="P1191" s="3"/>
      <c r="Q1191"/>
      <c r="R1191"/>
      <c r="S1191"/>
      <c r="T1191"/>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c r="CA1191"/>
      <c r="CB1191"/>
      <c r="CC1191"/>
      <c r="CD1191"/>
      <c r="CE1191"/>
      <c r="CF1191"/>
      <c r="CG1191"/>
      <c r="CH1191"/>
      <c r="CI1191"/>
      <c r="CJ1191"/>
      <c r="CK1191"/>
      <c r="CL1191"/>
      <c r="CM1191"/>
      <c r="CN1191"/>
      <c r="CO1191"/>
      <c r="CP1191"/>
      <c r="CQ1191"/>
      <c r="CR1191"/>
      <c r="CS1191"/>
    </row>
    <row r="1192" spans="2:97">
      <c r="B1192"/>
      <c r="C1192"/>
      <c r="D1192" s="3"/>
      <c r="E1192" s="3"/>
      <c r="F1192" s="3"/>
      <c r="G1192" s="3"/>
      <c r="H1192" s="3"/>
      <c r="I1192" s="3"/>
      <c r="J1192" s="3"/>
      <c r="K1192" s="3"/>
      <c r="L1192" s="3"/>
      <c r="M1192" s="3"/>
      <c r="N1192" s="3"/>
      <c r="O1192" s="3"/>
      <c r="P1192" s="3"/>
      <c r="Q1192"/>
      <c r="R1192"/>
      <c r="S1192"/>
      <c r="T1192"/>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c r="CA1192"/>
      <c r="CB1192"/>
      <c r="CC1192"/>
      <c r="CD1192"/>
      <c r="CE1192"/>
      <c r="CF1192"/>
      <c r="CG1192"/>
      <c r="CH1192"/>
      <c r="CI1192"/>
      <c r="CJ1192"/>
      <c r="CK1192"/>
      <c r="CL1192"/>
      <c r="CM1192"/>
      <c r="CN1192"/>
      <c r="CO1192"/>
      <c r="CP1192"/>
      <c r="CQ1192"/>
      <c r="CR1192"/>
      <c r="CS1192"/>
    </row>
    <row r="1193" spans="2:97">
      <c r="B1193"/>
      <c r="C1193" s="11" t="s">
        <v>308</v>
      </c>
      <c r="D1193" s="11" t="s">
        <v>309</v>
      </c>
      <c r="E1193" s="11">
        <v>2026</v>
      </c>
      <c r="F1193" s="11">
        <v>2027</v>
      </c>
      <c r="G1193" s="11" t="s">
        <v>310</v>
      </c>
      <c r="H1193" s="11" t="s">
        <v>311</v>
      </c>
      <c r="I1193" s="11" t="s">
        <v>312</v>
      </c>
      <c r="J1193" s="11" t="s">
        <v>313</v>
      </c>
      <c r="K1193" s="11" t="s">
        <v>314</v>
      </c>
      <c r="L1193" s="11" t="s">
        <v>315</v>
      </c>
      <c r="M1193" s="11" t="s">
        <v>316</v>
      </c>
      <c r="N1193" s="11" t="s">
        <v>317</v>
      </c>
      <c r="O1193" s="11" t="s">
        <v>318</v>
      </c>
      <c r="P1193" s="11" t="s">
        <v>319</v>
      </c>
      <c r="Q1193" s="11" t="s">
        <v>320</v>
      </c>
      <c r="R1193"/>
      <c r="S1193" s="11" t="s">
        <v>321</v>
      </c>
      <c r="T1193" s="11" t="s">
        <v>303</v>
      </c>
      <c r="U1193"/>
      <c r="V1193" s="11" t="s">
        <v>321</v>
      </c>
      <c r="W1193" s="11" t="s">
        <v>304</v>
      </c>
      <c r="X1193"/>
      <c r="Y1193" s="11" t="s">
        <v>321</v>
      </c>
      <c r="Z1193" s="11" t="s">
        <v>305</v>
      </c>
      <c r="AA1193"/>
      <c r="AB1193" s="11" t="s">
        <v>321</v>
      </c>
      <c r="AC1193" s="11" t="s">
        <v>306</v>
      </c>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c r="CA1193"/>
      <c r="CB1193"/>
      <c r="CC1193"/>
      <c r="CD1193"/>
      <c r="CE1193"/>
      <c r="CF1193"/>
      <c r="CG1193"/>
      <c r="CH1193"/>
      <c r="CI1193"/>
      <c r="CJ1193"/>
      <c r="CK1193"/>
      <c r="CL1193"/>
      <c r="CM1193"/>
      <c r="CN1193"/>
      <c r="CO1193"/>
      <c r="CP1193"/>
      <c r="CQ1193"/>
      <c r="CR1193"/>
      <c r="CS1193"/>
    </row>
    <row r="1194" spans="2:97">
      <c r="B1194"/>
      <c r="C1194" s="15" t="str" cm="1">
        <f t="array" ref="C1194:C1316">IF(_xlfn._xlws.FILTER('GLOBAL LOG'!D6:D128,TRUE)=0,"",'GLOBAL LOG'!D6:D128)&amp;" "&amp;IF(_xlfn._xlws.FILTER('GLOBAL LOG'!K6:K128,TRUE)=0,"",'GLOBAL LOG'!K6:K128)</f>
        <v>FedEx Corporation FedEx - agreement/amendment to unadministrable TotalCare clauses and incentivisation of SV inductions - RB211-535</v>
      </c>
      <c r="D1194" s="23" t="e" cm="1">
        <f t="array" ref="D1194">_xlfn._xlws.FILTER('GLOBAL LOG'!#REF!,TRUE,"-")</f>
        <v>#REF!</v>
      </c>
      <c r="E1194" s="23" cm="1">
        <f t="array" ref="E1194:E1316">_xlfn._xlws.FILTER('GLOBAL LOG'!Q6:Q128,TRUE,"-")</f>
        <v>6.43</v>
      </c>
      <c r="F1194" s="23" cm="1">
        <f t="array" ref="F1194:F1316">_xlfn._xlws.FILTER('GLOBAL LOG'!R6:R128,TRUE,"-")</f>
        <v>6.96</v>
      </c>
      <c r="G1194" s="23">
        <f>E1194+F1194</f>
        <v>13.39</v>
      </c>
      <c r="H1194" s="23" t="e" cm="1">
        <f t="array" ref="H1194">INDEX('GLOBAL LOG'!#REF!,ROW()-1194+15)</f>
        <v>#REF!</v>
      </c>
      <c r="I1194" s="23" t="e">
        <f>_xlfn.XLOOKUP(H1194,#REF!,#REF!,"",0,1)</f>
        <v>#REF!</v>
      </c>
      <c r="J1194" s="23" t="str">
        <f>IFERROR(I1194*#REF!,"")</f>
        <v/>
      </c>
      <c r="K1194" s="23" t="e" cm="1">
        <f t="array" ref="K1194">INDEX('GLOBAL LOG'!#REF!,ROW()-1194+15)</f>
        <v>#REF!</v>
      </c>
      <c r="L1194" s="23" t="e">
        <f>_xlfn.XLOOKUP(K1194,#REF!,#REF!,"",0,1)</f>
        <v>#REF!</v>
      </c>
      <c r="M1194" s="23" t="str">
        <f>IFERROR(L1194*#REF!,"")</f>
        <v/>
      </c>
      <c r="N1194" s="23">
        <f>IFERROR((D1194-#REF!)/#REF!*COUNT!J1194*COUNT!M1194,0)</f>
        <v>0</v>
      </c>
      <c r="O1194" s="23">
        <f>IFERROR((E1194-#REF!)/#REF!*COUNT!J1194*COUNT!M1194,0)</f>
        <v>0</v>
      </c>
      <c r="P1194" s="23">
        <f>IFERROR((F1194-#REF!)/#REF!*COUNT!J1194*COUNT!M1194,0)</f>
        <v>0</v>
      </c>
      <c r="Q1194" s="23">
        <f>IFERROR((G1194-#REF!)/#REF!*COUNT!J1194*COUNT!M1194,0)</f>
        <v>0</v>
      </c>
      <c r="R1194"/>
      <c r="S1194" s="1" t="str" cm="1">
        <f t="array" ref="S1194:S1279">_xlfn.SORTBY(C1194:C1279,N1194:N1279,-1)</f>
        <v>FedEx Corporation FedEx - agreement/amendment to unadministrable TotalCare clauses and incentivisation of SV inductions - RB211-535</v>
      </c>
      <c r="T1194" s="24" cm="1">
        <f t="array" ref="T1194:T1279">_xlfn.SORTBY(N1194:N1279,N1194:N1279,-1)</f>
        <v>0</v>
      </c>
      <c r="U1194"/>
      <c r="V1194" s="1" t="str" cm="1">
        <f t="array" ref="V1194:V1279">_xlfn.SORTBY(C1194:C1279,O1194:O1279,-1)</f>
        <v>FedEx Corporation FedEx - agreement/amendment to unadministrable TotalCare clauses and incentivisation of SV inductions - RB211-535</v>
      </c>
      <c r="W1194" s="24" cm="1">
        <f t="array" ref="W1194:W1279">_xlfn.SORTBY(O1194:O1279,O1194:O1279,-1)</f>
        <v>0</v>
      </c>
      <c r="X1194"/>
      <c r="Y1194" s="1" t="str" cm="1">
        <f t="array" ref="Y1194:Y1279">_xlfn.SORTBY(C1194:C1279,P1194:P1279,-1)</f>
        <v>FedEx Corporation FedEx - agreement/amendment to unadministrable TotalCare clauses and incentivisation of SV inductions - RB211-535</v>
      </c>
      <c r="Z1194" s="24" cm="1">
        <f t="array" ref="Z1194:Z1279">_xlfn.SORTBY(P1194:P1279,P1194:P1279,-1)</f>
        <v>0</v>
      </c>
      <c r="AA1194"/>
      <c r="AB1194" s="1" t="str" cm="1">
        <f t="array" ref="AB1194:AB1279">_xlfn.SORTBY(C1194:C1279,Q1194:Q1279,-1)</f>
        <v>FedEx Corporation FedEx - agreement/amendment to unadministrable TotalCare clauses and incentivisation of SV inductions - RB211-535</v>
      </c>
      <c r="AC1194" s="24" cm="1">
        <f t="array" ref="AC1194:AC1279">_xlfn.SORTBY(Q1194:Q1279,Q1194:Q1279,-1)</f>
        <v>0</v>
      </c>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c r="CA1194"/>
      <c r="CB1194"/>
      <c r="CC1194"/>
      <c r="CD1194"/>
      <c r="CE1194"/>
      <c r="CF1194"/>
      <c r="CG1194"/>
      <c r="CH1194"/>
      <c r="CI1194"/>
      <c r="CJ1194"/>
      <c r="CK1194"/>
      <c r="CL1194"/>
      <c r="CM1194"/>
      <c r="CN1194"/>
      <c r="CO1194"/>
      <c r="CP1194"/>
      <c r="CQ1194"/>
      <c r="CR1194"/>
      <c r="CS1194"/>
    </row>
    <row r="1195" spans="2:97">
      <c r="B1195"/>
      <c r="C1195" s="15" t="str">
        <v>American Airlines  American Airlines requested input on longer extension to 2035</v>
      </c>
      <c r="D1195" s="23"/>
      <c r="E1195" s="23">
        <v>0</v>
      </c>
      <c r="F1195" s="23">
        <v>0</v>
      </c>
      <c r="G1195" s="23">
        <f t="shared" ref="G1195:G1258" si="93">E1195+F1195</f>
        <v>0</v>
      </c>
      <c r="H1195" s="23" t="e" cm="1">
        <f t="array" ref="H1195">INDEX('GLOBAL LOG'!#REF!,ROW()-1194+15)</f>
        <v>#REF!</v>
      </c>
      <c r="I1195" s="23" t="e">
        <f>_xlfn.XLOOKUP(H1195,#REF!,#REF!,"",0,1)</f>
        <v>#REF!</v>
      </c>
      <c r="J1195" s="23" t="str">
        <f>IFERROR(I1195*#REF!,"")</f>
        <v/>
      </c>
      <c r="K1195" s="23" t="e" cm="1">
        <f t="array" ref="K1195">INDEX('GLOBAL LOG'!#REF!,ROW()-1194+15)</f>
        <v>#REF!</v>
      </c>
      <c r="L1195" s="23" t="e">
        <f>_xlfn.XLOOKUP(K1195,#REF!,#REF!,"",0,1)</f>
        <v>#REF!</v>
      </c>
      <c r="M1195" s="23" t="str">
        <f>IFERROR(L1195*#REF!,"")</f>
        <v/>
      </c>
      <c r="N1195" s="23">
        <f>IFERROR((D1195-#REF!)/#REF!*COUNT!J1195*COUNT!M1195,0)</f>
        <v>0</v>
      </c>
      <c r="O1195" s="23">
        <f>IFERROR((E1195-#REF!)/#REF!*COUNT!J1195*COUNT!M1195,0)</f>
        <v>0</v>
      </c>
      <c r="P1195" s="23">
        <f>IFERROR((F1195-#REF!)/#REF!*COUNT!J1195*COUNT!M1195,0)</f>
        <v>0</v>
      </c>
      <c r="Q1195" s="23">
        <f>IFERROR((G1195-#REF!)/#REF!*COUNT!J1195*COUNT!M1195,0)</f>
        <v>0</v>
      </c>
      <c r="R1195"/>
      <c r="S1195" s="1" t="str">
        <v>American Airlines  American Airlines requested input on longer extension to 2035</v>
      </c>
      <c r="T1195" s="24">
        <v>0</v>
      </c>
      <c r="U1195"/>
      <c r="V1195" s="1" t="str">
        <v>American Airlines  American Airlines requested input on longer extension to 2035</v>
      </c>
      <c r="W1195" s="24">
        <v>0</v>
      </c>
      <c r="X1195"/>
      <c r="Y1195" s="1" t="str">
        <v>American Airlines  American Airlines requested input on longer extension to 2035</v>
      </c>
      <c r="Z1195" s="24">
        <v>0</v>
      </c>
      <c r="AA1195"/>
      <c r="AB1195" s="1" t="str">
        <v>American Airlines  American Airlines requested input on longer extension to 2035</v>
      </c>
      <c r="AC1195" s="24">
        <v>0</v>
      </c>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c r="CA1195"/>
      <c r="CB1195"/>
      <c r="CC1195"/>
      <c r="CD1195"/>
      <c r="CE1195"/>
      <c r="CF1195"/>
      <c r="CG1195"/>
      <c r="CH1195"/>
      <c r="CI1195"/>
      <c r="CJ1195"/>
      <c r="CK1195"/>
      <c r="CL1195"/>
      <c r="CM1195"/>
      <c r="CN1195"/>
      <c r="CO1195"/>
      <c r="CP1195"/>
      <c r="CQ1195"/>
      <c r="CR1195"/>
      <c r="CS1195"/>
    </row>
    <row r="1196" spans="2:97">
      <c r="B1196"/>
      <c r="C1196" s="15" t="str">
        <v xml:space="preserve">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
Apr 2026 - Senior engagement at AIX, awaiting feedback before next steps, possible adjustment pending ICT confirmation. </v>
      </c>
      <c r="D1196" s="23"/>
      <c r="E1196" s="23" t="str">
        <v>tbc</v>
      </c>
      <c r="F1196" s="23" t="str">
        <v>Confirm with Harry</v>
      </c>
      <c r="G1196" s="23" t="e">
        <f t="shared" si="93"/>
        <v>#VALUE!</v>
      </c>
      <c r="H1196" s="23" t="e" cm="1">
        <f t="array" ref="H1196">INDEX('GLOBAL LOG'!#REF!,ROW()-1194+15)</f>
        <v>#REF!</v>
      </c>
      <c r="I1196" s="23" t="e">
        <f>_xlfn.XLOOKUP(H1196,#REF!,#REF!,"",0,1)</f>
        <v>#REF!</v>
      </c>
      <c r="J1196" s="23" t="str">
        <f>IFERROR(I1196*#REF!,"")</f>
        <v/>
      </c>
      <c r="K1196" s="23" t="e" cm="1">
        <f t="array" ref="K1196">INDEX('GLOBAL LOG'!#REF!,ROW()-1194+15)</f>
        <v>#REF!</v>
      </c>
      <c r="L1196" s="23" t="e">
        <f>_xlfn.XLOOKUP(K1196,#REF!,#REF!,"",0,1)</f>
        <v>#REF!</v>
      </c>
      <c r="M1196" s="23" t="str">
        <f>IFERROR(L1196*#REF!,"")</f>
        <v/>
      </c>
      <c r="N1196" s="23">
        <f>IFERROR((D1196-#REF!)/#REF!*COUNT!J1196*COUNT!M1196,0)</f>
        <v>0</v>
      </c>
      <c r="O1196" s="23">
        <f>IFERROR((E1196-#REF!)/#REF!*COUNT!J1196*COUNT!M1196,0)</f>
        <v>0</v>
      </c>
      <c r="P1196" s="23">
        <f>IFERROR((F1196-#REF!)/#REF!*COUNT!J1196*COUNT!M1196,0)</f>
        <v>0</v>
      </c>
      <c r="Q1196" s="23">
        <f>IFERROR((G1196-#REF!)/#REF!*COUNT!J1196*COUNT!M1196,0)</f>
        <v>0</v>
      </c>
      <c r="R1196"/>
      <c r="S1196" s="1" t="str">
        <v xml:space="preserve">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
Apr 2026 - Senior engagement at AIX, awaiting feedback before next steps, possible adjustment pending ICT confirmation. </v>
      </c>
      <c r="T1196" s="24">
        <v>0</v>
      </c>
      <c r="U1196"/>
      <c r="V1196" s="1" t="str">
        <v xml:space="preserve">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
Apr 2026 - Senior engagement at AIX, awaiting feedback before next steps, possible adjustment pending ICT confirmation. </v>
      </c>
      <c r="W1196" s="24">
        <v>0</v>
      </c>
      <c r="X1196"/>
      <c r="Y1196" s="1" t="str">
        <v xml:space="preserve">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
Apr 2026 - Senior engagement at AIX, awaiting feedback before next steps, possible adjustment pending ICT confirmation. </v>
      </c>
      <c r="Z1196" s="24">
        <v>0</v>
      </c>
      <c r="AA1196"/>
      <c r="AB1196" s="1" t="str">
        <v xml:space="preserve">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
Apr 2026 - Senior engagement at AIX, awaiting feedback before next steps, possible adjustment pending ICT confirmation. </v>
      </c>
      <c r="AC1196" s="24">
        <v>0</v>
      </c>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c r="CA1196"/>
      <c r="CB1196"/>
      <c r="CC1196"/>
      <c r="CD1196"/>
      <c r="CE1196"/>
      <c r="CF1196"/>
      <c r="CG1196"/>
      <c r="CH1196"/>
      <c r="CI1196"/>
      <c r="CJ1196"/>
      <c r="CK1196"/>
      <c r="CL1196"/>
      <c r="CM1196"/>
      <c r="CN1196"/>
      <c r="CO1196"/>
      <c r="CP1196"/>
      <c r="CQ1196"/>
      <c r="CR1196"/>
      <c r="CS1196"/>
    </row>
    <row r="1197" spans="2:97">
      <c r="B1197"/>
      <c r="C1197" s="15" t="str">
        <v>Emirates Finiq 2 - 3 year-extension + LRU Management + 23 a/c.
Term benefit includes a % of DI7</v>
      </c>
      <c r="D1197" s="23"/>
      <c r="E1197" s="23">
        <v>0</v>
      </c>
      <c r="F1197" s="23" t="str">
        <v/>
      </c>
      <c r="G1197" s="23" t="e">
        <f t="shared" si="93"/>
        <v>#VALUE!</v>
      </c>
      <c r="H1197" s="23" t="e" cm="1">
        <f t="array" ref="H1197">INDEX('GLOBAL LOG'!#REF!,ROW()-1194+15)</f>
        <v>#REF!</v>
      </c>
      <c r="I1197" s="23" t="e">
        <f>_xlfn.XLOOKUP(H1197,#REF!,#REF!,"",0,1)</f>
        <v>#REF!</v>
      </c>
      <c r="J1197" s="23" t="str">
        <f>IFERROR(I1197*#REF!,"")</f>
        <v/>
      </c>
      <c r="K1197" s="23" t="e" cm="1">
        <f t="array" ref="K1197">INDEX('GLOBAL LOG'!#REF!,ROW()-1194+15)</f>
        <v>#REF!</v>
      </c>
      <c r="L1197" s="23" t="e">
        <f>_xlfn.XLOOKUP(K1197,#REF!,#REF!,"",0,1)</f>
        <v>#REF!</v>
      </c>
      <c r="M1197" s="23" t="str">
        <f>IFERROR(L1197*#REF!,"")</f>
        <v/>
      </c>
      <c r="N1197" s="23">
        <f>IFERROR((D1197-#REF!)/#REF!*COUNT!J1197*COUNT!M1197,0)</f>
        <v>0</v>
      </c>
      <c r="O1197" s="23">
        <f>IFERROR((E1197-#REF!)/#REF!*COUNT!J1197*COUNT!M1197,0)</f>
        <v>0</v>
      </c>
      <c r="P1197" s="23">
        <f>IFERROR((F1197-#REF!)/#REF!*COUNT!J1197*COUNT!M1197,0)</f>
        <v>0</v>
      </c>
      <c r="Q1197" s="23">
        <f>IFERROR((G1197-#REF!)/#REF!*COUNT!J1197*COUNT!M1197,0)</f>
        <v>0</v>
      </c>
      <c r="R1197"/>
      <c r="S1197" s="1" t="str">
        <v>Emirates Finiq 2 - 3 year-extension + LRU Management + 23 a/c.
Term benefit includes a % of DI7</v>
      </c>
      <c r="T1197" s="24">
        <v>0</v>
      </c>
      <c r="U1197"/>
      <c r="V1197" s="1" t="str">
        <v>Emirates Finiq 2 - 3 year-extension + LRU Management + 23 a/c.
Term benefit includes a % of DI7</v>
      </c>
      <c r="W1197" s="24">
        <v>0</v>
      </c>
      <c r="X1197"/>
      <c r="Y1197" s="1" t="str">
        <v>Emirates Finiq 2 - 3 year-extension + LRU Management + 23 a/c.
Term benefit includes a % of DI7</v>
      </c>
      <c r="Z1197" s="24">
        <v>0</v>
      </c>
      <c r="AA1197"/>
      <c r="AB1197" s="1" t="str">
        <v>Emirates Finiq 2 - 3 year-extension + LRU Management + 23 a/c.
Term benefit includes a % of DI7</v>
      </c>
      <c r="AC1197" s="24">
        <v>0</v>
      </c>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c r="CA1197"/>
      <c r="CB1197"/>
      <c r="CC1197"/>
      <c r="CD1197"/>
      <c r="CE1197"/>
      <c r="CF1197"/>
      <c r="CG1197"/>
      <c r="CH1197"/>
      <c r="CI1197"/>
      <c r="CJ1197"/>
      <c r="CK1197"/>
      <c r="CL1197"/>
      <c r="CM1197"/>
      <c r="CN1197"/>
      <c r="CO1197"/>
      <c r="CP1197"/>
      <c r="CQ1197"/>
      <c r="CR1197"/>
      <c r="CS1197"/>
    </row>
    <row r="1198" spans="2:97">
      <c r="B1198"/>
      <c r="C1198" s="15" t="str">
        <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v>
      </c>
      <c r="D1198" s="23"/>
      <c r="E1198" s="23">
        <v>24</v>
      </c>
      <c r="F1198" s="23" t="str">
        <v>Confirm with Harry</v>
      </c>
      <c r="G1198" s="23" t="e">
        <f t="shared" si="93"/>
        <v>#VALUE!</v>
      </c>
      <c r="H1198" s="23" t="e" cm="1">
        <f t="array" ref="H1198">INDEX('GLOBAL LOG'!#REF!,ROW()-1194+15)</f>
        <v>#REF!</v>
      </c>
      <c r="I1198" s="23" t="e">
        <f>_xlfn.XLOOKUP(H1198,#REF!,#REF!,"",0,1)</f>
        <v>#REF!</v>
      </c>
      <c r="J1198" s="23" t="str">
        <f>IFERROR(I1198*#REF!,"")</f>
        <v/>
      </c>
      <c r="K1198" s="23" t="e" cm="1">
        <f t="array" ref="K1198">INDEX('GLOBAL LOG'!#REF!,ROW()-1194+15)</f>
        <v>#REF!</v>
      </c>
      <c r="L1198" s="23" t="e">
        <f>_xlfn.XLOOKUP(K1198,#REF!,#REF!,"",0,1)</f>
        <v>#REF!</v>
      </c>
      <c r="M1198" s="23" t="str">
        <f>IFERROR(L1198*#REF!,"")</f>
        <v/>
      </c>
      <c r="N1198" s="23">
        <f>IFERROR((D1198-#REF!)/#REF!*COUNT!J1198*COUNT!M1198,0)</f>
        <v>0</v>
      </c>
      <c r="O1198" s="23">
        <f>IFERROR((E1198-#REF!)/#REF!*COUNT!J1198*COUNT!M1198,0)</f>
        <v>0</v>
      </c>
      <c r="P1198" s="23">
        <f>IFERROR((F1198-#REF!)/#REF!*COUNT!J1198*COUNT!M1198,0)</f>
        <v>0</v>
      </c>
      <c r="Q1198" s="23">
        <f>IFERROR((G1198-#REF!)/#REF!*COUNT!J1198*COUNT!M1198,0)</f>
        <v>0</v>
      </c>
      <c r="R1198"/>
      <c r="S1198" s="1" t="str">
        <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v>
      </c>
      <c r="T1198" s="24">
        <v>0</v>
      </c>
      <c r="U1198"/>
      <c r="V1198" s="1" t="str">
        <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v>
      </c>
      <c r="W1198" s="24">
        <v>0</v>
      </c>
      <c r="X1198"/>
      <c r="Y1198" s="1" t="str">
        <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v>
      </c>
      <c r="Z1198" s="24">
        <v>0</v>
      </c>
      <c r="AA1198"/>
      <c r="AB1198" s="1" t="str">
        <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v>
      </c>
      <c r="AC1198" s="24">
        <v>0</v>
      </c>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c r="CA1198"/>
      <c r="CB1198"/>
      <c r="CC1198"/>
      <c r="CD1198"/>
      <c r="CE1198"/>
      <c r="CF1198"/>
      <c r="CG1198"/>
      <c r="CH1198"/>
      <c r="CI1198"/>
      <c r="CJ1198"/>
      <c r="CK1198"/>
      <c r="CL1198"/>
      <c r="CM1198"/>
      <c r="CN1198"/>
      <c r="CO1198"/>
      <c r="CP1198"/>
      <c r="CQ1198"/>
      <c r="CR1198"/>
      <c r="CS1198"/>
    </row>
    <row r="1199" spans="2:97">
      <c r="B1199"/>
      <c r="C1199" s="15" t="str">
        <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v>
      </c>
      <c r="D1199" s="23"/>
      <c r="E1199" s="23">
        <v>10</v>
      </c>
      <c r="F1199" s="23">
        <v>6</v>
      </c>
      <c r="G1199" s="23">
        <f t="shared" si="93"/>
        <v>16</v>
      </c>
      <c r="H1199" s="23" t="e" cm="1">
        <f t="array" ref="H1199">INDEX('GLOBAL LOG'!#REF!,ROW()-1194+15)</f>
        <v>#REF!</v>
      </c>
      <c r="I1199" s="23" t="e">
        <f>_xlfn.XLOOKUP(H1199,#REF!,#REF!,"",0,1)</f>
        <v>#REF!</v>
      </c>
      <c r="J1199" s="23" t="str">
        <f>IFERROR(I1199*#REF!,"")</f>
        <v/>
      </c>
      <c r="K1199" s="23" t="e" cm="1">
        <f t="array" ref="K1199">INDEX('GLOBAL LOG'!#REF!,ROW()-1194+15)</f>
        <v>#REF!</v>
      </c>
      <c r="L1199" s="23" t="e">
        <f>_xlfn.XLOOKUP(K1199,#REF!,#REF!,"",0,1)</f>
        <v>#REF!</v>
      </c>
      <c r="M1199" s="23" t="str">
        <f>IFERROR(L1199*#REF!,"")</f>
        <v/>
      </c>
      <c r="N1199" s="23">
        <f>IFERROR((D1199-#REF!)/#REF!*COUNT!J1199*COUNT!M1199,0)</f>
        <v>0</v>
      </c>
      <c r="O1199" s="23">
        <f>IFERROR((E1199-#REF!)/#REF!*COUNT!J1199*COUNT!M1199,0)</f>
        <v>0</v>
      </c>
      <c r="P1199" s="23">
        <f>IFERROR((F1199-#REF!)/#REF!*COUNT!J1199*COUNT!M1199,0)</f>
        <v>0</v>
      </c>
      <c r="Q1199" s="23">
        <f>IFERROR((G1199-#REF!)/#REF!*COUNT!J1199*COUNT!M1199,0)</f>
        <v>0</v>
      </c>
      <c r="R1199"/>
      <c r="S1199" s="1" t="str">
        <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v>
      </c>
      <c r="T1199" s="24">
        <v>0</v>
      </c>
      <c r="U1199"/>
      <c r="V1199" s="1" t="str">
        <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v>
      </c>
      <c r="W1199" s="24">
        <v>0</v>
      </c>
      <c r="X1199"/>
      <c r="Y1199" s="1" t="str">
        <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v>
      </c>
      <c r="Z1199" s="24">
        <v>0</v>
      </c>
      <c r="AA1199"/>
      <c r="AB1199" s="1" t="str">
        <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v>
      </c>
      <c r="AC1199" s="24">
        <v>0</v>
      </c>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c r="CA1199"/>
      <c r="CB1199"/>
      <c r="CC1199"/>
      <c r="CD1199"/>
      <c r="CE1199"/>
      <c r="CF1199"/>
      <c r="CG1199"/>
      <c r="CH1199"/>
      <c r="CI1199"/>
      <c r="CJ1199"/>
      <c r="CK1199"/>
      <c r="CL1199"/>
      <c r="CM1199"/>
      <c r="CN1199"/>
      <c r="CO1199"/>
      <c r="CP1199"/>
      <c r="CQ1199"/>
      <c r="CR1199"/>
      <c r="CS1199"/>
    </row>
    <row r="1200" spans="2:97">
      <c r="B1200"/>
      <c r="C1200" s="15" t="str">
        <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v>
      </c>
      <c r="D1200" s="23"/>
      <c r="E1200" s="23">
        <v>80</v>
      </c>
      <c r="F1200" s="23" t="str">
        <v>Confirm with Bobby</v>
      </c>
      <c r="G1200" s="23" t="e">
        <f t="shared" si="93"/>
        <v>#VALUE!</v>
      </c>
      <c r="H1200" s="23" t="e" cm="1">
        <f t="array" ref="H1200">INDEX('GLOBAL LOG'!#REF!,ROW()-1194+15)</f>
        <v>#REF!</v>
      </c>
      <c r="I1200" s="23" t="e">
        <f>_xlfn.XLOOKUP(H1200,#REF!,#REF!,"",0,1)</f>
        <v>#REF!</v>
      </c>
      <c r="J1200" s="23" t="str">
        <f>IFERROR(I1200*#REF!,"")</f>
        <v/>
      </c>
      <c r="K1200" s="23" t="e" cm="1">
        <f t="array" ref="K1200">INDEX('GLOBAL LOG'!#REF!,ROW()-1194+15)</f>
        <v>#REF!</v>
      </c>
      <c r="L1200" s="23" t="e">
        <f>_xlfn.XLOOKUP(K1200,#REF!,#REF!,"",0,1)</f>
        <v>#REF!</v>
      </c>
      <c r="M1200" s="23" t="str">
        <f>IFERROR(L1200*#REF!,"")</f>
        <v/>
      </c>
      <c r="N1200" s="23">
        <f>IFERROR((D1200-#REF!)/#REF!*COUNT!J1200*COUNT!M1200,0)</f>
        <v>0</v>
      </c>
      <c r="O1200" s="23">
        <f>IFERROR((E1200-#REF!)/#REF!*COUNT!J1200*COUNT!M1200,0)</f>
        <v>0</v>
      </c>
      <c r="P1200" s="23">
        <f>IFERROR((F1200-#REF!)/#REF!*COUNT!J1200*COUNT!M1200,0)</f>
        <v>0</v>
      </c>
      <c r="Q1200" s="23">
        <f>IFERROR((G1200-#REF!)/#REF!*COUNT!J1200*COUNT!M1200,0)</f>
        <v>0</v>
      </c>
      <c r="R1200"/>
      <c r="S1200" s="1" t="str">
        <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v>
      </c>
      <c r="T1200" s="24">
        <v>0</v>
      </c>
      <c r="U1200"/>
      <c r="V1200" s="1" t="str">
        <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v>
      </c>
      <c r="W1200" s="24">
        <v>0</v>
      </c>
      <c r="X1200"/>
      <c r="Y1200" s="1" t="str">
        <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v>
      </c>
      <c r="Z1200" s="24">
        <v>0</v>
      </c>
      <c r="AA1200"/>
      <c r="AB1200" s="1" t="str">
        <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v>
      </c>
      <c r="AC1200" s="24">
        <v>0</v>
      </c>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c r="CA1200"/>
      <c r="CB1200"/>
      <c r="CC1200"/>
      <c r="CD1200"/>
      <c r="CE1200"/>
      <c r="CF1200"/>
      <c r="CG1200"/>
      <c r="CH1200"/>
      <c r="CI1200"/>
      <c r="CJ1200"/>
      <c r="CK1200"/>
      <c r="CL1200"/>
      <c r="CM1200"/>
      <c r="CN1200"/>
      <c r="CO1200"/>
      <c r="CP1200"/>
      <c r="CQ1200"/>
      <c r="CR1200"/>
      <c r="CS1200"/>
    </row>
    <row r="1201" spans="2:97">
      <c r="B1201"/>
      <c r="C1201" s="15" t="str">
        <v>Emirates Pantheon - Trent 900 Full MRO for improved CRP</v>
      </c>
      <c r="D1201" s="23"/>
      <c r="E1201" s="23">
        <v>0</v>
      </c>
      <c r="F1201" s="23" t="str">
        <v/>
      </c>
      <c r="G1201" s="23" t="e">
        <f t="shared" si="93"/>
        <v>#VALUE!</v>
      </c>
      <c r="H1201" s="23" t="e" cm="1">
        <f t="array" ref="H1201">INDEX('GLOBAL LOG'!#REF!,ROW()-1194+15)</f>
        <v>#REF!</v>
      </c>
      <c r="I1201" s="23" t="e">
        <f>_xlfn.XLOOKUP(H1201,#REF!,#REF!,"",0,1)</f>
        <v>#REF!</v>
      </c>
      <c r="J1201" s="23" t="str">
        <f>IFERROR(I1201*#REF!,"")</f>
        <v/>
      </c>
      <c r="K1201" s="23" t="e" cm="1">
        <f t="array" ref="K1201">INDEX('GLOBAL LOG'!#REF!,ROW()-1194+15)</f>
        <v>#REF!</v>
      </c>
      <c r="L1201" s="23" t="e">
        <f>_xlfn.XLOOKUP(K1201,#REF!,#REF!,"",0,1)</f>
        <v>#REF!</v>
      </c>
      <c r="M1201" s="23" t="str">
        <f>IFERROR(L1201*#REF!,"")</f>
        <v/>
      </c>
      <c r="N1201" s="23">
        <f>IFERROR((D1201-#REF!)/#REF!*COUNT!J1201*COUNT!M1201,0)</f>
        <v>0</v>
      </c>
      <c r="O1201" s="23">
        <f>IFERROR((E1201-#REF!)/#REF!*COUNT!J1201*COUNT!M1201,0)</f>
        <v>0</v>
      </c>
      <c r="P1201" s="23">
        <f>IFERROR((F1201-#REF!)/#REF!*COUNT!J1201*COUNT!M1201,0)</f>
        <v>0</v>
      </c>
      <c r="Q1201" s="23">
        <f>IFERROR((G1201-#REF!)/#REF!*COUNT!J1201*COUNT!M1201,0)</f>
        <v>0</v>
      </c>
      <c r="R1201"/>
      <c r="S1201" s="1" t="str">
        <v>Emirates Pantheon - Trent 900 Full MRO for improved CRP</v>
      </c>
      <c r="T1201" s="24">
        <v>0</v>
      </c>
      <c r="U1201"/>
      <c r="V1201" s="1" t="str">
        <v>Emirates Pantheon - Trent 900 Full MRO for improved CRP</v>
      </c>
      <c r="W1201" s="24">
        <v>0</v>
      </c>
      <c r="X1201"/>
      <c r="Y1201" s="1" t="str">
        <v>Emirates Pantheon - Trent 900 Full MRO for improved CRP</v>
      </c>
      <c r="Z1201" s="24">
        <v>0</v>
      </c>
      <c r="AA1201"/>
      <c r="AB1201" s="1" t="str">
        <v>Emirates Pantheon - Trent 900 Full MRO for improved CRP</v>
      </c>
      <c r="AC1201" s="24">
        <v>0</v>
      </c>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c r="CA1201"/>
      <c r="CB1201"/>
      <c r="CC1201"/>
      <c r="CD1201"/>
      <c r="CE1201"/>
      <c r="CF1201"/>
      <c r="CG1201"/>
      <c r="CH1201"/>
      <c r="CI1201"/>
      <c r="CJ1201"/>
      <c r="CK1201"/>
      <c r="CL1201"/>
      <c r="CM1201"/>
      <c r="CN1201"/>
      <c r="CO1201"/>
      <c r="CP1201"/>
      <c r="CQ1201"/>
      <c r="CR1201"/>
      <c r="CS1201"/>
    </row>
    <row r="1202" spans="2:97">
      <c r="B1202"/>
      <c r="C1202" s="15" t="str">
        <v>British Airways  Life Min Term extension to 24 years for owned a/c and 12 years for leased a/c, plus removal of EoCL for a $/efh discount on both Engine &amp; LLPs.</v>
      </c>
      <c r="D1202" s="23"/>
      <c r="E1202" s="23">
        <v>0</v>
      </c>
      <c r="F1202" s="23">
        <v>0</v>
      </c>
      <c r="G1202" s="23">
        <f t="shared" si="93"/>
        <v>0</v>
      </c>
      <c r="H1202" s="23" t="e" cm="1">
        <f t="array" ref="H1202">INDEX('GLOBAL LOG'!#REF!,ROW()-1194+15)</f>
        <v>#REF!</v>
      </c>
      <c r="I1202" s="23" t="e">
        <f>_xlfn.XLOOKUP(H1202,#REF!,#REF!,"",0,1)</f>
        <v>#REF!</v>
      </c>
      <c r="J1202" s="23" t="str">
        <f>IFERROR(I1202*#REF!,"")</f>
        <v/>
      </c>
      <c r="K1202" s="23" t="e" cm="1">
        <f t="array" ref="K1202">INDEX('GLOBAL LOG'!#REF!,ROW()-1194+15)</f>
        <v>#REF!</v>
      </c>
      <c r="L1202" s="23" t="e">
        <f>_xlfn.XLOOKUP(K1202,#REF!,#REF!,"",0,1)</f>
        <v>#REF!</v>
      </c>
      <c r="M1202" s="23" t="str">
        <f>IFERROR(L1202*#REF!,"")</f>
        <v/>
      </c>
      <c r="N1202" s="23">
        <f>IFERROR((D1202-#REF!)/#REF!*COUNT!J1202*COUNT!M1202,0)</f>
        <v>0</v>
      </c>
      <c r="O1202" s="23">
        <f>IFERROR((E1202-#REF!)/#REF!*COUNT!J1202*COUNT!M1202,0)</f>
        <v>0</v>
      </c>
      <c r="P1202" s="23">
        <f>IFERROR((F1202-#REF!)/#REF!*COUNT!J1202*COUNT!M1202,0)</f>
        <v>0</v>
      </c>
      <c r="Q1202" s="23">
        <f>IFERROR((G1202-#REF!)/#REF!*COUNT!J1202*COUNT!M1202,0)</f>
        <v>0</v>
      </c>
      <c r="R1202"/>
      <c r="S1202" s="1" t="str">
        <v>British Airways  Life Min Term extension to 24 years for owned a/c and 12 years for leased a/c, plus removal of EoCL for a $/efh discount on both Engine &amp; LLPs.</v>
      </c>
      <c r="T1202" s="24">
        <v>0</v>
      </c>
      <c r="U1202"/>
      <c r="V1202" s="1" t="str">
        <v>British Airways  Life Min Term extension to 24 years for owned a/c and 12 years for leased a/c, plus removal of EoCL for a $/efh discount on both Engine &amp; LLPs.</v>
      </c>
      <c r="W1202" s="24">
        <v>0</v>
      </c>
      <c r="X1202"/>
      <c r="Y1202" s="1" t="str">
        <v>British Airways  Life Min Term extension to 24 years for owned a/c and 12 years for leased a/c, plus removal of EoCL for a $/efh discount on both Engine &amp; LLPs.</v>
      </c>
      <c r="Z1202" s="24">
        <v>0</v>
      </c>
      <c r="AA1202"/>
      <c r="AB1202" s="1" t="str">
        <v>British Airways  Life Min Term extension to 24 years for owned a/c and 12 years for leased a/c, plus removal of EoCL for a $/efh discount on both Engine &amp; LLPs.</v>
      </c>
      <c r="AC1202" s="24">
        <v>0</v>
      </c>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c r="CA1202"/>
      <c r="CB1202"/>
      <c r="CC1202"/>
      <c r="CD1202"/>
      <c r="CE1202"/>
      <c r="CF1202"/>
      <c r="CG1202"/>
      <c r="CH1202"/>
      <c r="CI1202"/>
      <c r="CJ1202"/>
      <c r="CK1202"/>
      <c r="CL1202"/>
      <c r="CM1202"/>
      <c r="CN1202"/>
      <c r="CO1202"/>
      <c r="CP1202"/>
      <c r="CQ1202"/>
      <c r="CR1202"/>
      <c r="CS1202"/>
    </row>
    <row r="1203" spans="2:97">
      <c r="B1203"/>
      <c r="C1203" s="15" t="str">
        <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v>
      </c>
      <c r="D1203" s="23"/>
      <c r="E1203" s="23">
        <v>20</v>
      </c>
      <c r="F1203" s="23">
        <v>2</v>
      </c>
      <c r="G1203" s="23">
        <f t="shared" si="93"/>
        <v>22</v>
      </c>
      <c r="H1203" s="23" t="e" cm="1">
        <f t="array" ref="H1203">INDEX('GLOBAL LOG'!#REF!,ROW()-1194+15)</f>
        <v>#REF!</v>
      </c>
      <c r="I1203" s="23" t="e">
        <f>_xlfn.XLOOKUP(H1203,#REF!,#REF!,"",0,1)</f>
        <v>#REF!</v>
      </c>
      <c r="J1203" s="23" t="str">
        <f>IFERROR(I1203*#REF!,"")</f>
        <v/>
      </c>
      <c r="K1203" s="23" t="e" cm="1">
        <f t="array" ref="K1203">INDEX('GLOBAL LOG'!#REF!,ROW()-1194+15)</f>
        <v>#REF!</v>
      </c>
      <c r="L1203" s="23" t="e">
        <f>_xlfn.XLOOKUP(K1203,#REF!,#REF!,"",0,1)</f>
        <v>#REF!</v>
      </c>
      <c r="M1203" s="23" t="str">
        <f>IFERROR(L1203*#REF!,"")</f>
        <v/>
      </c>
      <c r="N1203" s="23">
        <f>IFERROR((D1203-#REF!)/#REF!*COUNT!J1203*COUNT!M1203,0)</f>
        <v>0</v>
      </c>
      <c r="O1203" s="23">
        <f>IFERROR((E1203-#REF!)/#REF!*COUNT!J1203*COUNT!M1203,0)</f>
        <v>0</v>
      </c>
      <c r="P1203" s="23">
        <f>IFERROR((F1203-#REF!)/#REF!*COUNT!J1203*COUNT!M1203,0)</f>
        <v>0</v>
      </c>
      <c r="Q1203" s="23">
        <f>IFERROR((G1203-#REF!)/#REF!*COUNT!J1203*COUNT!M1203,0)</f>
        <v>0</v>
      </c>
      <c r="R1203"/>
      <c r="S1203" s="1" t="str">
        <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v>
      </c>
      <c r="T1203" s="24">
        <v>0</v>
      </c>
      <c r="U1203"/>
      <c r="V1203" s="1" t="str">
        <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v>
      </c>
      <c r="W1203" s="24">
        <v>0</v>
      </c>
      <c r="X1203"/>
      <c r="Y1203" s="1" t="str">
        <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v>
      </c>
      <c r="Z1203" s="24">
        <v>0</v>
      </c>
      <c r="AA1203"/>
      <c r="AB1203" s="1" t="str">
        <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v>
      </c>
      <c r="AC1203" s="24">
        <v>0</v>
      </c>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c r="CA1203"/>
      <c r="CB1203"/>
      <c r="CC1203"/>
      <c r="CD1203"/>
      <c r="CE1203"/>
      <c r="CF1203"/>
      <c r="CG1203"/>
      <c r="CH1203"/>
      <c r="CI1203"/>
      <c r="CJ1203"/>
      <c r="CK1203"/>
      <c r="CL1203"/>
      <c r="CM1203"/>
      <c r="CN1203"/>
      <c r="CO1203"/>
      <c r="CP1203"/>
      <c r="CQ1203"/>
      <c r="CR1203"/>
      <c r="CS1203"/>
    </row>
    <row r="1204" spans="2:97">
      <c r="B1204"/>
      <c r="C1204" s="15" t="str">
        <v>World2Fly  Min term extension (life) - 1 a/c exit from 2026. 5yr term but 12yr lease term. Contract extension in 2025
Plus sell used SPE to reduce NDSES costs in CRP (Minimal but supports the OE sale)</v>
      </c>
      <c r="D1204" s="23"/>
      <c r="E1204" s="23">
        <v>0</v>
      </c>
      <c r="F1204" s="23">
        <v>0</v>
      </c>
      <c r="G1204" s="23">
        <f t="shared" si="93"/>
        <v>0</v>
      </c>
      <c r="H1204" s="23" t="e" cm="1">
        <f t="array" ref="H1204">INDEX('GLOBAL LOG'!#REF!,ROW()-1194+15)</f>
        <v>#REF!</v>
      </c>
      <c r="I1204" s="23" t="e">
        <f>_xlfn.XLOOKUP(H1204,#REF!,#REF!,"",0,1)</f>
        <v>#REF!</v>
      </c>
      <c r="J1204" s="23" t="str">
        <f>IFERROR(I1204*#REF!,"")</f>
        <v/>
      </c>
      <c r="K1204" s="23" t="e" cm="1">
        <f t="array" ref="K1204">INDEX('GLOBAL LOG'!#REF!,ROW()-1194+15)</f>
        <v>#REF!</v>
      </c>
      <c r="L1204" s="23" t="e">
        <f>_xlfn.XLOOKUP(K1204,#REF!,#REF!,"",0,1)</f>
        <v>#REF!</v>
      </c>
      <c r="M1204" s="23" t="str">
        <f>IFERROR(L1204*#REF!,"")</f>
        <v/>
      </c>
      <c r="N1204" s="23">
        <f>IFERROR((D1204-#REF!)/#REF!*COUNT!J1204*COUNT!M1204,0)</f>
        <v>0</v>
      </c>
      <c r="O1204" s="23">
        <f>IFERROR((E1204-#REF!)/#REF!*COUNT!J1204*COUNT!M1204,0)</f>
        <v>0</v>
      </c>
      <c r="P1204" s="23">
        <f>IFERROR((F1204-#REF!)/#REF!*COUNT!J1204*COUNT!M1204,0)</f>
        <v>0</v>
      </c>
      <c r="Q1204" s="23">
        <f>IFERROR((G1204-#REF!)/#REF!*COUNT!J1204*COUNT!M1204,0)</f>
        <v>0</v>
      </c>
      <c r="R1204"/>
      <c r="S1204" s="1" t="str">
        <v>World2Fly  Min term extension (life) - 1 a/c exit from 2026. 5yr term but 12yr lease term. Contract extension in 2025
Plus sell used SPE to reduce NDSES costs in CRP (Minimal but supports the OE sale)</v>
      </c>
      <c r="T1204" s="24">
        <v>0</v>
      </c>
      <c r="U1204"/>
      <c r="V1204" s="1" t="str">
        <v>World2Fly  Min term extension (life) - 1 a/c exit from 2026. 5yr term but 12yr lease term. Contract extension in 2025
Plus sell used SPE to reduce NDSES costs in CRP (Minimal but supports the OE sale)</v>
      </c>
      <c r="W1204" s="24">
        <v>0</v>
      </c>
      <c r="X1204"/>
      <c r="Y1204" s="1" t="str">
        <v>World2Fly  Min term extension (life) - 1 a/c exit from 2026. 5yr term but 12yr lease term. Contract extension in 2025
Plus sell used SPE to reduce NDSES costs in CRP (Minimal but supports the OE sale)</v>
      </c>
      <c r="Z1204" s="24">
        <v>0</v>
      </c>
      <c r="AA1204"/>
      <c r="AB1204" s="1" t="str">
        <v>World2Fly  Min term extension (life) - 1 a/c exit from 2026. 5yr term but 12yr lease term. Contract extension in 2025
Plus sell used SPE to reduce NDSES costs in CRP (Minimal but supports the OE sale)</v>
      </c>
      <c r="AC1204" s="24">
        <v>0</v>
      </c>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c r="CA1204"/>
      <c r="CB1204"/>
      <c r="CC1204"/>
      <c r="CD1204"/>
      <c r="CE1204"/>
      <c r="CF1204"/>
      <c r="CG1204"/>
      <c r="CH1204"/>
      <c r="CI1204"/>
      <c r="CJ1204"/>
      <c r="CK1204"/>
      <c r="CL1204"/>
      <c r="CM1204"/>
      <c r="CN1204"/>
      <c r="CO1204"/>
      <c r="CP1204"/>
      <c r="CQ1204"/>
      <c r="CR1204"/>
      <c r="CS1204"/>
    </row>
    <row r="1205" spans="2:97">
      <c r="B1205"/>
      <c r="C1205" s="15" t="str">
        <v>British Airways  Life Min Term extension to 25 years for owned a/c and 12 years for leased a/c, plus removal of EoCL for a $/efh discount on both Engine &amp; LLPs.</v>
      </c>
      <c r="D1205" s="23"/>
      <c r="E1205" s="23">
        <v>35</v>
      </c>
      <c r="F1205" s="23">
        <v>0</v>
      </c>
      <c r="G1205" s="23">
        <f t="shared" si="93"/>
        <v>35</v>
      </c>
      <c r="H1205" s="23" t="e" cm="1">
        <f t="array" ref="H1205">INDEX('GLOBAL LOG'!#REF!,ROW()-1194+15)</f>
        <v>#REF!</v>
      </c>
      <c r="I1205" s="23" t="e">
        <f>_xlfn.XLOOKUP(H1205,#REF!,#REF!,"",0,1)</f>
        <v>#REF!</v>
      </c>
      <c r="J1205" s="23" t="str">
        <f>IFERROR(I1205*#REF!,"")</f>
        <v/>
      </c>
      <c r="K1205" s="23" t="e" cm="1">
        <f t="array" ref="K1205">INDEX('GLOBAL LOG'!#REF!,ROW()-1194+15)</f>
        <v>#REF!</v>
      </c>
      <c r="L1205" s="23" t="e">
        <f>_xlfn.XLOOKUP(K1205,#REF!,#REF!,"",0,1)</f>
        <v>#REF!</v>
      </c>
      <c r="M1205" s="23" t="str">
        <f>IFERROR(L1205*#REF!,"")</f>
        <v/>
      </c>
      <c r="N1205" s="23">
        <f>IFERROR((D1205-#REF!)/#REF!*COUNT!J1205*COUNT!M1205,0)</f>
        <v>0</v>
      </c>
      <c r="O1205" s="23">
        <f>IFERROR((E1205-#REF!)/#REF!*COUNT!J1205*COUNT!M1205,0)</f>
        <v>0</v>
      </c>
      <c r="P1205" s="23">
        <f>IFERROR((F1205-#REF!)/#REF!*COUNT!J1205*COUNT!M1205,0)</f>
        <v>0</v>
      </c>
      <c r="Q1205" s="23">
        <f>IFERROR((G1205-#REF!)/#REF!*COUNT!J1205*COUNT!M1205,0)</f>
        <v>0</v>
      </c>
      <c r="R1205"/>
      <c r="S1205" s="1" t="str">
        <v>British Airways  Life Min Term extension to 25 years for owned a/c and 12 years for leased a/c, plus removal of EoCL for a $/efh discount on both Engine &amp; LLPs.</v>
      </c>
      <c r="T1205" s="24">
        <v>0</v>
      </c>
      <c r="U1205"/>
      <c r="V1205" s="1" t="str">
        <v>British Airways  Life Min Term extension to 25 years for owned a/c and 12 years for leased a/c, plus removal of EoCL for a $/efh discount on both Engine &amp; LLPs.</v>
      </c>
      <c r="W1205" s="24">
        <v>0</v>
      </c>
      <c r="X1205"/>
      <c r="Y1205" s="1" t="str">
        <v>British Airways  Life Min Term extension to 25 years for owned a/c and 12 years for leased a/c, plus removal of EoCL for a $/efh discount on both Engine &amp; LLPs.</v>
      </c>
      <c r="Z1205" s="24">
        <v>0</v>
      </c>
      <c r="AA1205"/>
      <c r="AB1205" s="1" t="str">
        <v>British Airways  Life Min Term extension to 25 years for owned a/c and 12 years for leased a/c, plus removal of EoCL for a $/efh discount on both Engine &amp; LLPs.</v>
      </c>
      <c r="AC1205" s="24">
        <v>0</v>
      </c>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c r="CA1205"/>
      <c r="CB1205"/>
      <c r="CC1205"/>
      <c r="CD1205"/>
      <c r="CE1205"/>
      <c r="CF1205"/>
      <c r="CG1205"/>
      <c r="CH1205"/>
      <c r="CI1205"/>
      <c r="CJ1205"/>
      <c r="CK1205"/>
      <c r="CL1205"/>
      <c r="CM1205"/>
      <c r="CN1205"/>
      <c r="CO1205"/>
      <c r="CP1205"/>
      <c r="CQ1205"/>
      <c r="CR1205"/>
      <c r="CS1205"/>
    </row>
    <row r="1206" spans="2:97">
      <c r="B1206"/>
      <c r="C1206" s="15" t="str">
        <v>Hawaiian Airlines  EFH discount in return for addition 20x SV commitment. Negotiations ongoing.</v>
      </c>
      <c r="D1206" s="23"/>
      <c r="E1206" s="23">
        <v>7.6</v>
      </c>
      <c r="F1206" s="23">
        <v>7.6</v>
      </c>
      <c r="G1206" s="23">
        <f t="shared" si="93"/>
        <v>15.2</v>
      </c>
      <c r="H1206" s="23" t="e" cm="1">
        <f t="array" ref="H1206">INDEX('GLOBAL LOG'!#REF!,ROW()-1194+15)</f>
        <v>#REF!</v>
      </c>
      <c r="I1206" s="23" t="e">
        <f>_xlfn.XLOOKUP(H1206,#REF!,#REF!,"",0,1)</f>
        <v>#REF!</v>
      </c>
      <c r="J1206" s="23" t="str">
        <f>IFERROR(I1206*#REF!,"")</f>
        <v/>
      </c>
      <c r="K1206" s="23" t="e" cm="1">
        <f t="array" ref="K1206">INDEX('GLOBAL LOG'!#REF!,ROW()-1194+15)</f>
        <v>#REF!</v>
      </c>
      <c r="L1206" s="23" t="e">
        <f>_xlfn.XLOOKUP(K1206,#REF!,#REF!,"",0,1)</f>
        <v>#REF!</v>
      </c>
      <c r="M1206" s="23" t="str">
        <f>IFERROR(L1206*#REF!,"")</f>
        <v/>
      </c>
      <c r="N1206" s="23">
        <f>IFERROR((D1206-#REF!)/#REF!*COUNT!J1206*COUNT!M1206,0)</f>
        <v>0</v>
      </c>
      <c r="O1206" s="23">
        <f>IFERROR((E1206-#REF!)/#REF!*COUNT!J1206*COUNT!M1206,0)</f>
        <v>0</v>
      </c>
      <c r="P1206" s="23">
        <f>IFERROR((F1206-#REF!)/#REF!*COUNT!J1206*COUNT!M1206,0)</f>
        <v>0</v>
      </c>
      <c r="Q1206" s="23">
        <f>IFERROR((G1206-#REF!)/#REF!*COUNT!J1206*COUNT!M1206,0)</f>
        <v>0</v>
      </c>
      <c r="R1206"/>
      <c r="S1206" s="1" t="str">
        <v>Hawaiian Airlines  EFH discount in return for addition 20x SV commitment. Negotiations ongoing.</v>
      </c>
      <c r="T1206" s="24">
        <v>0</v>
      </c>
      <c r="U1206"/>
      <c r="V1206" s="1" t="str">
        <v>Hawaiian Airlines  EFH discount in return for addition 20x SV commitment. Negotiations ongoing.</v>
      </c>
      <c r="W1206" s="24">
        <v>0</v>
      </c>
      <c r="X1206"/>
      <c r="Y1206" s="1" t="str">
        <v>Hawaiian Airlines  EFH discount in return for addition 20x SV commitment. Negotiations ongoing.</v>
      </c>
      <c r="Z1206" s="24">
        <v>0</v>
      </c>
      <c r="AA1206"/>
      <c r="AB1206" s="1" t="str">
        <v>Hawaiian Airlines  EFH discount in return for addition 20x SV commitment. Negotiations ongoing.</v>
      </c>
      <c r="AC1206" s="24">
        <v>0</v>
      </c>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c r="CA1206"/>
      <c r="CB1206"/>
      <c r="CC1206"/>
      <c r="CD1206"/>
      <c r="CE1206"/>
      <c r="CF1206"/>
      <c r="CG1206"/>
      <c r="CH1206"/>
      <c r="CI1206"/>
      <c r="CJ1206"/>
      <c r="CK1206"/>
      <c r="CL1206"/>
      <c r="CM1206"/>
      <c r="CN1206"/>
      <c r="CO1206"/>
      <c r="CP1206"/>
      <c r="CQ1206"/>
      <c r="CR1206"/>
      <c r="CS1206"/>
    </row>
    <row r="1207" spans="2:97">
      <c r="B1207"/>
      <c r="C1207" s="15" t="str">
        <v>Qatar Exit for convenience removal -84</v>
      </c>
      <c r="D1207" s="23"/>
      <c r="E1207" s="23">
        <v>15</v>
      </c>
      <c r="F1207" s="23">
        <v>39</v>
      </c>
      <c r="G1207" s="23">
        <f t="shared" si="93"/>
        <v>54</v>
      </c>
      <c r="H1207" s="23" t="e" cm="1">
        <f t="array" ref="H1207">INDEX('GLOBAL LOG'!#REF!,ROW()-1194+15)</f>
        <v>#REF!</v>
      </c>
      <c r="I1207" s="23" t="e">
        <f>_xlfn.XLOOKUP(H1207,#REF!,#REF!,"",0,1)</f>
        <v>#REF!</v>
      </c>
      <c r="J1207" s="23" t="str">
        <f>IFERROR(I1207*#REF!,"")</f>
        <v/>
      </c>
      <c r="K1207" s="23" t="e" cm="1">
        <f t="array" ref="K1207">INDEX('GLOBAL LOG'!#REF!,ROW()-1194+15)</f>
        <v>#REF!</v>
      </c>
      <c r="L1207" s="23" t="e">
        <f>_xlfn.XLOOKUP(K1207,#REF!,#REF!,"",0,1)</f>
        <v>#REF!</v>
      </c>
      <c r="M1207" s="23" t="str">
        <f>IFERROR(L1207*#REF!,"")</f>
        <v/>
      </c>
      <c r="N1207" s="23">
        <f>IFERROR((D1207-#REF!)/#REF!*COUNT!J1207*COUNT!M1207,0)</f>
        <v>0</v>
      </c>
      <c r="O1207" s="23">
        <f>IFERROR((E1207-#REF!)/#REF!*COUNT!J1207*COUNT!M1207,0)</f>
        <v>0</v>
      </c>
      <c r="P1207" s="23">
        <f>IFERROR((F1207-#REF!)/#REF!*COUNT!J1207*COUNT!M1207,0)</f>
        <v>0</v>
      </c>
      <c r="Q1207" s="23">
        <f>IFERROR((G1207-#REF!)/#REF!*COUNT!J1207*COUNT!M1207,0)</f>
        <v>0</v>
      </c>
      <c r="R1207"/>
      <c r="S1207" s="1" t="str">
        <v>Qatar Exit for convenience removal -84</v>
      </c>
      <c r="T1207" s="24">
        <v>0</v>
      </c>
      <c r="U1207"/>
      <c r="V1207" s="1" t="str">
        <v>Qatar Exit for convenience removal -84</v>
      </c>
      <c r="W1207" s="24">
        <v>0</v>
      </c>
      <c r="X1207"/>
      <c r="Y1207" s="1" t="str">
        <v>Qatar Exit for convenience removal -84</v>
      </c>
      <c r="Z1207" s="24">
        <v>0</v>
      </c>
      <c r="AA1207"/>
      <c r="AB1207" s="1" t="str">
        <v>Qatar Exit for convenience removal -84</v>
      </c>
      <c r="AC1207" s="24">
        <v>0</v>
      </c>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c r="CA1207"/>
      <c r="CB1207"/>
      <c r="CC1207"/>
      <c r="CD1207"/>
      <c r="CE1207"/>
      <c r="CF1207"/>
      <c r="CG1207"/>
      <c r="CH1207"/>
      <c r="CI1207"/>
      <c r="CJ1207"/>
      <c r="CK1207"/>
      <c r="CL1207"/>
      <c r="CM1207"/>
      <c r="CN1207"/>
      <c r="CO1207"/>
      <c r="CP1207"/>
      <c r="CQ1207"/>
      <c r="CR1207"/>
      <c r="CS1207"/>
    </row>
    <row r="1208" spans="2:97">
      <c r="B1208"/>
      <c r="C1208" s="15" t="str">
        <v>Etihad TCA Reconciliation (CRP Improvement)</v>
      </c>
      <c r="D1208" s="23"/>
      <c r="E1208" s="23">
        <v>2.3199999999999998</v>
      </c>
      <c r="F1208" s="23">
        <v>0</v>
      </c>
      <c r="G1208" s="23">
        <f t="shared" si="93"/>
        <v>2.3199999999999998</v>
      </c>
      <c r="H1208" s="23" t="e" cm="1">
        <f t="array" ref="H1208">INDEX('GLOBAL LOG'!#REF!,ROW()-1194+15)</f>
        <v>#REF!</v>
      </c>
      <c r="I1208" s="23" t="e">
        <f>_xlfn.XLOOKUP(H1208,#REF!,#REF!,"",0,1)</f>
        <v>#REF!</v>
      </c>
      <c r="J1208" s="23" t="str">
        <f>IFERROR(I1208*#REF!,"")</f>
        <v/>
      </c>
      <c r="K1208" s="23" t="e" cm="1">
        <f t="array" ref="K1208">INDEX('GLOBAL LOG'!#REF!,ROW()-1194+15)</f>
        <v>#REF!</v>
      </c>
      <c r="L1208" s="23" t="e">
        <f>_xlfn.XLOOKUP(K1208,#REF!,#REF!,"",0,1)</f>
        <v>#REF!</v>
      </c>
      <c r="M1208" s="23" t="str">
        <f>IFERROR(L1208*#REF!,"")</f>
        <v/>
      </c>
      <c r="N1208" s="23">
        <f>IFERROR((D1208-#REF!)/#REF!*COUNT!J1208*COUNT!M1208,0)</f>
        <v>0</v>
      </c>
      <c r="O1208" s="23">
        <f>IFERROR((E1208-#REF!)/#REF!*COUNT!J1208*COUNT!M1208,0)</f>
        <v>0</v>
      </c>
      <c r="P1208" s="23">
        <f>IFERROR((F1208-#REF!)/#REF!*COUNT!J1208*COUNT!M1208,0)</f>
        <v>0</v>
      </c>
      <c r="Q1208" s="23">
        <f>IFERROR((G1208-#REF!)/#REF!*COUNT!J1208*COUNT!M1208,0)</f>
        <v>0</v>
      </c>
      <c r="R1208"/>
      <c r="S1208" s="1" t="str">
        <v>Etihad TCA Reconciliation (CRP Improvement)</v>
      </c>
      <c r="T1208" s="24">
        <v>0</v>
      </c>
      <c r="U1208"/>
      <c r="V1208" s="1" t="str">
        <v>Etihad TCA Reconciliation (CRP Improvement)</v>
      </c>
      <c r="W1208" s="24">
        <v>0</v>
      </c>
      <c r="X1208"/>
      <c r="Y1208" s="1" t="str">
        <v>Etihad TCA Reconciliation (CRP Improvement)</v>
      </c>
      <c r="Z1208" s="24">
        <v>0</v>
      </c>
      <c r="AA1208"/>
      <c r="AB1208" s="1" t="str">
        <v>Etihad TCA Reconciliation (CRP Improvement)</v>
      </c>
      <c r="AC1208" s="24">
        <v>0</v>
      </c>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c r="CA1208"/>
      <c r="CB1208"/>
      <c r="CC1208"/>
      <c r="CD1208"/>
      <c r="CE1208"/>
      <c r="CF1208"/>
      <c r="CG1208"/>
      <c r="CH1208"/>
      <c r="CI1208"/>
      <c r="CJ1208"/>
      <c r="CK1208"/>
      <c r="CL1208"/>
      <c r="CM1208"/>
      <c r="CN1208"/>
      <c r="CO1208"/>
      <c r="CP1208"/>
      <c r="CQ1208"/>
      <c r="CR1208"/>
      <c r="CS1208"/>
    </row>
    <row r="1209" spans="2:97">
      <c r="B1209"/>
      <c r="C1209" s="15" t="str">
        <v>Emirates Trent XWB Full MRO for improved CRP</v>
      </c>
      <c r="D1209" s="23"/>
      <c r="E1209" s="23">
        <v>0</v>
      </c>
      <c r="F1209" s="23" t="str">
        <v/>
      </c>
      <c r="G1209" s="23" t="e">
        <f t="shared" si="93"/>
        <v>#VALUE!</v>
      </c>
      <c r="H1209" s="23" t="e" cm="1">
        <f t="array" ref="H1209">INDEX('GLOBAL LOG'!#REF!,ROW()-1194+15)</f>
        <v>#REF!</v>
      </c>
      <c r="I1209" s="23" t="e">
        <f>_xlfn.XLOOKUP(H1209,#REF!,#REF!,"",0,1)</f>
        <v>#REF!</v>
      </c>
      <c r="J1209" s="23" t="str">
        <f>IFERROR(I1209*#REF!,"")</f>
        <v/>
      </c>
      <c r="K1209" s="23" t="e" cm="1">
        <f t="array" ref="K1209">INDEX('GLOBAL LOG'!#REF!,ROW()-1194+15)</f>
        <v>#REF!</v>
      </c>
      <c r="L1209" s="23" t="e">
        <f>_xlfn.XLOOKUP(K1209,#REF!,#REF!,"",0,1)</f>
        <v>#REF!</v>
      </c>
      <c r="M1209" s="23" t="str">
        <f>IFERROR(L1209*#REF!,"")</f>
        <v/>
      </c>
      <c r="N1209" s="23">
        <f>IFERROR((D1209-#REF!)/#REF!*COUNT!J1209*COUNT!M1209,0)</f>
        <v>0</v>
      </c>
      <c r="O1209" s="23">
        <f>IFERROR((E1209-#REF!)/#REF!*COUNT!J1209*COUNT!M1209,0)</f>
        <v>0</v>
      </c>
      <c r="P1209" s="23">
        <f>IFERROR((F1209-#REF!)/#REF!*COUNT!J1209*COUNT!M1209,0)</f>
        <v>0</v>
      </c>
      <c r="Q1209" s="23">
        <f>IFERROR((G1209-#REF!)/#REF!*COUNT!J1209*COUNT!M1209,0)</f>
        <v>0</v>
      </c>
      <c r="R1209"/>
      <c r="S1209" s="1" t="str">
        <v>Emirates Trent XWB Full MRO for improved CRP</v>
      </c>
      <c r="T1209" s="24">
        <v>0</v>
      </c>
      <c r="U1209"/>
      <c r="V1209" s="1" t="str">
        <v>Emirates Trent XWB Full MRO for improved CRP</v>
      </c>
      <c r="W1209" s="24">
        <v>0</v>
      </c>
      <c r="X1209"/>
      <c r="Y1209" s="1" t="str">
        <v>Emirates Trent XWB Full MRO for improved CRP</v>
      </c>
      <c r="Z1209" s="24">
        <v>0</v>
      </c>
      <c r="AA1209"/>
      <c r="AB1209" s="1" t="str">
        <v>Emirates Trent XWB Full MRO for improved CRP</v>
      </c>
      <c r="AC1209" s="24">
        <v>0</v>
      </c>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c r="CA1209"/>
      <c r="CB1209"/>
      <c r="CC1209"/>
      <c r="CD1209"/>
      <c r="CE1209"/>
      <c r="CF1209"/>
      <c r="CG1209"/>
      <c r="CH1209"/>
      <c r="CI1209"/>
      <c r="CJ1209"/>
      <c r="CK1209"/>
      <c r="CL1209"/>
      <c r="CM1209"/>
      <c r="CN1209"/>
      <c r="CO1209"/>
      <c r="CP1209"/>
      <c r="CQ1209"/>
      <c r="CR1209"/>
      <c r="CS1209"/>
    </row>
    <row r="1210" spans="2:97">
      <c r="B1210"/>
      <c r="C1210" s="15" t="str">
        <v>Qatar Exit for convenience removal -97</v>
      </c>
      <c r="D1210" s="23"/>
      <c r="E1210" s="23">
        <v>0</v>
      </c>
      <c r="F1210" s="23">
        <v>0</v>
      </c>
      <c r="G1210" s="23">
        <f t="shared" si="93"/>
        <v>0</v>
      </c>
      <c r="H1210" s="23" t="e" cm="1">
        <f t="array" ref="H1210">INDEX('GLOBAL LOG'!#REF!,ROW()-1194+15)</f>
        <v>#REF!</v>
      </c>
      <c r="I1210" s="23" t="e">
        <f>_xlfn.XLOOKUP(H1210,#REF!,#REF!,"",0,1)</f>
        <v>#REF!</v>
      </c>
      <c r="J1210" s="23" t="str">
        <f>IFERROR(I1210*#REF!,"")</f>
        <v/>
      </c>
      <c r="K1210" s="23" t="e" cm="1">
        <f t="array" ref="K1210">INDEX('GLOBAL LOG'!#REF!,ROW()-1194+15)</f>
        <v>#REF!</v>
      </c>
      <c r="L1210" s="23" t="e">
        <f>_xlfn.XLOOKUP(K1210,#REF!,#REF!,"",0,1)</f>
        <v>#REF!</v>
      </c>
      <c r="M1210" s="23" t="str">
        <f>IFERROR(L1210*#REF!,"")</f>
        <v/>
      </c>
      <c r="N1210" s="23">
        <f>IFERROR((D1210-#REF!)/#REF!*COUNT!J1210*COUNT!M1210,0)</f>
        <v>0</v>
      </c>
      <c r="O1210" s="23">
        <f>IFERROR((E1210-#REF!)/#REF!*COUNT!J1210*COUNT!M1210,0)</f>
        <v>0</v>
      </c>
      <c r="P1210" s="23">
        <f>IFERROR((F1210-#REF!)/#REF!*COUNT!J1210*COUNT!M1210,0)</f>
        <v>0</v>
      </c>
      <c r="Q1210" s="23">
        <f>IFERROR((G1210-#REF!)/#REF!*COUNT!J1210*COUNT!M1210,0)</f>
        <v>0</v>
      </c>
      <c r="R1210"/>
      <c r="S1210" s="1" t="str">
        <v>Qatar Exit for convenience removal -97</v>
      </c>
      <c r="T1210" s="24">
        <v>0</v>
      </c>
      <c r="U1210"/>
      <c r="V1210" s="1" t="str">
        <v>Qatar Exit for convenience removal -97</v>
      </c>
      <c r="W1210" s="24">
        <v>0</v>
      </c>
      <c r="X1210"/>
      <c r="Y1210" s="1" t="str">
        <v>Qatar Exit for convenience removal -97</v>
      </c>
      <c r="Z1210" s="24">
        <v>0</v>
      </c>
      <c r="AA1210"/>
      <c r="AB1210" s="1" t="str">
        <v>Qatar Exit for convenience removal -97</v>
      </c>
      <c r="AC1210" s="24">
        <v>0</v>
      </c>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c r="CA1210"/>
      <c r="CB1210"/>
      <c r="CC1210"/>
      <c r="CD1210"/>
      <c r="CE1210"/>
      <c r="CF1210"/>
      <c r="CG1210"/>
      <c r="CH1210"/>
      <c r="CI1210"/>
      <c r="CJ1210"/>
      <c r="CK1210"/>
      <c r="CL1210"/>
      <c r="CM1210"/>
      <c r="CN1210"/>
      <c r="CO1210"/>
      <c r="CP1210"/>
      <c r="CQ1210"/>
      <c r="CR1210"/>
      <c r="CS1210"/>
    </row>
    <row r="1211" spans="2:97">
      <c r="B1211"/>
      <c r="C1211" s="15" t="str">
        <v>Ethiopian Airlines Restructure exisiting contract -Credit Back Removal
As part of A350-900 campaign</v>
      </c>
      <c r="D1211" s="23"/>
      <c r="E1211" s="23">
        <v>0</v>
      </c>
      <c r="F1211" s="23">
        <v>0</v>
      </c>
      <c r="G1211" s="23">
        <f t="shared" si="93"/>
        <v>0</v>
      </c>
      <c r="H1211" s="23" t="e" cm="1">
        <f t="array" ref="H1211">INDEX('GLOBAL LOG'!#REF!,ROW()-1194+15)</f>
        <v>#REF!</v>
      </c>
      <c r="I1211" s="23" t="e">
        <f>_xlfn.XLOOKUP(H1211,#REF!,#REF!,"",0,1)</f>
        <v>#REF!</v>
      </c>
      <c r="J1211" s="23" t="str">
        <f>IFERROR(I1211*#REF!,"")</f>
        <v/>
      </c>
      <c r="K1211" s="23" t="e" cm="1">
        <f t="array" ref="K1211">INDEX('GLOBAL LOG'!#REF!,ROW()-1194+15)</f>
        <v>#REF!</v>
      </c>
      <c r="L1211" s="23" t="e">
        <f>_xlfn.XLOOKUP(K1211,#REF!,#REF!,"",0,1)</f>
        <v>#REF!</v>
      </c>
      <c r="M1211" s="23" t="str">
        <f>IFERROR(L1211*#REF!,"")</f>
        <v/>
      </c>
      <c r="N1211" s="23">
        <f>IFERROR((D1211-#REF!)/#REF!*COUNT!J1211*COUNT!M1211,0)</f>
        <v>0</v>
      </c>
      <c r="O1211" s="23">
        <f>IFERROR((E1211-#REF!)/#REF!*COUNT!J1211*COUNT!M1211,0)</f>
        <v>0</v>
      </c>
      <c r="P1211" s="23">
        <f>IFERROR((F1211-#REF!)/#REF!*COUNT!J1211*COUNT!M1211,0)</f>
        <v>0</v>
      </c>
      <c r="Q1211" s="23">
        <f>IFERROR((G1211-#REF!)/#REF!*COUNT!J1211*COUNT!M1211,0)</f>
        <v>0</v>
      </c>
      <c r="R1211"/>
      <c r="S1211" s="1" t="str">
        <v>Ethiopian Airlines Restructure exisiting contract -Credit Back Removal
As part of A350-900 campaign</v>
      </c>
      <c r="T1211" s="24">
        <v>0</v>
      </c>
      <c r="U1211"/>
      <c r="V1211" s="1" t="str">
        <v>Ethiopian Airlines Restructure exisiting contract -Credit Back Removal
As part of A350-900 campaign</v>
      </c>
      <c r="W1211" s="24">
        <v>0</v>
      </c>
      <c r="X1211"/>
      <c r="Y1211" s="1" t="str">
        <v>Ethiopian Airlines Restructure exisiting contract -Credit Back Removal
As part of A350-900 campaign</v>
      </c>
      <c r="Z1211" s="24">
        <v>0</v>
      </c>
      <c r="AA1211"/>
      <c r="AB1211" s="1" t="str">
        <v>Ethiopian Airlines Restructure exisiting contract -Credit Back Removal
As part of A350-900 campaign</v>
      </c>
      <c r="AC1211" s="24">
        <v>0</v>
      </c>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c r="CA1211"/>
      <c r="CB1211"/>
      <c r="CC1211"/>
      <c r="CD1211"/>
      <c r="CE1211"/>
      <c r="CF1211"/>
      <c r="CG1211"/>
      <c r="CH1211"/>
      <c r="CI1211"/>
      <c r="CJ1211"/>
      <c r="CK1211"/>
      <c r="CL1211"/>
      <c r="CM1211"/>
      <c r="CN1211"/>
      <c r="CO1211"/>
      <c r="CP1211"/>
      <c r="CQ1211"/>
      <c r="CR1211"/>
      <c r="CS1211"/>
    </row>
    <row r="1212" spans="2:97">
      <c r="B1212"/>
      <c r="C1212" s="15" t="str">
        <v>Iberia  Min term extension (life) - 2x leased a/c meet minimum term in 2026. Contract extension to 2030 inline with revised lease terms. Contracted in 2025, linked to matrix extension resolution.</v>
      </c>
      <c r="D1212" s="23"/>
      <c r="E1212" s="23">
        <v>0</v>
      </c>
      <c r="F1212" s="23">
        <v>0</v>
      </c>
      <c r="G1212" s="23">
        <f t="shared" si="93"/>
        <v>0</v>
      </c>
      <c r="H1212" s="23" t="e" cm="1">
        <f t="array" ref="H1212">INDEX('GLOBAL LOG'!#REF!,ROW()-1194+15)</f>
        <v>#REF!</v>
      </c>
      <c r="I1212" s="23" t="e">
        <f>_xlfn.XLOOKUP(H1212,#REF!,#REF!,"",0,1)</f>
        <v>#REF!</v>
      </c>
      <c r="J1212" s="23" t="str">
        <f>IFERROR(I1212*#REF!,"")</f>
        <v/>
      </c>
      <c r="K1212" s="23" t="e" cm="1">
        <f t="array" ref="K1212">INDEX('GLOBAL LOG'!#REF!,ROW()-1194+15)</f>
        <v>#REF!</v>
      </c>
      <c r="L1212" s="23" t="e">
        <f>_xlfn.XLOOKUP(K1212,#REF!,#REF!,"",0,1)</f>
        <v>#REF!</v>
      </c>
      <c r="M1212" s="23" t="str">
        <f>IFERROR(L1212*#REF!,"")</f>
        <v/>
      </c>
      <c r="N1212" s="23">
        <f>IFERROR((D1212-#REF!)/#REF!*COUNT!J1212*COUNT!M1212,0)</f>
        <v>0</v>
      </c>
      <c r="O1212" s="23">
        <f>IFERROR((E1212-#REF!)/#REF!*COUNT!J1212*COUNT!M1212,0)</f>
        <v>0</v>
      </c>
      <c r="P1212" s="23">
        <f>IFERROR((F1212-#REF!)/#REF!*COUNT!J1212*COUNT!M1212,0)</f>
        <v>0</v>
      </c>
      <c r="Q1212" s="23">
        <f>IFERROR((G1212-#REF!)/#REF!*COUNT!J1212*COUNT!M1212,0)</f>
        <v>0</v>
      </c>
      <c r="R1212"/>
      <c r="S1212" s="1" t="str">
        <v>Iberia  Min term extension (life) - 2x leased a/c meet minimum term in 2026. Contract extension to 2030 inline with revised lease terms. Contracted in 2025, linked to matrix extension resolution.</v>
      </c>
      <c r="T1212" s="24">
        <v>0</v>
      </c>
      <c r="U1212"/>
      <c r="V1212" s="1" t="str">
        <v>Iberia  Min term extension (life) - 2x leased a/c meet minimum term in 2026. Contract extension to 2030 inline with revised lease terms. Contracted in 2025, linked to matrix extension resolution.</v>
      </c>
      <c r="W1212" s="24">
        <v>0</v>
      </c>
      <c r="X1212"/>
      <c r="Y1212" s="1" t="str">
        <v>Iberia  Min term extension (life) - 2x leased a/c meet minimum term in 2026. Contract extension to 2030 inline with revised lease terms. Contracted in 2025, linked to matrix extension resolution.</v>
      </c>
      <c r="Z1212" s="24">
        <v>0</v>
      </c>
      <c r="AA1212"/>
      <c r="AB1212" s="1" t="str">
        <v>Iberia  Min term extension (life) - 2x leased a/c meet minimum term in 2026. Contract extension to 2030 inline with revised lease terms. Contracted in 2025, linked to matrix extension resolution.</v>
      </c>
      <c r="AC1212" s="24">
        <v>0</v>
      </c>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c r="CA1212"/>
      <c r="CB1212"/>
      <c r="CC1212"/>
      <c r="CD1212"/>
      <c r="CE1212"/>
      <c r="CF1212"/>
      <c r="CG1212"/>
      <c r="CH1212"/>
      <c r="CI1212"/>
      <c r="CJ1212"/>
      <c r="CK1212"/>
      <c r="CL1212"/>
      <c r="CM1212"/>
      <c r="CN1212"/>
      <c r="CO1212"/>
      <c r="CP1212"/>
      <c r="CQ1212"/>
      <c r="CR1212"/>
      <c r="CS1212"/>
    </row>
    <row r="1213" spans="2:97">
      <c r="B1213"/>
      <c r="C1213" s="15" t="str">
        <v xml:space="preserve">Air Canada  Flex contract extension. Current contract expiring end of 2027. </v>
      </c>
      <c r="D1213" s="23"/>
      <c r="E1213" s="23">
        <v>1E-3</v>
      </c>
      <c r="F1213" s="23">
        <v>1E-3</v>
      </c>
      <c r="G1213" s="23">
        <f t="shared" si="93"/>
        <v>2E-3</v>
      </c>
      <c r="H1213" s="23" t="e" cm="1">
        <f t="array" ref="H1213">INDEX('GLOBAL LOG'!#REF!,ROW()-1194+15)</f>
        <v>#REF!</v>
      </c>
      <c r="I1213" s="23" t="e">
        <f>_xlfn.XLOOKUP(H1213,#REF!,#REF!,"",0,1)</f>
        <v>#REF!</v>
      </c>
      <c r="J1213" s="23" t="str">
        <f>IFERROR(I1213*#REF!,"")</f>
        <v/>
      </c>
      <c r="K1213" s="23" t="e" cm="1">
        <f t="array" ref="K1213">INDEX('GLOBAL LOG'!#REF!,ROW()-1194+15)</f>
        <v>#REF!</v>
      </c>
      <c r="L1213" s="23" t="e">
        <f>_xlfn.XLOOKUP(K1213,#REF!,#REF!,"",0,1)</f>
        <v>#REF!</v>
      </c>
      <c r="M1213" s="23" t="str">
        <f>IFERROR(L1213*#REF!,"")</f>
        <v/>
      </c>
      <c r="N1213" s="23">
        <f>IFERROR((D1213-#REF!)/#REF!*COUNT!J1213*COUNT!M1213,0)</f>
        <v>0</v>
      </c>
      <c r="O1213" s="23">
        <f>IFERROR((E1213-#REF!)/#REF!*COUNT!J1213*COUNT!M1213,0)</f>
        <v>0</v>
      </c>
      <c r="P1213" s="23">
        <f>IFERROR((F1213-#REF!)/#REF!*COUNT!J1213*COUNT!M1213,0)</f>
        <v>0</v>
      </c>
      <c r="Q1213" s="23">
        <f>IFERROR((G1213-#REF!)/#REF!*COUNT!J1213*COUNT!M1213,0)</f>
        <v>0</v>
      </c>
      <c r="R1213"/>
      <c r="S1213" s="1" t="str">
        <v xml:space="preserve">Air Canada  Flex contract extension. Current contract expiring end of 2027. </v>
      </c>
      <c r="T1213" s="24">
        <v>0</v>
      </c>
      <c r="U1213"/>
      <c r="V1213" s="1" t="str">
        <v xml:space="preserve">Air Canada  Flex contract extension. Current contract expiring end of 2027. </v>
      </c>
      <c r="W1213" s="24">
        <v>0</v>
      </c>
      <c r="X1213"/>
      <c r="Y1213" s="1" t="str">
        <v xml:space="preserve">Air Canada  Flex contract extension. Current contract expiring end of 2027. </v>
      </c>
      <c r="Z1213" s="24">
        <v>0</v>
      </c>
      <c r="AA1213"/>
      <c r="AB1213" s="1" t="str">
        <v xml:space="preserve">Air Canada  Flex contract extension. Current contract expiring end of 2027. </v>
      </c>
      <c r="AC1213" s="24">
        <v>0</v>
      </c>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c r="CA1213"/>
      <c r="CB1213"/>
      <c r="CC1213"/>
      <c r="CD1213"/>
      <c r="CE1213"/>
      <c r="CF1213"/>
      <c r="CG1213"/>
      <c r="CH1213"/>
      <c r="CI1213"/>
      <c r="CJ1213"/>
      <c r="CK1213"/>
      <c r="CL1213"/>
      <c r="CM1213"/>
      <c r="CN1213"/>
      <c r="CO1213"/>
      <c r="CP1213"/>
      <c r="CQ1213"/>
      <c r="CR1213"/>
      <c r="CS1213"/>
    </row>
    <row r="1214" spans="2:97">
      <c r="B1214"/>
      <c r="C1214" s="15" t="str">
        <v>Lufthansa Pull forward of spare engines, working capital improvements (payment terms), reverse lease of engines, EP upsell</v>
      </c>
      <c r="D1214" s="23"/>
      <c r="E1214" s="23">
        <v>0</v>
      </c>
      <c r="F1214" s="23">
        <v>0</v>
      </c>
      <c r="G1214" s="23">
        <f t="shared" si="93"/>
        <v>0</v>
      </c>
      <c r="H1214" s="23" t="e" cm="1">
        <f t="array" ref="H1214">INDEX('GLOBAL LOG'!#REF!,ROW()-1194+15)</f>
        <v>#REF!</v>
      </c>
      <c r="I1214" s="23" t="e">
        <f>_xlfn.XLOOKUP(H1214,#REF!,#REF!,"",0,1)</f>
        <v>#REF!</v>
      </c>
      <c r="J1214" s="23" t="str">
        <f>IFERROR(I1214*#REF!,"")</f>
        <v/>
      </c>
      <c r="K1214" s="23" t="e" cm="1">
        <f t="array" ref="K1214">INDEX('GLOBAL LOG'!#REF!,ROW()-1194+15)</f>
        <v>#REF!</v>
      </c>
      <c r="L1214" s="23" t="e">
        <f>_xlfn.XLOOKUP(K1214,#REF!,#REF!,"",0,1)</f>
        <v>#REF!</v>
      </c>
      <c r="M1214" s="23" t="str">
        <f>IFERROR(L1214*#REF!,"")</f>
        <v/>
      </c>
      <c r="N1214" s="23">
        <f>IFERROR((D1214-#REF!)/#REF!*COUNT!J1214*COUNT!M1214,0)</f>
        <v>0</v>
      </c>
      <c r="O1214" s="23">
        <f>IFERROR((E1214-#REF!)/#REF!*COUNT!J1214*COUNT!M1214,0)</f>
        <v>0</v>
      </c>
      <c r="P1214" s="23">
        <f>IFERROR((F1214-#REF!)/#REF!*COUNT!J1214*COUNT!M1214,0)</f>
        <v>0</v>
      </c>
      <c r="Q1214" s="23">
        <f>IFERROR((G1214-#REF!)/#REF!*COUNT!J1214*COUNT!M1214,0)</f>
        <v>0</v>
      </c>
      <c r="R1214"/>
      <c r="S1214" s="1" t="str">
        <v>Lufthansa Pull forward of spare engines, working capital improvements (payment terms), reverse lease of engines, EP upsell</v>
      </c>
      <c r="T1214" s="24">
        <v>0</v>
      </c>
      <c r="U1214"/>
      <c r="V1214" s="1" t="str">
        <v>Lufthansa Pull forward of spare engines, working capital improvements (payment terms), reverse lease of engines, EP upsell</v>
      </c>
      <c r="W1214" s="24">
        <v>0</v>
      </c>
      <c r="X1214"/>
      <c r="Y1214" s="1" t="str">
        <v>Lufthansa Pull forward of spare engines, working capital improvements (payment terms), reverse lease of engines, EP upsell</v>
      </c>
      <c r="Z1214" s="24">
        <v>0</v>
      </c>
      <c r="AA1214"/>
      <c r="AB1214" s="1" t="str">
        <v>Lufthansa Pull forward of spare engines, working capital improvements (payment terms), reverse lease of engines, EP upsell</v>
      </c>
      <c r="AC1214" s="24">
        <v>0</v>
      </c>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c r="CA1214"/>
      <c r="CB1214"/>
      <c r="CC1214"/>
      <c r="CD1214"/>
      <c r="CE1214"/>
      <c r="CF1214"/>
      <c r="CG1214"/>
      <c r="CH1214"/>
      <c r="CI1214"/>
      <c r="CJ1214"/>
      <c r="CK1214"/>
      <c r="CL1214"/>
      <c r="CM1214"/>
      <c r="CN1214"/>
      <c r="CO1214"/>
      <c r="CP1214"/>
      <c r="CQ1214"/>
      <c r="CR1214"/>
      <c r="CS1214"/>
    </row>
    <row r="1215" spans="2:97">
      <c r="B1215"/>
      <c r="C1215" s="15" t="str">
        <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v>
      </c>
      <c r="D1215" s="23"/>
      <c r="E1215" s="23">
        <v>4</v>
      </c>
      <c r="F1215" s="23" t="str">
        <v>Confirm with Bobby</v>
      </c>
      <c r="G1215" s="23" t="e">
        <f t="shared" si="93"/>
        <v>#VALUE!</v>
      </c>
      <c r="H1215" s="23" t="e" cm="1">
        <f t="array" ref="H1215">INDEX('GLOBAL LOG'!#REF!,ROW()-1194+15)</f>
        <v>#REF!</v>
      </c>
      <c r="I1215" s="23" t="e">
        <f>_xlfn.XLOOKUP(H1215,#REF!,#REF!,"",0,1)</f>
        <v>#REF!</v>
      </c>
      <c r="J1215" s="23" t="str">
        <f>IFERROR(I1215*#REF!,"")</f>
        <v/>
      </c>
      <c r="K1215" s="23" t="e" cm="1">
        <f t="array" ref="K1215">INDEX('GLOBAL LOG'!#REF!,ROW()-1194+15)</f>
        <v>#REF!</v>
      </c>
      <c r="L1215" s="23" t="e">
        <f>_xlfn.XLOOKUP(K1215,#REF!,#REF!,"",0,1)</f>
        <v>#REF!</v>
      </c>
      <c r="M1215" s="23" t="str">
        <f>IFERROR(L1215*#REF!,"")</f>
        <v/>
      </c>
      <c r="N1215" s="23">
        <f>IFERROR((D1215-#REF!)/#REF!*COUNT!J1215*COUNT!M1215,0)</f>
        <v>0</v>
      </c>
      <c r="O1215" s="23">
        <f>IFERROR((E1215-#REF!)/#REF!*COUNT!J1215*COUNT!M1215,0)</f>
        <v>0</v>
      </c>
      <c r="P1215" s="23">
        <f>IFERROR((F1215-#REF!)/#REF!*COUNT!J1215*COUNT!M1215,0)</f>
        <v>0</v>
      </c>
      <c r="Q1215" s="23">
        <f>IFERROR((G1215-#REF!)/#REF!*COUNT!J1215*COUNT!M1215,0)</f>
        <v>0</v>
      </c>
      <c r="R1215"/>
      <c r="S1215" s="1" t="str">
        <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v>
      </c>
      <c r="T1215" s="24">
        <v>0</v>
      </c>
      <c r="U1215"/>
      <c r="V1215" s="1" t="str">
        <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v>
      </c>
      <c r="W1215" s="24">
        <v>0</v>
      </c>
      <c r="X1215"/>
      <c r="Y1215" s="1" t="str">
        <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v>
      </c>
      <c r="Z1215" s="24">
        <v>0</v>
      </c>
      <c r="AA1215"/>
      <c r="AB1215" s="1" t="str">
        <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v>
      </c>
      <c r="AC1215" s="24">
        <v>0</v>
      </c>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c r="CA1215"/>
      <c r="CB1215"/>
      <c r="CC1215"/>
      <c r="CD1215"/>
      <c r="CE1215"/>
      <c r="CF1215"/>
      <c r="CG1215"/>
      <c r="CH1215"/>
      <c r="CI1215"/>
      <c r="CJ1215"/>
      <c r="CK1215"/>
      <c r="CL1215"/>
      <c r="CM1215"/>
      <c r="CN1215"/>
      <c r="CO1215"/>
      <c r="CP1215"/>
      <c r="CQ1215"/>
      <c r="CR1215"/>
      <c r="CS1215"/>
    </row>
    <row r="1216" spans="2:97">
      <c r="B1216"/>
      <c r="C1216" s="15" t="str">
        <v>Saudia Extend Classic</v>
      </c>
      <c r="D1216" s="23"/>
      <c r="E1216" s="23">
        <v>0</v>
      </c>
      <c r="F1216" s="23">
        <v>0</v>
      </c>
      <c r="G1216" s="23">
        <f t="shared" si="93"/>
        <v>0</v>
      </c>
      <c r="H1216" s="23" t="e" cm="1">
        <f t="array" ref="H1216">INDEX('GLOBAL LOG'!#REF!,ROW()-1194+15)</f>
        <v>#REF!</v>
      </c>
      <c r="I1216" s="23" t="e">
        <f>_xlfn.XLOOKUP(H1216,#REF!,#REF!,"",0,1)</f>
        <v>#REF!</v>
      </c>
      <c r="J1216" s="23" t="str">
        <f>IFERROR(I1216*#REF!,"")</f>
        <v/>
      </c>
      <c r="K1216" s="23" t="e" cm="1">
        <f t="array" ref="K1216">INDEX('GLOBAL LOG'!#REF!,ROW()-1194+15)</f>
        <v>#REF!</v>
      </c>
      <c r="L1216" s="23" t="e">
        <f>_xlfn.XLOOKUP(K1216,#REF!,#REF!,"",0,1)</f>
        <v>#REF!</v>
      </c>
      <c r="M1216" s="23" t="str">
        <f>IFERROR(L1216*#REF!,"")</f>
        <v/>
      </c>
      <c r="N1216" s="23">
        <f>IFERROR((D1216-#REF!)/#REF!*COUNT!J1216*COUNT!M1216,0)</f>
        <v>0</v>
      </c>
      <c r="O1216" s="23">
        <f>IFERROR((E1216-#REF!)/#REF!*COUNT!J1216*COUNT!M1216,0)</f>
        <v>0</v>
      </c>
      <c r="P1216" s="23">
        <f>IFERROR((F1216-#REF!)/#REF!*COUNT!J1216*COUNT!M1216,0)</f>
        <v>0</v>
      </c>
      <c r="Q1216" s="23">
        <f>IFERROR((G1216-#REF!)/#REF!*COUNT!J1216*COUNT!M1216,0)</f>
        <v>0</v>
      </c>
      <c r="R1216"/>
      <c r="S1216" s="1" t="str">
        <v>Saudia Extend Classic</v>
      </c>
      <c r="T1216" s="24">
        <v>0</v>
      </c>
      <c r="U1216"/>
      <c r="V1216" s="1" t="str">
        <v>Saudia Extend Classic</v>
      </c>
      <c r="W1216" s="24">
        <v>0</v>
      </c>
      <c r="X1216"/>
      <c r="Y1216" s="1" t="str">
        <v>Saudia Extend Classic</v>
      </c>
      <c r="Z1216" s="24">
        <v>0</v>
      </c>
      <c r="AA1216"/>
      <c r="AB1216" s="1" t="str">
        <v>Saudia Extend Classic</v>
      </c>
      <c r="AC1216" s="24">
        <v>0</v>
      </c>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c r="CA1216"/>
      <c r="CB1216"/>
      <c r="CC1216"/>
      <c r="CD1216"/>
      <c r="CE1216"/>
      <c r="CF1216"/>
      <c r="CG1216"/>
      <c r="CH1216"/>
      <c r="CI1216"/>
      <c r="CJ1216"/>
      <c r="CK1216"/>
      <c r="CL1216"/>
      <c r="CM1216"/>
      <c r="CN1216"/>
      <c r="CO1216"/>
      <c r="CP1216"/>
      <c r="CQ1216"/>
      <c r="CR1216"/>
      <c r="CS1216"/>
    </row>
    <row r="1217" spans="2:97">
      <c r="B1217"/>
      <c r="C1217" s="15" t="str">
        <v>LOT Polish Airlines  1 new SPE in Q1 linked to 2 Dr Peters transition a/c.
Life Min Term extension on purchased existing fleet as part of the 9 a/c campaign.</v>
      </c>
      <c r="D1217" s="23"/>
      <c r="E1217" s="23">
        <v>0</v>
      </c>
      <c r="F1217" s="23">
        <v>0</v>
      </c>
      <c r="G1217" s="23">
        <f t="shared" si="93"/>
        <v>0</v>
      </c>
      <c r="H1217" s="23" t="e" cm="1">
        <f t="array" ref="H1217">INDEX('GLOBAL LOG'!#REF!,ROW()-1194+15)</f>
        <v>#REF!</v>
      </c>
      <c r="I1217" s="23" t="e">
        <f>_xlfn.XLOOKUP(H1217,#REF!,#REF!,"",0,1)</f>
        <v>#REF!</v>
      </c>
      <c r="J1217" s="23" t="str">
        <f>IFERROR(I1217*#REF!,"")</f>
        <v/>
      </c>
      <c r="K1217" s="23" t="e" cm="1">
        <f t="array" ref="K1217">INDEX('GLOBAL LOG'!#REF!,ROW()-1194+15)</f>
        <v>#REF!</v>
      </c>
      <c r="L1217" s="23" t="e">
        <f>_xlfn.XLOOKUP(K1217,#REF!,#REF!,"",0,1)</f>
        <v>#REF!</v>
      </c>
      <c r="M1217" s="23" t="str">
        <f>IFERROR(L1217*#REF!,"")</f>
        <v/>
      </c>
      <c r="N1217" s="23">
        <f>IFERROR((D1217-#REF!)/#REF!*COUNT!J1217*COUNT!M1217,0)</f>
        <v>0</v>
      </c>
      <c r="O1217" s="23">
        <f>IFERROR((E1217-#REF!)/#REF!*COUNT!J1217*COUNT!M1217,0)</f>
        <v>0</v>
      </c>
      <c r="P1217" s="23">
        <f>IFERROR((F1217-#REF!)/#REF!*COUNT!J1217*COUNT!M1217,0)</f>
        <v>0</v>
      </c>
      <c r="Q1217" s="23">
        <f>IFERROR((G1217-#REF!)/#REF!*COUNT!J1217*COUNT!M1217,0)</f>
        <v>0</v>
      </c>
      <c r="R1217"/>
      <c r="S1217" s="1" t="str">
        <v>LOT Polish Airlines  1 new SPE in Q1 linked to 2 Dr Peters transition a/c.
Life Min Term extension on purchased existing fleet as part of the 9 a/c campaign.</v>
      </c>
      <c r="T1217" s="24">
        <v>0</v>
      </c>
      <c r="U1217"/>
      <c r="V1217" s="1" t="str">
        <v>LOT Polish Airlines  1 new SPE in Q1 linked to 2 Dr Peters transition a/c.
Life Min Term extension on purchased existing fleet as part of the 9 a/c campaign.</v>
      </c>
      <c r="W1217" s="24">
        <v>0</v>
      </c>
      <c r="X1217"/>
      <c r="Y1217" s="1" t="str">
        <v>LOT Polish Airlines  1 new SPE in Q1 linked to 2 Dr Peters transition a/c.
Life Min Term extension on purchased existing fleet as part of the 9 a/c campaign.</v>
      </c>
      <c r="Z1217" s="24">
        <v>0</v>
      </c>
      <c r="AA1217"/>
      <c r="AB1217" s="1" t="str">
        <v>LOT Polish Airlines  1 new SPE in Q1 linked to 2 Dr Peters transition a/c.
Life Min Term extension on purchased existing fleet as part of the 9 a/c campaign.</v>
      </c>
      <c r="AC1217" s="24">
        <v>0</v>
      </c>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c r="CA1217"/>
      <c r="CB1217"/>
      <c r="CC1217"/>
      <c r="CD1217"/>
      <c r="CE1217"/>
      <c r="CF1217"/>
      <c r="CG1217"/>
      <c r="CH1217"/>
      <c r="CI1217"/>
      <c r="CJ1217"/>
      <c r="CK1217"/>
      <c r="CL1217"/>
      <c r="CM1217"/>
      <c r="CN1217"/>
      <c r="CO1217"/>
      <c r="CP1217"/>
      <c r="CQ1217"/>
      <c r="CR1217"/>
      <c r="CS1217"/>
    </row>
    <row r="1218" spans="2:97">
      <c r="B1218"/>
      <c r="C1218" s="15" t="str">
        <v>Condor Flugdienst Gmbh  NDSES improvement through SPE sales associated to new deal + FCRG and NED Remedy Improvement</v>
      </c>
      <c r="D1218" s="23"/>
      <c r="E1218" s="23">
        <v>0</v>
      </c>
      <c r="F1218" s="23">
        <v>0</v>
      </c>
      <c r="G1218" s="23">
        <f t="shared" si="93"/>
        <v>0</v>
      </c>
      <c r="H1218" s="23" t="e" cm="1">
        <f t="array" ref="H1218">INDEX('GLOBAL LOG'!#REF!,ROW()-1194+15)</f>
        <v>#REF!</v>
      </c>
      <c r="I1218" s="23" t="e">
        <f>_xlfn.XLOOKUP(H1218,#REF!,#REF!,"",0,1)</f>
        <v>#REF!</v>
      </c>
      <c r="J1218" s="23" t="str">
        <f>IFERROR(I1218*#REF!,"")</f>
        <v/>
      </c>
      <c r="K1218" s="23" t="e" cm="1">
        <f t="array" ref="K1218">INDEX('GLOBAL LOG'!#REF!,ROW()-1194+15)</f>
        <v>#REF!</v>
      </c>
      <c r="L1218" s="23" t="e">
        <f>_xlfn.XLOOKUP(K1218,#REF!,#REF!,"",0,1)</f>
        <v>#REF!</v>
      </c>
      <c r="M1218" s="23" t="str">
        <f>IFERROR(L1218*#REF!,"")</f>
        <v/>
      </c>
      <c r="N1218" s="23">
        <f>IFERROR((D1218-#REF!)/#REF!*COUNT!J1218*COUNT!M1218,0)</f>
        <v>0</v>
      </c>
      <c r="O1218" s="23">
        <f>IFERROR((E1218-#REF!)/#REF!*COUNT!J1218*COUNT!M1218,0)</f>
        <v>0</v>
      </c>
      <c r="P1218" s="23">
        <f>IFERROR((F1218-#REF!)/#REF!*COUNT!J1218*COUNT!M1218,0)</f>
        <v>0</v>
      </c>
      <c r="Q1218" s="23">
        <f>IFERROR((G1218-#REF!)/#REF!*COUNT!J1218*COUNT!M1218,0)</f>
        <v>0</v>
      </c>
      <c r="R1218"/>
      <c r="S1218" s="1" t="str">
        <v>Condor Flugdienst Gmbh  NDSES improvement through SPE sales associated to new deal + FCRG and NED Remedy Improvement</v>
      </c>
      <c r="T1218" s="24">
        <v>0</v>
      </c>
      <c r="U1218"/>
      <c r="V1218" s="1" t="str">
        <v>Condor Flugdienst Gmbh  NDSES improvement through SPE sales associated to new deal + FCRG and NED Remedy Improvement</v>
      </c>
      <c r="W1218" s="24">
        <v>0</v>
      </c>
      <c r="X1218"/>
      <c r="Y1218" s="1" t="str">
        <v>Condor Flugdienst Gmbh  NDSES improvement through SPE sales associated to new deal + FCRG and NED Remedy Improvement</v>
      </c>
      <c r="Z1218" s="24">
        <v>0</v>
      </c>
      <c r="AA1218"/>
      <c r="AB1218" s="1" t="str">
        <v>Condor Flugdienst Gmbh  NDSES improvement through SPE sales associated to new deal + FCRG and NED Remedy Improvement</v>
      </c>
      <c r="AC1218" s="24">
        <v>0</v>
      </c>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c r="CA1218"/>
      <c r="CB1218"/>
      <c r="CC1218"/>
      <c r="CD1218"/>
      <c r="CE1218"/>
      <c r="CF1218"/>
      <c r="CG1218"/>
      <c r="CH1218"/>
      <c r="CI1218"/>
      <c r="CJ1218"/>
      <c r="CK1218"/>
      <c r="CL1218"/>
      <c r="CM1218"/>
      <c r="CN1218"/>
      <c r="CO1218"/>
      <c r="CP1218"/>
      <c r="CQ1218"/>
      <c r="CR1218"/>
      <c r="CS1218"/>
    </row>
    <row r="1219" spans="2:97">
      <c r="B1219"/>
      <c r="C1219" s="15" t="str">
        <v>TAP Air Portugal  Two aircraft delays to Original Delivery Schedule. Plan to progress 2026 Used SPE, credit pull-forward for CRP improvement and Optional AOG+1 NDSES Service.</v>
      </c>
      <c r="D1219" s="23"/>
      <c r="E1219" s="23">
        <v>0</v>
      </c>
      <c r="F1219" s="23">
        <v>0</v>
      </c>
      <c r="G1219" s="23">
        <f t="shared" si="93"/>
        <v>0</v>
      </c>
      <c r="H1219" s="23" t="e" cm="1">
        <f t="array" ref="H1219">INDEX('GLOBAL LOG'!#REF!,ROW()-1194+15)</f>
        <v>#REF!</v>
      </c>
      <c r="I1219" s="23" t="e">
        <f>_xlfn.XLOOKUP(H1219,#REF!,#REF!,"",0,1)</f>
        <v>#REF!</v>
      </c>
      <c r="J1219" s="23" t="str">
        <f>IFERROR(I1219*#REF!,"")</f>
        <v/>
      </c>
      <c r="K1219" s="23" t="e" cm="1">
        <f t="array" ref="K1219">INDEX('GLOBAL LOG'!#REF!,ROW()-1194+15)</f>
        <v>#REF!</v>
      </c>
      <c r="L1219" s="23" t="e">
        <f>_xlfn.XLOOKUP(K1219,#REF!,#REF!,"",0,1)</f>
        <v>#REF!</v>
      </c>
      <c r="M1219" s="23" t="str">
        <f>IFERROR(L1219*#REF!,"")</f>
        <v/>
      </c>
      <c r="N1219" s="23">
        <f>IFERROR((D1219-#REF!)/#REF!*COUNT!J1219*COUNT!M1219,0)</f>
        <v>0</v>
      </c>
      <c r="O1219" s="23">
        <f>IFERROR((E1219-#REF!)/#REF!*COUNT!J1219*COUNT!M1219,0)</f>
        <v>0</v>
      </c>
      <c r="P1219" s="23">
        <f>IFERROR((F1219-#REF!)/#REF!*COUNT!J1219*COUNT!M1219,0)</f>
        <v>0</v>
      </c>
      <c r="Q1219" s="23">
        <f>IFERROR((G1219-#REF!)/#REF!*COUNT!J1219*COUNT!M1219,0)</f>
        <v>0</v>
      </c>
      <c r="R1219"/>
      <c r="S1219" s="1" t="str">
        <v>TAP Air Portugal  Two aircraft delays to Original Delivery Schedule. Plan to progress 2026 Used SPE, credit pull-forward for CRP improvement and Optional AOG+1 NDSES Service.</v>
      </c>
      <c r="T1219" s="24">
        <v>0</v>
      </c>
      <c r="U1219"/>
      <c r="V1219" s="1" t="str">
        <v>TAP Air Portugal  Two aircraft delays to Original Delivery Schedule. Plan to progress 2026 Used SPE, credit pull-forward for CRP improvement and Optional AOG+1 NDSES Service.</v>
      </c>
      <c r="W1219" s="24">
        <v>0</v>
      </c>
      <c r="X1219"/>
      <c r="Y1219" s="1" t="str">
        <v>TAP Air Portugal  Two aircraft delays to Original Delivery Schedule. Plan to progress 2026 Used SPE, credit pull-forward for CRP improvement and Optional AOG+1 NDSES Service.</v>
      </c>
      <c r="Z1219" s="24">
        <v>0</v>
      </c>
      <c r="AA1219"/>
      <c r="AB1219" s="1" t="str">
        <v>TAP Air Portugal  Two aircraft delays to Original Delivery Schedule. Plan to progress 2026 Used SPE, credit pull-forward for CRP improvement and Optional AOG+1 NDSES Service.</v>
      </c>
      <c r="AC1219" s="24">
        <v>0</v>
      </c>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c r="CA1219"/>
      <c r="CB1219"/>
      <c r="CC1219"/>
      <c r="CD1219"/>
      <c r="CE1219"/>
      <c r="CF1219"/>
      <c r="CG1219"/>
      <c r="CH1219"/>
      <c r="CI1219"/>
      <c r="CJ1219"/>
      <c r="CK1219"/>
      <c r="CL1219"/>
      <c r="CM1219"/>
      <c r="CN1219"/>
      <c r="CO1219"/>
      <c r="CP1219"/>
      <c r="CQ1219"/>
      <c r="CR1219"/>
      <c r="CS1219"/>
    </row>
    <row r="1220" spans="2:97">
      <c r="B1220"/>
      <c r="C1220" s="15" t="str">
        <v>Gulf Commerical Offer - 3 Year Extension/ SPE Sales (NDSES Improvement)</v>
      </c>
      <c r="D1220" s="23"/>
      <c r="E1220" s="23">
        <v>-7.4</v>
      </c>
      <c r="F1220" s="23">
        <v>2.5</v>
      </c>
      <c r="G1220" s="23">
        <f t="shared" si="93"/>
        <v>-4.9000000000000004</v>
      </c>
      <c r="H1220" s="23" t="e" cm="1">
        <f t="array" ref="H1220">INDEX('GLOBAL LOG'!#REF!,ROW()-1194+15)</f>
        <v>#REF!</v>
      </c>
      <c r="I1220" s="23" t="e">
        <f>_xlfn.XLOOKUP(H1220,#REF!,#REF!,"",0,1)</f>
        <v>#REF!</v>
      </c>
      <c r="J1220" s="23" t="str">
        <f>IFERROR(I1220*#REF!,"")</f>
        <v/>
      </c>
      <c r="K1220" s="23" t="e" cm="1">
        <f t="array" ref="K1220">INDEX('GLOBAL LOG'!#REF!,ROW()-1194+15)</f>
        <v>#REF!</v>
      </c>
      <c r="L1220" s="23" t="e">
        <f>_xlfn.XLOOKUP(K1220,#REF!,#REF!,"",0,1)</f>
        <v>#REF!</v>
      </c>
      <c r="M1220" s="23" t="str">
        <f>IFERROR(L1220*#REF!,"")</f>
        <v/>
      </c>
      <c r="N1220" s="23">
        <f>IFERROR((D1220-#REF!)/#REF!*COUNT!J1220*COUNT!M1220,0)</f>
        <v>0</v>
      </c>
      <c r="O1220" s="23">
        <f>IFERROR((E1220-#REF!)/#REF!*COUNT!J1220*COUNT!M1220,0)</f>
        <v>0</v>
      </c>
      <c r="P1220" s="23">
        <f>IFERROR((F1220-#REF!)/#REF!*COUNT!J1220*COUNT!M1220,0)</f>
        <v>0</v>
      </c>
      <c r="Q1220" s="23">
        <f>IFERROR((G1220-#REF!)/#REF!*COUNT!J1220*COUNT!M1220,0)</f>
        <v>0</v>
      </c>
      <c r="R1220"/>
      <c r="S1220" s="1" t="str">
        <v>Gulf Commerical Offer - 3 Year Extension/ SPE Sales (NDSES Improvement)</v>
      </c>
      <c r="T1220" s="24">
        <v>0</v>
      </c>
      <c r="U1220"/>
      <c r="V1220" s="1" t="str">
        <v>Gulf Commerical Offer - 3 Year Extension/ SPE Sales (NDSES Improvement)</v>
      </c>
      <c r="W1220" s="24">
        <v>0</v>
      </c>
      <c r="X1220"/>
      <c r="Y1220" s="1" t="str">
        <v>Gulf Commerical Offer - 3 Year Extension/ SPE Sales (NDSES Improvement)</v>
      </c>
      <c r="Z1220" s="24">
        <v>0</v>
      </c>
      <c r="AA1220"/>
      <c r="AB1220" s="1" t="str">
        <v>Gulf Commerical Offer - 3 Year Extension/ SPE Sales (NDSES Improvement)</v>
      </c>
      <c r="AC1220" s="24">
        <v>0</v>
      </c>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c r="CA1220"/>
      <c r="CB1220"/>
      <c r="CC1220"/>
      <c r="CD1220"/>
      <c r="CE1220"/>
      <c r="CF1220"/>
      <c r="CG1220"/>
      <c r="CH1220"/>
      <c r="CI1220"/>
      <c r="CJ1220"/>
      <c r="CK1220"/>
      <c r="CL1220"/>
      <c r="CM1220"/>
      <c r="CN1220"/>
      <c r="CO1220"/>
      <c r="CP1220"/>
      <c r="CQ1220"/>
      <c r="CR1220"/>
      <c r="CS1220"/>
    </row>
    <row r="1221" spans="2:97">
      <c r="B1221"/>
      <c r="C1221" s="15" t="str">
        <v>Rwanda TCA Life Min Term Extension</v>
      </c>
      <c r="D1221" s="23"/>
      <c r="E1221" s="23">
        <v>0</v>
      </c>
      <c r="F1221" s="23">
        <v>0</v>
      </c>
      <c r="G1221" s="23">
        <f t="shared" si="93"/>
        <v>0</v>
      </c>
      <c r="H1221" s="23" t="e" cm="1">
        <f t="array" ref="H1221">INDEX('GLOBAL LOG'!#REF!,ROW()-1194+15)</f>
        <v>#REF!</v>
      </c>
      <c r="I1221" s="23" t="e">
        <f>_xlfn.XLOOKUP(H1221,#REF!,#REF!,"",0,1)</f>
        <v>#REF!</v>
      </c>
      <c r="J1221" s="23" t="str">
        <f>IFERROR(I1221*#REF!,"")</f>
        <v/>
      </c>
      <c r="K1221" s="23" t="e" cm="1">
        <f t="array" ref="K1221">INDEX('GLOBAL LOG'!#REF!,ROW()-1194+15)</f>
        <v>#REF!</v>
      </c>
      <c r="L1221" s="23" t="e">
        <f>_xlfn.XLOOKUP(K1221,#REF!,#REF!,"",0,1)</f>
        <v>#REF!</v>
      </c>
      <c r="M1221" s="23" t="str">
        <f>IFERROR(L1221*#REF!,"")</f>
        <v/>
      </c>
      <c r="N1221" s="23">
        <f>IFERROR((D1221-#REF!)/#REF!*COUNT!J1221*COUNT!M1221,0)</f>
        <v>0</v>
      </c>
      <c r="O1221" s="23">
        <f>IFERROR((E1221-#REF!)/#REF!*COUNT!J1221*COUNT!M1221,0)</f>
        <v>0</v>
      </c>
      <c r="P1221" s="23">
        <f>IFERROR((F1221-#REF!)/#REF!*COUNT!J1221*COUNT!M1221,0)</f>
        <v>0</v>
      </c>
      <c r="Q1221" s="23">
        <f>IFERROR((G1221-#REF!)/#REF!*COUNT!J1221*COUNT!M1221,0)</f>
        <v>0</v>
      </c>
      <c r="R1221"/>
      <c r="S1221" s="1" t="str">
        <v>Rwanda TCA Life Min Term Extension</v>
      </c>
      <c r="T1221" s="24">
        <v>0</v>
      </c>
      <c r="U1221"/>
      <c r="V1221" s="1" t="str">
        <v>Rwanda TCA Life Min Term Extension</v>
      </c>
      <c r="W1221" s="24">
        <v>0</v>
      </c>
      <c r="X1221"/>
      <c r="Y1221" s="1" t="str">
        <v>Rwanda TCA Life Min Term Extension</v>
      </c>
      <c r="Z1221" s="24">
        <v>0</v>
      </c>
      <c r="AA1221"/>
      <c r="AB1221" s="1" t="str">
        <v>Rwanda TCA Life Min Term Extension</v>
      </c>
      <c r="AC1221" s="24">
        <v>0</v>
      </c>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c r="CA1221"/>
      <c r="CB1221"/>
      <c r="CC1221"/>
      <c r="CD1221"/>
      <c r="CE1221"/>
      <c r="CF1221"/>
      <c r="CG1221"/>
      <c r="CH1221"/>
      <c r="CI1221"/>
      <c r="CJ1221"/>
      <c r="CK1221"/>
      <c r="CL1221"/>
      <c r="CM1221"/>
      <c r="CN1221"/>
      <c r="CO1221"/>
      <c r="CP1221"/>
      <c r="CQ1221"/>
      <c r="CR1221"/>
      <c r="CS1221"/>
    </row>
    <row r="1222" spans="2:97">
      <c r="B1222"/>
      <c r="C1222" s="15" t="str">
        <v>Ethiopian Airlines Restructure exisiting contract - Min Term Extension
As part of A350-900 campaign</v>
      </c>
      <c r="D1222" s="23"/>
      <c r="E1222" s="23">
        <v>0</v>
      </c>
      <c r="F1222" s="23">
        <v>0</v>
      </c>
      <c r="G1222" s="23">
        <f t="shared" si="93"/>
        <v>0</v>
      </c>
      <c r="H1222" s="23" t="e" cm="1">
        <f t="array" ref="H1222">INDEX('GLOBAL LOG'!#REF!,ROW()-1194+15)</f>
        <v>#REF!</v>
      </c>
      <c r="I1222" s="23" t="e">
        <f>_xlfn.XLOOKUP(H1222,#REF!,#REF!,"",0,1)</f>
        <v>#REF!</v>
      </c>
      <c r="J1222" s="23" t="str">
        <f>IFERROR(I1222*#REF!,"")</f>
        <v/>
      </c>
      <c r="K1222" s="23" t="e" cm="1">
        <f t="array" ref="K1222">INDEX('GLOBAL LOG'!#REF!,ROW()-1194+15)</f>
        <v>#REF!</v>
      </c>
      <c r="L1222" s="23" t="e">
        <f>_xlfn.XLOOKUP(K1222,#REF!,#REF!,"",0,1)</f>
        <v>#REF!</v>
      </c>
      <c r="M1222" s="23" t="str">
        <f>IFERROR(L1222*#REF!,"")</f>
        <v/>
      </c>
      <c r="N1222" s="23">
        <f>IFERROR((D1222-#REF!)/#REF!*COUNT!J1222*COUNT!M1222,0)</f>
        <v>0</v>
      </c>
      <c r="O1222" s="23">
        <f>IFERROR((E1222-#REF!)/#REF!*COUNT!J1222*COUNT!M1222,0)</f>
        <v>0</v>
      </c>
      <c r="P1222" s="23">
        <f>IFERROR((F1222-#REF!)/#REF!*COUNT!J1222*COUNT!M1222,0)</f>
        <v>0</v>
      </c>
      <c r="Q1222" s="23">
        <f>IFERROR((G1222-#REF!)/#REF!*COUNT!J1222*COUNT!M1222,0)</f>
        <v>0</v>
      </c>
      <c r="R1222"/>
      <c r="S1222" s="1" t="str">
        <v>Ethiopian Airlines Restructure exisiting contract - Min Term Extension
As part of A350-900 campaign</v>
      </c>
      <c r="T1222" s="24">
        <v>0</v>
      </c>
      <c r="U1222"/>
      <c r="V1222" s="1" t="str">
        <v>Ethiopian Airlines Restructure exisiting contract - Min Term Extension
As part of A350-900 campaign</v>
      </c>
      <c r="W1222" s="24">
        <v>0</v>
      </c>
      <c r="X1222"/>
      <c r="Y1222" s="1" t="str">
        <v>Ethiopian Airlines Restructure exisiting contract - Min Term Extension
As part of A350-900 campaign</v>
      </c>
      <c r="Z1222" s="24">
        <v>0</v>
      </c>
      <c r="AA1222"/>
      <c r="AB1222" s="1" t="str">
        <v>Ethiopian Airlines Restructure exisiting contract - Min Term Extension
As part of A350-900 campaign</v>
      </c>
      <c r="AC1222" s="24">
        <v>0</v>
      </c>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c r="CA1222"/>
      <c r="CB1222"/>
      <c r="CC1222"/>
      <c r="CD1222"/>
      <c r="CE1222"/>
      <c r="CF1222"/>
      <c r="CG1222"/>
      <c r="CH1222"/>
      <c r="CI1222"/>
      <c r="CJ1222"/>
      <c r="CK1222"/>
      <c r="CL1222"/>
      <c r="CM1222"/>
      <c r="CN1222"/>
      <c r="CO1222"/>
      <c r="CP1222"/>
      <c r="CQ1222"/>
      <c r="CR1222"/>
      <c r="CS1222"/>
    </row>
    <row r="1223" spans="2:97">
      <c r="B1223"/>
      <c r="C1223" s="15" t="str">
        <v>Egypt EP Upsell (2028+ deliveries)</v>
      </c>
      <c r="D1223" s="23"/>
      <c r="E1223" s="23">
        <v>0</v>
      </c>
      <c r="F1223" s="23">
        <v>0</v>
      </c>
      <c r="G1223" s="23">
        <f t="shared" si="93"/>
        <v>0</v>
      </c>
      <c r="H1223" s="23" t="e" cm="1">
        <f t="array" ref="H1223">INDEX('GLOBAL LOG'!#REF!,ROW()-1194+15)</f>
        <v>#REF!</v>
      </c>
      <c r="I1223" s="23" t="e">
        <f>_xlfn.XLOOKUP(H1223,#REF!,#REF!,"",0,1)</f>
        <v>#REF!</v>
      </c>
      <c r="J1223" s="23" t="str">
        <f>IFERROR(I1223*#REF!,"")</f>
        <v/>
      </c>
      <c r="K1223" s="23" t="e" cm="1">
        <f t="array" ref="K1223">INDEX('GLOBAL LOG'!#REF!,ROW()-1194+15)</f>
        <v>#REF!</v>
      </c>
      <c r="L1223" s="23" t="e">
        <f>_xlfn.XLOOKUP(K1223,#REF!,#REF!,"",0,1)</f>
        <v>#REF!</v>
      </c>
      <c r="M1223" s="23" t="str">
        <f>IFERROR(L1223*#REF!,"")</f>
        <v/>
      </c>
      <c r="N1223" s="23">
        <f>IFERROR((D1223-#REF!)/#REF!*COUNT!J1223*COUNT!M1223,0)</f>
        <v>0</v>
      </c>
      <c r="O1223" s="23">
        <f>IFERROR((E1223-#REF!)/#REF!*COUNT!J1223*COUNT!M1223,0)</f>
        <v>0</v>
      </c>
      <c r="P1223" s="23">
        <f>IFERROR((F1223-#REF!)/#REF!*COUNT!J1223*COUNT!M1223,0)</f>
        <v>0</v>
      </c>
      <c r="Q1223" s="23">
        <f>IFERROR((G1223-#REF!)/#REF!*COUNT!J1223*COUNT!M1223,0)</f>
        <v>0</v>
      </c>
      <c r="R1223"/>
      <c r="S1223" s="1" t="str">
        <v>Egypt EP Upsell (2028+ deliveries)</v>
      </c>
      <c r="T1223" s="24">
        <v>0</v>
      </c>
      <c r="U1223"/>
      <c r="V1223" s="1" t="str">
        <v>Egypt EP Upsell (2028+ deliveries)</v>
      </c>
      <c r="W1223" s="24">
        <v>0</v>
      </c>
      <c r="X1223"/>
      <c r="Y1223" s="1" t="str">
        <v>Egypt EP Upsell (2028+ deliveries)</v>
      </c>
      <c r="Z1223" s="24">
        <v>0</v>
      </c>
      <c r="AA1223"/>
      <c r="AB1223" s="1" t="str">
        <v>Egypt EP Upsell (2028+ deliveries)</v>
      </c>
      <c r="AC1223" s="24">
        <v>0</v>
      </c>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c r="CA1223"/>
      <c r="CB1223"/>
      <c r="CC1223"/>
      <c r="CD1223"/>
      <c r="CE1223"/>
      <c r="CF1223"/>
      <c r="CG1223"/>
      <c r="CH1223"/>
      <c r="CI1223"/>
      <c r="CJ1223"/>
      <c r="CK1223"/>
      <c r="CL1223"/>
      <c r="CM1223"/>
      <c r="CN1223"/>
      <c r="CO1223"/>
      <c r="CP1223"/>
      <c r="CQ1223"/>
      <c r="CR1223"/>
      <c r="CS1223"/>
    </row>
    <row r="1224" spans="2:97">
      <c r="B1224"/>
      <c r="C1224" s="15" t="str">
        <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v>
      </c>
      <c r="D1224" s="23"/>
      <c r="E1224" s="23">
        <v>5</v>
      </c>
      <c r="F1224" s="23">
        <v>0</v>
      </c>
      <c r="G1224" s="23">
        <f t="shared" si="93"/>
        <v>5</v>
      </c>
      <c r="H1224" s="23" t="e" cm="1">
        <f t="array" ref="H1224">INDEX('GLOBAL LOG'!#REF!,ROW()-1194+15)</f>
        <v>#REF!</v>
      </c>
      <c r="I1224" s="23" t="e">
        <f>_xlfn.XLOOKUP(H1224,#REF!,#REF!,"",0,1)</f>
        <v>#REF!</v>
      </c>
      <c r="J1224" s="23" t="str">
        <f>IFERROR(I1224*#REF!,"")</f>
        <v/>
      </c>
      <c r="K1224" s="23" t="e" cm="1">
        <f t="array" ref="K1224">INDEX('GLOBAL LOG'!#REF!,ROW()-1194+15)</f>
        <v>#REF!</v>
      </c>
      <c r="L1224" s="23" t="e">
        <f>_xlfn.XLOOKUP(K1224,#REF!,#REF!,"",0,1)</f>
        <v>#REF!</v>
      </c>
      <c r="M1224" s="23" t="str">
        <f>IFERROR(L1224*#REF!,"")</f>
        <v/>
      </c>
      <c r="N1224" s="23">
        <f>IFERROR((D1224-#REF!)/#REF!*COUNT!J1224*COUNT!M1224,0)</f>
        <v>0</v>
      </c>
      <c r="O1224" s="23">
        <f>IFERROR((E1224-#REF!)/#REF!*COUNT!J1224*COUNT!M1224,0)</f>
        <v>0</v>
      </c>
      <c r="P1224" s="23">
        <f>IFERROR((F1224-#REF!)/#REF!*COUNT!J1224*COUNT!M1224,0)</f>
        <v>0</v>
      </c>
      <c r="Q1224" s="23">
        <f>IFERROR((G1224-#REF!)/#REF!*COUNT!J1224*COUNT!M1224,0)</f>
        <v>0</v>
      </c>
      <c r="R1224"/>
      <c r="S1224" s="1" t="str">
        <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v>
      </c>
      <c r="T1224" s="24">
        <v>0</v>
      </c>
      <c r="U1224"/>
      <c r="V1224" s="1" t="str">
        <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v>
      </c>
      <c r="W1224" s="24">
        <v>0</v>
      </c>
      <c r="X1224"/>
      <c r="Y1224" s="1" t="str">
        <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v>
      </c>
      <c r="Z1224" s="24">
        <v>0</v>
      </c>
      <c r="AA1224"/>
      <c r="AB1224" s="1" t="str">
        <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v>
      </c>
      <c r="AC1224" s="24">
        <v>0</v>
      </c>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c r="CA1224"/>
      <c r="CB1224"/>
      <c r="CC1224"/>
      <c r="CD1224"/>
      <c r="CE1224"/>
      <c r="CF1224"/>
      <c r="CG1224"/>
      <c r="CH1224"/>
      <c r="CI1224"/>
      <c r="CJ1224"/>
      <c r="CK1224"/>
      <c r="CL1224"/>
      <c r="CM1224"/>
      <c r="CN1224"/>
      <c r="CO1224"/>
      <c r="CP1224"/>
      <c r="CQ1224"/>
      <c r="CR1224"/>
      <c r="CS1224"/>
    </row>
    <row r="1225" spans="2:97">
      <c r="B1225"/>
      <c r="C1225" s="15" t="str">
        <v>Keylime Keylime Air _ AE3007 _ Add 2 in possession aircraft to TotalCare &amp; extend all to 2030</v>
      </c>
      <c r="D1225" s="23"/>
      <c r="E1225" s="23">
        <v>0</v>
      </c>
      <c r="F1225" s="23">
        <v>0</v>
      </c>
      <c r="G1225" s="23">
        <f t="shared" si="93"/>
        <v>0</v>
      </c>
      <c r="H1225" s="23" t="e" cm="1">
        <f t="array" ref="H1225">INDEX('GLOBAL LOG'!#REF!,ROW()-1194+15)</f>
        <v>#REF!</v>
      </c>
      <c r="I1225" s="23" t="e">
        <f>_xlfn.XLOOKUP(H1225,#REF!,#REF!,"",0,1)</f>
        <v>#REF!</v>
      </c>
      <c r="J1225" s="23" t="str">
        <f>IFERROR(I1225*#REF!,"")</f>
        <v/>
      </c>
      <c r="K1225" s="23" t="e" cm="1">
        <f t="array" ref="K1225">INDEX('GLOBAL LOG'!#REF!,ROW()-1194+15)</f>
        <v>#REF!</v>
      </c>
      <c r="L1225" s="23" t="e">
        <f>_xlfn.XLOOKUP(K1225,#REF!,#REF!,"",0,1)</f>
        <v>#REF!</v>
      </c>
      <c r="M1225" s="23" t="str">
        <f>IFERROR(L1225*#REF!,"")</f>
        <v/>
      </c>
      <c r="N1225" s="23">
        <f>IFERROR((D1225-#REF!)/#REF!*COUNT!J1225*COUNT!M1225,0)</f>
        <v>0</v>
      </c>
      <c r="O1225" s="23">
        <f>IFERROR((E1225-#REF!)/#REF!*COUNT!J1225*COUNT!M1225,0)</f>
        <v>0</v>
      </c>
      <c r="P1225" s="23">
        <f>IFERROR((F1225-#REF!)/#REF!*COUNT!J1225*COUNT!M1225,0)</f>
        <v>0</v>
      </c>
      <c r="Q1225" s="23">
        <f>IFERROR((G1225-#REF!)/#REF!*COUNT!J1225*COUNT!M1225,0)</f>
        <v>0</v>
      </c>
      <c r="R1225"/>
      <c r="S1225" s="1" t="str">
        <v>Keylime Keylime Air _ AE3007 _ Add 2 in possession aircraft to TotalCare &amp; extend all to 2030</v>
      </c>
      <c r="T1225" s="24">
        <v>0</v>
      </c>
      <c r="U1225"/>
      <c r="V1225" s="1" t="str">
        <v>Keylime Keylime Air _ AE3007 _ Add 2 in possession aircraft to TotalCare &amp; extend all to 2030</v>
      </c>
      <c r="W1225" s="24">
        <v>0</v>
      </c>
      <c r="X1225"/>
      <c r="Y1225" s="1" t="str">
        <v>Keylime Keylime Air _ AE3007 _ Add 2 in possession aircraft to TotalCare &amp; extend all to 2030</v>
      </c>
      <c r="Z1225" s="24">
        <v>0</v>
      </c>
      <c r="AA1225"/>
      <c r="AB1225" s="1" t="str">
        <v>Keylime Keylime Air _ AE3007 _ Add 2 in possession aircraft to TotalCare &amp; extend all to 2030</v>
      </c>
      <c r="AC1225" s="24">
        <v>0</v>
      </c>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c r="CA1225"/>
      <c r="CB1225"/>
      <c r="CC1225"/>
      <c r="CD1225"/>
      <c r="CE1225"/>
      <c r="CF1225"/>
      <c r="CG1225"/>
      <c r="CH1225"/>
      <c r="CI1225"/>
      <c r="CJ1225"/>
      <c r="CK1225"/>
      <c r="CL1225"/>
      <c r="CM1225"/>
      <c r="CN1225"/>
      <c r="CO1225"/>
      <c r="CP1225"/>
      <c r="CQ1225"/>
      <c r="CR1225"/>
      <c r="CS1225"/>
    </row>
    <row r="1226" spans="2:97">
      <c r="B1226"/>
      <c r="C1226" s="15" t="str">
        <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v>
      </c>
      <c r="D1226" s="23"/>
      <c r="E1226" s="23">
        <v>2.0580000000000003</v>
      </c>
      <c r="F1226" s="23">
        <v>0</v>
      </c>
      <c r="G1226" s="23">
        <f t="shared" si="93"/>
        <v>2.0580000000000003</v>
      </c>
      <c r="H1226" s="23" t="e" cm="1">
        <f t="array" ref="H1226">INDEX('GLOBAL LOG'!#REF!,ROW()-1194+15)</f>
        <v>#REF!</v>
      </c>
      <c r="I1226" s="23" t="e">
        <f>_xlfn.XLOOKUP(H1226,#REF!,#REF!,"",0,1)</f>
        <v>#REF!</v>
      </c>
      <c r="J1226" s="23" t="str">
        <f>IFERROR(I1226*#REF!,"")</f>
        <v/>
      </c>
      <c r="K1226" s="23" t="e" cm="1">
        <f t="array" ref="K1226">INDEX('GLOBAL LOG'!#REF!,ROW()-1194+15)</f>
        <v>#REF!</v>
      </c>
      <c r="L1226" s="23" t="e">
        <f>_xlfn.XLOOKUP(K1226,#REF!,#REF!,"",0,1)</f>
        <v>#REF!</v>
      </c>
      <c r="M1226" s="23" t="str">
        <f>IFERROR(L1226*#REF!,"")</f>
        <v/>
      </c>
      <c r="N1226" s="23">
        <f>IFERROR((D1226-#REF!)/#REF!*COUNT!J1226*COUNT!M1226,0)</f>
        <v>0</v>
      </c>
      <c r="O1226" s="23">
        <f>IFERROR((E1226-#REF!)/#REF!*COUNT!J1226*COUNT!M1226,0)</f>
        <v>0</v>
      </c>
      <c r="P1226" s="23">
        <f>IFERROR((F1226-#REF!)/#REF!*COUNT!J1226*COUNT!M1226,0)</f>
        <v>0</v>
      </c>
      <c r="Q1226" s="23">
        <f>IFERROR((G1226-#REF!)/#REF!*COUNT!J1226*COUNT!M1226,0)</f>
        <v>0</v>
      </c>
      <c r="R1226"/>
      <c r="S1226" s="1" t="str">
        <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v>
      </c>
      <c r="T1226" s="24">
        <v>0</v>
      </c>
      <c r="U1226"/>
      <c r="V1226" s="1" t="str">
        <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v>
      </c>
      <c r="W1226" s="24">
        <v>0</v>
      </c>
      <c r="X1226"/>
      <c r="Y1226" s="1" t="str">
        <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v>
      </c>
      <c r="Z1226" s="24">
        <v>0</v>
      </c>
      <c r="AA1226"/>
      <c r="AB1226" s="1" t="str">
        <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v>
      </c>
      <c r="AC1226" s="24">
        <v>0</v>
      </c>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c r="CA1226"/>
      <c r="CB1226"/>
      <c r="CC1226"/>
      <c r="CD1226"/>
      <c r="CE1226"/>
      <c r="CF1226"/>
      <c r="CG1226"/>
      <c r="CH1226"/>
      <c r="CI1226"/>
      <c r="CJ1226"/>
      <c r="CK1226"/>
      <c r="CL1226"/>
      <c r="CM1226"/>
      <c r="CN1226"/>
      <c r="CO1226"/>
      <c r="CP1226"/>
      <c r="CQ1226"/>
      <c r="CR1226"/>
      <c r="CS1226"/>
    </row>
    <row r="1227" spans="2:97">
      <c r="B1227"/>
      <c r="C1227" s="15" t="str">
        <v>Sterling Sterling _ AE2100 _ restructure &amp; add spare engines</v>
      </c>
      <c r="D1227" s="23"/>
      <c r="E1227" s="23">
        <v>0</v>
      </c>
      <c r="F1227" s="23">
        <v>0</v>
      </c>
      <c r="G1227" s="23">
        <f t="shared" si="93"/>
        <v>0</v>
      </c>
      <c r="H1227" s="23" t="e" cm="1">
        <f t="array" ref="H1227">INDEX('GLOBAL LOG'!#REF!,ROW()-1194+15)</f>
        <v>#REF!</v>
      </c>
      <c r="I1227" s="23" t="e">
        <f>_xlfn.XLOOKUP(H1227,#REF!,#REF!,"",0,1)</f>
        <v>#REF!</v>
      </c>
      <c r="J1227" s="23" t="str">
        <f>IFERROR(I1227*#REF!,"")</f>
        <v/>
      </c>
      <c r="K1227" s="23" t="e" cm="1">
        <f t="array" ref="K1227">INDEX('GLOBAL LOG'!#REF!,ROW()-1194+15)</f>
        <v>#REF!</v>
      </c>
      <c r="L1227" s="23" t="e">
        <f>_xlfn.XLOOKUP(K1227,#REF!,#REF!,"",0,1)</f>
        <v>#REF!</v>
      </c>
      <c r="M1227" s="23" t="str">
        <f>IFERROR(L1227*#REF!,"")</f>
        <v/>
      </c>
      <c r="N1227" s="23">
        <f>IFERROR((D1227-#REF!)/#REF!*COUNT!J1227*COUNT!M1227,0)</f>
        <v>0</v>
      </c>
      <c r="O1227" s="23">
        <f>IFERROR((E1227-#REF!)/#REF!*COUNT!J1227*COUNT!M1227,0)</f>
        <v>0</v>
      </c>
      <c r="P1227" s="23">
        <f>IFERROR((F1227-#REF!)/#REF!*COUNT!J1227*COUNT!M1227,0)</f>
        <v>0</v>
      </c>
      <c r="Q1227" s="23">
        <f>IFERROR((G1227-#REF!)/#REF!*COUNT!J1227*COUNT!M1227,0)</f>
        <v>0</v>
      </c>
      <c r="R1227"/>
      <c r="S1227" s="1" t="str">
        <v>Sterling Sterling _ AE2100 _ restructure &amp; add spare engines</v>
      </c>
      <c r="T1227" s="24">
        <v>0</v>
      </c>
      <c r="U1227"/>
      <c r="V1227" s="1" t="str">
        <v>Sterling Sterling _ AE2100 _ restructure &amp; add spare engines</v>
      </c>
      <c r="W1227" s="24">
        <v>0</v>
      </c>
      <c r="X1227"/>
      <c r="Y1227" s="1" t="str">
        <v>Sterling Sterling _ AE2100 _ restructure &amp; add spare engines</v>
      </c>
      <c r="Z1227" s="24">
        <v>0</v>
      </c>
      <c r="AA1227"/>
      <c r="AB1227" s="1" t="str">
        <v>Sterling Sterling _ AE2100 _ restructure &amp; add spare engines</v>
      </c>
      <c r="AC1227" s="24">
        <v>0</v>
      </c>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c r="CA1227"/>
      <c r="CB1227"/>
      <c r="CC1227"/>
      <c r="CD1227"/>
      <c r="CE1227"/>
      <c r="CF1227"/>
      <c r="CG1227"/>
      <c r="CH1227"/>
      <c r="CI1227"/>
      <c r="CJ1227"/>
      <c r="CK1227"/>
      <c r="CL1227"/>
      <c r="CM1227"/>
      <c r="CN1227"/>
      <c r="CO1227"/>
      <c r="CP1227"/>
      <c r="CQ1227"/>
      <c r="CR1227"/>
      <c r="CS1227"/>
    </row>
    <row r="1228" spans="2:97">
      <c r="B1228"/>
      <c r="C1228" s="15" t="str">
        <v>Austral TCA Extension (Life)/Exit credit trade</v>
      </c>
      <c r="D1228" s="23"/>
      <c r="E1228" s="23">
        <v>0</v>
      </c>
      <c r="F1228" s="23">
        <v>0</v>
      </c>
      <c r="G1228" s="23">
        <f t="shared" si="93"/>
        <v>0</v>
      </c>
      <c r="H1228" s="23" t="e" cm="1">
        <f t="array" ref="H1228">INDEX('GLOBAL LOG'!#REF!,ROW()-1194+15)</f>
        <v>#REF!</v>
      </c>
      <c r="I1228" s="23" t="e">
        <f>_xlfn.XLOOKUP(H1228,#REF!,#REF!,"",0,1)</f>
        <v>#REF!</v>
      </c>
      <c r="J1228" s="23" t="str">
        <f>IFERROR(I1228*#REF!,"")</f>
        <v/>
      </c>
      <c r="K1228" s="23" t="e" cm="1">
        <f t="array" ref="K1228">INDEX('GLOBAL LOG'!#REF!,ROW()-1194+15)</f>
        <v>#REF!</v>
      </c>
      <c r="L1228" s="23" t="e">
        <f>_xlfn.XLOOKUP(K1228,#REF!,#REF!,"",0,1)</f>
        <v>#REF!</v>
      </c>
      <c r="M1228" s="23" t="str">
        <f>IFERROR(L1228*#REF!,"")</f>
        <v/>
      </c>
      <c r="N1228" s="23">
        <f>IFERROR((D1228-#REF!)/#REF!*COUNT!J1228*COUNT!M1228,0)</f>
        <v>0</v>
      </c>
      <c r="O1228" s="23">
        <f>IFERROR((E1228-#REF!)/#REF!*COUNT!J1228*COUNT!M1228,0)</f>
        <v>0</v>
      </c>
      <c r="P1228" s="23">
        <f>IFERROR((F1228-#REF!)/#REF!*COUNT!J1228*COUNT!M1228,0)</f>
        <v>0</v>
      </c>
      <c r="Q1228" s="23">
        <f>IFERROR((G1228-#REF!)/#REF!*COUNT!J1228*COUNT!M1228,0)</f>
        <v>0</v>
      </c>
      <c r="R1228"/>
      <c r="S1228" s="1" t="str">
        <v>Austral TCA Extension (Life)/Exit credit trade</v>
      </c>
      <c r="T1228" s="24">
        <v>0</v>
      </c>
      <c r="U1228"/>
      <c r="V1228" s="1" t="str">
        <v>Austral TCA Extension (Life)/Exit credit trade</v>
      </c>
      <c r="W1228" s="24">
        <v>0</v>
      </c>
      <c r="X1228"/>
      <c r="Y1228" s="1" t="str">
        <v>Austral TCA Extension (Life)/Exit credit trade</v>
      </c>
      <c r="Z1228" s="24">
        <v>0</v>
      </c>
      <c r="AA1228"/>
      <c r="AB1228" s="1" t="str">
        <v>Austral TCA Extension (Life)/Exit credit trade</v>
      </c>
      <c r="AC1228" s="24">
        <v>0</v>
      </c>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c r="CA1228"/>
      <c r="CB1228"/>
      <c r="CC1228"/>
      <c r="CD1228"/>
      <c r="CE1228"/>
      <c r="CF1228"/>
      <c r="CG1228"/>
      <c r="CH1228"/>
      <c r="CI1228"/>
      <c r="CJ1228"/>
      <c r="CK1228"/>
      <c r="CL1228"/>
      <c r="CM1228"/>
      <c r="CN1228"/>
      <c r="CO1228"/>
      <c r="CP1228"/>
      <c r="CQ1228"/>
      <c r="CR1228"/>
      <c r="CS1228"/>
    </row>
    <row r="1229" spans="2:97">
      <c r="B1229"/>
      <c r="C1229" s="15" t="str">
        <v>Ethiopian Airlines TCA Life Min Term Extension (life)
As part of 787-9 campaign</v>
      </c>
      <c r="D1229" s="23"/>
      <c r="E1229" s="23">
        <v>23</v>
      </c>
      <c r="F1229" s="23">
        <v>0</v>
      </c>
      <c r="G1229" s="23">
        <f t="shared" si="93"/>
        <v>23</v>
      </c>
      <c r="H1229" s="23" t="e" cm="1">
        <f t="array" ref="H1229">INDEX('GLOBAL LOG'!#REF!,ROW()-1194+15)</f>
        <v>#REF!</v>
      </c>
      <c r="I1229" s="23" t="e">
        <f>_xlfn.XLOOKUP(H1229,#REF!,#REF!,"",0,1)</f>
        <v>#REF!</v>
      </c>
      <c r="J1229" s="23" t="str">
        <f>IFERROR(I1229*#REF!,"")</f>
        <v/>
      </c>
      <c r="K1229" s="23" t="e" cm="1">
        <f t="array" ref="K1229">INDEX('GLOBAL LOG'!#REF!,ROW()-1194+15)</f>
        <v>#REF!</v>
      </c>
      <c r="L1229" s="23" t="e">
        <f>_xlfn.XLOOKUP(K1229,#REF!,#REF!,"",0,1)</f>
        <v>#REF!</v>
      </c>
      <c r="M1229" s="23" t="str">
        <f>IFERROR(L1229*#REF!,"")</f>
        <v/>
      </c>
      <c r="N1229" s="23">
        <f>IFERROR((D1229-#REF!)/#REF!*COUNT!J1229*COUNT!M1229,0)</f>
        <v>0</v>
      </c>
      <c r="O1229" s="23">
        <f>IFERROR((E1229-#REF!)/#REF!*COUNT!J1229*COUNT!M1229,0)</f>
        <v>0</v>
      </c>
      <c r="P1229" s="23">
        <f>IFERROR((F1229-#REF!)/#REF!*COUNT!J1229*COUNT!M1229,0)</f>
        <v>0</v>
      </c>
      <c r="Q1229" s="23">
        <f>IFERROR((G1229-#REF!)/#REF!*COUNT!J1229*COUNT!M1229,0)</f>
        <v>0</v>
      </c>
      <c r="R1229"/>
      <c r="S1229" s="1" t="str">
        <v>Ethiopian Airlines TCA Life Min Term Extension (life)
As part of 787-9 campaign</v>
      </c>
      <c r="T1229" s="24">
        <v>0</v>
      </c>
      <c r="U1229"/>
      <c r="V1229" s="1" t="str">
        <v>Ethiopian Airlines TCA Life Min Term Extension (life)
As part of 787-9 campaign</v>
      </c>
      <c r="W1229" s="24">
        <v>0</v>
      </c>
      <c r="X1229"/>
      <c r="Y1229" s="1" t="str">
        <v>Ethiopian Airlines TCA Life Min Term Extension (life)
As part of 787-9 campaign</v>
      </c>
      <c r="Z1229" s="24">
        <v>0</v>
      </c>
      <c r="AA1229"/>
      <c r="AB1229" s="1" t="str">
        <v>Ethiopian Airlines TCA Life Min Term Extension (life)
As part of 787-9 campaign</v>
      </c>
      <c r="AC1229" s="24">
        <v>0</v>
      </c>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c r="CA1229"/>
      <c r="CB1229"/>
      <c r="CC1229"/>
      <c r="CD1229"/>
      <c r="CE1229"/>
      <c r="CF1229"/>
      <c r="CG1229"/>
      <c r="CH1229"/>
      <c r="CI1229"/>
      <c r="CJ1229"/>
      <c r="CK1229"/>
      <c r="CL1229"/>
      <c r="CM1229"/>
      <c r="CN1229"/>
      <c r="CO1229"/>
      <c r="CP1229"/>
      <c r="CQ1229"/>
      <c r="CR1229"/>
      <c r="CS1229"/>
    </row>
    <row r="1230" spans="2:97">
      <c r="B1230"/>
      <c r="C1230" s="15" t="str">
        <v>Tanzania Sale of incremental spare engine. NDSES CRP</v>
      </c>
      <c r="D1230" s="23"/>
      <c r="E1230" s="23">
        <v>0.52569600000000005</v>
      </c>
      <c r="F1230" s="23">
        <v>0.52569600000000005</v>
      </c>
      <c r="G1230" s="23">
        <f t="shared" si="93"/>
        <v>1.0513920000000001</v>
      </c>
      <c r="H1230" s="23" t="e" cm="1">
        <f t="array" ref="H1230">INDEX('GLOBAL LOG'!#REF!,ROW()-1194+15)</f>
        <v>#REF!</v>
      </c>
      <c r="I1230" s="23" t="e">
        <f>_xlfn.XLOOKUP(H1230,#REF!,#REF!,"",0,1)</f>
        <v>#REF!</v>
      </c>
      <c r="J1230" s="23" t="str">
        <f>IFERROR(I1230*#REF!,"")</f>
        <v/>
      </c>
      <c r="K1230" s="23" t="e" cm="1">
        <f t="array" ref="K1230">INDEX('GLOBAL LOG'!#REF!,ROW()-1194+15)</f>
        <v>#REF!</v>
      </c>
      <c r="L1230" s="23" t="e">
        <f>_xlfn.XLOOKUP(K1230,#REF!,#REF!,"",0,1)</f>
        <v>#REF!</v>
      </c>
      <c r="M1230" s="23" t="str">
        <f>IFERROR(L1230*#REF!,"")</f>
        <v/>
      </c>
      <c r="N1230" s="23">
        <f>IFERROR((D1230-#REF!)/#REF!*COUNT!J1230*COUNT!M1230,0)</f>
        <v>0</v>
      </c>
      <c r="O1230" s="23">
        <f>IFERROR((E1230-#REF!)/#REF!*COUNT!J1230*COUNT!M1230,0)</f>
        <v>0</v>
      </c>
      <c r="P1230" s="23">
        <f>IFERROR((F1230-#REF!)/#REF!*COUNT!J1230*COUNT!M1230,0)</f>
        <v>0</v>
      </c>
      <c r="Q1230" s="23">
        <f>IFERROR((G1230-#REF!)/#REF!*COUNT!J1230*COUNT!M1230,0)</f>
        <v>0</v>
      </c>
      <c r="R1230"/>
      <c r="S1230" s="1" t="str">
        <v>Tanzania Sale of incremental spare engine. NDSES CRP</v>
      </c>
      <c r="T1230" s="24">
        <v>0</v>
      </c>
      <c r="U1230"/>
      <c r="V1230" s="1" t="str">
        <v>Tanzania Sale of incremental spare engine. NDSES CRP</v>
      </c>
      <c r="W1230" s="24">
        <v>0</v>
      </c>
      <c r="X1230"/>
      <c r="Y1230" s="1" t="str">
        <v>Tanzania Sale of incremental spare engine. NDSES CRP</v>
      </c>
      <c r="Z1230" s="24">
        <v>0</v>
      </c>
      <c r="AA1230"/>
      <c r="AB1230" s="1" t="str">
        <v>Tanzania Sale of incremental spare engine. NDSES CRP</v>
      </c>
      <c r="AC1230" s="24">
        <v>0</v>
      </c>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c r="CA1230"/>
      <c r="CB1230"/>
      <c r="CC1230"/>
      <c r="CD1230"/>
      <c r="CE1230"/>
      <c r="CF1230"/>
      <c r="CG1230"/>
      <c r="CH1230"/>
      <c r="CI1230"/>
      <c r="CJ1230"/>
      <c r="CK1230"/>
      <c r="CL1230"/>
      <c r="CM1230"/>
      <c r="CN1230"/>
      <c r="CO1230"/>
      <c r="CP1230"/>
      <c r="CQ1230"/>
      <c r="CR1230"/>
      <c r="CS1230"/>
    </row>
    <row r="1231" spans="2:97">
      <c r="B1231"/>
      <c r="C1231" s="15" t="str">
        <v>Virgin Atlantic  Sale of incremental Trent 1000 used SPE to meet inventory targets with RRPF S&amp;LB. Review of NDSES cost savings and CRP improvements.</v>
      </c>
      <c r="D1231" s="23"/>
      <c r="E1231" s="23">
        <v>2</v>
      </c>
      <c r="F1231" s="23">
        <v>0</v>
      </c>
      <c r="G1231" s="23">
        <f t="shared" si="93"/>
        <v>2</v>
      </c>
      <c r="H1231" s="23" t="e" cm="1">
        <f t="array" ref="H1231">INDEX('GLOBAL LOG'!#REF!,ROW()-1194+15)</f>
        <v>#REF!</v>
      </c>
      <c r="I1231" s="23" t="e">
        <f>_xlfn.XLOOKUP(H1231,#REF!,#REF!,"",0,1)</f>
        <v>#REF!</v>
      </c>
      <c r="J1231" s="23" t="str">
        <f>IFERROR(I1231*#REF!,"")</f>
        <v/>
      </c>
      <c r="K1231" s="23" t="e" cm="1">
        <f t="array" ref="K1231">INDEX('GLOBAL LOG'!#REF!,ROW()-1194+15)</f>
        <v>#REF!</v>
      </c>
      <c r="L1231" s="23" t="e">
        <f>_xlfn.XLOOKUP(K1231,#REF!,#REF!,"",0,1)</f>
        <v>#REF!</v>
      </c>
      <c r="M1231" s="23" t="str">
        <f>IFERROR(L1231*#REF!,"")</f>
        <v/>
      </c>
      <c r="N1231" s="23">
        <f>IFERROR((D1231-#REF!)/#REF!*COUNT!J1231*COUNT!M1231,0)</f>
        <v>0</v>
      </c>
      <c r="O1231" s="23">
        <f>IFERROR((E1231-#REF!)/#REF!*COUNT!J1231*COUNT!M1231,0)</f>
        <v>0</v>
      </c>
      <c r="P1231" s="23">
        <f>IFERROR((F1231-#REF!)/#REF!*COUNT!J1231*COUNT!M1231,0)</f>
        <v>0</v>
      </c>
      <c r="Q1231" s="23">
        <f>IFERROR((G1231-#REF!)/#REF!*COUNT!J1231*COUNT!M1231,0)</f>
        <v>0</v>
      </c>
      <c r="R1231"/>
      <c r="S1231" s="1" t="str">
        <v>Virgin Atlantic  Sale of incremental Trent 1000 used SPE to meet inventory targets with RRPF S&amp;LB. Review of NDSES cost savings and CRP improvements.</v>
      </c>
      <c r="T1231" s="24">
        <v>0</v>
      </c>
      <c r="U1231"/>
      <c r="V1231" s="1" t="str">
        <v>Virgin Atlantic  Sale of incremental Trent 1000 used SPE to meet inventory targets with RRPF S&amp;LB. Review of NDSES cost savings and CRP improvements.</v>
      </c>
      <c r="W1231" s="24">
        <v>0</v>
      </c>
      <c r="X1231"/>
      <c r="Y1231" s="1" t="str">
        <v>Virgin Atlantic  Sale of incremental Trent 1000 used SPE to meet inventory targets with RRPF S&amp;LB. Review of NDSES cost savings and CRP improvements.</v>
      </c>
      <c r="Z1231" s="24">
        <v>0</v>
      </c>
      <c r="AA1231"/>
      <c r="AB1231" s="1" t="str">
        <v>Virgin Atlantic  Sale of incremental Trent 1000 used SPE to meet inventory targets with RRPF S&amp;LB. Review of NDSES cost savings and CRP improvements.</v>
      </c>
      <c r="AC1231" s="24">
        <v>0</v>
      </c>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c r="CA1231"/>
      <c r="CB1231"/>
      <c r="CC1231"/>
      <c r="CD1231"/>
      <c r="CE1231"/>
      <c r="CF1231"/>
      <c r="CG1231"/>
      <c r="CH1231"/>
      <c r="CI1231"/>
      <c r="CJ1231"/>
      <c r="CK1231"/>
      <c r="CL1231"/>
      <c r="CM1231"/>
      <c r="CN1231"/>
      <c r="CO1231"/>
      <c r="CP1231"/>
      <c r="CQ1231"/>
      <c r="CR1231"/>
      <c r="CS1231"/>
    </row>
    <row r="1232" spans="2:97">
      <c r="B1232"/>
      <c r="C1232" s="15" t="str">
        <v>British Airways  Descoping of nacelle services (thrust reverser)</v>
      </c>
      <c r="D1232" s="23"/>
      <c r="E1232" s="23">
        <v>0.5</v>
      </c>
      <c r="F1232" s="23">
        <v>0</v>
      </c>
      <c r="G1232" s="23">
        <f t="shared" si="93"/>
        <v>0.5</v>
      </c>
      <c r="H1232" s="23" t="e" cm="1">
        <f t="array" ref="H1232">INDEX('GLOBAL LOG'!#REF!,ROW()-1194+15)</f>
        <v>#REF!</v>
      </c>
      <c r="I1232" s="23" t="e">
        <f>_xlfn.XLOOKUP(H1232,#REF!,#REF!,"",0,1)</f>
        <v>#REF!</v>
      </c>
      <c r="J1232" s="23" t="str">
        <f>IFERROR(I1232*#REF!,"")</f>
        <v/>
      </c>
      <c r="K1232" s="23" t="e" cm="1">
        <f t="array" ref="K1232">INDEX('GLOBAL LOG'!#REF!,ROW()-1194+15)</f>
        <v>#REF!</v>
      </c>
      <c r="L1232" s="23" t="e">
        <f>_xlfn.XLOOKUP(K1232,#REF!,#REF!,"",0,1)</f>
        <v>#REF!</v>
      </c>
      <c r="M1232" s="23" t="str">
        <f>IFERROR(L1232*#REF!,"")</f>
        <v/>
      </c>
      <c r="N1232" s="23">
        <f>IFERROR((D1232-#REF!)/#REF!*COUNT!J1232*COUNT!M1232,0)</f>
        <v>0</v>
      </c>
      <c r="O1232" s="23">
        <f>IFERROR((E1232-#REF!)/#REF!*COUNT!J1232*COUNT!M1232,0)</f>
        <v>0</v>
      </c>
      <c r="P1232" s="23">
        <f>IFERROR((F1232-#REF!)/#REF!*COUNT!J1232*COUNT!M1232,0)</f>
        <v>0</v>
      </c>
      <c r="Q1232" s="23">
        <f>IFERROR((G1232-#REF!)/#REF!*COUNT!J1232*COUNT!M1232,0)</f>
        <v>0</v>
      </c>
      <c r="R1232"/>
      <c r="S1232" s="1" t="str">
        <v>British Airways  Descoping of nacelle services (thrust reverser)</v>
      </c>
      <c r="T1232" s="24">
        <v>0</v>
      </c>
      <c r="U1232"/>
      <c r="V1232" s="1" t="str">
        <v>British Airways  Descoping of nacelle services (thrust reverser)</v>
      </c>
      <c r="W1232" s="24">
        <v>0</v>
      </c>
      <c r="X1232"/>
      <c r="Y1232" s="1" t="str">
        <v>British Airways  Descoping of nacelle services (thrust reverser)</v>
      </c>
      <c r="Z1232" s="24">
        <v>0</v>
      </c>
      <c r="AA1232"/>
      <c r="AB1232" s="1" t="str">
        <v>British Airways  Descoping of nacelle services (thrust reverser)</v>
      </c>
      <c r="AC1232" s="24">
        <v>0</v>
      </c>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c r="CA1232"/>
      <c r="CB1232"/>
      <c r="CC1232"/>
      <c r="CD1232"/>
      <c r="CE1232"/>
      <c r="CF1232"/>
      <c r="CG1232"/>
      <c r="CH1232"/>
      <c r="CI1232"/>
      <c r="CJ1232"/>
      <c r="CK1232"/>
      <c r="CL1232"/>
      <c r="CM1232"/>
      <c r="CN1232"/>
      <c r="CO1232"/>
      <c r="CP1232"/>
      <c r="CQ1232"/>
      <c r="CR1232"/>
      <c r="CS1232"/>
    </row>
    <row r="1233" spans="2:97">
      <c r="B1233"/>
      <c r="C1233" s="15" t="str">
        <v>Keylime Keylime Air _ AE3007 _ Add 2 aircraft to TotalCare, purchase of AC under eval</v>
      </c>
      <c r="D1233" s="23"/>
      <c r="E1233" s="23">
        <v>0</v>
      </c>
      <c r="F1233" s="23">
        <v>0</v>
      </c>
      <c r="G1233" s="23">
        <f t="shared" si="93"/>
        <v>0</v>
      </c>
      <c r="H1233" s="23" t="e" cm="1">
        <f t="array" ref="H1233">INDEX('GLOBAL LOG'!#REF!,ROW()-1194+15)</f>
        <v>#REF!</v>
      </c>
      <c r="I1233" s="23" t="e">
        <f>_xlfn.XLOOKUP(H1233,#REF!,#REF!,"",0,1)</f>
        <v>#REF!</v>
      </c>
      <c r="J1233" s="23" t="str">
        <f>IFERROR(I1233*#REF!,"")</f>
        <v/>
      </c>
      <c r="K1233" s="23" t="e" cm="1">
        <f t="array" ref="K1233">INDEX('GLOBAL LOG'!#REF!,ROW()-1194+15)</f>
        <v>#REF!</v>
      </c>
      <c r="L1233" s="23" t="e">
        <f>_xlfn.XLOOKUP(K1233,#REF!,#REF!,"",0,1)</f>
        <v>#REF!</v>
      </c>
      <c r="M1233" s="23" t="str">
        <f>IFERROR(L1233*#REF!,"")</f>
        <v/>
      </c>
      <c r="N1233" s="23">
        <f>IFERROR((D1233-#REF!)/#REF!*COUNT!J1233*COUNT!M1233,0)</f>
        <v>0</v>
      </c>
      <c r="O1233" s="23">
        <f>IFERROR((E1233-#REF!)/#REF!*COUNT!J1233*COUNT!M1233,0)</f>
        <v>0</v>
      </c>
      <c r="P1233" s="23">
        <f>IFERROR((F1233-#REF!)/#REF!*COUNT!J1233*COUNT!M1233,0)</f>
        <v>0</v>
      </c>
      <c r="Q1233" s="23">
        <f>IFERROR((G1233-#REF!)/#REF!*COUNT!J1233*COUNT!M1233,0)</f>
        <v>0</v>
      </c>
      <c r="R1233"/>
      <c r="S1233" s="1" t="str">
        <v>Keylime Keylime Air _ AE3007 _ Add 2 aircraft to TotalCare, purchase of AC under eval</v>
      </c>
      <c r="T1233" s="24">
        <v>0</v>
      </c>
      <c r="U1233"/>
      <c r="V1233" s="1" t="str">
        <v>Keylime Keylime Air _ AE3007 _ Add 2 aircraft to TotalCare, purchase of AC under eval</v>
      </c>
      <c r="W1233" s="24">
        <v>0</v>
      </c>
      <c r="X1233"/>
      <c r="Y1233" s="1" t="str">
        <v>Keylime Keylime Air _ AE3007 _ Add 2 aircraft to TotalCare, purchase of AC under eval</v>
      </c>
      <c r="Z1233" s="24">
        <v>0</v>
      </c>
      <c r="AA1233"/>
      <c r="AB1233" s="1" t="str">
        <v>Keylime Keylime Air _ AE3007 _ Add 2 aircraft to TotalCare, purchase of AC under eval</v>
      </c>
      <c r="AC1233" s="24">
        <v>0</v>
      </c>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c r="CA1233"/>
      <c r="CB1233"/>
      <c r="CC1233"/>
      <c r="CD1233"/>
      <c r="CE1233"/>
      <c r="CF1233"/>
      <c r="CG1233"/>
      <c r="CH1233"/>
      <c r="CI1233"/>
      <c r="CJ1233"/>
      <c r="CK1233"/>
      <c r="CL1233"/>
      <c r="CM1233"/>
      <c r="CN1233"/>
      <c r="CO1233"/>
      <c r="CP1233"/>
      <c r="CQ1233"/>
      <c r="CR1233"/>
      <c r="CS1233"/>
    </row>
    <row r="1234" spans="2:97">
      <c r="B1234"/>
      <c r="C1234" s="15" t="str">
        <v>Satena Satena _ AE3007 _ Contract extension for 2 AC</v>
      </c>
      <c r="D1234" s="23"/>
      <c r="E1234" s="23">
        <v>0</v>
      </c>
      <c r="F1234" s="23">
        <v>0</v>
      </c>
      <c r="G1234" s="23">
        <f t="shared" si="93"/>
        <v>0</v>
      </c>
      <c r="H1234" s="23" t="e" cm="1">
        <f t="array" ref="H1234">INDEX('GLOBAL LOG'!#REF!,ROW()-1194+15)</f>
        <v>#REF!</v>
      </c>
      <c r="I1234" s="23" t="e">
        <f>_xlfn.XLOOKUP(H1234,#REF!,#REF!,"",0,1)</f>
        <v>#REF!</v>
      </c>
      <c r="J1234" s="23" t="str">
        <f>IFERROR(I1234*#REF!,"")</f>
        <v/>
      </c>
      <c r="K1234" s="23" t="e" cm="1">
        <f t="array" ref="K1234">INDEX('GLOBAL LOG'!#REF!,ROW()-1194+15)</f>
        <v>#REF!</v>
      </c>
      <c r="L1234" s="23" t="e">
        <f>_xlfn.XLOOKUP(K1234,#REF!,#REF!,"",0,1)</f>
        <v>#REF!</v>
      </c>
      <c r="M1234" s="23" t="str">
        <f>IFERROR(L1234*#REF!,"")</f>
        <v/>
      </c>
      <c r="N1234" s="23">
        <f>IFERROR((D1234-#REF!)/#REF!*COUNT!J1234*COUNT!M1234,0)</f>
        <v>0</v>
      </c>
      <c r="O1234" s="23">
        <f>IFERROR((E1234-#REF!)/#REF!*COUNT!J1234*COUNT!M1234,0)</f>
        <v>0</v>
      </c>
      <c r="P1234" s="23">
        <f>IFERROR((F1234-#REF!)/#REF!*COUNT!J1234*COUNT!M1234,0)</f>
        <v>0</v>
      </c>
      <c r="Q1234" s="23">
        <f>IFERROR((G1234-#REF!)/#REF!*COUNT!J1234*COUNT!M1234,0)</f>
        <v>0</v>
      </c>
      <c r="R1234"/>
      <c r="S1234" s="1" t="str">
        <v>Satena Satena _ AE3007 _ Contract extension for 2 AC</v>
      </c>
      <c r="T1234" s="24">
        <v>0</v>
      </c>
      <c r="U1234"/>
      <c r="V1234" s="1" t="str">
        <v>Satena Satena _ AE3007 _ Contract extension for 2 AC</v>
      </c>
      <c r="W1234" s="24">
        <v>0</v>
      </c>
      <c r="X1234"/>
      <c r="Y1234" s="1" t="str">
        <v>Satena Satena _ AE3007 _ Contract extension for 2 AC</v>
      </c>
      <c r="Z1234" s="24">
        <v>0</v>
      </c>
      <c r="AA1234"/>
      <c r="AB1234" s="1" t="str">
        <v>Satena Satena _ AE3007 _ Contract extension for 2 AC</v>
      </c>
      <c r="AC1234" s="24">
        <v>0</v>
      </c>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c r="CA1234"/>
      <c r="CB1234"/>
      <c r="CC1234"/>
      <c r="CD1234"/>
      <c r="CE1234"/>
      <c r="CF1234"/>
      <c r="CG1234"/>
      <c r="CH1234"/>
      <c r="CI1234"/>
      <c r="CJ1234"/>
      <c r="CK1234"/>
      <c r="CL1234"/>
      <c r="CM1234"/>
      <c r="CN1234"/>
      <c r="CO1234"/>
      <c r="CP1234"/>
      <c r="CQ1234"/>
      <c r="CR1234"/>
      <c r="CS1234"/>
    </row>
    <row r="1235" spans="2:97">
      <c r="B1235"/>
      <c r="C1235" s="15" t="str">
        <v>Ethiopian Airlines Restructure exisiting contract -Increase escalation
As part of A350-900 sales campaign</v>
      </c>
      <c r="D1235" s="23"/>
      <c r="E1235" s="23">
        <v>0</v>
      </c>
      <c r="F1235" s="23">
        <v>0</v>
      </c>
      <c r="G1235" s="23">
        <f t="shared" si="93"/>
        <v>0</v>
      </c>
      <c r="H1235" s="23" t="e" cm="1">
        <f t="array" ref="H1235">INDEX('GLOBAL LOG'!#REF!,ROW()-1194+15)</f>
        <v>#REF!</v>
      </c>
      <c r="I1235" s="23" t="e">
        <f>_xlfn.XLOOKUP(H1235,#REF!,#REF!,"",0,1)</f>
        <v>#REF!</v>
      </c>
      <c r="J1235" s="23" t="str">
        <f>IFERROR(I1235*#REF!,"")</f>
        <v/>
      </c>
      <c r="K1235" s="23" t="e" cm="1">
        <f t="array" ref="K1235">INDEX('GLOBAL LOG'!#REF!,ROW()-1194+15)</f>
        <v>#REF!</v>
      </c>
      <c r="L1235" s="23" t="e">
        <f>_xlfn.XLOOKUP(K1235,#REF!,#REF!,"",0,1)</f>
        <v>#REF!</v>
      </c>
      <c r="M1235" s="23" t="str">
        <f>IFERROR(L1235*#REF!,"")</f>
        <v/>
      </c>
      <c r="N1235" s="23">
        <f>IFERROR((D1235-#REF!)/#REF!*COUNT!J1235*COUNT!M1235,0)</f>
        <v>0</v>
      </c>
      <c r="O1235" s="23">
        <f>IFERROR((E1235-#REF!)/#REF!*COUNT!J1235*COUNT!M1235,0)</f>
        <v>0</v>
      </c>
      <c r="P1235" s="23">
        <f>IFERROR((F1235-#REF!)/#REF!*COUNT!J1235*COUNT!M1235,0)</f>
        <v>0</v>
      </c>
      <c r="Q1235" s="23">
        <f>IFERROR((G1235-#REF!)/#REF!*COUNT!J1235*COUNT!M1235,0)</f>
        <v>0</v>
      </c>
      <c r="R1235"/>
      <c r="S1235" s="1" t="str">
        <v>Ethiopian Airlines Restructure exisiting contract -Increase escalation
As part of A350-900 sales campaign</v>
      </c>
      <c r="T1235" s="24">
        <v>0</v>
      </c>
      <c r="U1235"/>
      <c r="V1235" s="1" t="str">
        <v>Ethiopian Airlines Restructure exisiting contract -Increase escalation
As part of A350-900 sales campaign</v>
      </c>
      <c r="W1235" s="24">
        <v>0</v>
      </c>
      <c r="X1235"/>
      <c r="Y1235" s="1" t="str">
        <v>Ethiopian Airlines Restructure exisiting contract -Increase escalation
As part of A350-900 sales campaign</v>
      </c>
      <c r="Z1235" s="24">
        <v>0</v>
      </c>
      <c r="AA1235"/>
      <c r="AB1235" s="1" t="str">
        <v>Ethiopian Airlines Restructure exisiting contract -Increase escalation
As part of A350-900 sales campaign</v>
      </c>
      <c r="AC1235" s="24">
        <v>0</v>
      </c>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c r="CA1235"/>
      <c r="CB1235"/>
      <c r="CC1235"/>
      <c r="CD1235"/>
      <c r="CE1235"/>
      <c r="CF1235"/>
      <c r="CG1235"/>
      <c r="CH1235"/>
      <c r="CI1235"/>
      <c r="CJ1235"/>
      <c r="CK1235"/>
      <c r="CL1235"/>
      <c r="CM1235"/>
      <c r="CN1235"/>
      <c r="CO1235"/>
      <c r="CP1235"/>
      <c r="CQ1235"/>
      <c r="CR1235"/>
      <c r="CS1235"/>
    </row>
    <row r="1236" spans="2:97">
      <c r="B1236"/>
      <c r="C1236" s="15" t="str">
        <v>United UNITED TotalCare restructure to SelectCare and term extension - 535E$</v>
      </c>
      <c r="D1236" s="23"/>
      <c r="E1236" s="23">
        <v>0</v>
      </c>
      <c r="F1236" s="23">
        <v>0</v>
      </c>
      <c r="G1236" s="23">
        <f t="shared" si="93"/>
        <v>0</v>
      </c>
      <c r="H1236" s="23" t="e" cm="1">
        <f t="array" ref="H1236">INDEX('GLOBAL LOG'!#REF!,ROW()-1194+15)</f>
        <v>#REF!</v>
      </c>
      <c r="I1236" s="23" t="e">
        <f>_xlfn.XLOOKUP(H1236,#REF!,#REF!,"",0,1)</f>
        <v>#REF!</v>
      </c>
      <c r="J1236" s="23" t="str">
        <f>IFERROR(I1236*#REF!,"")</f>
        <v/>
      </c>
      <c r="K1236" s="23" t="e" cm="1">
        <f t="array" ref="K1236">INDEX('GLOBAL LOG'!#REF!,ROW()-1194+15)</f>
        <v>#REF!</v>
      </c>
      <c r="L1236" s="23" t="e">
        <f>_xlfn.XLOOKUP(K1236,#REF!,#REF!,"",0,1)</f>
        <v>#REF!</v>
      </c>
      <c r="M1236" s="23" t="str">
        <f>IFERROR(L1236*#REF!,"")</f>
        <v/>
      </c>
      <c r="N1236" s="23">
        <f>IFERROR((D1236-#REF!)/#REF!*COUNT!J1236*COUNT!M1236,0)</f>
        <v>0</v>
      </c>
      <c r="O1236" s="23">
        <f>IFERROR((E1236-#REF!)/#REF!*COUNT!J1236*COUNT!M1236,0)</f>
        <v>0</v>
      </c>
      <c r="P1236" s="23">
        <f>IFERROR((F1236-#REF!)/#REF!*COUNT!J1236*COUNT!M1236,0)</f>
        <v>0</v>
      </c>
      <c r="Q1236" s="23">
        <f>IFERROR((G1236-#REF!)/#REF!*COUNT!J1236*COUNT!M1236,0)</f>
        <v>0</v>
      </c>
      <c r="R1236"/>
      <c r="S1236" s="1" t="str">
        <v>United UNITED TotalCare restructure to SelectCare and term extension - 535E$</v>
      </c>
      <c r="T1236" s="24">
        <v>0</v>
      </c>
      <c r="U1236"/>
      <c r="V1236" s="1" t="str">
        <v>United UNITED TotalCare restructure to SelectCare and term extension - 535E$</v>
      </c>
      <c r="W1236" s="24">
        <v>0</v>
      </c>
      <c r="X1236"/>
      <c r="Y1236" s="1" t="str">
        <v>United UNITED TotalCare restructure to SelectCare and term extension - 535E$</v>
      </c>
      <c r="Z1236" s="24">
        <v>0</v>
      </c>
      <c r="AA1236"/>
      <c r="AB1236" s="1" t="str">
        <v>United UNITED TotalCare restructure to SelectCare and term extension - 535E$</v>
      </c>
      <c r="AC1236" s="24">
        <v>0</v>
      </c>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c r="CA1236"/>
      <c r="CB1236"/>
      <c r="CC1236"/>
      <c r="CD1236"/>
      <c r="CE1236"/>
      <c r="CF1236"/>
      <c r="CG1236"/>
      <c r="CH1236"/>
      <c r="CI1236"/>
      <c r="CJ1236"/>
      <c r="CK1236"/>
      <c r="CL1236"/>
      <c r="CM1236"/>
      <c r="CN1236"/>
      <c r="CO1236"/>
      <c r="CP1236"/>
      <c r="CQ1236"/>
      <c r="CR1236"/>
      <c r="CS1236"/>
    </row>
    <row r="1237" spans="2:97">
      <c r="B1237"/>
      <c r="C1237" s="15" t="str">
        <v xml:space="preserve">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v>
      </c>
      <c r="D1237" s="23"/>
      <c r="E1237" s="23">
        <v>14</v>
      </c>
      <c r="F1237" s="23" t="str">
        <v>Confirm with Bobby</v>
      </c>
      <c r="G1237" s="23" t="e">
        <f t="shared" si="93"/>
        <v>#VALUE!</v>
      </c>
      <c r="H1237" s="23" t="e" cm="1">
        <f t="array" ref="H1237">INDEX('GLOBAL LOG'!#REF!,ROW()-1194+15)</f>
        <v>#REF!</v>
      </c>
      <c r="I1237" s="23" t="e">
        <f>_xlfn.XLOOKUP(H1237,#REF!,#REF!,"",0,1)</f>
        <v>#REF!</v>
      </c>
      <c r="J1237" s="23" t="str">
        <f>IFERROR(I1237*#REF!,"")</f>
        <v/>
      </c>
      <c r="K1237" s="23" t="e" cm="1">
        <f t="array" ref="K1237">INDEX('GLOBAL LOG'!#REF!,ROW()-1194+15)</f>
        <v>#REF!</v>
      </c>
      <c r="L1237" s="23" t="e">
        <f>_xlfn.XLOOKUP(K1237,#REF!,#REF!,"",0,1)</f>
        <v>#REF!</v>
      </c>
      <c r="M1237" s="23" t="str">
        <f>IFERROR(L1237*#REF!,"")</f>
        <v/>
      </c>
      <c r="N1237" s="23">
        <f>IFERROR((D1237-#REF!)/#REF!*COUNT!J1237*COUNT!M1237,0)</f>
        <v>0</v>
      </c>
      <c r="O1237" s="23">
        <f>IFERROR((E1237-#REF!)/#REF!*COUNT!J1237*COUNT!M1237,0)</f>
        <v>0</v>
      </c>
      <c r="P1237" s="23">
        <f>IFERROR((F1237-#REF!)/#REF!*COUNT!J1237*COUNT!M1237,0)</f>
        <v>0</v>
      </c>
      <c r="Q1237" s="23">
        <f>IFERROR((G1237-#REF!)/#REF!*COUNT!J1237*COUNT!M1237,0)</f>
        <v>0</v>
      </c>
      <c r="R1237"/>
      <c r="S1237" s="1" t="str">
        <v xml:space="preserve">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v>
      </c>
      <c r="T1237" s="24">
        <v>0</v>
      </c>
      <c r="U1237"/>
      <c r="V1237" s="1" t="str">
        <v xml:space="preserve">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v>
      </c>
      <c r="W1237" s="24">
        <v>0</v>
      </c>
      <c r="X1237"/>
      <c r="Y1237" s="1" t="str">
        <v xml:space="preserve">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v>
      </c>
      <c r="Z1237" s="24">
        <v>0</v>
      </c>
      <c r="AA1237"/>
      <c r="AB1237" s="1" t="str">
        <v xml:space="preserve">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v>
      </c>
      <c r="AC1237" s="24">
        <v>0</v>
      </c>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c r="CA1237"/>
      <c r="CB1237"/>
      <c r="CC1237"/>
      <c r="CD1237"/>
      <c r="CE1237"/>
      <c r="CF1237"/>
      <c r="CG1237"/>
      <c r="CH1237"/>
      <c r="CI1237"/>
      <c r="CJ1237"/>
      <c r="CK1237"/>
      <c r="CL1237"/>
      <c r="CM1237"/>
      <c r="CN1237"/>
      <c r="CO1237"/>
      <c r="CP1237"/>
      <c r="CQ1237"/>
      <c r="CR1237"/>
      <c r="CS1237"/>
    </row>
    <row r="1238" spans="2:97">
      <c r="B1238"/>
      <c r="C1238" s="15" t="str">
        <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v>
      </c>
      <c r="D1238" s="23"/>
      <c r="E1238" s="23">
        <v>0</v>
      </c>
      <c r="F1238" s="23">
        <v>0</v>
      </c>
      <c r="G1238" s="23">
        <f t="shared" si="93"/>
        <v>0</v>
      </c>
      <c r="H1238" s="23" t="e" cm="1">
        <f t="array" ref="H1238">INDEX('GLOBAL LOG'!#REF!,ROW()-1194+15)</f>
        <v>#REF!</v>
      </c>
      <c r="I1238" s="23" t="e">
        <f>_xlfn.XLOOKUP(H1238,#REF!,#REF!,"",0,1)</f>
        <v>#REF!</v>
      </c>
      <c r="J1238" s="23" t="str">
        <f>IFERROR(I1238*#REF!,"")</f>
        <v/>
      </c>
      <c r="K1238" s="23" t="e" cm="1">
        <f t="array" ref="K1238">INDEX('GLOBAL LOG'!#REF!,ROW()-1194+15)</f>
        <v>#REF!</v>
      </c>
      <c r="L1238" s="23" t="e">
        <f>_xlfn.XLOOKUP(K1238,#REF!,#REF!,"",0,1)</f>
        <v>#REF!</v>
      </c>
      <c r="M1238" s="23" t="str">
        <f>IFERROR(L1238*#REF!,"")</f>
        <v/>
      </c>
      <c r="N1238" s="23">
        <f>IFERROR((D1238-#REF!)/#REF!*COUNT!J1238*COUNT!M1238,0)</f>
        <v>0</v>
      </c>
      <c r="O1238" s="23">
        <f>IFERROR((E1238-#REF!)/#REF!*COUNT!J1238*COUNT!M1238,0)</f>
        <v>0</v>
      </c>
      <c r="P1238" s="23">
        <f>IFERROR((F1238-#REF!)/#REF!*COUNT!J1238*COUNT!M1238,0)</f>
        <v>0</v>
      </c>
      <c r="Q1238" s="23">
        <f>IFERROR((G1238-#REF!)/#REF!*COUNT!J1238*COUNT!M1238,0)</f>
        <v>0</v>
      </c>
      <c r="R1238"/>
      <c r="S1238" s="1" t="str">
        <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v>
      </c>
      <c r="T1238" s="24">
        <v>0</v>
      </c>
      <c r="U1238"/>
      <c r="V1238" s="1" t="str">
        <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v>
      </c>
      <c r="W1238" s="24">
        <v>0</v>
      </c>
      <c r="X1238"/>
      <c r="Y1238" s="1" t="str">
        <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v>
      </c>
      <c r="Z1238" s="24">
        <v>0</v>
      </c>
      <c r="AA1238"/>
      <c r="AB1238" s="1" t="str">
        <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v>
      </c>
      <c r="AC1238" s="24">
        <v>0</v>
      </c>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c r="CA1238"/>
      <c r="CB1238"/>
      <c r="CC1238"/>
      <c r="CD1238"/>
      <c r="CE1238"/>
      <c r="CF1238"/>
      <c r="CG1238"/>
      <c r="CH1238"/>
      <c r="CI1238"/>
      <c r="CJ1238"/>
      <c r="CK1238"/>
      <c r="CL1238"/>
      <c r="CM1238"/>
      <c r="CN1238"/>
      <c r="CO1238"/>
      <c r="CP1238"/>
      <c r="CQ1238"/>
      <c r="CR1238"/>
      <c r="CS1238"/>
    </row>
    <row r="1239" spans="2:97">
      <c r="B1239"/>
      <c r="C1239" s="15" t="str">
        <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v>
      </c>
      <c r="D1239" s="23"/>
      <c r="E1239" s="23">
        <v>0</v>
      </c>
      <c r="F1239" s="23">
        <v>0</v>
      </c>
      <c r="G1239" s="23">
        <f t="shared" si="93"/>
        <v>0</v>
      </c>
      <c r="H1239" s="23" t="e" cm="1">
        <f t="array" ref="H1239">INDEX('GLOBAL LOG'!#REF!,ROW()-1194+15)</f>
        <v>#REF!</v>
      </c>
      <c r="I1239" s="23" t="e">
        <f>_xlfn.XLOOKUP(H1239,#REF!,#REF!,"",0,1)</f>
        <v>#REF!</v>
      </c>
      <c r="J1239" s="23" t="str">
        <f>IFERROR(I1239*#REF!,"")</f>
        <v/>
      </c>
      <c r="K1239" s="23" t="e" cm="1">
        <f t="array" ref="K1239">INDEX('GLOBAL LOG'!#REF!,ROW()-1194+15)</f>
        <v>#REF!</v>
      </c>
      <c r="L1239" s="23" t="e">
        <f>_xlfn.XLOOKUP(K1239,#REF!,#REF!,"",0,1)</f>
        <v>#REF!</v>
      </c>
      <c r="M1239" s="23" t="str">
        <f>IFERROR(L1239*#REF!,"")</f>
        <v/>
      </c>
      <c r="N1239" s="23">
        <f>IFERROR((D1239-#REF!)/#REF!*COUNT!J1239*COUNT!M1239,0)</f>
        <v>0</v>
      </c>
      <c r="O1239" s="23">
        <f>IFERROR((E1239-#REF!)/#REF!*COUNT!J1239*COUNT!M1239,0)</f>
        <v>0</v>
      </c>
      <c r="P1239" s="23">
        <f>IFERROR((F1239-#REF!)/#REF!*COUNT!J1239*COUNT!M1239,0)</f>
        <v>0</v>
      </c>
      <c r="Q1239" s="23">
        <f>IFERROR((G1239-#REF!)/#REF!*COUNT!J1239*COUNT!M1239,0)</f>
        <v>0</v>
      </c>
      <c r="R1239"/>
      <c r="S1239" s="1" t="str">
        <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v>
      </c>
      <c r="T1239" s="24">
        <v>0</v>
      </c>
      <c r="U1239"/>
      <c r="V1239" s="1" t="str">
        <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v>
      </c>
      <c r="W1239" s="24">
        <v>0</v>
      </c>
      <c r="X1239"/>
      <c r="Y1239" s="1" t="str">
        <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v>
      </c>
      <c r="Z1239" s="24">
        <v>0</v>
      </c>
      <c r="AA1239"/>
      <c r="AB1239" s="1" t="str">
        <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v>
      </c>
      <c r="AC1239" s="24">
        <v>0</v>
      </c>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c r="CA1239"/>
      <c r="CB1239"/>
      <c r="CC1239"/>
      <c r="CD1239"/>
      <c r="CE1239"/>
      <c r="CF1239"/>
      <c r="CG1239"/>
      <c r="CH1239"/>
      <c r="CI1239"/>
      <c r="CJ1239"/>
      <c r="CK1239"/>
      <c r="CL1239"/>
      <c r="CM1239"/>
      <c r="CN1239"/>
      <c r="CO1239"/>
      <c r="CP1239"/>
      <c r="CQ1239"/>
      <c r="CR1239"/>
      <c r="CS1239"/>
    </row>
    <row r="1240" spans="2:97">
      <c r="B1240"/>
      <c r="C1240" s="15" t="str">
        <v xml:space="preserve">Finnair  Min Term Extension for both Life &amp; Term mix of structures  - discussions to commence following their fleet expansion analysis in Q2. </v>
      </c>
      <c r="D1240" s="23"/>
      <c r="E1240" s="23">
        <v>0</v>
      </c>
      <c r="F1240" s="23">
        <v>0</v>
      </c>
      <c r="G1240" s="23">
        <f t="shared" si="93"/>
        <v>0</v>
      </c>
      <c r="H1240" s="23" t="e" cm="1">
        <f t="array" ref="H1240">INDEX('GLOBAL LOG'!#REF!,ROW()-1194+15)</f>
        <v>#REF!</v>
      </c>
      <c r="I1240" s="23" t="e">
        <f>_xlfn.XLOOKUP(H1240,#REF!,#REF!,"",0,1)</f>
        <v>#REF!</v>
      </c>
      <c r="J1240" s="23" t="str">
        <f>IFERROR(I1240*#REF!,"")</f>
        <v/>
      </c>
      <c r="K1240" s="23" t="e" cm="1">
        <f t="array" ref="K1240">INDEX('GLOBAL LOG'!#REF!,ROW()-1194+15)</f>
        <v>#REF!</v>
      </c>
      <c r="L1240" s="23" t="e">
        <f>_xlfn.XLOOKUP(K1240,#REF!,#REF!,"",0,1)</f>
        <v>#REF!</v>
      </c>
      <c r="M1240" s="23" t="str">
        <f>IFERROR(L1240*#REF!,"")</f>
        <v/>
      </c>
      <c r="N1240" s="23">
        <f>IFERROR((D1240-#REF!)/#REF!*COUNT!J1240*COUNT!M1240,0)</f>
        <v>0</v>
      </c>
      <c r="O1240" s="23">
        <f>IFERROR((E1240-#REF!)/#REF!*COUNT!J1240*COUNT!M1240,0)</f>
        <v>0</v>
      </c>
      <c r="P1240" s="23">
        <f>IFERROR((F1240-#REF!)/#REF!*COUNT!J1240*COUNT!M1240,0)</f>
        <v>0</v>
      </c>
      <c r="Q1240" s="23">
        <f>IFERROR((G1240-#REF!)/#REF!*COUNT!J1240*COUNT!M1240,0)</f>
        <v>0</v>
      </c>
      <c r="R1240"/>
      <c r="S1240" s="1" t="str">
        <v xml:space="preserve">Finnair  Min Term Extension for both Life &amp; Term mix of structures  - discussions to commence following their fleet expansion analysis in Q2. </v>
      </c>
      <c r="T1240" s="24">
        <v>0</v>
      </c>
      <c r="U1240"/>
      <c r="V1240" s="1" t="str">
        <v xml:space="preserve">Finnair  Min Term Extension for both Life &amp; Term mix of structures  - discussions to commence following their fleet expansion analysis in Q2. </v>
      </c>
      <c r="W1240" s="24">
        <v>0</v>
      </c>
      <c r="X1240"/>
      <c r="Y1240" s="1" t="str">
        <v xml:space="preserve">Finnair  Min Term Extension for both Life &amp; Term mix of structures  - discussions to commence following their fleet expansion analysis in Q2. </v>
      </c>
      <c r="Z1240" s="24">
        <v>0</v>
      </c>
      <c r="AA1240"/>
      <c r="AB1240" s="1" t="str">
        <v xml:space="preserve">Finnair  Min Term Extension for both Life &amp; Term mix of structures  - discussions to commence following their fleet expansion analysis in Q2. </v>
      </c>
      <c r="AC1240" s="24">
        <v>0</v>
      </c>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c r="CA1240"/>
      <c r="CB1240"/>
      <c r="CC1240"/>
      <c r="CD1240"/>
      <c r="CE1240"/>
      <c r="CF1240"/>
      <c r="CG1240"/>
      <c r="CH1240"/>
      <c r="CI1240"/>
      <c r="CJ1240"/>
      <c r="CK1240"/>
      <c r="CL1240"/>
      <c r="CM1240"/>
      <c r="CN1240"/>
      <c r="CO1240"/>
      <c r="CP1240"/>
      <c r="CQ1240"/>
      <c r="CR1240"/>
      <c r="CS1240"/>
    </row>
    <row r="1241" spans="2:97">
      <c r="B1241"/>
      <c r="C1241" s="15" t="str">
        <v>Virgin Atlantic  Descoping of unprofitable services in conjunction with new a/c opportunity. Test with new a/c (decision expected Q2 2026) before descoping existing fleet.</v>
      </c>
      <c r="D1241" s="23"/>
      <c r="E1241" s="23">
        <v>0</v>
      </c>
      <c r="F1241" s="23">
        <v>0</v>
      </c>
      <c r="G1241" s="23">
        <f t="shared" si="93"/>
        <v>0</v>
      </c>
      <c r="H1241" s="23" t="e" cm="1">
        <f t="array" ref="H1241">INDEX('GLOBAL LOG'!#REF!,ROW()-1194+15)</f>
        <v>#REF!</v>
      </c>
      <c r="I1241" s="23" t="e">
        <f>_xlfn.XLOOKUP(H1241,#REF!,#REF!,"",0,1)</f>
        <v>#REF!</v>
      </c>
      <c r="J1241" s="23" t="str">
        <f>IFERROR(I1241*#REF!,"")</f>
        <v/>
      </c>
      <c r="K1241" s="23" t="e" cm="1">
        <f t="array" ref="K1241">INDEX('GLOBAL LOG'!#REF!,ROW()-1194+15)</f>
        <v>#REF!</v>
      </c>
      <c r="L1241" s="23" t="e">
        <f>_xlfn.XLOOKUP(K1241,#REF!,#REF!,"",0,1)</f>
        <v>#REF!</v>
      </c>
      <c r="M1241" s="23" t="str">
        <f>IFERROR(L1241*#REF!,"")</f>
        <v/>
      </c>
      <c r="N1241" s="23">
        <f>IFERROR((D1241-#REF!)/#REF!*COUNT!J1241*COUNT!M1241,0)</f>
        <v>0</v>
      </c>
      <c r="O1241" s="23">
        <f>IFERROR((E1241-#REF!)/#REF!*COUNT!J1241*COUNT!M1241,0)</f>
        <v>0</v>
      </c>
      <c r="P1241" s="23">
        <f>IFERROR((F1241-#REF!)/#REF!*COUNT!J1241*COUNT!M1241,0)</f>
        <v>0</v>
      </c>
      <c r="Q1241" s="23">
        <f>IFERROR((G1241-#REF!)/#REF!*COUNT!J1241*COUNT!M1241,0)</f>
        <v>0</v>
      </c>
      <c r="R1241"/>
      <c r="S1241" s="1" t="str">
        <v>Virgin Atlantic  Descoping of unprofitable services in conjunction with new a/c opportunity. Test with new a/c (decision expected Q2 2026) before descoping existing fleet.</v>
      </c>
      <c r="T1241" s="24">
        <v>0</v>
      </c>
      <c r="U1241"/>
      <c r="V1241" s="1" t="str">
        <v>Virgin Atlantic  Descoping of unprofitable services in conjunction with new a/c opportunity. Test with new a/c (decision expected Q2 2026) before descoping existing fleet.</v>
      </c>
      <c r="W1241" s="24">
        <v>0</v>
      </c>
      <c r="X1241"/>
      <c r="Y1241" s="1" t="str">
        <v>Virgin Atlantic  Descoping of unprofitable services in conjunction with new a/c opportunity. Test with new a/c (decision expected Q2 2026) before descoping existing fleet.</v>
      </c>
      <c r="Z1241" s="24">
        <v>0</v>
      </c>
      <c r="AA1241"/>
      <c r="AB1241" s="1" t="str">
        <v>Virgin Atlantic  Descoping of unprofitable services in conjunction with new a/c opportunity. Test with new a/c (decision expected Q2 2026) before descoping existing fleet.</v>
      </c>
      <c r="AC1241" s="24">
        <v>0</v>
      </c>
      <c r="AD1241"/>
      <c r="AE1241"/>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c r="CA1241"/>
      <c r="CB1241"/>
      <c r="CC1241"/>
      <c r="CD1241"/>
      <c r="CE1241"/>
      <c r="CF1241"/>
      <c r="CG1241"/>
      <c r="CH1241"/>
      <c r="CI1241"/>
      <c r="CJ1241"/>
      <c r="CK1241"/>
      <c r="CL1241"/>
      <c r="CM1241"/>
      <c r="CN1241"/>
      <c r="CO1241"/>
      <c r="CP1241"/>
      <c r="CQ1241"/>
      <c r="CR1241"/>
      <c r="CS1241"/>
    </row>
    <row r="1242" spans="2:97">
      <c r="B1242"/>
      <c r="C1242" s="15" t="str">
        <v xml:space="preserve">Air France  Min term extension (life) - 3 a/c exit from 2029. Maybe add in 2026 RFP </v>
      </c>
      <c r="D1242" s="23"/>
      <c r="E1242" s="23">
        <v>0</v>
      </c>
      <c r="F1242" s="23">
        <v>0</v>
      </c>
      <c r="G1242" s="23">
        <f t="shared" si="93"/>
        <v>0</v>
      </c>
      <c r="H1242" s="23" t="e" cm="1">
        <f t="array" ref="H1242">INDEX('GLOBAL LOG'!#REF!,ROW()-1194+15)</f>
        <v>#REF!</v>
      </c>
      <c r="I1242" s="23" t="e">
        <f>_xlfn.XLOOKUP(H1242,#REF!,#REF!,"",0,1)</f>
        <v>#REF!</v>
      </c>
      <c r="J1242" s="23" t="str">
        <f>IFERROR(I1242*#REF!,"")</f>
        <v/>
      </c>
      <c r="K1242" s="23" t="e" cm="1">
        <f t="array" ref="K1242">INDEX('GLOBAL LOG'!#REF!,ROW()-1194+15)</f>
        <v>#REF!</v>
      </c>
      <c r="L1242" s="23" t="e">
        <f>_xlfn.XLOOKUP(K1242,#REF!,#REF!,"",0,1)</f>
        <v>#REF!</v>
      </c>
      <c r="M1242" s="23" t="str">
        <f>IFERROR(L1242*#REF!,"")</f>
        <v/>
      </c>
      <c r="N1242" s="23">
        <f>IFERROR((D1242-#REF!)/#REF!*COUNT!J1242*COUNT!M1242,0)</f>
        <v>0</v>
      </c>
      <c r="O1242" s="23">
        <f>IFERROR((E1242-#REF!)/#REF!*COUNT!J1242*COUNT!M1242,0)</f>
        <v>0</v>
      </c>
      <c r="P1242" s="23">
        <f>IFERROR((F1242-#REF!)/#REF!*COUNT!J1242*COUNT!M1242,0)</f>
        <v>0</v>
      </c>
      <c r="Q1242" s="23">
        <f>IFERROR((G1242-#REF!)/#REF!*COUNT!J1242*COUNT!M1242,0)</f>
        <v>0</v>
      </c>
      <c r="R1242"/>
      <c r="S1242" s="1" t="str">
        <v xml:space="preserve">Air France  Min term extension (life) - 3 a/c exit from 2029. Maybe add in 2026 RFP </v>
      </c>
      <c r="T1242" s="24">
        <v>0</v>
      </c>
      <c r="U1242"/>
      <c r="V1242" s="1" t="str">
        <v xml:space="preserve">Air France  Min term extension (life) - 3 a/c exit from 2029. Maybe add in 2026 RFP </v>
      </c>
      <c r="W1242" s="24">
        <v>0</v>
      </c>
      <c r="X1242"/>
      <c r="Y1242" s="1" t="str">
        <v xml:space="preserve">Air France  Min term extension (life) - 3 a/c exit from 2029. Maybe add in 2026 RFP </v>
      </c>
      <c r="Z1242" s="24">
        <v>0</v>
      </c>
      <c r="AA1242"/>
      <c r="AB1242" s="1" t="str">
        <v xml:space="preserve">Air France  Min term extension (life) - 3 a/c exit from 2029. Maybe add in 2026 RFP </v>
      </c>
      <c r="AC1242" s="24">
        <v>0</v>
      </c>
      <c r="AD1242"/>
      <c r="AE1242"/>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c r="CA1242"/>
      <c r="CB1242"/>
      <c r="CC1242"/>
      <c r="CD1242"/>
      <c r="CE1242"/>
      <c r="CF1242"/>
      <c r="CG1242"/>
      <c r="CH1242"/>
      <c r="CI1242"/>
      <c r="CJ1242"/>
      <c r="CK1242"/>
      <c r="CL1242"/>
      <c r="CM1242"/>
      <c r="CN1242"/>
      <c r="CO1242"/>
      <c r="CP1242"/>
      <c r="CQ1242"/>
      <c r="CR1242"/>
      <c r="CS1242"/>
    </row>
    <row r="1243" spans="2:97">
      <c r="B1243"/>
      <c r="C1243" s="15" t="str">
        <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v>
      </c>
      <c r="D1243" s="23"/>
      <c r="E1243" s="23">
        <v>0</v>
      </c>
      <c r="F1243" s="23" t="str">
        <v>Rebecca to confirm</v>
      </c>
      <c r="G1243" s="23" t="e">
        <f t="shared" si="93"/>
        <v>#VALUE!</v>
      </c>
      <c r="H1243" s="23" t="e" cm="1">
        <f t="array" ref="H1243">INDEX('GLOBAL LOG'!#REF!,ROW()-1194+15)</f>
        <v>#REF!</v>
      </c>
      <c r="I1243" s="23" t="e">
        <f>_xlfn.XLOOKUP(H1243,#REF!,#REF!,"",0,1)</f>
        <v>#REF!</v>
      </c>
      <c r="J1243" s="23" t="str">
        <f>IFERROR(I1243*#REF!,"")</f>
        <v/>
      </c>
      <c r="K1243" s="23" t="e" cm="1">
        <f t="array" ref="K1243">INDEX('GLOBAL LOG'!#REF!,ROW()-1194+15)</f>
        <v>#REF!</v>
      </c>
      <c r="L1243" s="23" t="e">
        <f>_xlfn.XLOOKUP(K1243,#REF!,#REF!,"",0,1)</f>
        <v>#REF!</v>
      </c>
      <c r="M1243" s="23" t="str">
        <f>IFERROR(L1243*#REF!,"")</f>
        <v/>
      </c>
      <c r="N1243" s="23">
        <f>IFERROR((D1243-#REF!)/#REF!*COUNT!J1243*COUNT!M1243,0)</f>
        <v>0</v>
      </c>
      <c r="O1243" s="23">
        <f>IFERROR((E1243-#REF!)/#REF!*COUNT!J1243*COUNT!M1243,0)</f>
        <v>0</v>
      </c>
      <c r="P1243" s="23">
        <f>IFERROR((F1243-#REF!)/#REF!*COUNT!J1243*COUNT!M1243,0)</f>
        <v>0</v>
      </c>
      <c r="Q1243" s="23">
        <f>IFERROR((G1243-#REF!)/#REF!*COUNT!J1243*COUNT!M1243,0)</f>
        <v>0</v>
      </c>
      <c r="R1243"/>
      <c r="S1243" s="1" t="str">
        <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v>
      </c>
      <c r="T1243" s="24">
        <v>0</v>
      </c>
      <c r="U1243"/>
      <c r="V1243" s="1" t="str">
        <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v>
      </c>
      <c r="W1243" s="24">
        <v>0</v>
      </c>
      <c r="X1243"/>
      <c r="Y1243" s="1" t="str">
        <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v>
      </c>
      <c r="Z1243" s="24">
        <v>0</v>
      </c>
      <c r="AA1243"/>
      <c r="AB1243" s="1" t="str">
        <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v>
      </c>
      <c r="AC1243" s="24">
        <v>0</v>
      </c>
      <c r="AD1243"/>
      <c r="AE1243"/>
      <c r="AF1243"/>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c r="CA1243"/>
      <c r="CB1243"/>
      <c r="CC1243"/>
      <c r="CD1243"/>
      <c r="CE1243"/>
      <c r="CF1243"/>
      <c r="CG1243"/>
      <c r="CH1243"/>
      <c r="CI1243"/>
      <c r="CJ1243"/>
      <c r="CK1243"/>
      <c r="CL1243"/>
      <c r="CM1243"/>
      <c r="CN1243"/>
      <c r="CO1243"/>
      <c r="CP1243"/>
      <c r="CQ1243"/>
      <c r="CR1243"/>
      <c r="CS1243"/>
    </row>
    <row r="1244" spans="2:97">
      <c r="B1244"/>
      <c r="C1244" s="15" t="str">
        <v>Lufthansa Min term extension (life) - 4 a/c exit from 2028</v>
      </c>
      <c r="D1244" s="23"/>
      <c r="E1244" s="23">
        <v>0</v>
      </c>
      <c r="F1244" s="23">
        <v>0</v>
      </c>
      <c r="G1244" s="23">
        <f t="shared" si="93"/>
        <v>0</v>
      </c>
      <c r="H1244" s="23" t="e" cm="1">
        <f t="array" ref="H1244">INDEX('GLOBAL LOG'!#REF!,ROW()-1194+15)</f>
        <v>#REF!</v>
      </c>
      <c r="I1244" s="23" t="e">
        <f>_xlfn.XLOOKUP(H1244,#REF!,#REF!,"",0,1)</f>
        <v>#REF!</v>
      </c>
      <c r="J1244" s="23" t="str">
        <f>IFERROR(I1244*#REF!,"")</f>
        <v/>
      </c>
      <c r="K1244" s="23" t="e" cm="1">
        <f t="array" ref="K1244">INDEX('GLOBAL LOG'!#REF!,ROW()-1194+15)</f>
        <v>#REF!</v>
      </c>
      <c r="L1244" s="23" t="e">
        <f>_xlfn.XLOOKUP(K1244,#REF!,#REF!,"",0,1)</f>
        <v>#REF!</v>
      </c>
      <c r="M1244" s="23" t="str">
        <f>IFERROR(L1244*#REF!,"")</f>
        <v/>
      </c>
      <c r="N1244" s="23">
        <f>IFERROR((D1244-#REF!)/#REF!*COUNT!J1244*COUNT!M1244,0)</f>
        <v>0</v>
      </c>
      <c r="O1244" s="23">
        <f>IFERROR((E1244-#REF!)/#REF!*COUNT!J1244*COUNT!M1244,0)</f>
        <v>0</v>
      </c>
      <c r="P1244" s="23">
        <f>IFERROR((F1244-#REF!)/#REF!*COUNT!J1244*COUNT!M1244,0)</f>
        <v>0</v>
      </c>
      <c r="Q1244" s="23">
        <f>IFERROR((G1244-#REF!)/#REF!*COUNT!J1244*COUNT!M1244,0)</f>
        <v>0</v>
      </c>
      <c r="R1244"/>
      <c r="S1244" s="1" t="str">
        <v>Lufthansa Min term extension (life) - 4 a/c exit from 2028</v>
      </c>
      <c r="T1244" s="24">
        <v>0</v>
      </c>
      <c r="U1244"/>
      <c r="V1244" s="1" t="str">
        <v>Lufthansa Min term extension (life) - 4 a/c exit from 2028</v>
      </c>
      <c r="W1244" s="24">
        <v>0</v>
      </c>
      <c r="X1244"/>
      <c r="Y1244" s="1" t="str">
        <v>Lufthansa Min term extension (life) - 4 a/c exit from 2028</v>
      </c>
      <c r="Z1244" s="24">
        <v>0</v>
      </c>
      <c r="AA1244"/>
      <c r="AB1244" s="1" t="str">
        <v>Lufthansa Min term extension (life) - 4 a/c exit from 2028</v>
      </c>
      <c r="AC1244" s="24">
        <v>0</v>
      </c>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c r="CA1244"/>
      <c r="CB1244"/>
      <c r="CC1244"/>
      <c r="CD1244"/>
      <c r="CE1244"/>
      <c r="CF1244"/>
      <c r="CG1244"/>
      <c r="CH1244"/>
      <c r="CI1244"/>
      <c r="CJ1244"/>
      <c r="CK1244"/>
      <c r="CL1244"/>
      <c r="CM1244"/>
      <c r="CN1244"/>
      <c r="CO1244"/>
      <c r="CP1244"/>
      <c r="CQ1244"/>
      <c r="CR1244"/>
      <c r="CS1244"/>
    </row>
    <row r="1245" spans="2:97">
      <c r="B1245"/>
      <c r="C1245" s="15" t="str">
        <v>Air Caraibes  Min term extension (life) - 3 a/c exit from 2029</v>
      </c>
      <c r="D1245" s="23"/>
      <c r="E1245" s="23">
        <v>0</v>
      </c>
      <c r="F1245" s="23">
        <v>0</v>
      </c>
      <c r="G1245" s="23">
        <f t="shared" si="93"/>
        <v>0</v>
      </c>
      <c r="H1245" s="23" t="e" cm="1">
        <f t="array" ref="H1245">INDEX('GLOBAL LOG'!#REF!,ROW()-1194+15)</f>
        <v>#REF!</v>
      </c>
      <c r="I1245" s="23" t="e">
        <f>_xlfn.XLOOKUP(H1245,#REF!,#REF!,"",0,1)</f>
        <v>#REF!</v>
      </c>
      <c r="J1245" s="23" t="str">
        <f>IFERROR(I1245*#REF!,"")</f>
        <v/>
      </c>
      <c r="K1245" s="23" t="e" cm="1">
        <f t="array" ref="K1245">INDEX('GLOBAL LOG'!#REF!,ROW()-1194+15)</f>
        <v>#REF!</v>
      </c>
      <c r="L1245" s="23" t="e">
        <f>_xlfn.XLOOKUP(K1245,#REF!,#REF!,"",0,1)</f>
        <v>#REF!</v>
      </c>
      <c r="M1245" s="23" t="str">
        <f>IFERROR(L1245*#REF!,"")</f>
        <v/>
      </c>
      <c r="N1245" s="23">
        <f>IFERROR((D1245-#REF!)/#REF!*COUNT!J1245*COUNT!M1245,0)</f>
        <v>0</v>
      </c>
      <c r="O1245" s="23">
        <f>IFERROR((E1245-#REF!)/#REF!*COUNT!J1245*COUNT!M1245,0)</f>
        <v>0</v>
      </c>
      <c r="P1245" s="23">
        <f>IFERROR((F1245-#REF!)/#REF!*COUNT!J1245*COUNT!M1245,0)</f>
        <v>0</v>
      </c>
      <c r="Q1245" s="23">
        <f>IFERROR((G1245-#REF!)/#REF!*COUNT!J1245*COUNT!M1245,0)</f>
        <v>0</v>
      </c>
      <c r="R1245"/>
      <c r="S1245" s="1" t="str">
        <v>Air Caraibes  Min term extension (life) - 3 a/c exit from 2029</v>
      </c>
      <c r="T1245" s="24">
        <v>0</v>
      </c>
      <c r="U1245"/>
      <c r="V1245" s="1" t="str">
        <v>Air Caraibes  Min term extension (life) - 3 a/c exit from 2029</v>
      </c>
      <c r="W1245" s="24">
        <v>0</v>
      </c>
      <c r="X1245"/>
      <c r="Y1245" s="1" t="str">
        <v>Air Caraibes  Min term extension (life) - 3 a/c exit from 2029</v>
      </c>
      <c r="Z1245" s="24">
        <v>0</v>
      </c>
      <c r="AA1245"/>
      <c r="AB1245" s="1" t="str">
        <v>Air Caraibes  Min term extension (life) - 3 a/c exit from 2029</v>
      </c>
      <c r="AC1245" s="24">
        <v>0</v>
      </c>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c r="CA1245"/>
      <c r="CB1245"/>
      <c r="CC1245"/>
      <c r="CD1245"/>
      <c r="CE1245"/>
      <c r="CF1245"/>
      <c r="CG1245"/>
      <c r="CH1245"/>
      <c r="CI1245"/>
      <c r="CJ1245"/>
      <c r="CK1245"/>
      <c r="CL1245"/>
      <c r="CM1245"/>
      <c r="CN1245"/>
      <c r="CO1245"/>
      <c r="CP1245"/>
      <c r="CQ1245"/>
      <c r="CR1245"/>
      <c r="CS1245"/>
    </row>
    <row r="1246" spans="2:97">
      <c r="B1246"/>
      <c r="C1246" s="15" t="str">
        <v xml:space="preserve">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v>
      </c>
      <c r="D1246" s="23"/>
      <c r="E1246" s="23">
        <v>9</v>
      </c>
      <c r="F1246" s="23">
        <v>4</v>
      </c>
      <c r="G1246" s="23">
        <f t="shared" si="93"/>
        <v>13</v>
      </c>
      <c r="H1246" s="23" t="e" cm="1">
        <f t="array" ref="H1246">INDEX('GLOBAL LOG'!#REF!,ROW()-1194+15)</f>
        <v>#REF!</v>
      </c>
      <c r="I1246" s="23" t="e">
        <f>_xlfn.XLOOKUP(H1246,#REF!,#REF!,"",0,1)</f>
        <v>#REF!</v>
      </c>
      <c r="J1246" s="23" t="str">
        <f>IFERROR(I1246*#REF!,"")</f>
        <v/>
      </c>
      <c r="K1246" s="23" t="e" cm="1">
        <f t="array" ref="K1246">INDEX('GLOBAL LOG'!#REF!,ROW()-1194+15)</f>
        <v>#REF!</v>
      </c>
      <c r="L1246" s="23" t="e">
        <f>_xlfn.XLOOKUP(K1246,#REF!,#REF!,"",0,1)</f>
        <v>#REF!</v>
      </c>
      <c r="M1246" s="23" t="str">
        <f>IFERROR(L1246*#REF!,"")</f>
        <v/>
      </c>
      <c r="N1246" s="23">
        <f>IFERROR((D1246-#REF!)/#REF!*COUNT!J1246*COUNT!M1246,0)</f>
        <v>0</v>
      </c>
      <c r="O1246" s="23">
        <f>IFERROR((E1246-#REF!)/#REF!*COUNT!J1246*COUNT!M1246,0)</f>
        <v>0</v>
      </c>
      <c r="P1246" s="23">
        <f>IFERROR((F1246-#REF!)/#REF!*COUNT!J1246*COUNT!M1246,0)</f>
        <v>0</v>
      </c>
      <c r="Q1246" s="23">
        <f>IFERROR((G1246-#REF!)/#REF!*COUNT!J1246*COUNT!M1246,0)</f>
        <v>0</v>
      </c>
      <c r="R1246"/>
      <c r="S1246" s="1" t="str">
        <v xml:space="preserve">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v>
      </c>
      <c r="T1246" s="24">
        <v>0</v>
      </c>
      <c r="U1246"/>
      <c r="V1246" s="1" t="str">
        <v xml:space="preserve">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v>
      </c>
      <c r="W1246" s="24">
        <v>0</v>
      </c>
      <c r="X1246"/>
      <c r="Y1246" s="1" t="str">
        <v xml:space="preserve">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v>
      </c>
      <c r="Z1246" s="24">
        <v>0</v>
      </c>
      <c r="AA1246"/>
      <c r="AB1246" s="1" t="str">
        <v xml:space="preserve">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v>
      </c>
      <c r="AC1246" s="24">
        <v>0</v>
      </c>
      <c r="AD1246"/>
      <c r="AE1246"/>
      <c r="AF1246"/>
      <c r="AG1246"/>
      <c r="AH1246"/>
      <c r="AI1246"/>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c r="CA1246"/>
      <c r="CB1246"/>
      <c r="CC1246"/>
      <c r="CD1246"/>
      <c r="CE1246"/>
      <c r="CF1246"/>
      <c r="CG1246"/>
      <c r="CH1246"/>
      <c r="CI1246"/>
      <c r="CJ1246"/>
      <c r="CK1246"/>
      <c r="CL1246"/>
      <c r="CM1246"/>
      <c r="CN1246"/>
      <c r="CO1246"/>
      <c r="CP1246"/>
      <c r="CQ1246"/>
      <c r="CR1246"/>
      <c r="CS1246"/>
    </row>
    <row r="1247" spans="2:97">
      <c r="B1247"/>
      <c r="C1247" s="15" t="str">
        <v xml:space="preserve">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v>
      </c>
      <c r="D1247" s="23"/>
      <c r="E1247" s="23">
        <v>0</v>
      </c>
      <c r="F1247" s="23">
        <v>0</v>
      </c>
      <c r="G1247" s="23">
        <f t="shared" si="93"/>
        <v>0</v>
      </c>
      <c r="H1247" s="23" t="e" cm="1">
        <f t="array" ref="H1247">INDEX('GLOBAL LOG'!#REF!,ROW()-1194+15)</f>
        <v>#REF!</v>
      </c>
      <c r="I1247" s="23" t="e">
        <f>_xlfn.XLOOKUP(H1247,#REF!,#REF!,"",0,1)</f>
        <v>#REF!</v>
      </c>
      <c r="J1247" s="23" t="str">
        <f>IFERROR(I1247*#REF!,"")</f>
        <v/>
      </c>
      <c r="K1247" s="23" t="e" cm="1">
        <f t="array" ref="K1247">INDEX('GLOBAL LOG'!#REF!,ROW()-1194+15)</f>
        <v>#REF!</v>
      </c>
      <c r="L1247" s="23" t="e">
        <f>_xlfn.XLOOKUP(K1247,#REF!,#REF!,"",0,1)</f>
        <v>#REF!</v>
      </c>
      <c r="M1247" s="23" t="str">
        <f>IFERROR(L1247*#REF!,"")</f>
        <v/>
      </c>
      <c r="N1247" s="23">
        <f>IFERROR((D1247-#REF!)/#REF!*COUNT!J1247*COUNT!M1247,0)</f>
        <v>0</v>
      </c>
      <c r="O1247" s="23">
        <f>IFERROR((E1247-#REF!)/#REF!*COUNT!J1247*COUNT!M1247,0)</f>
        <v>0</v>
      </c>
      <c r="P1247" s="23">
        <f>IFERROR((F1247-#REF!)/#REF!*COUNT!J1247*COUNT!M1247,0)</f>
        <v>0</v>
      </c>
      <c r="Q1247" s="23">
        <f>IFERROR((G1247-#REF!)/#REF!*COUNT!J1247*COUNT!M1247,0)</f>
        <v>0</v>
      </c>
      <c r="R1247"/>
      <c r="S1247" s="1" t="str">
        <v xml:space="preserve">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v>
      </c>
      <c r="T1247" s="24">
        <v>0</v>
      </c>
      <c r="U1247"/>
      <c r="V1247" s="1" t="str">
        <v xml:space="preserve">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v>
      </c>
      <c r="W1247" s="24">
        <v>0</v>
      </c>
      <c r="X1247"/>
      <c r="Y1247" s="1" t="str">
        <v xml:space="preserve">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v>
      </c>
      <c r="Z1247" s="24">
        <v>0</v>
      </c>
      <c r="AA1247"/>
      <c r="AB1247" s="1" t="str">
        <v xml:space="preserve">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v>
      </c>
      <c r="AC1247" s="24">
        <v>0</v>
      </c>
      <c r="AD1247"/>
      <c r="AE1247"/>
      <c r="AF1247"/>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c r="CA1247"/>
      <c r="CB1247"/>
      <c r="CC1247"/>
      <c r="CD1247"/>
      <c r="CE1247"/>
      <c r="CF1247"/>
      <c r="CG1247"/>
      <c r="CH1247"/>
      <c r="CI1247"/>
      <c r="CJ1247"/>
      <c r="CK1247"/>
      <c r="CL1247"/>
      <c r="CM1247"/>
      <c r="CN1247"/>
      <c r="CO1247"/>
      <c r="CP1247"/>
      <c r="CQ1247"/>
      <c r="CR1247"/>
      <c r="CS1247"/>
    </row>
    <row r="1248" spans="2:97">
      <c r="B1248"/>
      <c r="C1248" s="15" t="str">
        <v xml:space="preserve">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v>
      </c>
      <c r="D1248" s="23"/>
      <c r="E1248" s="23">
        <v>12</v>
      </c>
      <c r="F1248" s="23">
        <v>0</v>
      </c>
      <c r="G1248" s="23">
        <f t="shared" si="93"/>
        <v>12</v>
      </c>
      <c r="H1248" s="23" t="e" cm="1">
        <f t="array" ref="H1248">INDEX('GLOBAL LOG'!#REF!,ROW()-1194+15)</f>
        <v>#REF!</v>
      </c>
      <c r="I1248" s="23" t="e">
        <f>_xlfn.XLOOKUP(H1248,#REF!,#REF!,"",0,1)</f>
        <v>#REF!</v>
      </c>
      <c r="J1248" s="23" t="str">
        <f>IFERROR(I1248*#REF!,"")</f>
        <v/>
      </c>
      <c r="K1248" s="23" t="e" cm="1">
        <f t="array" ref="K1248">INDEX('GLOBAL LOG'!#REF!,ROW()-1194+15)</f>
        <v>#REF!</v>
      </c>
      <c r="L1248" s="23" t="e">
        <f>_xlfn.XLOOKUP(K1248,#REF!,#REF!,"",0,1)</f>
        <v>#REF!</v>
      </c>
      <c r="M1248" s="23" t="str">
        <f>IFERROR(L1248*#REF!,"")</f>
        <v/>
      </c>
      <c r="N1248" s="23">
        <f>IFERROR((D1248-#REF!)/#REF!*COUNT!J1248*COUNT!M1248,0)</f>
        <v>0</v>
      </c>
      <c r="O1248" s="23">
        <f>IFERROR((E1248-#REF!)/#REF!*COUNT!J1248*COUNT!M1248,0)</f>
        <v>0</v>
      </c>
      <c r="P1248" s="23">
        <f>IFERROR((F1248-#REF!)/#REF!*COUNT!J1248*COUNT!M1248,0)</f>
        <v>0</v>
      </c>
      <c r="Q1248" s="23">
        <f>IFERROR((G1248-#REF!)/#REF!*COUNT!J1248*COUNT!M1248,0)</f>
        <v>0</v>
      </c>
      <c r="R1248"/>
      <c r="S1248" s="1" t="str">
        <v xml:space="preserve">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v>
      </c>
      <c r="T1248" s="24">
        <v>0</v>
      </c>
      <c r="U1248"/>
      <c r="V1248" s="1" t="str">
        <v xml:space="preserve">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v>
      </c>
      <c r="W1248" s="24">
        <v>0</v>
      </c>
      <c r="X1248"/>
      <c r="Y1248" s="1" t="str">
        <v xml:space="preserve">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v>
      </c>
      <c r="Z1248" s="24">
        <v>0</v>
      </c>
      <c r="AA1248"/>
      <c r="AB1248" s="1" t="str">
        <v xml:space="preserve">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v>
      </c>
      <c r="AC1248" s="24">
        <v>0</v>
      </c>
      <c r="AD1248"/>
      <c r="AE1248"/>
      <c r="AF1248"/>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c r="CA1248"/>
      <c r="CB1248"/>
      <c r="CC1248"/>
      <c r="CD1248"/>
      <c r="CE1248"/>
      <c r="CF1248"/>
      <c r="CG1248"/>
      <c r="CH1248"/>
      <c r="CI1248"/>
      <c r="CJ1248"/>
      <c r="CK1248"/>
      <c r="CL1248"/>
      <c r="CM1248"/>
      <c r="CN1248"/>
      <c r="CO1248"/>
      <c r="CP1248"/>
      <c r="CQ1248"/>
      <c r="CR1248"/>
      <c r="CS1248"/>
    </row>
    <row r="1249" spans="2:97">
      <c r="B1249"/>
      <c r="C1249" s="15" t="str">
        <v xml:space="preserve">Air China </v>
      </c>
      <c r="D1249" s="23"/>
      <c r="E1249" s="23">
        <v>0</v>
      </c>
      <c r="F1249" s="23">
        <v>30</v>
      </c>
      <c r="G1249" s="23">
        <f t="shared" si="93"/>
        <v>30</v>
      </c>
      <c r="H1249" s="23" t="e" cm="1">
        <f t="array" ref="H1249">INDEX('GLOBAL LOG'!#REF!,ROW()-1194+15)</f>
        <v>#REF!</v>
      </c>
      <c r="I1249" s="23" t="e">
        <f>_xlfn.XLOOKUP(H1249,#REF!,#REF!,"",0,1)</f>
        <v>#REF!</v>
      </c>
      <c r="J1249" s="23" t="str">
        <f>IFERROR(I1249*#REF!,"")</f>
        <v/>
      </c>
      <c r="K1249" s="23" t="e" cm="1">
        <f t="array" ref="K1249">INDEX('GLOBAL LOG'!#REF!,ROW()-1194+15)</f>
        <v>#REF!</v>
      </c>
      <c r="L1249" s="23" t="e">
        <f>_xlfn.XLOOKUP(K1249,#REF!,#REF!,"",0,1)</f>
        <v>#REF!</v>
      </c>
      <c r="M1249" s="23" t="str">
        <f>IFERROR(L1249*#REF!,"")</f>
        <v/>
      </c>
      <c r="N1249" s="23">
        <f>IFERROR((D1249-#REF!)/#REF!*COUNT!J1249*COUNT!M1249,0)</f>
        <v>0</v>
      </c>
      <c r="O1249" s="23">
        <f>IFERROR((E1249-#REF!)/#REF!*COUNT!J1249*COUNT!M1249,0)</f>
        <v>0</v>
      </c>
      <c r="P1249" s="23">
        <f>IFERROR((F1249-#REF!)/#REF!*COUNT!J1249*COUNT!M1249,0)</f>
        <v>0</v>
      </c>
      <c r="Q1249" s="23">
        <f>IFERROR((G1249-#REF!)/#REF!*COUNT!J1249*COUNT!M1249,0)</f>
        <v>0</v>
      </c>
      <c r="R1249"/>
      <c r="S1249" s="1" t="str">
        <v xml:space="preserve">Air China </v>
      </c>
      <c r="T1249" s="24">
        <v>0</v>
      </c>
      <c r="U1249"/>
      <c r="V1249" s="1" t="str">
        <v xml:space="preserve">Air China </v>
      </c>
      <c r="W1249" s="24">
        <v>0</v>
      </c>
      <c r="X1249"/>
      <c r="Y1249" s="1" t="str">
        <v xml:space="preserve">Air China </v>
      </c>
      <c r="Z1249" s="24">
        <v>0</v>
      </c>
      <c r="AA1249"/>
      <c r="AB1249" s="1" t="str">
        <v xml:space="preserve">Air China </v>
      </c>
      <c r="AC1249" s="24">
        <v>0</v>
      </c>
      <c r="AD1249"/>
      <c r="AE1249"/>
      <c r="AF1249"/>
      <c r="AG1249"/>
      <c r="AH1249"/>
      <c r="AI1249"/>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c r="CA1249"/>
      <c r="CB1249"/>
      <c r="CC1249"/>
      <c r="CD1249"/>
      <c r="CE1249"/>
      <c r="CF1249"/>
      <c r="CG1249"/>
      <c r="CH1249"/>
      <c r="CI1249"/>
      <c r="CJ1249"/>
      <c r="CK1249"/>
      <c r="CL1249"/>
      <c r="CM1249"/>
      <c r="CN1249"/>
      <c r="CO1249"/>
      <c r="CP1249"/>
      <c r="CQ1249"/>
      <c r="CR1249"/>
      <c r="CS1249"/>
    </row>
    <row r="1250" spans="2:97">
      <c r="B1250"/>
      <c r="C1250" s="15" t="str">
        <v>Cebu Pacific  Low margin contract and asked by value stream to brainstorm ideas to improve CRP</v>
      </c>
      <c r="D1250" s="23"/>
      <c r="E1250" s="23">
        <v>0</v>
      </c>
      <c r="F1250" s="23">
        <v>0</v>
      </c>
      <c r="G1250" s="23">
        <f t="shared" si="93"/>
        <v>0</v>
      </c>
      <c r="H1250" s="23" t="e" cm="1">
        <f t="array" ref="H1250">INDEX('GLOBAL LOG'!#REF!,ROW()-1194+15)</f>
        <v>#REF!</v>
      </c>
      <c r="I1250" s="23" t="e">
        <f>_xlfn.XLOOKUP(H1250,#REF!,#REF!,"",0,1)</f>
        <v>#REF!</v>
      </c>
      <c r="J1250" s="23" t="str">
        <f>IFERROR(I1250*#REF!,"")</f>
        <v/>
      </c>
      <c r="K1250" s="23" t="e" cm="1">
        <f t="array" ref="K1250">INDEX('GLOBAL LOG'!#REF!,ROW()-1194+15)</f>
        <v>#REF!</v>
      </c>
      <c r="L1250" s="23" t="e">
        <f>_xlfn.XLOOKUP(K1250,#REF!,#REF!,"",0,1)</f>
        <v>#REF!</v>
      </c>
      <c r="M1250" s="23" t="str">
        <f>IFERROR(L1250*#REF!,"")</f>
        <v/>
      </c>
      <c r="N1250" s="23">
        <f>IFERROR((D1250-#REF!)/#REF!*COUNT!J1250*COUNT!M1250,0)</f>
        <v>0</v>
      </c>
      <c r="O1250" s="23">
        <f>IFERROR((E1250-#REF!)/#REF!*COUNT!J1250*COUNT!M1250,0)</f>
        <v>0</v>
      </c>
      <c r="P1250" s="23">
        <f>IFERROR((F1250-#REF!)/#REF!*COUNT!J1250*COUNT!M1250,0)</f>
        <v>0</v>
      </c>
      <c r="Q1250" s="23">
        <f>IFERROR((G1250-#REF!)/#REF!*COUNT!J1250*COUNT!M1250,0)</f>
        <v>0</v>
      </c>
      <c r="R1250"/>
      <c r="S1250" s="1" t="str">
        <v>Cebu Pacific  Low margin contract and asked by value stream to brainstorm ideas to improve CRP</v>
      </c>
      <c r="T1250" s="24">
        <v>0</v>
      </c>
      <c r="U1250"/>
      <c r="V1250" s="1" t="str">
        <v>Cebu Pacific  Low margin contract and asked by value stream to brainstorm ideas to improve CRP</v>
      </c>
      <c r="W1250" s="24">
        <v>0</v>
      </c>
      <c r="X1250"/>
      <c r="Y1250" s="1" t="str">
        <v>Cebu Pacific  Low margin contract and asked by value stream to brainstorm ideas to improve CRP</v>
      </c>
      <c r="Z1250" s="24">
        <v>0</v>
      </c>
      <c r="AA1250"/>
      <c r="AB1250" s="1" t="str">
        <v>Cebu Pacific  Low margin contract and asked by value stream to brainstorm ideas to improve CRP</v>
      </c>
      <c r="AC1250" s="24">
        <v>0</v>
      </c>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c r="CA1250"/>
      <c r="CB1250"/>
      <c r="CC1250"/>
      <c r="CD1250"/>
      <c r="CE1250"/>
      <c r="CF1250"/>
      <c r="CG1250"/>
      <c r="CH1250"/>
      <c r="CI1250"/>
      <c r="CJ1250"/>
      <c r="CK1250"/>
      <c r="CL1250"/>
      <c r="CM1250"/>
      <c r="CN1250"/>
      <c r="CO1250"/>
      <c r="CP1250"/>
      <c r="CQ1250"/>
      <c r="CR1250"/>
      <c r="CS1250"/>
    </row>
    <row r="1251" spans="2:97">
      <c r="B1251"/>
      <c r="C1251" s="15" t="str">
        <v xml:space="preserve">Lion Air  2 Aircraft Cancellation settlement agreed in 2025Q4, expected to be contracted by 2026Q2. 
Min U uplift, 2y extension and escalation increased. Resultant is Utilisation uplifted to 2175, 2y extension  for 6 ac and escalation set to 5.15%. </v>
      </c>
      <c r="D1251" s="23"/>
      <c r="E1251" s="23">
        <v>8.5</v>
      </c>
      <c r="F1251" s="23" t="str">
        <v>Confirm with Laura</v>
      </c>
      <c r="G1251" s="23" t="e">
        <f t="shared" si="93"/>
        <v>#VALUE!</v>
      </c>
      <c r="H1251" s="23" t="e" cm="1">
        <f t="array" ref="H1251">INDEX('GLOBAL LOG'!#REF!,ROW()-1194+15)</f>
        <v>#REF!</v>
      </c>
      <c r="I1251" s="23" t="e">
        <f>_xlfn.XLOOKUP(H1251,#REF!,#REF!,"",0,1)</f>
        <v>#REF!</v>
      </c>
      <c r="J1251" s="23" t="str">
        <f>IFERROR(I1251*#REF!,"")</f>
        <v/>
      </c>
      <c r="K1251" s="23" t="e" cm="1">
        <f t="array" ref="K1251">INDEX('GLOBAL LOG'!#REF!,ROW()-1194+15)</f>
        <v>#REF!</v>
      </c>
      <c r="L1251" s="23" t="e">
        <f>_xlfn.XLOOKUP(K1251,#REF!,#REF!,"",0,1)</f>
        <v>#REF!</v>
      </c>
      <c r="M1251" s="23" t="str">
        <f>IFERROR(L1251*#REF!,"")</f>
        <v/>
      </c>
      <c r="N1251" s="23">
        <f>IFERROR((D1251-#REF!)/#REF!*COUNT!J1251*COUNT!M1251,0)</f>
        <v>0</v>
      </c>
      <c r="O1251" s="23">
        <f>IFERROR((E1251-#REF!)/#REF!*COUNT!J1251*COUNT!M1251,0)</f>
        <v>0</v>
      </c>
      <c r="P1251" s="23">
        <f>IFERROR((F1251-#REF!)/#REF!*COUNT!J1251*COUNT!M1251,0)</f>
        <v>0</v>
      </c>
      <c r="Q1251" s="23">
        <f>IFERROR((G1251-#REF!)/#REF!*COUNT!J1251*COUNT!M1251,0)</f>
        <v>0</v>
      </c>
      <c r="R1251"/>
      <c r="S1251" s="1" t="str">
        <v xml:space="preserve">Lion Air  2 Aircraft Cancellation settlement agreed in 2025Q4, expected to be contracted by 2026Q2. 
Min U uplift, 2y extension and escalation increased. Resultant is Utilisation uplifted to 2175, 2y extension  for 6 ac and escalation set to 5.15%. </v>
      </c>
      <c r="T1251" s="24">
        <v>0</v>
      </c>
      <c r="U1251"/>
      <c r="V1251" s="1" t="str">
        <v xml:space="preserve">Lion Air  2 Aircraft Cancellation settlement agreed in 2025Q4, expected to be contracted by 2026Q2. 
Min U uplift, 2y extension and escalation increased. Resultant is Utilisation uplifted to 2175, 2y extension  for 6 ac and escalation set to 5.15%. </v>
      </c>
      <c r="W1251" s="24">
        <v>0</v>
      </c>
      <c r="X1251"/>
      <c r="Y1251" s="1" t="str">
        <v xml:space="preserve">Lion Air  2 Aircraft Cancellation settlement agreed in 2025Q4, expected to be contracted by 2026Q2. 
Min U uplift, 2y extension and escalation increased. Resultant is Utilisation uplifted to 2175, 2y extension  for 6 ac and escalation set to 5.15%. </v>
      </c>
      <c r="Z1251" s="24">
        <v>0</v>
      </c>
      <c r="AA1251"/>
      <c r="AB1251" s="1" t="str">
        <v xml:space="preserve">Lion Air  2 Aircraft Cancellation settlement agreed in 2025Q4, expected to be contracted by 2026Q2. 
Min U uplift, 2y extension and escalation increased. Resultant is Utilisation uplifted to 2175, 2y extension  for 6 ac and escalation set to 5.15%. </v>
      </c>
      <c r="AC1251" s="24">
        <v>0</v>
      </c>
      <c r="AD1251"/>
      <c r="AE1251"/>
      <c r="AF1251"/>
      <c r="AG1251"/>
      <c r="AH1251"/>
      <c r="AI1251"/>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c r="CA1251"/>
      <c r="CB1251"/>
      <c r="CC1251"/>
      <c r="CD1251"/>
      <c r="CE1251"/>
      <c r="CF1251"/>
      <c r="CG1251"/>
      <c r="CH1251"/>
      <c r="CI1251"/>
      <c r="CJ1251"/>
      <c r="CK1251"/>
      <c r="CL1251"/>
      <c r="CM1251"/>
      <c r="CN1251"/>
      <c r="CO1251"/>
      <c r="CP1251"/>
      <c r="CQ1251"/>
      <c r="CR1251"/>
      <c r="CS1251"/>
    </row>
    <row r="1252" spans="2:97">
      <c r="B1252"/>
      <c r="C1252" s="15" t="str">
        <v>Garuda  Note: Notice of Breach Served on Garuda: Contract restructure, including possible PAYG-&gt;PASV flip, in the event of continuing payment disputes and as avenue to avoid termination of profitable CRPs - opportunity to sell new/used additional SPE's</v>
      </c>
      <c r="D1252" s="23"/>
      <c r="E1252" s="23">
        <v>0</v>
      </c>
      <c r="F1252" s="23">
        <v>0</v>
      </c>
      <c r="G1252" s="23">
        <f t="shared" si="93"/>
        <v>0</v>
      </c>
      <c r="H1252" s="23" t="e" cm="1">
        <f t="array" ref="H1252">INDEX('GLOBAL LOG'!#REF!,ROW()-1194+15)</f>
        <v>#REF!</v>
      </c>
      <c r="I1252" s="23" t="e">
        <f>_xlfn.XLOOKUP(H1252,#REF!,#REF!,"",0,1)</f>
        <v>#REF!</v>
      </c>
      <c r="J1252" s="23" t="str">
        <f>IFERROR(I1252*#REF!,"")</f>
        <v/>
      </c>
      <c r="K1252" s="23" t="e" cm="1">
        <f t="array" ref="K1252">INDEX('GLOBAL LOG'!#REF!,ROW()-1194+15)</f>
        <v>#REF!</v>
      </c>
      <c r="L1252" s="23" t="e">
        <f>_xlfn.XLOOKUP(K1252,#REF!,#REF!,"",0,1)</f>
        <v>#REF!</v>
      </c>
      <c r="M1252" s="23" t="str">
        <f>IFERROR(L1252*#REF!,"")</f>
        <v/>
      </c>
      <c r="N1252" s="23">
        <f>IFERROR((D1252-#REF!)/#REF!*COUNT!J1252*COUNT!M1252,0)</f>
        <v>0</v>
      </c>
      <c r="O1252" s="23">
        <f>IFERROR((E1252-#REF!)/#REF!*COUNT!J1252*COUNT!M1252,0)</f>
        <v>0</v>
      </c>
      <c r="P1252" s="23">
        <f>IFERROR((F1252-#REF!)/#REF!*COUNT!J1252*COUNT!M1252,0)</f>
        <v>0</v>
      </c>
      <c r="Q1252" s="23">
        <f>IFERROR((G1252-#REF!)/#REF!*COUNT!J1252*COUNT!M1252,0)</f>
        <v>0</v>
      </c>
      <c r="R1252"/>
      <c r="S1252" s="1" t="str">
        <v>Garuda  Note: Notice of Breach Served on Garuda: Contract restructure, including possible PAYG-&gt;PASV flip, in the event of continuing payment disputes and as avenue to avoid termination of profitable CRPs - opportunity to sell new/used additional SPE's</v>
      </c>
      <c r="T1252" s="24">
        <v>0</v>
      </c>
      <c r="U1252"/>
      <c r="V1252" s="1" t="str">
        <v>Garuda  Note: Notice of Breach Served on Garuda: Contract restructure, including possible PAYG-&gt;PASV flip, in the event of continuing payment disputes and as avenue to avoid termination of profitable CRPs - opportunity to sell new/used additional SPE's</v>
      </c>
      <c r="W1252" s="24">
        <v>0</v>
      </c>
      <c r="X1252"/>
      <c r="Y1252" s="1" t="str">
        <v>Garuda  Note: Notice of Breach Served on Garuda: Contract restructure, including possible PAYG-&gt;PASV flip, in the event of continuing payment disputes and as avenue to avoid termination of profitable CRPs - opportunity to sell new/used additional SPE's</v>
      </c>
      <c r="Z1252" s="24">
        <v>0</v>
      </c>
      <c r="AA1252"/>
      <c r="AB1252" s="1" t="str">
        <v>Garuda  Note: Notice of Breach Served on Garuda: Contract restructure, including possible PAYG-&gt;PASV flip, in the event of continuing payment disputes and as avenue to avoid termination of profitable CRPs - opportunity to sell new/used additional SPE's</v>
      </c>
      <c r="AC1252" s="24">
        <v>0</v>
      </c>
      <c r="AD1252"/>
      <c r="AE1252"/>
      <c r="AF1252"/>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c r="CA1252"/>
      <c r="CB1252"/>
      <c r="CC1252"/>
      <c r="CD1252"/>
      <c r="CE1252"/>
      <c r="CF1252"/>
      <c r="CG1252"/>
      <c r="CH1252"/>
      <c r="CI1252"/>
      <c r="CJ1252"/>
      <c r="CK1252"/>
      <c r="CL1252"/>
      <c r="CM1252"/>
      <c r="CN1252"/>
      <c r="CO1252"/>
      <c r="CP1252"/>
      <c r="CQ1252"/>
      <c r="CR1252"/>
      <c r="CS1252"/>
    </row>
    <row r="1253" spans="2:97">
      <c r="B1253"/>
      <c r="C1253" s="15" t="str">
        <v>Delta Air Lines  To be assessed in 2026 - Incremental SPE sale to further reduce NDSES costs</v>
      </c>
      <c r="D1253" s="23"/>
      <c r="E1253" s="23">
        <v>0</v>
      </c>
      <c r="F1253" s="23">
        <v>0</v>
      </c>
      <c r="G1253" s="23">
        <f t="shared" si="93"/>
        <v>0</v>
      </c>
      <c r="H1253" s="23" t="e" cm="1">
        <f t="array" ref="H1253">INDEX('GLOBAL LOG'!#REF!,ROW()-1194+15)</f>
        <v>#REF!</v>
      </c>
      <c r="I1253" s="23" t="e">
        <f>_xlfn.XLOOKUP(H1253,#REF!,#REF!,"",0,1)</f>
        <v>#REF!</v>
      </c>
      <c r="J1253" s="23" t="str">
        <f>IFERROR(I1253*#REF!,"")</f>
        <v/>
      </c>
      <c r="K1253" s="23" t="e" cm="1">
        <f t="array" ref="K1253">INDEX('GLOBAL LOG'!#REF!,ROW()-1194+15)</f>
        <v>#REF!</v>
      </c>
      <c r="L1253" s="23" t="e">
        <f>_xlfn.XLOOKUP(K1253,#REF!,#REF!,"",0,1)</f>
        <v>#REF!</v>
      </c>
      <c r="M1253" s="23" t="str">
        <f>IFERROR(L1253*#REF!,"")</f>
        <v/>
      </c>
      <c r="N1253" s="23">
        <f>IFERROR((D1253-#REF!)/#REF!*COUNT!J1253*COUNT!M1253,0)</f>
        <v>0</v>
      </c>
      <c r="O1253" s="23">
        <f>IFERROR((E1253-#REF!)/#REF!*COUNT!J1253*COUNT!M1253,0)</f>
        <v>0</v>
      </c>
      <c r="P1253" s="23">
        <f>IFERROR((F1253-#REF!)/#REF!*COUNT!J1253*COUNT!M1253,0)</f>
        <v>0</v>
      </c>
      <c r="Q1253" s="23">
        <f>IFERROR((G1253-#REF!)/#REF!*COUNT!J1253*COUNT!M1253,0)</f>
        <v>0</v>
      </c>
      <c r="R1253"/>
      <c r="S1253" s="1" t="str">
        <v>Delta Air Lines  To be assessed in 2026 - Incremental SPE sale to further reduce NDSES costs</v>
      </c>
      <c r="T1253" s="24">
        <v>0</v>
      </c>
      <c r="U1253"/>
      <c r="V1253" s="1" t="str">
        <v>Delta Air Lines  To be assessed in 2026 - Incremental SPE sale to further reduce NDSES costs</v>
      </c>
      <c r="W1253" s="24">
        <v>0</v>
      </c>
      <c r="X1253"/>
      <c r="Y1253" s="1" t="str">
        <v>Delta Air Lines  To be assessed in 2026 - Incremental SPE sale to further reduce NDSES costs</v>
      </c>
      <c r="Z1253" s="24">
        <v>0</v>
      </c>
      <c r="AA1253"/>
      <c r="AB1253" s="1" t="str">
        <v>Delta Air Lines  To be assessed in 2026 - Incremental SPE sale to further reduce NDSES costs</v>
      </c>
      <c r="AC1253" s="24">
        <v>0</v>
      </c>
      <c r="AD1253"/>
      <c r="AE1253"/>
      <c r="AF1253"/>
      <c r="AG1253"/>
      <c r="AH1253"/>
      <c r="AI1253"/>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c r="CA1253"/>
      <c r="CB1253"/>
      <c r="CC1253"/>
      <c r="CD1253"/>
      <c r="CE1253"/>
      <c r="CF1253"/>
      <c r="CG1253"/>
      <c r="CH1253"/>
      <c r="CI1253"/>
      <c r="CJ1253"/>
      <c r="CK1253"/>
      <c r="CL1253"/>
      <c r="CM1253"/>
      <c r="CN1253"/>
      <c r="CO1253"/>
      <c r="CP1253"/>
      <c r="CQ1253"/>
      <c r="CR1253"/>
      <c r="CS1253"/>
    </row>
    <row r="1254" spans="2:97">
      <c r="B1254"/>
      <c r="C1254" s="15" t="str">
        <v>Virgin Atlantic  Restructure/buy-out of environmental partnership guarentee</v>
      </c>
      <c r="D1254" s="23"/>
      <c r="E1254" s="23">
        <v>0</v>
      </c>
      <c r="F1254" s="23">
        <v>0</v>
      </c>
      <c r="G1254" s="23">
        <f t="shared" si="93"/>
        <v>0</v>
      </c>
      <c r="H1254" s="23" t="e" cm="1">
        <f t="array" ref="H1254">INDEX('GLOBAL LOG'!#REF!,ROW()-1194+15)</f>
        <v>#REF!</v>
      </c>
      <c r="I1254" s="23" t="e">
        <f>_xlfn.XLOOKUP(H1254,#REF!,#REF!,"",0,1)</f>
        <v>#REF!</v>
      </c>
      <c r="J1254" s="23" t="str">
        <f>IFERROR(I1254*#REF!,"")</f>
        <v/>
      </c>
      <c r="K1254" s="23" t="e" cm="1">
        <f t="array" ref="K1254">INDEX('GLOBAL LOG'!#REF!,ROW()-1194+15)</f>
        <v>#REF!</v>
      </c>
      <c r="L1254" s="23" t="e">
        <f>_xlfn.XLOOKUP(K1254,#REF!,#REF!,"",0,1)</f>
        <v>#REF!</v>
      </c>
      <c r="M1254" s="23" t="str">
        <f>IFERROR(L1254*#REF!,"")</f>
        <v/>
      </c>
      <c r="N1254" s="23">
        <f>IFERROR((D1254-#REF!)/#REF!*COUNT!J1254*COUNT!M1254,0)</f>
        <v>0</v>
      </c>
      <c r="O1254" s="23">
        <f>IFERROR((E1254-#REF!)/#REF!*COUNT!J1254*COUNT!M1254,0)</f>
        <v>0</v>
      </c>
      <c r="P1254" s="23">
        <f>IFERROR((F1254-#REF!)/#REF!*COUNT!J1254*COUNT!M1254,0)</f>
        <v>0</v>
      </c>
      <c r="Q1254" s="23">
        <f>IFERROR((G1254-#REF!)/#REF!*COUNT!J1254*COUNT!M1254,0)</f>
        <v>0</v>
      </c>
      <c r="R1254"/>
      <c r="S1254" s="1" t="str">
        <v>Virgin Atlantic  Restructure/buy-out of environmental partnership guarentee</v>
      </c>
      <c r="T1254" s="24">
        <v>0</v>
      </c>
      <c r="U1254"/>
      <c r="V1254" s="1" t="str">
        <v>Virgin Atlantic  Restructure/buy-out of environmental partnership guarentee</v>
      </c>
      <c r="W1254" s="24">
        <v>0</v>
      </c>
      <c r="X1254"/>
      <c r="Y1254" s="1" t="str">
        <v>Virgin Atlantic  Restructure/buy-out of environmental partnership guarentee</v>
      </c>
      <c r="Z1254" s="24">
        <v>0</v>
      </c>
      <c r="AA1254"/>
      <c r="AB1254" s="1" t="str">
        <v>Virgin Atlantic  Restructure/buy-out of environmental partnership guarentee</v>
      </c>
      <c r="AC1254" s="24">
        <v>0</v>
      </c>
      <c r="AD1254"/>
      <c r="AE1254"/>
      <c r="AF1254"/>
      <c r="AG1254"/>
      <c r="AH1254"/>
      <c r="AI1254"/>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c r="CA1254"/>
      <c r="CB1254"/>
      <c r="CC1254"/>
      <c r="CD1254"/>
      <c r="CE1254"/>
      <c r="CF1254"/>
      <c r="CG1254"/>
      <c r="CH1254"/>
      <c r="CI1254"/>
      <c r="CJ1254"/>
      <c r="CK1254"/>
      <c r="CL1254"/>
      <c r="CM1254"/>
      <c r="CN1254"/>
      <c r="CO1254"/>
      <c r="CP1254"/>
      <c r="CQ1254"/>
      <c r="CR1254"/>
      <c r="CS1254"/>
    </row>
    <row r="1255" spans="2:97">
      <c r="B1255"/>
      <c r="C1255" s="15" t="str">
        <v>Latam  Focus on fleet health at present, ICT generating ideas to improve onerous position (potential sale of used spare engine and term extension).</v>
      </c>
      <c r="D1255" s="23"/>
      <c r="E1255" s="23">
        <v>50</v>
      </c>
      <c r="F1255" s="23">
        <v>0</v>
      </c>
      <c r="G1255" s="23">
        <f t="shared" si="93"/>
        <v>50</v>
      </c>
      <c r="H1255" s="23" t="e" cm="1">
        <f t="array" ref="H1255">INDEX('GLOBAL LOG'!#REF!,ROW()-1194+15)</f>
        <v>#REF!</v>
      </c>
      <c r="I1255" s="23" t="e">
        <f>_xlfn.XLOOKUP(H1255,#REF!,#REF!,"",0,1)</f>
        <v>#REF!</v>
      </c>
      <c r="J1255" s="23" t="str">
        <f>IFERROR(I1255*#REF!,"")</f>
        <v/>
      </c>
      <c r="K1255" s="23" t="e" cm="1">
        <f t="array" ref="K1255">INDEX('GLOBAL LOG'!#REF!,ROW()-1194+15)</f>
        <v>#REF!</v>
      </c>
      <c r="L1255" s="23" t="e">
        <f>_xlfn.XLOOKUP(K1255,#REF!,#REF!,"",0,1)</f>
        <v>#REF!</v>
      </c>
      <c r="M1255" s="23" t="str">
        <f>IFERROR(L1255*#REF!,"")</f>
        <v/>
      </c>
      <c r="N1255" s="23">
        <f>IFERROR((D1255-#REF!)/#REF!*COUNT!J1255*COUNT!M1255,0)</f>
        <v>0</v>
      </c>
      <c r="O1255" s="23">
        <f>IFERROR((E1255-#REF!)/#REF!*COUNT!J1255*COUNT!M1255,0)</f>
        <v>0</v>
      </c>
      <c r="P1255" s="23">
        <f>IFERROR((F1255-#REF!)/#REF!*COUNT!J1255*COUNT!M1255,0)</f>
        <v>0</v>
      </c>
      <c r="Q1255" s="23">
        <f>IFERROR((G1255-#REF!)/#REF!*COUNT!J1255*COUNT!M1255,0)</f>
        <v>0</v>
      </c>
      <c r="R1255"/>
      <c r="S1255" s="1" t="str">
        <v>Latam  Focus on fleet health at present, ICT generating ideas to improve onerous position (potential sale of used spare engine and term extension).</v>
      </c>
      <c r="T1255" s="24">
        <v>0</v>
      </c>
      <c r="U1255"/>
      <c r="V1255" s="1" t="str">
        <v>Latam  Focus on fleet health at present, ICT generating ideas to improve onerous position (potential sale of used spare engine and term extension).</v>
      </c>
      <c r="W1255" s="24">
        <v>0</v>
      </c>
      <c r="X1255"/>
      <c r="Y1255" s="1" t="str">
        <v>Latam  Focus on fleet health at present, ICT generating ideas to improve onerous position (potential sale of used spare engine and term extension).</v>
      </c>
      <c r="Z1255" s="24">
        <v>0</v>
      </c>
      <c r="AA1255"/>
      <c r="AB1255" s="1" t="str">
        <v>Latam  Focus on fleet health at present, ICT generating ideas to improve onerous position (potential sale of used spare engine and term extension).</v>
      </c>
      <c r="AC1255" s="24">
        <v>0</v>
      </c>
      <c r="AD1255"/>
      <c r="AE1255"/>
      <c r="AF1255"/>
      <c r="AG1255"/>
      <c r="AH1255"/>
      <c r="AI1255"/>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c r="CA1255"/>
      <c r="CB1255"/>
      <c r="CC1255"/>
      <c r="CD1255"/>
      <c r="CE1255"/>
      <c r="CF1255"/>
      <c r="CG1255"/>
      <c r="CH1255"/>
      <c r="CI1255"/>
      <c r="CJ1255"/>
      <c r="CK1255"/>
      <c r="CL1255"/>
      <c r="CM1255"/>
      <c r="CN1255"/>
      <c r="CO1255"/>
      <c r="CP1255"/>
      <c r="CQ1255"/>
      <c r="CR1255"/>
      <c r="CS1255"/>
    </row>
    <row r="1256" spans="2:97">
      <c r="B1256"/>
      <c r="C1256" s="15" t="str">
        <v>Air Transat  Consolidation of TotalCare structures</v>
      </c>
      <c r="D1256" s="23"/>
      <c r="E1256" s="23">
        <v>0</v>
      </c>
      <c r="F1256" s="23">
        <v>0</v>
      </c>
      <c r="G1256" s="23">
        <f t="shared" si="93"/>
        <v>0</v>
      </c>
      <c r="H1256" s="23" t="e" cm="1">
        <f t="array" ref="H1256">INDEX('GLOBAL LOG'!#REF!,ROW()-1194+15)</f>
        <v>#REF!</v>
      </c>
      <c r="I1256" s="23" t="e">
        <f>_xlfn.XLOOKUP(H1256,#REF!,#REF!,"",0,1)</f>
        <v>#REF!</v>
      </c>
      <c r="J1256" s="23" t="str">
        <f>IFERROR(I1256*#REF!,"")</f>
        <v/>
      </c>
      <c r="K1256" s="23" t="e" cm="1">
        <f t="array" ref="K1256">INDEX('GLOBAL LOG'!#REF!,ROW()-1194+15)</f>
        <v>#REF!</v>
      </c>
      <c r="L1256" s="23" t="e">
        <f>_xlfn.XLOOKUP(K1256,#REF!,#REF!,"",0,1)</f>
        <v>#REF!</v>
      </c>
      <c r="M1256" s="23" t="str">
        <f>IFERROR(L1256*#REF!,"")</f>
        <v/>
      </c>
      <c r="N1256" s="23">
        <f>IFERROR((D1256-#REF!)/#REF!*COUNT!J1256*COUNT!M1256,0)</f>
        <v>0</v>
      </c>
      <c r="O1256" s="23">
        <f>IFERROR((E1256-#REF!)/#REF!*COUNT!J1256*COUNT!M1256,0)</f>
        <v>0</v>
      </c>
      <c r="P1256" s="23">
        <f>IFERROR((F1256-#REF!)/#REF!*COUNT!J1256*COUNT!M1256,0)</f>
        <v>0</v>
      </c>
      <c r="Q1256" s="23">
        <f>IFERROR((G1256-#REF!)/#REF!*COUNT!J1256*COUNT!M1256,0)</f>
        <v>0</v>
      </c>
      <c r="R1256"/>
      <c r="S1256" s="1" t="str">
        <v>Air Transat  Consolidation of TotalCare structures</v>
      </c>
      <c r="T1256" s="24">
        <v>0</v>
      </c>
      <c r="U1256"/>
      <c r="V1256" s="1" t="str">
        <v>Air Transat  Consolidation of TotalCare structures</v>
      </c>
      <c r="W1256" s="24">
        <v>0</v>
      </c>
      <c r="X1256"/>
      <c r="Y1256" s="1" t="str">
        <v>Air Transat  Consolidation of TotalCare structures</v>
      </c>
      <c r="Z1256" s="24">
        <v>0</v>
      </c>
      <c r="AA1256"/>
      <c r="AB1256" s="1" t="str">
        <v>Air Transat  Consolidation of TotalCare structures</v>
      </c>
      <c r="AC1256" s="24">
        <v>0</v>
      </c>
      <c r="AD1256"/>
      <c r="AE1256"/>
      <c r="AF1256"/>
      <c r="AG1256"/>
      <c r="AH1256"/>
      <c r="AI1256"/>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c r="CA1256"/>
      <c r="CB1256"/>
      <c r="CC1256"/>
      <c r="CD1256"/>
      <c r="CE1256"/>
      <c r="CF1256"/>
      <c r="CG1256"/>
      <c r="CH1256"/>
      <c r="CI1256"/>
      <c r="CJ1256"/>
      <c r="CK1256"/>
      <c r="CL1256"/>
      <c r="CM1256"/>
      <c r="CN1256"/>
      <c r="CO1256"/>
      <c r="CP1256"/>
      <c r="CQ1256"/>
      <c r="CR1256"/>
      <c r="CS1256"/>
    </row>
    <row r="1257" spans="2:97">
      <c r="B1257"/>
      <c r="C1257" s="15" t="str">
        <v>Mas Air  Adding aircraft to the TotalCare - either FSA currently or newly acquired AC</v>
      </c>
      <c r="D1257" s="23"/>
      <c r="E1257" s="23">
        <v>0</v>
      </c>
      <c r="F1257" s="23">
        <v>0</v>
      </c>
      <c r="G1257" s="23">
        <f t="shared" si="93"/>
        <v>0</v>
      </c>
      <c r="H1257" s="23" t="e" cm="1">
        <f t="array" ref="H1257">INDEX('GLOBAL LOG'!#REF!,ROW()-1194+15)</f>
        <v>#REF!</v>
      </c>
      <c r="I1257" s="23" t="e">
        <f>_xlfn.XLOOKUP(H1257,#REF!,#REF!,"",0,1)</f>
        <v>#REF!</v>
      </c>
      <c r="J1257" s="23" t="str">
        <f>IFERROR(I1257*#REF!,"")</f>
        <v/>
      </c>
      <c r="K1257" s="23" t="e" cm="1">
        <f t="array" ref="K1257">INDEX('GLOBAL LOG'!#REF!,ROW()-1194+15)</f>
        <v>#REF!</v>
      </c>
      <c r="L1257" s="23" t="e">
        <f>_xlfn.XLOOKUP(K1257,#REF!,#REF!,"",0,1)</f>
        <v>#REF!</v>
      </c>
      <c r="M1257" s="23" t="str">
        <f>IFERROR(L1257*#REF!,"")</f>
        <v/>
      </c>
      <c r="N1257" s="23">
        <f>IFERROR((D1257-#REF!)/#REF!*COUNT!J1257*COUNT!M1257,0)</f>
        <v>0</v>
      </c>
      <c r="O1257" s="23">
        <f>IFERROR((E1257-#REF!)/#REF!*COUNT!J1257*COUNT!M1257,0)</f>
        <v>0</v>
      </c>
      <c r="P1257" s="23">
        <f>IFERROR((F1257-#REF!)/#REF!*COUNT!J1257*COUNT!M1257,0)</f>
        <v>0</v>
      </c>
      <c r="Q1257" s="23">
        <f>IFERROR((G1257-#REF!)/#REF!*COUNT!J1257*COUNT!M1257,0)</f>
        <v>0</v>
      </c>
      <c r="R1257"/>
      <c r="S1257" s="1" t="str">
        <v>Mas Air  Adding aircraft to the TotalCare - either FSA currently or newly acquired AC</v>
      </c>
      <c r="T1257" s="24">
        <v>0</v>
      </c>
      <c r="U1257"/>
      <c r="V1257" s="1" t="str">
        <v>Mas Air  Adding aircraft to the TotalCare - either FSA currently or newly acquired AC</v>
      </c>
      <c r="W1257" s="24">
        <v>0</v>
      </c>
      <c r="X1257"/>
      <c r="Y1257" s="1" t="str">
        <v>Mas Air  Adding aircraft to the TotalCare - either FSA currently or newly acquired AC</v>
      </c>
      <c r="Z1257" s="24">
        <v>0</v>
      </c>
      <c r="AA1257"/>
      <c r="AB1257" s="1" t="str">
        <v>Mas Air  Adding aircraft to the TotalCare - either FSA currently or newly acquired AC</v>
      </c>
      <c r="AC1257" s="24">
        <v>0</v>
      </c>
      <c r="AD1257"/>
      <c r="AE1257"/>
      <c r="AF1257"/>
      <c r="AG1257"/>
      <c r="AH1257"/>
      <c r="AI1257"/>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c r="CA1257"/>
      <c r="CB1257"/>
      <c r="CC1257"/>
      <c r="CD1257"/>
      <c r="CE1257"/>
      <c r="CF1257"/>
      <c r="CG1257"/>
      <c r="CH1257"/>
      <c r="CI1257"/>
      <c r="CJ1257"/>
      <c r="CK1257"/>
      <c r="CL1257"/>
      <c r="CM1257"/>
      <c r="CN1257"/>
      <c r="CO1257"/>
      <c r="CP1257"/>
      <c r="CQ1257"/>
      <c r="CR1257"/>
      <c r="CS1257"/>
    </row>
    <row r="1258" spans="2:97">
      <c r="B1258"/>
      <c r="C1258" s="15" t="str">
        <v>Western Air Western Air Limited _ AE3007 _ Extension / Amendment for 2 AC</v>
      </c>
      <c r="D1258" s="23"/>
      <c r="E1258" s="23">
        <v>0</v>
      </c>
      <c r="F1258" s="23">
        <v>0</v>
      </c>
      <c r="G1258" s="23">
        <f t="shared" si="93"/>
        <v>0</v>
      </c>
      <c r="H1258" s="23" t="e" cm="1">
        <f t="array" ref="H1258">INDEX('GLOBAL LOG'!#REF!,ROW()-1194+15)</f>
        <v>#REF!</v>
      </c>
      <c r="I1258" s="23" t="e">
        <f>_xlfn.XLOOKUP(H1258,#REF!,#REF!,"",0,1)</f>
        <v>#REF!</v>
      </c>
      <c r="J1258" s="23" t="str">
        <f>IFERROR(I1258*#REF!,"")</f>
        <v/>
      </c>
      <c r="K1258" s="23" t="e" cm="1">
        <f t="array" ref="K1258">INDEX('GLOBAL LOG'!#REF!,ROW()-1194+15)</f>
        <v>#REF!</v>
      </c>
      <c r="L1258" s="23" t="e">
        <f>_xlfn.XLOOKUP(K1258,#REF!,#REF!,"",0,1)</f>
        <v>#REF!</v>
      </c>
      <c r="M1258" s="23" t="str">
        <f>IFERROR(L1258*#REF!,"")</f>
        <v/>
      </c>
      <c r="N1258" s="23">
        <f>IFERROR((D1258-#REF!)/#REF!*COUNT!J1258*COUNT!M1258,0)</f>
        <v>0</v>
      </c>
      <c r="O1258" s="23">
        <f>IFERROR((E1258-#REF!)/#REF!*COUNT!J1258*COUNT!M1258,0)</f>
        <v>0</v>
      </c>
      <c r="P1258" s="23">
        <f>IFERROR((F1258-#REF!)/#REF!*COUNT!J1258*COUNT!M1258,0)</f>
        <v>0</v>
      </c>
      <c r="Q1258" s="23">
        <f>IFERROR((G1258-#REF!)/#REF!*COUNT!J1258*COUNT!M1258,0)</f>
        <v>0</v>
      </c>
      <c r="R1258"/>
      <c r="S1258" s="1" t="str">
        <v>Western Air Western Air Limited _ AE3007 _ Extension / Amendment for 2 AC</v>
      </c>
      <c r="T1258" s="24">
        <v>0</v>
      </c>
      <c r="U1258"/>
      <c r="V1258" s="1" t="str">
        <v>Western Air Western Air Limited _ AE3007 _ Extension / Amendment for 2 AC</v>
      </c>
      <c r="W1258" s="24">
        <v>0</v>
      </c>
      <c r="X1258"/>
      <c r="Y1258" s="1" t="str">
        <v>Western Air Western Air Limited _ AE3007 _ Extension / Amendment for 2 AC</v>
      </c>
      <c r="Z1258" s="24">
        <v>0</v>
      </c>
      <c r="AA1258"/>
      <c r="AB1258" s="1" t="str">
        <v>Western Air Western Air Limited _ AE3007 _ Extension / Amendment for 2 AC</v>
      </c>
      <c r="AC1258" s="24">
        <v>0</v>
      </c>
      <c r="AD1258"/>
      <c r="AE1258"/>
      <c r="AF1258"/>
      <c r="AG1258"/>
      <c r="AH1258"/>
      <c r="AI1258"/>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c r="CA1258"/>
      <c r="CB1258"/>
      <c r="CC1258"/>
      <c r="CD1258"/>
      <c r="CE1258"/>
      <c r="CF1258"/>
      <c r="CG1258"/>
      <c r="CH1258"/>
      <c r="CI1258"/>
      <c r="CJ1258"/>
      <c r="CK1258"/>
      <c r="CL1258"/>
      <c r="CM1258"/>
      <c r="CN1258"/>
      <c r="CO1258"/>
      <c r="CP1258"/>
      <c r="CQ1258"/>
      <c r="CR1258"/>
      <c r="CS1258"/>
    </row>
    <row r="1259" spans="2:97">
      <c r="B1259"/>
      <c r="C1259" s="15" t="str">
        <v xml:space="preserve">Western Air Western Air Limited _ AE3007 _ Extension for full fleet of 9 </v>
      </c>
      <c r="D1259" s="23"/>
      <c r="E1259" s="23">
        <v>0</v>
      </c>
      <c r="F1259" s="23">
        <v>0</v>
      </c>
      <c r="G1259" s="23">
        <f t="shared" ref="G1259:G1279" si="94">E1259+F1259</f>
        <v>0</v>
      </c>
      <c r="H1259" s="23" t="e" cm="1">
        <f t="array" ref="H1259">INDEX('GLOBAL LOG'!#REF!,ROW()-1194+15)</f>
        <v>#REF!</v>
      </c>
      <c r="I1259" s="23" t="e">
        <f>_xlfn.XLOOKUP(H1259,#REF!,#REF!,"",0,1)</f>
        <v>#REF!</v>
      </c>
      <c r="J1259" s="23" t="str">
        <f>IFERROR(I1259*#REF!,"")</f>
        <v/>
      </c>
      <c r="K1259" s="23" t="e" cm="1">
        <f t="array" ref="K1259">INDEX('GLOBAL LOG'!#REF!,ROW()-1194+15)</f>
        <v>#REF!</v>
      </c>
      <c r="L1259" s="23" t="e">
        <f>_xlfn.XLOOKUP(K1259,#REF!,#REF!,"",0,1)</f>
        <v>#REF!</v>
      </c>
      <c r="M1259" s="23" t="str">
        <f>IFERROR(L1259*#REF!,"")</f>
        <v/>
      </c>
      <c r="N1259" s="23">
        <f>IFERROR((D1259-#REF!)/#REF!*COUNT!J1259*COUNT!M1259,0)</f>
        <v>0</v>
      </c>
      <c r="O1259" s="23">
        <f>IFERROR((E1259-#REF!)/#REF!*COUNT!J1259*COUNT!M1259,0)</f>
        <v>0</v>
      </c>
      <c r="P1259" s="23">
        <f>IFERROR((F1259-#REF!)/#REF!*COUNT!J1259*COUNT!M1259,0)</f>
        <v>0</v>
      </c>
      <c r="Q1259" s="23">
        <f>IFERROR((G1259-#REF!)/#REF!*COUNT!J1259*COUNT!M1259,0)</f>
        <v>0</v>
      </c>
      <c r="R1259"/>
      <c r="S1259" s="1" t="str">
        <v xml:space="preserve">Western Air Western Air Limited _ AE3007 _ Extension for full fleet of 9 </v>
      </c>
      <c r="T1259" s="24">
        <v>0</v>
      </c>
      <c r="U1259"/>
      <c r="V1259" s="1" t="str">
        <v xml:space="preserve">Western Air Western Air Limited _ AE3007 _ Extension for full fleet of 9 </v>
      </c>
      <c r="W1259" s="24">
        <v>0</v>
      </c>
      <c r="X1259"/>
      <c r="Y1259" s="1" t="str">
        <v xml:space="preserve">Western Air Western Air Limited _ AE3007 _ Extension for full fleet of 9 </v>
      </c>
      <c r="Z1259" s="24">
        <v>0</v>
      </c>
      <c r="AA1259"/>
      <c r="AB1259" s="1" t="str">
        <v xml:space="preserve">Western Air Western Air Limited _ AE3007 _ Extension for full fleet of 9 </v>
      </c>
      <c r="AC1259" s="24">
        <v>0</v>
      </c>
      <c r="AD1259"/>
      <c r="AE1259"/>
      <c r="AF1259"/>
      <c r="AG1259"/>
      <c r="AH1259"/>
      <c r="AI1259"/>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c r="CA1259"/>
      <c r="CB1259"/>
      <c r="CC1259"/>
      <c r="CD1259"/>
      <c r="CE1259"/>
      <c r="CF1259"/>
      <c r="CG1259"/>
      <c r="CH1259"/>
      <c r="CI1259"/>
      <c r="CJ1259"/>
      <c r="CK1259"/>
      <c r="CL1259"/>
      <c r="CM1259"/>
      <c r="CN1259"/>
      <c r="CO1259"/>
      <c r="CP1259"/>
      <c r="CQ1259"/>
      <c r="CR1259"/>
      <c r="CS1259"/>
    </row>
    <row r="1260" spans="2:97">
      <c r="B1260"/>
      <c r="C1260" s="15" t="str">
        <v>IBC Airways IBC Airways _ AE3007 _ Extension for 1 AC</v>
      </c>
      <c r="D1260" s="23"/>
      <c r="E1260" s="23">
        <v>0</v>
      </c>
      <c r="F1260" s="23">
        <v>0</v>
      </c>
      <c r="G1260" s="23">
        <f t="shared" si="94"/>
        <v>0</v>
      </c>
      <c r="H1260" s="23" t="e" cm="1">
        <f t="array" ref="H1260">INDEX('GLOBAL LOG'!#REF!,ROW()-1194+15)</f>
        <v>#REF!</v>
      </c>
      <c r="I1260" s="23" t="e">
        <f>_xlfn.XLOOKUP(H1260,#REF!,#REF!,"",0,1)</f>
        <v>#REF!</v>
      </c>
      <c r="J1260" s="23" t="str">
        <f>IFERROR(I1260*#REF!,"")</f>
        <v/>
      </c>
      <c r="K1260" s="23" t="e" cm="1">
        <f t="array" ref="K1260">INDEX('GLOBAL LOG'!#REF!,ROW()-1194+15)</f>
        <v>#REF!</v>
      </c>
      <c r="L1260" s="23" t="e">
        <f>_xlfn.XLOOKUP(K1260,#REF!,#REF!,"",0,1)</f>
        <v>#REF!</v>
      </c>
      <c r="M1260" s="23" t="str">
        <f>IFERROR(L1260*#REF!,"")</f>
        <v/>
      </c>
      <c r="N1260" s="23">
        <f>IFERROR((D1260-#REF!)/#REF!*COUNT!J1260*COUNT!M1260,0)</f>
        <v>0</v>
      </c>
      <c r="O1260" s="23">
        <f>IFERROR((E1260-#REF!)/#REF!*COUNT!J1260*COUNT!M1260,0)</f>
        <v>0</v>
      </c>
      <c r="P1260" s="23">
        <f>IFERROR((F1260-#REF!)/#REF!*COUNT!J1260*COUNT!M1260,0)</f>
        <v>0</v>
      </c>
      <c r="Q1260" s="23">
        <f>IFERROR((G1260-#REF!)/#REF!*COUNT!J1260*COUNT!M1260,0)</f>
        <v>0</v>
      </c>
      <c r="R1260"/>
      <c r="S1260" s="1" t="str">
        <v>IBC Airways IBC Airways _ AE3007 _ Extension for 1 AC</v>
      </c>
      <c r="T1260" s="24">
        <v>0</v>
      </c>
      <c r="U1260"/>
      <c r="V1260" s="1" t="str">
        <v>IBC Airways IBC Airways _ AE3007 _ Extension for 1 AC</v>
      </c>
      <c r="W1260" s="24">
        <v>0</v>
      </c>
      <c r="X1260"/>
      <c r="Y1260" s="1" t="str">
        <v>IBC Airways IBC Airways _ AE3007 _ Extension for 1 AC</v>
      </c>
      <c r="Z1260" s="24">
        <v>0</v>
      </c>
      <c r="AA1260"/>
      <c r="AB1260" s="1" t="str">
        <v>IBC Airways IBC Airways _ AE3007 _ Extension for 1 AC</v>
      </c>
      <c r="AC1260" s="24">
        <v>0</v>
      </c>
      <c r="AD1260"/>
      <c r="AE1260"/>
      <c r="AF1260"/>
      <c r="AG1260"/>
      <c r="AH1260"/>
      <c r="AI1260"/>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c r="CA1260"/>
      <c r="CB1260"/>
      <c r="CC1260"/>
      <c r="CD1260"/>
      <c r="CE1260"/>
      <c r="CF1260"/>
      <c r="CG1260"/>
      <c r="CH1260"/>
      <c r="CI1260"/>
      <c r="CJ1260"/>
      <c r="CK1260"/>
      <c r="CL1260"/>
      <c r="CM1260"/>
      <c r="CN1260"/>
      <c r="CO1260"/>
      <c r="CP1260"/>
      <c r="CQ1260"/>
      <c r="CR1260"/>
      <c r="CS1260"/>
    </row>
    <row r="1261" spans="2:97">
      <c r="B1261"/>
      <c r="C1261" s="15" t="str">
        <v>Air China Opportunity to increase SPE level on Trent XWB x 2 SPE's at 40%</v>
      </c>
      <c r="D1261" s="23"/>
      <c r="E1261" s="23">
        <v>5.3</v>
      </c>
      <c r="F1261" s="23">
        <v>3.6</v>
      </c>
      <c r="G1261" s="23">
        <f t="shared" si="94"/>
        <v>8.9</v>
      </c>
      <c r="H1261" s="23" t="e" cm="1">
        <f t="array" ref="H1261">INDEX('GLOBAL LOG'!#REF!,ROW()-1194+15)</f>
        <v>#REF!</v>
      </c>
      <c r="I1261" s="23" t="e">
        <f>_xlfn.XLOOKUP(H1261,#REF!,#REF!,"",0,1)</f>
        <v>#REF!</v>
      </c>
      <c r="J1261" s="23" t="str">
        <f>IFERROR(I1261*#REF!,"")</f>
        <v/>
      </c>
      <c r="K1261" s="23" t="e" cm="1">
        <f t="array" ref="K1261">INDEX('GLOBAL LOG'!#REF!,ROW()-1194+15)</f>
        <v>#REF!</v>
      </c>
      <c r="L1261" s="23" t="e">
        <f>_xlfn.XLOOKUP(K1261,#REF!,#REF!,"",0,1)</f>
        <v>#REF!</v>
      </c>
      <c r="M1261" s="23" t="str">
        <f>IFERROR(L1261*#REF!,"")</f>
        <v/>
      </c>
      <c r="N1261" s="23">
        <f>IFERROR((D1261-#REF!)/#REF!*COUNT!J1261*COUNT!M1261,0)</f>
        <v>0</v>
      </c>
      <c r="O1261" s="23">
        <f>IFERROR((E1261-#REF!)/#REF!*COUNT!J1261*COUNT!M1261,0)</f>
        <v>0</v>
      </c>
      <c r="P1261" s="23">
        <f>IFERROR((F1261-#REF!)/#REF!*COUNT!J1261*COUNT!M1261,0)</f>
        <v>0</v>
      </c>
      <c r="Q1261" s="23">
        <f>IFERROR((G1261-#REF!)/#REF!*COUNT!J1261*COUNT!M1261,0)</f>
        <v>0</v>
      </c>
      <c r="R1261"/>
      <c r="S1261" s="1" t="str">
        <v>Air China Opportunity to increase SPE level on Trent XWB x 2 SPE's at 40%</v>
      </c>
      <c r="T1261" s="24">
        <v>0</v>
      </c>
      <c r="U1261"/>
      <c r="V1261" s="1" t="str">
        <v>Air China Opportunity to increase SPE level on Trent XWB x 2 SPE's at 40%</v>
      </c>
      <c r="W1261" s="24">
        <v>0</v>
      </c>
      <c r="X1261"/>
      <c r="Y1261" s="1" t="str">
        <v>Air China Opportunity to increase SPE level on Trent XWB x 2 SPE's at 40%</v>
      </c>
      <c r="Z1261" s="24">
        <v>0</v>
      </c>
      <c r="AA1261"/>
      <c r="AB1261" s="1" t="str">
        <v>Air China Opportunity to increase SPE level on Trent XWB x 2 SPE's at 40%</v>
      </c>
      <c r="AC1261" s="24">
        <v>0</v>
      </c>
      <c r="AD1261"/>
      <c r="AE1261"/>
      <c r="AF1261"/>
      <c r="AG1261"/>
      <c r="AH1261"/>
      <c r="AI1261"/>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c r="CA1261"/>
      <c r="CB1261"/>
      <c r="CC1261"/>
      <c r="CD1261"/>
      <c r="CE1261"/>
      <c r="CF1261"/>
      <c r="CG1261"/>
      <c r="CH1261"/>
      <c r="CI1261"/>
      <c r="CJ1261"/>
      <c r="CK1261"/>
      <c r="CL1261"/>
      <c r="CM1261"/>
      <c r="CN1261"/>
      <c r="CO1261"/>
      <c r="CP1261"/>
      <c r="CQ1261"/>
      <c r="CR1261"/>
      <c r="CS1261"/>
    </row>
    <row r="1262" spans="2:97">
      <c r="B1262"/>
      <c r="C1262" s="15" t="str">
        <v>Air France  Opporunity to add a 1. XWB-84 Used SPE (Q1 2027) 2. Firm Up six (6) aircraft from existing Options. 3. PAS for A350F based on the volume change (4 to 3 FIRM) of A350F.</v>
      </c>
      <c r="D1262" s="23"/>
      <c r="E1262" s="23">
        <v>0</v>
      </c>
      <c r="F1262" s="23">
        <v>0</v>
      </c>
      <c r="G1262" s="23">
        <f t="shared" si="94"/>
        <v>0</v>
      </c>
      <c r="H1262" s="23" t="e" cm="1">
        <f t="array" ref="H1262">INDEX('GLOBAL LOG'!#REF!,ROW()-1194+15)</f>
        <v>#REF!</v>
      </c>
      <c r="I1262" s="23" t="e">
        <f>_xlfn.XLOOKUP(H1262,#REF!,#REF!,"",0,1)</f>
        <v>#REF!</v>
      </c>
      <c r="J1262" s="23" t="str">
        <f>IFERROR(I1262*#REF!,"")</f>
        <v/>
      </c>
      <c r="K1262" s="23" t="e" cm="1">
        <f t="array" ref="K1262">INDEX('GLOBAL LOG'!#REF!,ROW()-1194+15)</f>
        <v>#REF!</v>
      </c>
      <c r="L1262" s="23" t="e">
        <f>_xlfn.XLOOKUP(K1262,#REF!,#REF!,"",0,1)</f>
        <v>#REF!</v>
      </c>
      <c r="M1262" s="23" t="str">
        <f>IFERROR(L1262*#REF!,"")</f>
        <v/>
      </c>
      <c r="N1262" s="23">
        <f>IFERROR((D1262-#REF!)/#REF!*COUNT!J1262*COUNT!M1262,0)</f>
        <v>0</v>
      </c>
      <c r="O1262" s="23">
        <f>IFERROR((E1262-#REF!)/#REF!*COUNT!J1262*COUNT!M1262,0)</f>
        <v>0</v>
      </c>
      <c r="P1262" s="23">
        <f>IFERROR((F1262-#REF!)/#REF!*COUNT!J1262*COUNT!M1262,0)</f>
        <v>0</v>
      </c>
      <c r="Q1262" s="23">
        <f>IFERROR((G1262-#REF!)/#REF!*COUNT!J1262*COUNT!M1262,0)</f>
        <v>0</v>
      </c>
      <c r="R1262"/>
      <c r="S1262" s="1" t="str">
        <v>Air France  Opporunity to add a 1. XWB-84 Used SPE (Q1 2027) 2. Firm Up six (6) aircraft from existing Options. 3. PAS for A350F based on the volume change (4 to 3 FIRM) of A350F.</v>
      </c>
      <c r="T1262" s="24">
        <v>0</v>
      </c>
      <c r="U1262"/>
      <c r="V1262" s="1" t="str">
        <v>Air France  Opporunity to add a 1. XWB-84 Used SPE (Q1 2027) 2. Firm Up six (6) aircraft from existing Options. 3. PAS for A350F based on the volume change (4 to 3 FIRM) of A350F.</v>
      </c>
      <c r="W1262" s="24">
        <v>0</v>
      </c>
      <c r="X1262"/>
      <c r="Y1262" s="1" t="str">
        <v>Air France  Opporunity to add a 1. XWB-84 Used SPE (Q1 2027) 2. Firm Up six (6) aircraft from existing Options. 3. PAS for A350F based on the volume change (4 to 3 FIRM) of A350F.</v>
      </c>
      <c r="Z1262" s="24">
        <v>0</v>
      </c>
      <c r="AA1262"/>
      <c r="AB1262" s="1" t="str">
        <v>Air France  Opporunity to add a 1. XWB-84 Used SPE (Q1 2027) 2. Firm Up six (6) aircraft from existing Options. 3. PAS for A350F based on the volume change (4 to 3 FIRM) of A350F.</v>
      </c>
      <c r="AC1262" s="24">
        <v>0</v>
      </c>
      <c r="AD1262"/>
      <c r="AE1262"/>
      <c r="AF1262"/>
      <c r="AG1262"/>
      <c r="AH1262"/>
      <c r="AI1262"/>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c r="CA1262"/>
      <c r="CB1262"/>
      <c r="CC1262"/>
      <c r="CD1262"/>
      <c r="CE1262"/>
      <c r="CF1262"/>
      <c r="CG1262"/>
      <c r="CH1262"/>
      <c r="CI1262"/>
      <c r="CJ1262"/>
      <c r="CK1262"/>
      <c r="CL1262"/>
      <c r="CM1262"/>
      <c r="CN1262"/>
      <c r="CO1262"/>
      <c r="CP1262"/>
      <c r="CQ1262"/>
      <c r="CR1262"/>
      <c r="CS1262"/>
    </row>
    <row r="1263" spans="2:97">
      <c r="B1263"/>
      <c r="C1263" s="15" t="str">
        <v>Air France  Opportunity to sell combined PAS to both KLM and Martinair for XWB-84 and XWB-97 due to A350F volume change</v>
      </c>
      <c r="D1263" s="23"/>
      <c r="E1263" s="23">
        <v>0</v>
      </c>
      <c r="F1263" s="23">
        <v>0</v>
      </c>
      <c r="G1263" s="23">
        <f t="shared" si="94"/>
        <v>0</v>
      </c>
      <c r="H1263" s="23" t="e" cm="1">
        <f t="array" ref="H1263">INDEX('GLOBAL LOG'!#REF!,ROW()-1194+15)</f>
        <v>#REF!</v>
      </c>
      <c r="I1263" s="23" t="e">
        <f>_xlfn.XLOOKUP(H1263,#REF!,#REF!,"",0,1)</f>
        <v>#REF!</v>
      </c>
      <c r="J1263" s="23" t="str">
        <f>IFERROR(I1263*#REF!,"")</f>
        <v/>
      </c>
      <c r="K1263" s="23" t="e" cm="1">
        <f t="array" ref="K1263">INDEX('GLOBAL LOG'!#REF!,ROW()-1194+15)</f>
        <v>#REF!</v>
      </c>
      <c r="L1263" s="23" t="e">
        <f>_xlfn.XLOOKUP(K1263,#REF!,#REF!,"",0,1)</f>
        <v>#REF!</v>
      </c>
      <c r="M1263" s="23" t="str">
        <f>IFERROR(L1263*#REF!,"")</f>
        <v/>
      </c>
      <c r="N1263" s="23">
        <f>IFERROR((D1263-#REF!)/#REF!*COUNT!J1263*COUNT!M1263,0)</f>
        <v>0</v>
      </c>
      <c r="O1263" s="23">
        <f>IFERROR((E1263-#REF!)/#REF!*COUNT!J1263*COUNT!M1263,0)</f>
        <v>0</v>
      </c>
      <c r="P1263" s="23">
        <f>IFERROR((F1263-#REF!)/#REF!*COUNT!J1263*COUNT!M1263,0)</f>
        <v>0</v>
      </c>
      <c r="Q1263" s="23">
        <f>IFERROR((G1263-#REF!)/#REF!*COUNT!J1263*COUNT!M1263,0)</f>
        <v>0</v>
      </c>
      <c r="R1263"/>
      <c r="S1263" s="1" t="str">
        <v>Air France  Opportunity to sell combined PAS to both KLM and Martinair for XWB-84 and XWB-97 due to A350F volume change</v>
      </c>
      <c r="T1263" s="24">
        <v>0</v>
      </c>
      <c r="U1263"/>
      <c r="V1263" s="1" t="str">
        <v>Air France  Opportunity to sell combined PAS to both KLM and Martinair for XWB-84 and XWB-97 due to A350F volume change</v>
      </c>
      <c r="W1263" s="24">
        <v>0</v>
      </c>
      <c r="X1263"/>
      <c r="Y1263" s="1" t="str">
        <v>Air France  Opportunity to sell combined PAS to both KLM and Martinair for XWB-84 and XWB-97 due to A350F volume change</v>
      </c>
      <c r="Z1263" s="24">
        <v>0</v>
      </c>
      <c r="AA1263"/>
      <c r="AB1263" s="1" t="str">
        <v>Air France  Opportunity to sell combined PAS to both KLM and Martinair for XWB-84 and XWB-97 due to A350F volume change</v>
      </c>
      <c r="AC1263" s="24">
        <v>0</v>
      </c>
      <c r="AD1263"/>
      <c r="AE1263"/>
      <c r="AF1263"/>
      <c r="AG1263"/>
      <c r="AH1263"/>
      <c r="AI1263"/>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c r="CA1263"/>
      <c r="CB1263"/>
      <c r="CC1263"/>
      <c r="CD1263"/>
      <c r="CE1263"/>
      <c r="CF1263"/>
      <c r="CG1263"/>
      <c r="CH1263"/>
      <c r="CI1263"/>
      <c r="CJ1263"/>
      <c r="CK1263"/>
      <c r="CL1263"/>
      <c r="CM1263"/>
      <c r="CN1263"/>
      <c r="CO1263"/>
      <c r="CP1263"/>
      <c r="CQ1263"/>
      <c r="CR1263"/>
      <c r="CS1263"/>
    </row>
    <row r="1264" spans="2:97">
      <c r="B1264"/>
      <c r="C1264" s="15" t="str">
        <v>British Airways  Change escalation period to Jul instead of Jun to simplify recon</v>
      </c>
      <c r="D1264" s="23"/>
      <c r="E1264" s="23">
        <v>0</v>
      </c>
      <c r="F1264" s="23">
        <v>0</v>
      </c>
      <c r="G1264" s="23">
        <f t="shared" si="94"/>
        <v>0</v>
      </c>
      <c r="H1264" s="23" t="e" cm="1">
        <f t="array" ref="H1264">INDEX('GLOBAL LOG'!#REF!,ROW()-1194+15)</f>
        <v>#REF!</v>
      </c>
      <c r="I1264" s="23" t="e">
        <f>_xlfn.XLOOKUP(H1264,#REF!,#REF!,"",0,1)</f>
        <v>#REF!</v>
      </c>
      <c r="J1264" s="23" t="str">
        <f>IFERROR(I1264*#REF!,"")</f>
        <v/>
      </c>
      <c r="K1264" s="23" t="e" cm="1">
        <f t="array" ref="K1264">INDEX('GLOBAL LOG'!#REF!,ROW()-1194+15)</f>
        <v>#REF!</v>
      </c>
      <c r="L1264" s="23" t="e">
        <f>_xlfn.XLOOKUP(K1264,#REF!,#REF!,"",0,1)</f>
        <v>#REF!</v>
      </c>
      <c r="M1264" s="23" t="str">
        <f>IFERROR(L1264*#REF!,"")</f>
        <v/>
      </c>
      <c r="N1264" s="23">
        <f>IFERROR((D1264-#REF!)/#REF!*COUNT!J1264*COUNT!M1264,0)</f>
        <v>0</v>
      </c>
      <c r="O1264" s="23">
        <f>IFERROR((E1264-#REF!)/#REF!*COUNT!J1264*COUNT!M1264,0)</f>
        <v>0</v>
      </c>
      <c r="P1264" s="23">
        <f>IFERROR((F1264-#REF!)/#REF!*COUNT!J1264*COUNT!M1264,0)</f>
        <v>0</v>
      </c>
      <c r="Q1264" s="23">
        <f>IFERROR((G1264-#REF!)/#REF!*COUNT!J1264*COUNT!M1264,0)</f>
        <v>0</v>
      </c>
      <c r="R1264"/>
      <c r="S1264" s="1" t="str">
        <v>British Airways  Change escalation period to Jul instead of Jun to simplify recon</v>
      </c>
      <c r="T1264" s="24">
        <v>0</v>
      </c>
      <c r="U1264"/>
      <c r="V1264" s="1" t="str">
        <v>British Airways  Change escalation period to Jul instead of Jun to simplify recon</v>
      </c>
      <c r="W1264" s="24">
        <v>0</v>
      </c>
      <c r="X1264"/>
      <c r="Y1264" s="1" t="str">
        <v>British Airways  Change escalation period to Jul instead of Jun to simplify recon</v>
      </c>
      <c r="Z1264" s="24">
        <v>0</v>
      </c>
      <c r="AA1264"/>
      <c r="AB1264" s="1" t="str">
        <v>British Airways  Change escalation period to Jul instead of Jun to simplify recon</v>
      </c>
      <c r="AC1264" s="24">
        <v>0</v>
      </c>
      <c r="AD1264"/>
      <c r="AE1264"/>
      <c r="AF1264"/>
      <c r="AG1264"/>
      <c r="AH1264"/>
      <c r="AI1264"/>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c r="CA1264"/>
      <c r="CB1264"/>
      <c r="CC1264"/>
      <c r="CD1264"/>
      <c r="CE1264"/>
      <c r="CF1264"/>
      <c r="CG1264"/>
      <c r="CH1264"/>
      <c r="CI1264"/>
      <c r="CJ1264"/>
      <c r="CK1264"/>
      <c r="CL1264"/>
      <c r="CM1264"/>
      <c r="CN1264"/>
      <c r="CO1264"/>
      <c r="CP1264"/>
      <c r="CQ1264"/>
      <c r="CR1264"/>
      <c r="CS1264"/>
    </row>
    <row r="1265" spans="2:97">
      <c r="B1265"/>
      <c r="C1265" s="15" t="str">
        <v>British Airways  Change escalation period to Jul instead of Jun to simplify recon</v>
      </c>
      <c r="D1265" s="23"/>
      <c r="E1265" s="23">
        <v>0</v>
      </c>
      <c r="F1265" s="23">
        <v>0</v>
      </c>
      <c r="G1265" s="23">
        <f t="shared" si="94"/>
        <v>0</v>
      </c>
      <c r="H1265" s="23" t="e" cm="1">
        <f t="array" ref="H1265">INDEX('GLOBAL LOG'!#REF!,ROW()-1194+15)</f>
        <v>#REF!</v>
      </c>
      <c r="I1265" s="23" t="e">
        <f>_xlfn.XLOOKUP(H1265,#REF!,#REF!,"",0,1)</f>
        <v>#REF!</v>
      </c>
      <c r="J1265" s="23" t="str">
        <f>IFERROR(I1265*#REF!,"")</f>
        <v/>
      </c>
      <c r="K1265" s="23" t="e" cm="1">
        <f t="array" ref="K1265">INDEX('GLOBAL LOG'!#REF!,ROW()-1194+15)</f>
        <v>#REF!</v>
      </c>
      <c r="L1265" s="23" t="e">
        <f>_xlfn.XLOOKUP(K1265,#REF!,#REF!,"",0,1)</f>
        <v>#REF!</v>
      </c>
      <c r="M1265" s="23" t="str">
        <f>IFERROR(L1265*#REF!,"")</f>
        <v/>
      </c>
      <c r="N1265" s="23">
        <f>IFERROR((D1265-#REF!)/#REF!*COUNT!J1265*COUNT!M1265,0)</f>
        <v>0</v>
      </c>
      <c r="O1265" s="23">
        <f>IFERROR((E1265-#REF!)/#REF!*COUNT!J1265*COUNT!M1265,0)</f>
        <v>0</v>
      </c>
      <c r="P1265" s="23">
        <f>IFERROR((F1265-#REF!)/#REF!*COUNT!J1265*COUNT!M1265,0)</f>
        <v>0</v>
      </c>
      <c r="Q1265" s="23">
        <f>IFERROR((G1265-#REF!)/#REF!*COUNT!J1265*COUNT!M1265,0)</f>
        <v>0</v>
      </c>
      <c r="R1265"/>
      <c r="S1265" s="1" t="str">
        <v>British Airways  Change escalation period to Jul instead of Jun to simplify recon</v>
      </c>
      <c r="T1265" s="24">
        <v>0</v>
      </c>
      <c r="U1265"/>
      <c r="V1265" s="1" t="str">
        <v>British Airways  Change escalation period to Jul instead of Jun to simplify recon</v>
      </c>
      <c r="W1265" s="24">
        <v>0</v>
      </c>
      <c r="X1265"/>
      <c r="Y1265" s="1" t="str">
        <v>British Airways  Change escalation period to Jul instead of Jun to simplify recon</v>
      </c>
      <c r="Z1265" s="24">
        <v>0</v>
      </c>
      <c r="AA1265"/>
      <c r="AB1265" s="1" t="str">
        <v>British Airways  Change escalation period to Jul instead of Jun to simplify recon</v>
      </c>
      <c r="AC1265" s="24">
        <v>0</v>
      </c>
      <c r="AD1265"/>
      <c r="AE1265"/>
      <c r="AF1265"/>
      <c r="AG1265"/>
      <c r="AH1265"/>
      <c r="AI1265"/>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c r="CA1265"/>
      <c r="CB1265"/>
      <c r="CC1265"/>
      <c r="CD1265"/>
      <c r="CE1265"/>
      <c r="CF1265"/>
      <c r="CG1265"/>
      <c r="CH1265"/>
      <c r="CI1265"/>
      <c r="CJ1265"/>
      <c r="CK1265"/>
      <c r="CL1265"/>
      <c r="CM1265"/>
      <c r="CN1265"/>
      <c r="CO1265"/>
      <c r="CP1265"/>
      <c r="CQ1265"/>
      <c r="CR1265"/>
      <c r="CS1265"/>
    </row>
    <row r="1266" spans="2:97">
      <c r="B1266"/>
      <c r="C1266" s="15" t="str">
        <v>Sunclass Airlines  Sale of a first used Spare Engine which would reduce NDSES cost in the CRP</v>
      </c>
      <c r="D1266" s="23"/>
      <c r="E1266" s="23">
        <v>0</v>
      </c>
      <c r="F1266" s="23">
        <v>0</v>
      </c>
      <c r="G1266" s="23">
        <f t="shared" si="94"/>
        <v>0</v>
      </c>
      <c r="H1266" s="23" t="e" cm="1">
        <f t="array" ref="H1266">INDEX('GLOBAL LOG'!#REF!,ROW()-1194+15)</f>
        <v>#REF!</v>
      </c>
      <c r="I1266" s="23" t="e">
        <f>_xlfn.XLOOKUP(H1266,#REF!,#REF!,"",0,1)</f>
        <v>#REF!</v>
      </c>
      <c r="J1266" s="23" t="str">
        <f>IFERROR(I1266*#REF!,"")</f>
        <v/>
      </c>
      <c r="K1266" s="23" t="e" cm="1">
        <f t="array" ref="K1266">INDEX('GLOBAL LOG'!#REF!,ROW()-1194+15)</f>
        <v>#REF!</v>
      </c>
      <c r="L1266" s="23" t="e">
        <f>_xlfn.XLOOKUP(K1266,#REF!,#REF!,"",0,1)</f>
        <v>#REF!</v>
      </c>
      <c r="M1266" s="23" t="str">
        <f>IFERROR(L1266*#REF!,"")</f>
        <v/>
      </c>
      <c r="N1266" s="23">
        <f>IFERROR((D1266-#REF!)/#REF!*COUNT!J1266*COUNT!M1266,0)</f>
        <v>0</v>
      </c>
      <c r="O1266" s="23">
        <f>IFERROR((E1266-#REF!)/#REF!*COUNT!J1266*COUNT!M1266,0)</f>
        <v>0</v>
      </c>
      <c r="P1266" s="23">
        <f>IFERROR((F1266-#REF!)/#REF!*COUNT!J1266*COUNT!M1266,0)</f>
        <v>0</v>
      </c>
      <c r="Q1266" s="23">
        <f>IFERROR((G1266-#REF!)/#REF!*COUNT!J1266*COUNT!M1266,0)</f>
        <v>0</v>
      </c>
      <c r="R1266"/>
      <c r="S1266" s="1" t="str">
        <v>Sunclass Airlines  Sale of a first used Spare Engine which would reduce NDSES cost in the CRP</v>
      </c>
      <c r="T1266" s="24">
        <v>0</v>
      </c>
      <c r="U1266"/>
      <c r="V1266" s="1" t="str">
        <v>Sunclass Airlines  Sale of a first used Spare Engine which would reduce NDSES cost in the CRP</v>
      </c>
      <c r="W1266" s="24">
        <v>0</v>
      </c>
      <c r="X1266"/>
      <c r="Y1266" s="1" t="str">
        <v>Sunclass Airlines  Sale of a first used Spare Engine which would reduce NDSES cost in the CRP</v>
      </c>
      <c r="Z1266" s="24">
        <v>0</v>
      </c>
      <c r="AA1266"/>
      <c r="AB1266" s="1" t="str">
        <v>Sunclass Airlines  Sale of a first used Spare Engine which would reduce NDSES cost in the CRP</v>
      </c>
      <c r="AC1266" s="24">
        <v>0</v>
      </c>
      <c r="AD1266"/>
      <c r="AE1266"/>
      <c r="AF1266"/>
      <c r="AG1266"/>
      <c r="AH1266"/>
      <c r="AI1266"/>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c r="CA1266"/>
      <c r="CB1266"/>
      <c r="CC1266"/>
      <c r="CD1266"/>
      <c r="CE1266"/>
      <c r="CF1266"/>
      <c r="CG1266"/>
      <c r="CH1266"/>
      <c r="CI1266"/>
      <c r="CJ1266"/>
      <c r="CK1266"/>
      <c r="CL1266"/>
      <c r="CM1266"/>
      <c r="CN1266"/>
      <c r="CO1266"/>
      <c r="CP1266"/>
      <c r="CQ1266"/>
      <c r="CR1266"/>
      <c r="CS1266"/>
    </row>
    <row r="1267" spans="2:97">
      <c r="B1267"/>
      <c r="C1267" s="15" t="str">
        <v>ITA 2 incremental a/c under LoI - opportunity to sell incremental used Spare Engine early to help CRP NDSES cost/fleet health</v>
      </c>
      <c r="D1267" s="23"/>
      <c r="E1267" s="23">
        <v>0</v>
      </c>
      <c r="F1267" s="23">
        <v>0</v>
      </c>
      <c r="G1267" s="23">
        <f t="shared" si="94"/>
        <v>0</v>
      </c>
      <c r="H1267" s="23" t="e" cm="1">
        <f t="array" ref="H1267">INDEX('GLOBAL LOG'!#REF!,ROW()-1194+15)</f>
        <v>#REF!</v>
      </c>
      <c r="I1267" s="23" t="e">
        <f>_xlfn.XLOOKUP(H1267,#REF!,#REF!,"",0,1)</f>
        <v>#REF!</v>
      </c>
      <c r="J1267" s="23" t="str">
        <f>IFERROR(I1267*#REF!,"")</f>
        <v/>
      </c>
      <c r="K1267" s="23" t="e" cm="1">
        <f t="array" ref="K1267">INDEX('GLOBAL LOG'!#REF!,ROW()-1194+15)</f>
        <v>#REF!</v>
      </c>
      <c r="L1267" s="23" t="e">
        <f>_xlfn.XLOOKUP(K1267,#REF!,#REF!,"",0,1)</f>
        <v>#REF!</v>
      </c>
      <c r="M1267" s="23" t="str">
        <f>IFERROR(L1267*#REF!,"")</f>
        <v/>
      </c>
      <c r="N1267" s="23">
        <f>IFERROR((D1267-#REF!)/#REF!*COUNT!J1267*COUNT!M1267,0)</f>
        <v>0</v>
      </c>
      <c r="O1267" s="23">
        <f>IFERROR((E1267-#REF!)/#REF!*COUNT!J1267*COUNT!M1267,0)</f>
        <v>0</v>
      </c>
      <c r="P1267" s="23">
        <f>IFERROR((F1267-#REF!)/#REF!*COUNT!J1267*COUNT!M1267,0)</f>
        <v>0</v>
      </c>
      <c r="Q1267" s="23">
        <f>IFERROR((G1267-#REF!)/#REF!*COUNT!J1267*COUNT!M1267,0)</f>
        <v>0</v>
      </c>
      <c r="R1267"/>
      <c r="S1267" s="1" t="str">
        <v>ITA 2 incremental a/c under LoI - opportunity to sell incremental used Spare Engine early to help CRP NDSES cost/fleet health</v>
      </c>
      <c r="T1267" s="24">
        <v>0</v>
      </c>
      <c r="U1267"/>
      <c r="V1267" s="1" t="str">
        <v>ITA 2 incremental a/c under LoI - opportunity to sell incremental used Spare Engine early to help CRP NDSES cost/fleet health</v>
      </c>
      <c r="W1267" s="24">
        <v>0</v>
      </c>
      <c r="X1267"/>
      <c r="Y1267" s="1" t="str">
        <v>ITA 2 incremental a/c under LoI - opportunity to sell incremental used Spare Engine early to help CRP NDSES cost/fleet health</v>
      </c>
      <c r="Z1267" s="24">
        <v>0</v>
      </c>
      <c r="AA1267"/>
      <c r="AB1267" s="1" t="str">
        <v>ITA 2 incremental a/c under LoI - opportunity to sell incremental used Spare Engine early to help CRP NDSES cost/fleet health</v>
      </c>
      <c r="AC1267" s="24">
        <v>0</v>
      </c>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c r="CA1267"/>
      <c r="CB1267"/>
      <c r="CC1267"/>
      <c r="CD1267"/>
      <c r="CE1267"/>
      <c r="CF1267"/>
      <c r="CG1267"/>
      <c r="CH1267"/>
      <c r="CI1267"/>
      <c r="CJ1267"/>
      <c r="CK1267"/>
      <c r="CL1267"/>
      <c r="CM1267"/>
      <c r="CN1267"/>
      <c r="CO1267"/>
      <c r="CP1267"/>
      <c r="CQ1267"/>
      <c r="CR1267"/>
      <c r="CS1267"/>
    </row>
    <row r="1268" spans="2:97">
      <c r="B1268"/>
      <c r="C1268" s="15" t="str">
        <v>Turkish Airlines  Extend minimum term of remaining fleet</v>
      </c>
      <c r="D1268" s="23"/>
      <c r="E1268" s="23">
        <v>0</v>
      </c>
      <c r="F1268" s="23">
        <v>0</v>
      </c>
      <c r="G1268" s="23">
        <f t="shared" si="94"/>
        <v>0</v>
      </c>
      <c r="H1268" s="23" t="e" cm="1">
        <f t="array" ref="H1268">INDEX('GLOBAL LOG'!#REF!,ROW()-1194+15)</f>
        <v>#REF!</v>
      </c>
      <c r="I1268" s="23" t="e">
        <f>_xlfn.XLOOKUP(H1268,#REF!,#REF!,"",0,1)</f>
        <v>#REF!</v>
      </c>
      <c r="J1268" s="23" t="str">
        <f>IFERROR(I1268*#REF!,"")</f>
        <v/>
      </c>
      <c r="K1268" s="23" t="e" cm="1">
        <f t="array" ref="K1268">INDEX('GLOBAL LOG'!#REF!,ROW()-1194+15)</f>
        <v>#REF!</v>
      </c>
      <c r="L1268" s="23" t="e">
        <f>_xlfn.XLOOKUP(K1268,#REF!,#REF!,"",0,1)</f>
        <v>#REF!</v>
      </c>
      <c r="M1268" s="23" t="str">
        <f>IFERROR(L1268*#REF!,"")</f>
        <v/>
      </c>
      <c r="N1268" s="23">
        <f>IFERROR((D1268-#REF!)/#REF!*COUNT!J1268*COUNT!M1268,0)</f>
        <v>0</v>
      </c>
      <c r="O1268" s="23">
        <f>IFERROR((E1268-#REF!)/#REF!*COUNT!J1268*COUNT!M1268,0)</f>
        <v>0</v>
      </c>
      <c r="P1268" s="23">
        <f>IFERROR((F1268-#REF!)/#REF!*COUNT!J1268*COUNT!M1268,0)</f>
        <v>0</v>
      </c>
      <c r="Q1268" s="23">
        <f>IFERROR((G1268-#REF!)/#REF!*COUNT!J1268*COUNT!M1268,0)</f>
        <v>0</v>
      </c>
      <c r="R1268"/>
      <c r="S1268" s="1" t="str">
        <v>Turkish Airlines  Extend minimum term of remaining fleet</v>
      </c>
      <c r="T1268" s="24">
        <v>0</v>
      </c>
      <c r="U1268"/>
      <c r="V1268" s="1" t="str">
        <v>Turkish Airlines  Extend minimum term of remaining fleet</v>
      </c>
      <c r="W1268" s="24">
        <v>0</v>
      </c>
      <c r="X1268"/>
      <c r="Y1268" s="1" t="str">
        <v>Turkish Airlines  Extend minimum term of remaining fleet</v>
      </c>
      <c r="Z1268" s="24">
        <v>0</v>
      </c>
      <c r="AA1268"/>
      <c r="AB1268" s="1" t="str">
        <v>Turkish Airlines  Extend minimum term of remaining fleet</v>
      </c>
      <c r="AC1268" s="24">
        <v>0</v>
      </c>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c r="CA1268"/>
      <c r="CB1268"/>
      <c r="CC1268"/>
      <c r="CD1268"/>
      <c r="CE1268"/>
      <c r="CF1268"/>
      <c r="CG1268"/>
      <c r="CH1268"/>
      <c r="CI1268"/>
      <c r="CJ1268"/>
      <c r="CK1268"/>
      <c r="CL1268"/>
      <c r="CM1268"/>
      <c r="CN1268"/>
      <c r="CO1268"/>
      <c r="CP1268"/>
      <c r="CQ1268"/>
      <c r="CR1268"/>
      <c r="CS1268"/>
    </row>
    <row r="1269" spans="2:97">
      <c r="B1269"/>
      <c r="C1269" s="15" t="str">
        <v>DHL LRU upsell</v>
      </c>
      <c r="D1269" s="23"/>
      <c r="E1269" s="23">
        <v>0</v>
      </c>
      <c r="F1269" s="23">
        <v>0</v>
      </c>
      <c r="G1269" s="23">
        <f t="shared" si="94"/>
        <v>0</v>
      </c>
      <c r="H1269" s="23" t="e" cm="1">
        <f t="array" ref="H1269">INDEX('GLOBAL LOG'!#REF!,ROW()-1194+15)</f>
        <v>#REF!</v>
      </c>
      <c r="I1269" s="23" t="e">
        <f>_xlfn.XLOOKUP(H1269,#REF!,#REF!,"",0,1)</f>
        <v>#REF!</v>
      </c>
      <c r="J1269" s="23" t="str">
        <f>IFERROR(I1269*#REF!,"")</f>
        <v/>
      </c>
      <c r="K1269" s="23" t="e" cm="1">
        <f t="array" ref="K1269">INDEX('GLOBAL LOG'!#REF!,ROW()-1194+15)</f>
        <v>#REF!</v>
      </c>
      <c r="L1269" s="23" t="e">
        <f>_xlfn.XLOOKUP(K1269,#REF!,#REF!,"",0,1)</f>
        <v>#REF!</v>
      </c>
      <c r="M1269" s="23" t="str">
        <f>IFERROR(L1269*#REF!,"")</f>
        <v/>
      </c>
      <c r="N1269" s="23">
        <f>IFERROR((D1269-#REF!)/#REF!*COUNT!J1269*COUNT!M1269,0)</f>
        <v>0</v>
      </c>
      <c r="O1269" s="23">
        <f>IFERROR((E1269-#REF!)/#REF!*COUNT!J1269*COUNT!M1269,0)</f>
        <v>0</v>
      </c>
      <c r="P1269" s="23">
        <f>IFERROR((F1269-#REF!)/#REF!*COUNT!J1269*COUNT!M1269,0)</f>
        <v>0</v>
      </c>
      <c r="Q1269" s="23">
        <f>IFERROR((G1269-#REF!)/#REF!*COUNT!J1269*COUNT!M1269,0)</f>
        <v>0</v>
      </c>
      <c r="R1269"/>
      <c r="S1269" s="1" t="str">
        <v>DHL LRU upsell</v>
      </c>
      <c r="T1269" s="24">
        <v>0</v>
      </c>
      <c r="U1269"/>
      <c r="V1269" s="1" t="str">
        <v>DHL LRU upsell</v>
      </c>
      <c r="W1269" s="24">
        <v>0</v>
      </c>
      <c r="X1269"/>
      <c r="Y1269" s="1" t="str">
        <v>DHL LRU upsell</v>
      </c>
      <c r="Z1269" s="24">
        <v>0</v>
      </c>
      <c r="AA1269"/>
      <c r="AB1269" s="1" t="str">
        <v>DHL LRU upsell</v>
      </c>
      <c r="AC1269" s="24">
        <v>0</v>
      </c>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c r="CA1269"/>
      <c r="CB1269"/>
      <c r="CC1269"/>
      <c r="CD1269"/>
      <c r="CE1269"/>
      <c r="CF1269"/>
      <c r="CG1269"/>
      <c r="CH1269"/>
      <c r="CI1269"/>
      <c r="CJ1269"/>
      <c r="CK1269"/>
      <c r="CL1269"/>
      <c r="CM1269"/>
      <c r="CN1269"/>
      <c r="CO1269"/>
      <c r="CP1269"/>
      <c r="CQ1269"/>
      <c r="CR1269"/>
      <c r="CS1269"/>
    </row>
    <row r="1270" spans="2:97">
      <c r="B1270"/>
      <c r="C1270" s="15" t="str">
        <v>British Airways  Below the pylon - potential descope</v>
      </c>
      <c r="D1270" s="23"/>
      <c r="E1270" s="23">
        <v>0</v>
      </c>
      <c r="F1270" s="23">
        <v>0</v>
      </c>
      <c r="G1270" s="23">
        <f t="shared" si="94"/>
        <v>0</v>
      </c>
      <c r="H1270" s="23" t="e" cm="1">
        <f t="array" ref="H1270">INDEX('GLOBAL LOG'!#REF!,ROW()-1194+15)</f>
        <v>#REF!</v>
      </c>
      <c r="I1270" s="23" t="e">
        <f>_xlfn.XLOOKUP(H1270,#REF!,#REF!,"",0,1)</f>
        <v>#REF!</v>
      </c>
      <c r="J1270" s="23" t="str">
        <f>IFERROR(I1270*#REF!,"")</f>
        <v/>
      </c>
      <c r="K1270" s="23" t="e" cm="1">
        <f t="array" ref="K1270">INDEX('GLOBAL LOG'!#REF!,ROW()-1194+15)</f>
        <v>#REF!</v>
      </c>
      <c r="L1270" s="23" t="e">
        <f>_xlfn.XLOOKUP(K1270,#REF!,#REF!,"",0,1)</f>
        <v>#REF!</v>
      </c>
      <c r="M1270" s="23" t="str">
        <f>IFERROR(L1270*#REF!,"")</f>
        <v/>
      </c>
      <c r="N1270" s="23">
        <f>IFERROR((D1270-#REF!)/#REF!*COUNT!J1270*COUNT!M1270,0)</f>
        <v>0</v>
      </c>
      <c r="O1270" s="23">
        <f>IFERROR((E1270-#REF!)/#REF!*COUNT!J1270*COUNT!M1270,0)</f>
        <v>0</v>
      </c>
      <c r="P1270" s="23">
        <f>IFERROR((F1270-#REF!)/#REF!*COUNT!J1270*COUNT!M1270,0)</f>
        <v>0</v>
      </c>
      <c r="Q1270" s="23">
        <f>IFERROR((G1270-#REF!)/#REF!*COUNT!J1270*COUNT!M1270,0)</f>
        <v>0</v>
      </c>
      <c r="R1270"/>
      <c r="S1270" s="1" t="str">
        <v>British Airways  Below the pylon - potential descope</v>
      </c>
      <c r="T1270" s="24">
        <v>0</v>
      </c>
      <c r="U1270"/>
      <c r="V1270" s="1" t="str">
        <v>British Airways  Below the pylon - potential descope</v>
      </c>
      <c r="W1270" s="24">
        <v>0</v>
      </c>
      <c r="X1270"/>
      <c r="Y1270" s="1" t="str">
        <v>British Airways  Below the pylon - potential descope</v>
      </c>
      <c r="Z1270" s="24">
        <v>0</v>
      </c>
      <c r="AA1270"/>
      <c r="AB1270" s="1" t="str">
        <v>British Airways  Below the pylon - potential descope</v>
      </c>
      <c r="AC1270" s="24">
        <v>0</v>
      </c>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c r="CA1270"/>
      <c r="CB1270"/>
      <c r="CC1270"/>
      <c r="CD1270"/>
      <c r="CE1270"/>
      <c r="CF1270"/>
      <c r="CG1270"/>
      <c r="CH1270"/>
      <c r="CI1270"/>
      <c r="CJ1270"/>
      <c r="CK1270"/>
      <c r="CL1270"/>
      <c r="CM1270"/>
      <c r="CN1270"/>
      <c r="CO1270"/>
      <c r="CP1270"/>
      <c r="CQ1270"/>
      <c r="CR1270"/>
      <c r="CS1270"/>
    </row>
    <row r="1271" spans="2:97">
      <c r="B1271"/>
      <c r="C1271" s="15" t="str">
        <v>British Airways  Below the pylon - potential descope</v>
      </c>
      <c r="D1271" s="23"/>
      <c r="E1271" s="23">
        <v>0</v>
      </c>
      <c r="F1271" s="23">
        <v>0</v>
      </c>
      <c r="G1271" s="23">
        <f t="shared" si="94"/>
        <v>0</v>
      </c>
      <c r="H1271" s="23" t="e" cm="1">
        <f t="array" ref="H1271">INDEX('GLOBAL LOG'!#REF!,ROW()-1194+15)</f>
        <v>#REF!</v>
      </c>
      <c r="I1271" s="23" t="e">
        <f>_xlfn.XLOOKUP(H1271,#REF!,#REF!,"",0,1)</f>
        <v>#REF!</v>
      </c>
      <c r="J1271" s="23" t="str">
        <f>IFERROR(I1271*#REF!,"")</f>
        <v/>
      </c>
      <c r="K1271" s="23" t="e" cm="1">
        <f t="array" ref="K1271">INDEX('GLOBAL LOG'!#REF!,ROW()-1194+15)</f>
        <v>#REF!</v>
      </c>
      <c r="L1271" s="23" t="e">
        <f>_xlfn.XLOOKUP(K1271,#REF!,#REF!,"",0,1)</f>
        <v>#REF!</v>
      </c>
      <c r="M1271" s="23" t="str">
        <f>IFERROR(L1271*#REF!,"")</f>
        <v/>
      </c>
      <c r="N1271" s="23">
        <f>IFERROR((D1271-#REF!)/#REF!*COUNT!J1271*COUNT!M1271,0)</f>
        <v>0</v>
      </c>
      <c r="O1271" s="23">
        <f>IFERROR((E1271-#REF!)/#REF!*COUNT!J1271*COUNT!M1271,0)</f>
        <v>0</v>
      </c>
      <c r="P1271" s="23">
        <f>IFERROR((F1271-#REF!)/#REF!*COUNT!J1271*COUNT!M1271,0)</f>
        <v>0</v>
      </c>
      <c r="Q1271" s="23">
        <f>IFERROR((G1271-#REF!)/#REF!*COUNT!J1271*COUNT!M1271,0)</f>
        <v>0</v>
      </c>
      <c r="R1271"/>
      <c r="S1271" s="1" t="str">
        <v>British Airways  Below the pylon - potential descope</v>
      </c>
      <c r="T1271" s="24">
        <v>0</v>
      </c>
      <c r="U1271"/>
      <c r="V1271" s="1" t="str">
        <v>British Airways  Below the pylon - potential descope</v>
      </c>
      <c r="W1271" s="24">
        <v>0</v>
      </c>
      <c r="X1271"/>
      <c r="Y1271" s="1" t="str">
        <v>British Airways  Below the pylon - potential descope</v>
      </c>
      <c r="Z1271" s="24">
        <v>0</v>
      </c>
      <c r="AA1271"/>
      <c r="AB1271" s="1" t="str">
        <v>British Airways  Below the pylon - potential descope</v>
      </c>
      <c r="AC1271" s="24">
        <v>0</v>
      </c>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c r="CA1271"/>
      <c r="CB1271"/>
      <c r="CC1271"/>
      <c r="CD1271"/>
      <c r="CE1271"/>
      <c r="CF1271"/>
      <c r="CG1271"/>
      <c r="CH1271"/>
      <c r="CI1271"/>
      <c r="CJ1271"/>
      <c r="CK1271"/>
      <c r="CL1271"/>
      <c r="CM1271"/>
      <c r="CN1271"/>
      <c r="CO1271"/>
      <c r="CP1271"/>
      <c r="CQ1271"/>
      <c r="CR1271"/>
      <c r="CS1271"/>
    </row>
    <row r="1272" spans="2:97">
      <c r="B1272"/>
      <c r="C1272" s="15" t="str">
        <v>British Airways  Below the pylon - potential descope (Trent 900)</v>
      </c>
      <c r="D1272" s="23"/>
      <c r="E1272" s="23">
        <v>0</v>
      </c>
      <c r="F1272" s="23">
        <v>0</v>
      </c>
      <c r="G1272" s="23">
        <f t="shared" si="94"/>
        <v>0</v>
      </c>
      <c r="H1272" s="23" t="e" cm="1">
        <f t="array" ref="H1272">INDEX('GLOBAL LOG'!#REF!,ROW()-1194+15)</f>
        <v>#REF!</v>
      </c>
      <c r="I1272" s="23" t="e">
        <f>_xlfn.XLOOKUP(H1272,#REF!,#REF!,"",0,1)</f>
        <v>#REF!</v>
      </c>
      <c r="J1272" s="23" t="str">
        <f>IFERROR(I1272*#REF!,"")</f>
        <v/>
      </c>
      <c r="K1272" s="23" t="e" cm="1">
        <f t="array" ref="K1272">INDEX('GLOBAL LOG'!#REF!,ROW()-1194+15)</f>
        <v>#REF!</v>
      </c>
      <c r="L1272" s="23" t="e">
        <f>_xlfn.XLOOKUP(K1272,#REF!,#REF!,"",0,1)</f>
        <v>#REF!</v>
      </c>
      <c r="M1272" s="23" t="str">
        <f>IFERROR(L1272*#REF!,"")</f>
        <v/>
      </c>
      <c r="N1272" s="23">
        <f>IFERROR((D1272-#REF!)/#REF!*COUNT!J1272*COUNT!M1272,0)</f>
        <v>0</v>
      </c>
      <c r="O1272" s="23">
        <f>IFERROR((E1272-#REF!)/#REF!*COUNT!J1272*COUNT!M1272,0)</f>
        <v>0</v>
      </c>
      <c r="P1272" s="23">
        <f>IFERROR((F1272-#REF!)/#REF!*COUNT!J1272*COUNT!M1272,0)</f>
        <v>0</v>
      </c>
      <c r="Q1272" s="23">
        <f>IFERROR((G1272-#REF!)/#REF!*COUNT!J1272*COUNT!M1272,0)</f>
        <v>0</v>
      </c>
      <c r="R1272"/>
      <c r="S1272" s="1" t="str">
        <v>British Airways  Below the pylon - potential descope (Trent 900)</v>
      </c>
      <c r="T1272" s="24">
        <v>0</v>
      </c>
      <c r="U1272"/>
      <c r="V1272" s="1" t="str">
        <v>British Airways  Below the pylon - potential descope (Trent 900)</v>
      </c>
      <c r="W1272" s="24">
        <v>0</v>
      </c>
      <c r="X1272"/>
      <c r="Y1272" s="1" t="str">
        <v>British Airways  Below the pylon - potential descope (Trent 900)</v>
      </c>
      <c r="Z1272" s="24">
        <v>0</v>
      </c>
      <c r="AA1272"/>
      <c r="AB1272" s="1" t="str">
        <v>British Airways  Below the pylon - potential descope (Trent 900)</v>
      </c>
      <c r="AC1272" s="24">
        <v>0</v>
      </c>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c r="CA1272"/>
      <c r="CB1272"/>
      <c r="CC1272"/>
      <c r="CD1272"/>
      <c r="CE1272"/>
      <c r="CF1272"/>
      <c r="CG1272"/>
      <c r="CH1272"/>
      <c r="CI1272"/>
      <c r="CJ1272"/>
      <c r="CK1272"/>
      <c r="CL1272"/>
      <c r="CM1272"/>
      <c r="CN1272"/>
      <c r="CO1272"/>
      <c r="CP1272"/>
      <c r="CQ1272"/>
      <c r="CR1272"/>
      <c r="CS1272"/>
    </row>
    <row r="1273" spans="2:97">
      <c r="B1273"/>
      <c r="C1273" s="15" t="str">
        <v>Virgin Atlantic  Onerous -Transistion AC if possilbe, Extend contract or EOCL buy out</v>
      </c>
      <c r="D1273" s="23"/>
      <c r="E1273" s="23">
        <v>0</v>
      </c>
      <c r="F1273" s="23">
        <v>0</v>
      </c>
      <c r="G1273" s="23">
        <f t="shared" si="94"/>
        <v>0</v>
      </c>
      <c r="H1273" s="23" t="e" cm="1">
        <f t="array" ref="H1273">INDEX('GLOBAL LOG'!#REF!,ROW()-1194+15)</f>
        <v>#REF!</v>
      </c>
      <c r="I1273" s="23" t="e">
        <f>_xlfn.XLOOKUP(H1273,#REF!,#REF!,"",0,1)</f>
        <v>#REF!</v>
      </c>
      <c r="J1273" s="23" t="str">
        <f>IFERROR(I1273*#REF!,"")</f>
        <v/>
      </c>
      <c r="K1273" s="23" t="e" cm="1">
        <f t="array" ref="K1273">INDEX('GLOBAL LOG'!#REF!,ROW()-1194+15)</f>
        <v>#REF!</v>
      </c>
      <c r="L1273" s="23" t="e">
        <f>_xlfn.XLOOKUP(K1273,#REF!,#REF!,"",0,1)</f>
        <v>#REF!</v>
      </c>
      <c r="M1273" s="23" t="str">
        <f>IFERROR(L1273*#REF!,"")</f>
        <v/>
      </c>
      <c r="N1273" s="23">
        <f>IFERROR((D1273-#REF!)/#REF!*COUNT!J1273*COUNT!M1273,0)</f>
        <v>0</v>
      </c>
      <c r="O1273" s="23">
        <f>IFERROR((E1273-#REF!)/#REF!*COUNT!J1273*COUNT!M1273,0)</f>
        <v>0</v>
      </c>
      <c r="P1273" s="23">
        <f>IFERROR((F1273-#REF!)/#REF!*COUNT!J1273*COUNT!M1273,0)</f>
        <v>0</v>
      </c>
      <c r="Q1273" s="23">
        <f>IFERROR((G1273-#REF!)/#REF!*COUNT!J1273*COUNT!M1273,0)</f>
        <v>0</v>
      </c>
      <c r="R1273"/>
      <c r="S1273" s="1" t="str">
        <v>Virgin Atlantic  Onerous -Transistion AC if possilbe, Extend contract or EOCL buy out</v>
      </c>
      <c r="T1273" s="24">
        <v>0</v>
      </c>
      <c r="U1273"/>
      <c r="V1273" s="1" t="str">
        <v>Virgin Atlantic  Onerous -Transistion AC if possilbe, Extend contract or EOCL buy out</v>
      </c>
      <c r="W1273" s="24">
        <v>0</v>
      </c>
      <c r="X1273"/>
      <c r="Y1273" s="1" t="str">
        <v>Virgin Atlantic  Onerous -Transistion AC if possilbe, Extend contract or EOCL buy out</v>
      </c>
      <c r="Z1273" s="24">
        <v>0</v>
      </c>
      <c r="AA1273"/>
      <c r="AB1273" s="1" t="str">
        <v>Virgin Atlantic  Onerous -Transistion AC if possilbe, Extend contract or EOCL buy out</v>
      </c>
      <c r="AC1273" s="24">
        <v>0</v>
      </c>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c r="CA1273"/>
      <c r="CB1273"/>
      <c r="CC1273"/>
      <c r="CD1273"/>
      <c r="CE1273"/>
      <c r="CF1273"/>
      <c r="CG1273"/>
      <c r="CH1273"/>
      <c r="CI1273"/>
      <c r="CJ1273"/>
      <c r="CK1273"/>
      <c r="CL1273"/>
      <c r="CM1273"/>
      <c r="CN1273"/>
      <c r="CO1273"/>
      <c r="CP1273"/>
      <c r="CQ1273"/>
      <c r="CR1273"/>
      <c r="CS1273"/>
    </row>
    <row r="1274" spans="2:97">
      <c r="B1274"/>
      <c r="C1274" s="15" t="str">
        <v>Air Caraibes  Life Min Term extension for owned a/c, plus removal of EoCL for a $/efh discount</v>
      </c>
      <c r="D1274" s="23"/>
      <c r="E1274" s="23">
        <v>0</v>
      </c>
      <c r="F1274" s="23">
        <v>0</v>
      </c>
      <c r="G1274" s="23">
        <f t="shared" si="94"/>
        <v>0</v>
      </c>
      <c r="H1274" s="23" t="e" cm="1">
        <f t="array" ref="H1274">INDEX('GLOBAL LOG'!#REF!,ROW()-1194+15)</f>
        <v>#REF!</v>
      </c>
      <c r="I1274" s="23" t="e">
        <f>_xlfn.XLOOKUP(H1274,#REF!,#REF!,"",0,1)</f>
        <v>#REF!</v>
      </c>
      <c r="J1274" s="23" t="str">
        <f>IFERROR(I1274*#REF!,"")</f>
        <v/>
      </c>
      <c r="K1274" s="23" t="e" cm="1">
        <f t="array" ref="K1274">INDEX('GLOBAL LOG'!#REF!,ROW()-1194+15)</f>
        <v>#REF!</v>
      </c>
      <c r="L1274" s="23" t="e">
        <f>_xlfn.XLOOKUP(K1274,#REF!,#REF!,"",0,1)</f>
        <v>#REF!</v>
      </c>
      <c r="M1274" s="23" t="str">
        <f>IFERROR(L1274*#REF!,"")</f>
        <v/>
      </c>
      <c r="N1274" s="23">
        <f>IFERROR((D1274-#REF!)/#REF!*COUNT!J1274*COUNT!M1274,0)</f>
        <v>0</v>
      </c>
      <c r="O1274" s="23">
        <f>IFERROR((E1274-#REF!)/#REF!*COUNT!J1274*COUNT!M1274,0)</f>
        <v>0</v>
      </c>
      <c r="P1274" s="23">
        <f>IFERROR((F1274-#REF!)/#REF!*COUNT!J1274*COUNT!M1274,0)</f>
        <v>0</v>
      </c>
      <c r="Q1274" s="23">
        <f>IFERROR((G1274-#REF!)/#REF!*COUNT!J1274*COUNT!M1274,0)</f>
        <v>0</v>
      </c>
      <c r="R1274"/>
      <c r="S1274" s="1" t="str">
        <v>Air Caraibes  Life Min Term extension for owned a/c, plus removal of EoCL for a $/efh discount</v>
      </c>
      <c r="T1274" s="24">
        <v>0</v>
      </c>
      <c r="U1274"/>
      <c r="V1274" s="1" t="str">
        <v>Air Caraibes  Life Min Term extension for owned a/c, plus removal of EoCL for a $/efh discount</v>
      </c>
      <c r="W1274" s="24">
        <v>0</v>
      </c>
      <c r="X1274"/>
      <c r="Y1274" s="1" t="str">
        <v>Air Caraibes  Life Min Term extension for owned a/c, plus removal of EoCL for a $/efh discount</v>
      </c>
      <c r="Z1274" s="24">
        <v>0</v>
      </c>
      <c r="AA1274"/>
      <c r="AB1274" s="1" t="str">
        <v>Air Caraibes  Life Min Term extension for owned a/c, plus removal of EoCL for a $/efh discount</v>
      </c>
      <c r="AC1274" s="24">
        <v>0</v>
      </c>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c r="CA1274"/>
      <c r="CB1274"/>
      <c r="CC1274"/>
      <c r="CD1274"/>
      <c r="CE1274"/>
      <c r="CF1274"/>
      <c r="CG1274"/>
      <c r="CH1274"/>
      <c r="CI1274"/>
      <c r="CJ1274"/>
      <c r="CK1274"/>
      <c r="CL1274"/>
      <c r="CM1274"/>
      <c r="CN1274"/>
      <c r="CO1274"/>
      <c r="CP1274"/>
      <c r="CQ1274"/>
      <c r="CR1274"/>
      <c r="CS1274"/>
    </row>
    <row r="1275" spans="2:97">
      <c r="B1275"/>
      <c r="C1275" s="15" t="str">
        <v>ITA SPE#4 Pull-forward</v>
      </c>
      <c r="D1275" s="23"/>
      <c r="E1275" s="23">
        <v>0</v>
      </c>
      <c r="F1275" s="23">
        <v>0</v>
      </c>
      <c r="G1275" s="23">
        <f t="shared" si="94"/>
        <v>0</v>
      </c>
      <c r="H1275" s="23" t="e" cm="1">
        <f t="array" ref="H1275">INDEX('GLOBAL LOG'!#REF!,ROW()-1194+15)</f>
        <v>#REF!</v>
      </c>
      <c r="I1275" s="23" t="e">
        <f>_xlfn.XLOOKUP(H1275,#REF!,#REF!,"",0,1)</f>
        <v>#REF!</v>
      </c>
      <c r="J1275" s="23" t="str">
        <f>IFERROR(I1275*#REF!,"")</f>
        <v/>
      </c>
      <c r="K1275" s="23" t="e" cm="1">
        <f t="array" ref="K1275">INDEX('GLOBAL LOG'!#REF!,ROW()-1194+15)</f>
        <v>#REF!</v>
      </c>
      <c r="L1275" s="23" t="e">
        <f>_xlfn.XLOOKUP(K1275,#REF!,#REF!,"",0,1)</f>
        <v>#REF!</v>
      </c>
      <c r="M1275" s="23" t="str">
        <f>IFERROR(L1275*#REF!,"")</f>
        <v/>
      </c>
      <c r="N1275" s="23">
        <f>IFERROR((D1275-#REF!)/#REF!*COUNT!J1275*COUNT!M1275,0)</f>
        <v>0</v>
      </c>
      <c r="O1275" s="23">
        <f>IFERROR((E1275-#REF!)/#REF!*COUNT!J1275*COUNT!M1275,0)</f>
        <v>0</v>
      </c>
      <c r="P1275" s="23">
        <f>IFERROR((F1275-#REF!)/#REF!*COUNT!J1275*COUNT!M1275,0)</f>
        <v>0</v>
      </c>
      <c r="Q1275" s="23">
        <f>IFERROR((G1275-#REF!)/#REF!*COUNT!J1275*COUNT!M1275,0)</f>
        <v>0</v>
      </c>
      <c r="R1275"/>
      <c r="S1275" s="1" t="str">
        <v>ITA SPE#4 Pull-forward</v>
      </c>
      <c r="T1275" s="24">
        <v>0</v>
      </c>
      <c r="U1275"/>
      <c r="V1275" s="1" t="str">
        <v>ITA SPE#4 Pull-forward</v>
      </c>
      <c r="W1275" s="24">
        <v>0</v>
      </c>
      <c r="X1275"/>
      <c r="Y1275" s="1" t="str">
        <v>ITA SPE#4 Pull-forward</v>
      </c>
      <c r="Z1275" s="24">
        <v>0</v>
      </c>
      <c r="AA1275"/>
      <c r="AB1275" s="1" t="str">
        <v>ITA SPE#4 Pull-forward</v>
      </c>
      <c r="AC1275" s="24">
        <v>0</v>
      </c>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c r="CA1275"/>
      <c r="CB1275"/>
      <c r="CC1275"/>
      <c r="CD1275"/>
      <c r="CE1275"/>
      <c r="CF1275"/>
      <c r="CG1275"/>
      <c r="CH1275"/>
      <c r="CI1275"/>
      <c r="CJ1275"/>
      <c r="CK1275"/>
      <c r="CL1275"/>
      <c r="CM1275"/>
      <c r="CN1275"/>
      <c r="CO1275"/>
      <c r="CP1275"/>
      <c r="CQ1275"/>
      <c r="CR1275"/>
      <c r="CS1275"/>
    </row>
    <row r="1276" spans="2:97">
      <c r="B1276"/>
      <c r="C1276" s="15" t="str">
        <v>ITA ITA integration into GEM (+ additional aircraft)</v>
      </c>
      <c r="D1276" s="23"/>
      <c r="E1276" s="23">
        <v>0</v>
      </c>
      <c r="F1276" s="23">
        <v>0</v>
      </c>
      <c r="G1276" s="23">
        <f t="shared" si="94"/>
        <v>0</v>
      </c>
      <c r="H1276" s="23" t="e" cm="1">
        <f t="array" ref="H1276">INDEX('GLOBAL LOG'!#REF!,ROW()-1194+15)</f>
        <v>#REF!</v>
      </c>
      <c r="I1276" s="23" t="e">
        <f>_xlfn.XLOOKUP(H1276,#REF!,#REF!,"",0,1)</f>
        <v>#REF!</v>
      </c>
      <c r="J1276" s="23" t="str">
        <f>IFERROR(I1276*#REF!,"")</f>
        <v/>
      </c>
      <c r="K1276" s="23" t="e" cm="1">
        <f t="array" ref="K1276">INDEX('GLOBAL LOG'!#REF!,ROW()-1194+15)</f>
        <v>#REF!</v>
      </c>
      <c r="L1276" s="23" t="e">
        <f>_xlfn.XLOOKUP(K1276,#REF!,#REF!,"",0,1)</f>
        <v>#REF!</v>
      </c>
      <c r="M1276" s="23" t="str">
        <f>IFERROR(L1276*#REF!,"")</f>
        <v/>
      </c>
      <c r="N1276" s="23">
        <f>IFERROR((D1276-#REF!)/#REF!*COUNT!J1276*COUNT!M1276,0)</f>
        <v>0</v>
      </c>
      <c r="O1276" s="23">
        <f>IFERROR((E1276-#REF!)/#REF!*COUNT!J1276*COUNT!M1276,0)</f>
        <v>0</v>
      </c>
      <c r="P1276" s="23">
        <f>IFERROR((F1276-#REF!)/#REF!*COUNT!J1276*COUNT!M1276,0)</f>
        <v>0</v>
      </c>
      <c r="Q1276" s="23">
        <f>IFERROR((G1276-#REF!)/#REF!*COUNT!J1276*COUNT!M1276,0)</f>
        <v>0</v>
      </c>
      <c r="R1276"/>
      <c r="S1276" s="1" t="str">
        <v>ITA ITA integration into GEM (+ additional aircraft)</v>
      </c>
      <c r="T1276" s="24">
        <v>0</v>
      </c>
      <c r="U1276"/>
      <c r="V1276" s="1" t="str">
        <v>ITA ITA integration into GEM (+ additional aircraft)</v>
      </c>
      <c r="W1276" s="24">
        <v>0</v>
      </c>
      <c r="X1276"/>
      <c r="Y1276" s="1" t="str">
        <v>ITA ITA integration into GEM (+ additional aircraft)</v>
      </c>
      <c r="Z1276" s="24">
        <v>0</v>
      </c>
      <c r="AA1276"/>
      <c r="AB1276" s="1" t="str">
        <v>ITA ITA integration into GEM (+ additional aircraft)</v>
      </c>
      <c r="AC1276" s="24">
        <v>0</v>
      </c>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c r="CA1276"/>
      <c r="CB1276"/>
      <c r="CC1276"/>
      <c r="CD1276"/>
      <c r="CE1276"/>
      <c r="CF1276"/>
      <c r="CG1276"/>
      <c r="CH1276"/>
      <c r="CI1276"/>
      <c r="CJ1276"/>
      <c r="CK1276"/>
      <c r="CL1276"/>
      <c r="CM1276"/>
      <c r="CN1276"/>
      <c r="CO1276"/>
      <c r="CP1276"/>
      <c r="CQ1276"/>
      <c r="CR1276"/>
      <c r="CS1276"/>
    </row>
    <row r="1277" spans="2:97">
      <c r="B1277"/>
      <c r="C1277" s="15" t="str">
        <v>British Airways Restructure nacelle factor calculations to simplify covered services rate calculations and resulting recons</v>
      </c>
      <c r="D1277" s="23"/>
      <c r="E1277" s="23">
        <v>0</v>
      </c>
      <c r="F1277" s="23">
        <v>0</v>
      </c>
      <c r="G1277" s="23">
        <f t="shared" si="94"/>
        <v>0</v>
      </c>
      <c r="H1277" s="23" t="e" cm="1">
        <f t="array" ref="H1277">INDEX('GLOBAL LOG'!#REF!,ROW()-1194+15)</f>
        <v>#REF!</v>
      </c>
      <c r="I1277" s="23" t="e">
        <f>_xlfn.XLOOKUP(H1277,#REF!,#REF!,"",0,1)</f>
        <v>#REF!</v>
      </c>
      <c r="J1277" s="23" t="str">
        <f>IFERROR(I1277*#REF!,"")</f>
        <v/>
      </c>
      <c r="K1277" s="23" t="e" cm="1">
        <f t="array" ref="K1277">INDEX('GLOBAL LOG'!#REF!,ROW()-1194+15)</f>
        <v>#REF!</v>
      </c>
      <c r="L1277" s="23" t="e">
        <f>_xlfn.XLOOKUP(K1277,#REF!,#REF!,"",0,1)</f>
        <v>#REF!</v>
      </c>
      <c r="M1277" s="23" t="str">
        <f>IFERROR(L1277*#REF!,"")</f>
        <v/>
      </c>
      <c r="N1277" s="23">
        <f>IFERROR((D1277-#REF!)/#REF!*COUNT!J1277*COUNT!M1277,0)</f>
        <v>0</v>
      </c>
      <c r="O1277" s="23">
        <f>IFERROR((E1277-#REF!)/#REF!*COUNT!J1277*COUNT!M1277,0)</f>
        <v>0</v>
      </c>
      <c r="P1277" s="23">
        <f>IFERROR((F1277-#REF!)/#REF!*COUNT!J1277*COUNT!M1277,0)</f>
        <v>0</v>
      </c>
      <c r="Q1277" s="23">
        <f>IFERROR((G1277-#REF!)/#REF!*COUNT!J1277*COUNT!M1277,0)</f>
        <v>0</v>
      </c>
      <c r="R1277"/>
      <c r="S1277" s="1" t="str">
        <v>British Airways Restructure nacelle factor calculations to simplify covered services rate calculations and resulting recons</v>
      </c>
      <c r="T1277" s="24">
        <v>0</v>
      </c>
      <c r="U1277"/>
      <c r="V1277" s="1" t="str">
        <v>British Airways Restructure nacelle factor calculations to simplify covered services rate calculations and resulting recons</v>
      </c>
      <c r="W1277" s="24">
        <v>0</v>
      </c>
      <c r="X1277"/>
      <c r="Y1277" s="1" t="str">
        <v>British Airways Restructure nacelle factor calculations to simplify covered services rate calculations and resulting recons</v>
      </c>
      <c r="Z1277" s="24">
        <v>0</v>
      </c>
      <c r="AA1277"/>
      <c r="AB1277" s="1" t="str">
        <v>British Airways Restructure nacelle factor calculations to simplify covered services rate calculations and resulting recons</v>
      </c>
      <c r="AC1277" s="24">
        <v>0</v>
      </c>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c r="CA1277"/>
      <c r="CB1277"/>
      <c r="CC1277"/>
      <c r="CD1277"/>
      <c r="CE1277"/>
      <c r="CF1277"/>
      <c r="CG1277"/>
      <c r="CH1277"/>
      <c r="CI1277"/>
      <c r="CJ1277"/>
      <c r="CK1277"/>
      <c r="CL1277"/>
      <c r="CM1277"/>
      <c r="CN1277"/>
      <c r="CO1277"/>
      <c r="CP1277"/>
      <c r="CQ1277"/>
      <c r="CR1277"/>
      <c r="CS1277"/>
    </row>
    <row r="1278" spans="2:97">
      <c r="B1278"/>
      <c r="C1278" s="15" t="str">
        <v>Virgin Atlantic Airways Sell of an incremental used Spare engine to mitigate Contractual risk associated with Additional Dedicated Lease Engine clause</v>
      </c>
      <c r="D1278" s="23"/>
      <c r="E1278" s="23">
        <v>0</v>
      </c>
      <c r="F1278" s="23">
        <v>0</v>
      </c>
      <c r="G1278" s="23">
        <f t="shared" si="94"/>
        <v>0</v>
      </c>
      <c r="H1278" s="23" t="e" cm="1">
        <f t="array" ref="H1278">INDEX('GLOBAL LOG'!#REF!,ROW()-1194+15)</f>
        <v>#REF!</v>
      </c>
      <c r="I1278" s="23" t="e">
        <f>_xlfn.XLOOKUP(H1278,#REF!,#REF!,"",0,1)</f>
        <v>#REF!</v>
      </c>
      <c r="J1278" s="23" t="str">
        <f>IFERROR(I1278*#REF!,"")</f>
        <v/>
      </c>
      <c r="K1278" s="23" t="e" cm="1">
        <f t="array" ref="K1278">INDEX('GLOBAL LOG'!#REF!,ROW()-1194+15)</f>
        <v>#REF!</v>
      </c>
      <c r="L1278" s="23" t="e">
        <f>_xlfn.XLOOKUP(K1278,#REF!,#REF!,"",0,1)</f>
        <v>#REF!</v>
      </c>
      <c r="M1278" s="23" t="str">
        <f>IFERROR(L1278*#REF!,"")</f>
        <v/>
      </c>
      <c r="N1278" s="23">
        <f>IFERROR((D1278-#REF!)/#REF!*COUNT!J1278*COUNT!M1278,0)</f>
        <v>0</v>
      </c>
      <c r="O1278" s="23">
        <f>IFERROR((E1278-#REF!)/#REF!*COUNT!J1278*COUNT!M1278,0)</f>
        <v>0</v>
      </c>
      <c r="P1278" s="23">
        <f>IFERROR((F1278-#REF!)/#REF!*COUNT!J1278*COUNT!M1278,0)</f>
        <v>0</v>
      </c>
      <c r="Q1278" s="23">
        <f>IFERROR((G1278-#REF!)/#REF!*COUNT!J1278*COUNT!M1278,0)</f>
        <v>0</v>
      </c>
      <c r="R1278"/>
      <c r="S1278" s="1" t="str">
        <v>Virgin Atlantic Airways Sell of an incremental used Spare engine to mitigate Contractual risk associated with Additional Dedicated Lease Engine clause</v>
      </c>
      <c r="T1278" s="24">
        <v>0</v>
      </c>
      <c r="U1278"/>
      <c r="V1278" s="1" t="str">
        <v>Virgin Atlantic Airways Sell of an incremental used Spare engine to mitigate Contractual risk associated with Additional Dedicated Lease Engine clause</v>
      </c>
      <c r="W1278" s="24">
        <v>0</v>
      </c>
      <c r="X1278"/>
      <c r="Y1278" s="1" t="str">
        <v>Virgin Atlantic Airways Sell of an incremental used Spare engine to mitigate Contractual risk associated with Additional Dedicated Lease Engine clause</v>
      </c>
      <c r="Z1278" s="24">
        <v>0</v>
      </c>
      <c r="AA1278"/>
      <c r="AB1278" s="1" t="str">
        <v>Virgin Atlantic Airways Sell of an incremental used Spare engine to mitigate Contractual risk associated with Additional Dedicated Lease Engine clause</v>
      </c>
      <c r="AC1278" s="24">
        <v>0</v>
      </c>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c r="CA1278"/>
      <c r="CB1278"/>
      <c r="CC1278"/>
      <c r="CD1278"/>
      <c r="CE1278"/>
      <c r="CF1278"/>
      <c r="CG1278"/>
      <c r="CH1278"/>
      <c r="CI1278"/>
      <c r="CJ1278"/>
      <c r="CK1278"/>
      <c r="CL1278"/>
      <c r="CM1278"/>
      <c r="CN1278"/>
      <c r="CO1278"/>
      <c r="CP1278"/>
      <c r="CQ1278"/>
      <c r="CR1278"/>
      <c r="CS1278"/>
    </row>
    <row r="1279" spans="2:97">
      <c r="B1279"/>
      <c r="C1279" s="15" t="str">
        <v>Delta Air Lines additional SPE sales to increase SPE holding</v>
      </c>
      <c r="D1279" s="23"/>
      <c r="E1279" s="23">
        <v>0</v>
      </c>
      <c r="F1279" s="23">
        <v>0</v>
      </c>
      <c r="G1279" s="23">
        <f t="shared" si="94"/>
        <v>0</v>
      </c>
      <c r="H1279" s="23" t="e" cm="1">
        <f t="array" ref="H1279">INDEX('GLOBAL LOG'!#REF!,ROW()-1194+15)</f>
        <v>#REF!</v>
      </c>
      <c r="I1279" s="23" t="e">
        <f>_xlfn.XLOOKUP(H1279,#REF!,#REF!,"",0,1)</f>
        <v>#REF!</v>
      </c>
      <c r="J1279" s="23" t="str">
        <f>IFERROR(I1279*#REF!,"")</f>
        <v/>
      </c>
      <c r="K1279" s="23" t="e" cm="1">
        <f t="array" ref="K1279">INDEX('GLOBAL LOG'!#REF!,ROW()-1194+15)</f>
        <v>#REF!</v>
      </c>
      <c r="L1279" s="23" t="e">
        <f>_xlfn.XLOOKUP(K1279,#REF!,#REF!,"",0,1)</f>
        <v>#REF!</v>
      </c>
      <c r="M1279" s="23" t="str">
        <f>IFERROR(L1279*#REF!,"")</f>
        <v/>
      </c>
      <c r="N1279" s="23">
        <f>IFERROR((D1279-#REF!)/#REF!*COUNT!J1279*COUNT!M1279,0)</f>
        <v>0</v>
      </c>
      <c r="O1279" s="23">
        <f>IFERROR((E1279-#REF!)/#REF!*COUNT!J1279*COUNT!M1279,0)</f>
        <v>0</v>
      </c>
      <c r="P1279" s="23">
        <f>IFERROR((F1279-#REF!)/#REF!*COUNT!J1279*COUNT!M1279,0)</f>
        <v>0</v>
      </c>
      <c r="Q1279" s="23">
        <f>IFERROR((G1279-#REF!)/#REF!*COUNT!J1279*COUNT!M1279,0)</f>
        <v>0</v>
      </c>
      <c r="R1279"/>
      <c r="S1279" s="1" t="str">
        <v>Delta Air Lines additional SPE sales to increase SPE holding</v>
      </c>
      <c r="T1279" s="24">
        <v>0</v>
      </c>
      <c r="U1279"/>
      <c r="V1279" s="1" t="str">
        <v>Delta Air Lines additional SPE sales to increase SPE holding</v>
      </c>
      <c r="W1279" s="24">
        <v>0</v>
      </c>
      <c r="X1279"/>
      <c r="Y1279" s="1" t="str">
        <v>Delta Air Lines additional SPE sales to increase SPE holding</v>
      </c>
      <c r="Z1279" s="24">
        <v>0</v>
      </c>
      <c r="AA1279"/>
      <c r="AB1279" s="1" t="str">
        <v>Delta Air Lines additional SPE sales to increase SPE holding</v>
      </c>
      <c r="AC1279" s="24">
        <v>0</v>
      </c>
      <c r="AD1279"/>
      <c r="AE1279"/>
      <c r="AF1279"/>
      <c r="AG1279"/>
      <c r="AH1279"/>
      <c r="AI1279"/>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c r="CA1279"/>
      <c r="CB1279"/>
      <c r="CC1279"/>
      <c r="CD1279"/>
      <c r="CE1279"/>
      <c r="CF1279"/>
      <c r="CG1279"/>
      <c r="CH1279"/>
      <c r="CI1279"/>
      <c r="CJ1279"/>
      <c r="CK1279"/>
      <c r="CL1279"/>
      <c r="CM1279"/>
      <c r="CN1279"/>
      <c r="CO1279"/>
      <c r="CP1279"/>
      <c r="CQ1279"/>
      <c r="CR1279"/>
      <c r="CS1279"/>
    </row>
    <row r="1280" spans="2:97">
      <c r="B1280"/>
      <c r="C1280" s="1" t="str">
        <v>Delta Air Lines extending to next SV after 20 years, rather then 15 years (in aligment with other engine types)</v>
      </c>
      <c r="D1280" s="1"/>
      <c r="E1280" s="1">
        <v>0</v>
      </c>
      <c r="F1280" s="1">
        <v>0</v>
      </c>
      <c r="G1280" s="1"/>
      <c r="H1280" s="1"/>
      <c r="I1280" s="1"/>
      <c r="J1280" s="1"/>
      <c r="K1280" s="1"/>
      <c r="L1280" s="1"/>
      <c r="M1280" s="1"/>
      <c r="N1280" s="1"/>
      <c r="O1280" s="1"/>
      <c r="P1280" s="1"/>
      <c r="Q1280" s="1"/>
      <c r="R1280"/>
      <c r="S1280" s="1"/>
      <c r="T1280" s="24"/>
      <c r="U1280"/>
      <c r="V1280" s="1"/>
      <c r="W1280" s="24"/>
      <c r="X1280"/>
      <c r="Y1280" s="1"/>
      <c r="Z1280" s="24"/>
      <c r="AA1280"/>
      <c r="AB1280" s="1"/>
      <c r="AC1280" s="24"/>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c r="CA1280"/>
      <c r="CB1280"/>
      <c r="CC1280"/>
      <c r="CD1280"/>
      <c r="CE1280"/>
      <c r="CF1280"/>
      <c r="CG1280"/>
      <c r="CH1280"/>
      <c r="CI1280"/>
      <c r="CJ1280"/>
      <c r="CK1280"/>
      <c r="CL1280"/>
      <c r="CM1280"/>
      <c r="CN1280"/>
      <c r="CO1280"/>
      <c r="CP1280"/>
      <c r="CQ1280"/>
      <c r="CR1280"/>
      <c r="CS1280"/>
    </row>
    <row r="1281" spans="2:97">
      <c r="B1281"/>
      <c r="C1281" s="1" t="str">
        <v>Philippine Airlines Contract amendment if new AC campaign</v>
      </c>
      <c r="D1281" s="1"/>
      <c r="E1281" s="1">
        <v>0</v>
      </c>
      <c r="F1281" s="1">
        <v>0</v>
      </c>
      <c r="G1281" s="1"/>
      <c r="H1281" s="1"/>
      <c r="I1281" s="1"/>
      <c r="J1281" s="1"/>
      <c r="K1281" s="1"/>
      <c r="L1281" s="1"/>
      <c r="M1281" s="1"/>
      <c r="N1281" s="1"/>
      <c r="O1281" s="1"/>
      <c r="P1281" s="1"/>
      <c r="Q1281" s="1"/>
      <c r="R1281"/>
      <c r="S1281" s="1"/>
      <c r="T1281" s="24"/>
      <c r="U1281"/>
      <c r="V1281" s="1"/>
      <c r="W1281" s="24"/>
      <c r="X1281"/>
      <c r="Y1281" s="1"/>
      <c r="Z1281" s="24"/>
      <c r="AA1281"/>
      <c r="AB1281" s="1"/>
      <c r="AC1281" s="24"/>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c r="CA1281"/>
      <c r="CB1281"/>
      <c r="CC1281"/>
      <c r="CD1281"/>
      <c r="CE1281"/>
      <c r="CF1281"/>
      <c r="CG1281"/>
      <c r="CH1281"/>
      <c r="CI1281"/>
      <c r="CJ1281"/>
      <c r="CK1281"/>
      <c r="CL1281"/>
      <c r="CM1281"/>
      <c r="CN1281"/>
      <c r="CO1281"/>
      <c r="CP1281"/>
      <c r="CQ1281"/>
      <c r="CR1281"/>
      <c r="CS1281"/>
    </row>
    <row r="1282" spans="2:97">
      <c r="B1282"/>
      <c r="C1282" s="1" t="str">
        <v xml:space="preserve">Philippine Airlines Contract amendment if new AC campaign </v>
      </c>
      <c r="D1282" s="1"/>
      <c r="E1282" s="1">
        <v>0</v>
      </c>
      <c r="F1282" s="1">
        <v>0</v>
      </c>
      <c r="G1282" s="1"/>
      <c r="H1282" s="1"/>
      <c r="I1282" s="1"/>
      <c r="J1282" s="1"/>
      <c r="K1282" s="1"/>
      <c r="L1282" s="1"/>
      <c r="M1282" s="1"/>
      <c r="N1282" s="1"/>
      <c r="O1282" s="1"/>
      <c r="P1282" s="1"/>
      <c r="Q1282" s="1"/>
      <c r="R1282"/>
      <c r="S1282" s="1"/>
      <c r="T1282" s="24"/>
      <c r="U1282"/>
      <c r="V1282" s="1"/>
      <c r="W1282" s="24"/>
      <c r="X1282"/>
      <c r="Y1282" s="1"/>
      <c r="Z1282" s="24"/>
      <c r="AA1282"/>
      <c r="AB1282" s="1"/>
      <c r="AC1282" s="24"/>
      <c r="AD1282"/>
      <c r="AE1282"/>
      <c r="AF1282"/>
      <c r="AG1282"/>
      <c r="AH1282"/>
      <c r="AI1282"/>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c r="CA1282"/>
      <c r="CB1282"/>
      <c r="CC1282"/>
      <c r="CD1282"/>
      <c r="CE1282"/>
      <c r="CF1282"/>
      <c r="CG1282"/>
      <c r="CH1282"/>
      <c r="CI1282"/>
      <c r="CJ1282"/>
      <c r="CK1282"/>
      <c r="CL1282"/>
      <c r="CM1282"/>
      <c r="CN1282"/>
      <c r="CO1282"/>
      <c r="CP1282"/>
      <c r="CQ1282"/>
      <c r="CR1282"/>
      <c r="CS1282"/>
    </row>
    <row r="1283" spans="2:97">
      <c r="B1283"/>
      <c r="C1283" s="1" t="str">
        <v>Singapore Airlines Batch 2 restrucuture could be in scope - after T1000 onerous negotiaion</v>
      </c>
      <c r="D1283" s="1"/>
      <c r="E1283" s="1">
        <v>0</v>
      </c>
      <c r="F1283" s="1">
        <v>0</v>
      </c>
      <c r="G1283" s="1"/>
      <c r="H1283" s="1"/>
      <c r="I1283" s="1"/>
      <c r="J1283" s="1"/>
      <c r="K1283" s="1"/>
      <c r="L1283" s="1"/>
      <c r="M1283" s="1"/>
      <c r="N1283" s="1"/>
      <c r="O1283" s="1"/>
      <c r="P1283" s="1"/>
      <c r="Q1283" s="1"/>
      <c r="R1283"/>
      <c r="S1283" s="1"/>
      <c r="T1283" s="24"/>
      <c r="U1283"/>
      <c r="V1283" s="1"/>
      <c r="W1283" s="24"/>
      <c r="X1283"/>
      <c r="Y1283" s="1"/>
      <c r="Z1283" s="24"/>
      <c r="AA1283"/>
      <c r="AB1283" s="1"/>
      <c r="AC1283" s="24"/>
      <c r="AD1283"/>
      <c r="AE1283"/>
      <c r="AF1283"/>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c r="CA1283"/>
      <c r="CB1283"/>
      <c r="CC1283"/>
      <c r="CD1283"/>
      <c r="CE1283"/>
      <c r="CF1283"/>
      <c r="CG1283"/>
      <c r="CH1283"/>
      <c r="CI1283"/>
      <c r="CJ1283"/>
      <c r="CK1283"/>
      <c r="CL1283"/>
      <c r="CM1283"/>
      <c r="CN1283"/>
      <c r="CO1283"/>
      <c r="CP1283"/>
      <c r="CQ1283"/>
      <c r="CR1283"/>
      <c r="CS1283"/>
    </row>
    <row r="1284" spans="2:97">
      <c r="B1284"/>
      <c r="C1284" s="1" t="str">
        <v>Vietnam Airlines Part 2: Min Term Extension</v>
      </c>
      <c r="D1284" s="1"/>
      <c r="E1284" s="1">
        <v>0</v>
      </c>
      <c r="F1284" s="1">
        <v>0</v>
      </c>
      <c r="G1284" s="1"/>
      <c r="H1284" s="1"/>
      <c r="I1284" s="1"/>
      <c r="J1284" s="1"/>
      <c r="K1284" s="1"/>
      <c r="L1284" s="1"/>
      <c r="M1284" s="1"/>
      <c r="N1284" s="1"/>
      <c r="O1284" s="1"/>
      <c r="P1284" s="1"/>
      <c r="Q1284" s="1"/>
      <c r="R1284"/>
      <c r="S1284" s="1"/>
      <c r="T1284" s="24"/>
      <c r="U1284"/>
      <c r="V1284" s="1"/>
      <c r="W1284" s="24"/>
      <c r="X1284"/>
      <c r="Y1284" s="1"/>
      <c r="Z1284" s="24"/>
      <c r="AA1284"/>
      <c r="AB1284" s="1"/>
      <c r="AC1284" s="2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c r="CA1284"/>
      <c r="CB1284"/>
      <c r="CC1284"/>
      <c r="CD1284"/>
      <c r="CE1284"/>
      <c r="CF1284"/>
      <c r="CG1284"/>
      <c r="CH1284"/>
      <c r="CI1284"/>
      <c r="CJ1284"/>
      <c r="CK1284"/>
      <c r="CL1284"/>
      <c r="CM1284"/>
      <c r="CN1284"/>
      <c r="CO1284"/>
      <c r="CP1284"/>
      <c r="CQ1284"/>
      <c r="CR1284"/>
      <c r="CS1284"/>
    </row>
    <row r="1285" spans="2:97">
      <c r="B1285"/>
      <c r="C1285" s="1" t="str">
        <v xml:space="preserve">Japan Airlines SPE #1 - benefit to CRP </v>
      </c>
      <c r="D1285" s="1"/>
      <c r="E1285" s="1">
        <v>0</v>
      </c>
      <c r="F1285" s="1">
        <v>0</v>
      </c>
      <c r="G1285" s="1"/>
      <c r="H1285" s="1"/>
      <c r="I1285" s="1"/>
      <c r="J1285" s="1"/>
      <c r="K1285" s="1"/>
      <c r="L1285" s="1"/>
      <c r="M1285" s="1"/>
      <c r="N1285" s="1"/>
      <c r="O1285" s="1"/>
      <c r="P1285" s="1"/>
      <c r="Q1285" s="1"/>
      <c r="R1285"/>
      <c r="S1285" s="1"/>
      <c r="T1285" s="24"/>
      <c r="U1285"/>
      <c r="V1285" s="1"/>
      <c r="W1285" s="24"/>
      <c r="X1285"/>
      <c r="Y1285" s="1"/>
      <c r="Z1285" s="24"/>
      <c r="AA1285"/>
      <c r="AB1285" s="1"/>
      <c r="AC1285" s="24"/>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c r="CA1285"/>
      <c r="CB1285"/>
      <c r="CC1285"/>
      <c r="CD1285"/>
      <c r="CE1285"/>
      <c r="CF1285"/>
      <c r="CG1285"/>
      <c r="CH1285"/>
      <c r="CI1285"/>
      <c r="CJ1285"/>
      <c r="CK1285"/>
      <c r="CL1285"/>
      <c r="CM1285"/>
      <c r="CN1285"/>
      <c r="CO1285"/>
      <c r="CP1285"/>
      <c r="CQ1285"/>
      <c r="CR1285"/>
      <c r="CS1285"/>
    </row>
    <row r="1286" spans="2:97">
      <c r="B1286"/>
      <c r="C1286" s="1" t="str">
        <v>Japan Airlines SPE #2 - would be in trade for SL2 and net neutral benefit</v>
      </c>
      <c r="D1286" s="1"/>
      <c r="E1286" s="1">
        <v>0</v>
      </c>
      <c r="F1286" s="1">
        <v>0</v>
      </c>
      <c r="G1286" s="1"/>
      <c r="H1286" s="1"/>
      <c r="I1286" s="1"/>
      <c r="J1286" s="1"/>
      <c r="K1286" s="1"/>
      <c r="L1286" s="1"/>
      <c r="M1286" s="1"/>
      <c r="N1286" s="1"/>
      <c r="O1286" s="1"/>
      <c r="P1286" s="1"/>
      <c r="Q1286" s="1"/>
      <c r="R1286"/>
      <c r="S1286" s="1"/>
      <c r="T1286" s="24"/>
      <c r="U1286"/>
      <c r="V1286" s="1"/>
      <c r="W1286" s="24"/>
      <c r="X1286"/>
      <c r="Y1286" s="1"/>
      <c r="Z1286" s="24"/>
      <c r="AA1286"/>
      <c r="AB1286" s="1"/>
      <c r="AC1286" s="24"/>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c r="CA1286"/>
      <c r="CB1286"/>
      <c r="CC1286"/>
      <c r="CD1286"/>
      <c r="CE1286"/>
      <c r="CF1286"/>
      <c r="CG1286"/>
      <c r="CH1286"/>
      <c r="CI1286"/>
      <c r="CJ1286"/>
      <c r="CK1286"/>
      <c r="CL1286"/>
      <c r="CM1286"/>
      <c r="CN1286"/>
      <c r="CO1286"/>
      <c r="CP1286"/>
      <c r="CQ1286"/>
      <c r="CR1286"/>
      <c r="CS1286"/>
    </row>
    <row r="1287" spans="2:97">
      <c r="B1287"/>
      <c r="C1287" s="1" t="str">
        <v>Japan Airlines 7 yr extension of existing contract  (included as option in contract) - Looks like double count vs above row 59</v>
      </c>
      <c r="D1287" s="1"/>
      <c r="E1287" s="1">
        <v>3.2</v>
      </c>
      <c r="F1287" s="1" t="str">
        <v>Harry to confirm</v>
      </c>
      <c r="G1287" s="1"/>
      <c r="H1287" s="1"/>
      <c r="I1287" s="1"/>
      <c r="J1287" s="1"/>
      <c r="K1287" s="1"/>
      <c r="L1287" s="1"/>
      <c r="M1287" s="1"/>
      <c r="N1287" s="1"/>
      <c r="O1287" s="1"/>
      <c r="P1287" s="1"/>
      <c r="Q1287" s="1"/>
      <c r="R1287"/>
      <c r="S1287" s="1"/>
      <c r="T1287" s="24"/>
      <c r="U1287"/>
      <c r="V1287" s="1"/>
      <c r="W1287" s="24"/>
      <c r="X1287"/>
      <c r="Y1287" s="1"/>
      <c r="Z1287" s="24"/>
      <c r="AA1287"/>
      <c r="AB1287" s="1"/>
      <c r="AC1287" s="24"/>
      <c r="AD1287"/>
      <c r="AE1287"/>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c r="CA1287"/>
      <c r="CB1287"/>
      <c r="CC1287"/>
      <c r="CD1287"/>
      <c r="CE1287"/>
      <c r="CF1287"/>
      <c r="CG1287"/>
      <c r="CH1287"/>
      <c r="CI1287"/>
      <c r="CJ1287"/>
      <c r="CK1287"/>
      <c r="CL1287"/>
      <c r="CM1287"/>
      <c r="CN1287"/>
      <c r="CO1287"/>
      <c r="CP1287"/>
      <c r="CQ1287"/>
      <c r="CR1287"/>
      <c r="CS1287"/>
    </row>
    <row r="1288" spans="2:97">
      <c r="B1288"/>
      <c r="C1288" s="1" t="str">
        <v>Air India Flexibility rights - value trade being considered as part of 2025 Campaign for 30+70</v>
      </c>
      <c r="D1288" s="1"/>
      <c r="E1288" s="1">
        <v>0</v>
      </c>
      <c r="F1288" s="1">
        <v>0</v>
      </c>
      <c r="G1288" s="1"/>
      <c r="H1288" s="1"/>
      <c r="I1288" s="1"/>
      <c r="J1288" s="1"/>
      <c r="K1288" s="1"/>
      <c r="L1288" s="1"/>
      <c r="M1288" s="1"/>
      <c r="N1288" s="1"/>
      <c r="O1288" s="1"/>
      <c r="P1288" s="1"/>
      <c r="Q1288" s="1"/>
      <c r="R1288"/>
      <c r="S1288" s="1"/>
      <c r="T1288" s="24"/>
      <c r="U1288"/>
      <c r="V1288" s="1"/>
      <c r="W1288" s="24"/>
      <c r="X1288"/>
      <c r="Y1288" s="1"/>
      <c r="Z1288" s="24"/>
      <c r="AA1288"/>
      <c r="AB1288" s="1"/>
      <c r="AC1288" s="24"/>
      <c r="AD1288"/>
      <c r="AE1288"/>
      <c r="AF1288"/>
      <c r="AG1288"/>
      <c r="AH1288"/>
      <c r="AI1288"/>
      <c r="AJ1288"/>
      <c r="AK1288"/>
      <c r="AL1288"/>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c r="CA1288"/>
      <c r="CB1288"/>
      <c r="CC1288"/>
      <c r="CD1288"/>
      <c r="CE1288"/>
      <c r="CF1288"/>
      <c r="CG1288"/>
      <c r="CH1288"/>
      <c r="CI1288"/>
      <c r="CJ1288"/>
      <c r="CK1288"/>
      <c r="CL1288"/>
      <c r="CM1288"/>
      <c r="CN1288"/>
      <c r="CO1288"/>
      <c r="CP1288"/>
      <c r="CQ1288"/>
      <c r="CR1288"/>
      <c r="CS1288"/>
    </row>
    <row r="1289" spans="2:97">
      <c r="B1289"/>
      <c r="C1289" s="1" t="str">
        <v>Air India £500m credit back held on CRP and is not "real" due to credit back clause. a min term extension or end at next SV would resolve this.</v>
      </c>
      <c r="D1289" s="1"/>
      <c r="E1289" s="1">
        <v>0</v>
      </c>
      <c r="F1289" s="1">
        <v>0</v>
      </c>
      <c r="G1289" s="1"/>
      <c r="H1289" s="1"/>
      <c r="I1289" s="1"/>
      <c r="J1289" s="1"/>
      <c r="K1289" s="1"/>
      <c r="L1289" s="1"/>
      <c r="M1289" s="1"/>
      <c r="N1289" s="1"/>
      <c r="O1289" s="1"/>
      <c r="P1289" s="1"/>
      <c r="Q1289" s="1"/>
      <c r="R1289"/>
      <c r="S1289" s="1"/>
      <c r="T1289" s="24"/>
      <c r="U1289"/>
      <c r="V1289" s="1"/>
      <c r="W1289" s="24"/>
      <c r="X1289"/>
      <c r="Y1289" s="1"/>
      <c r="Z1289" s="24"/>
      <c r="AA1289"/>
      <c r="AB1289" s="1"/>
      <c r="AC1289" s="24"/>
      <c r="AD1289"/>
      <c r="AE1289"/>
      <c r="AF1289"/>
      <c r="AG1289"/>
      <c r="AH1289"/>
      <c r="AI1289"/>
      <c r="AJ1289"/>
      <c r="AK1289"/>
      <c r="AL1289"/>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c r="CA1289"/>
      <c r="CB1289"/>
      <c r="CC1289"/>
      <c r="CD1289"/>
      <c r="CE1289"/>
      <c r="CF1289"/>
      <c r="CG1289"/>
      <c r="CH1289"/>
      <c r="CI1289"/>
      <c r="CJ1289"/>
      <c r="CK1289"/>
      <c r="CL1289"/>
      <c r="CM1289"/>
      <c r="CN1289"/>
      <c r="CO1289"/>
      <c r="CP1289"/>
      <c r="CQ1289"/>
      <c r="CR1289"/>
      <c r="CS1289"/>
    </row>
    <row r="1290" spans="2:97">
      <c r="B1290"/>
      <c r="C1290" s="1" t="str">
        <v xml:space="preserve">SAS Group Potential Low probability opportunity to upsell LRU service as there has been some discussion with SAS on this. Lufthansa Technic incumbent LRU service supplier </v>
      </c>
      <c r="D1290" s="1"/>
      <c r="E1290" s="1">
        <v>0</v>
      </c>
      <c r="F1290" s="1">
        <v>0</v>
      </c>
      <c r="G1290" s="1"/>
      <c r="H1290" s="1"/>
      <c r="I1290" s="1"/>
      <c r="J1290" s="1"/>
      <c r="K1290" s="1"/>
      <c r="L1290" s="1"/>
      <c r="M1290" s="1"/>
      <c r="N1290" s="1"/>
      <c r="O1290" s="1"/>
      <c r="P1290" s="1"/>
      <c r="Q1290" s="1"/>
      <c r="R1290"/>
      <c r="S1290" s="1"/>
      <c r="T1290" s="24"/>
      <c r="U1290"/>
      <c r="V1290" s="1"/>
      <c r="W1290" s="24"/>
      <c r="X1290"/>
      <c r="Y1290" s="1"/>
      <c r="Z1290" s="24"/>
      <c r="AA1290"/>
      <c r="AB1290" s="1"/>
      <c r="AC1290" s="24"/>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c r="CA1290"/>
      <c r="CB1290"/>
      <c r="CC1290"/>
      <c r="CD1290"/>
      <c r="CE1290"/>
      <c r="CF1290"/>
      <c r="CG1290"/>
      <c r="CH1290"/>
      <c r="CI1290"/>
      <c r="CJ1290"/>
      <c r="CK1290"/>
      <c r="CL1290"/>
      <c r="CM1290"/>
      <c r="CN1290"/>
      <c r="CO1290"/>
      <c r="CP1290"/>
      <c r="CQ1290"/>
      <c r="CR1290"/>
      <c r="CS1290"/>
    </row>
    <row r="1291" spans="2:97">
      <c r="B1291"/>
      <c r="C1291" s="1" t="str">
        <v xml:space="preserve">China Airlines 4 March 2026: Transition of 3 AerCap leased aircraft from Sichuan to China Airlines with aircraft being purchased from AerCap.  Contract amendments signed at end Jan-26 to move from Sichuan Life TCA to existing China Airlines Life TCA with profit upside due to better margins on China Airlines CRP.   </v>
      </c>
      <c r="D1291" s="1"/>
      <c r="E1291" s="1">
        <v>0</v>
      </c>
      <c r="F1291" s="1">
        <v>0</v>
      </c>
      <c r="G1291" s="1"/>
      <c r="H1291" s="1"/>
      <c r="I1291" s="1"/>
      <c r="J1291" s="1"/>
      <c r="K1291" s="1"/>
      <c r="L1291" s="1"/>
      <c r="M1291" s="1"/>
      <c r="N1291" s="1"/>
      <c r="O1291" s="1"/>
      <c r="P1291" s="1"/>
      <c r="Q1291" s="1"/>
      <c r="R1291"/>
      <c r="S1291" s="1"/>
      <c r="T1291" s="24"/>
      <c r="U1291"/>
      <c r="V1291" s="1"/>
      <c r="W1291" s="24"/>
      <c r="X1291"/>
      <c r="Y1291" s="1"/>
      <c r="Z1291" s="24"/>
      <c r="AA1291"/>
      <c r="AB1291" s="1"/>
      <c r="AC1291" s="24"/>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c r="CA1291"/>
      <c r="CB1291"/>
      <c r="CC1291"/>
      <c r="CD1291"/>
      <c r="CE1291"/>
      <c r="CF1291"/>
      <c r="CG1291"/>
      <c r="CH1291"/>
      <c r="CI1291"/>
      <c r="CJ1291"/>
      <c r="CK1291"/>
      <c r="CL1291"/>
      <c r="CM1291"/>
      <c r="CN1291"/>
      <c r="CO1291"/>
      <c r="CP1291"/>
      <c r="CQ1291"/>
      <c r="CR1291"/>
      <c r="CS1291"/>
    </row>
    <row r="1292" spans="2:97">
      <c r="B1292"/>
      <c r="C1292" s="1" t="str">
        <v>China Airlines 4 March 2026: Following transition of 3 ex-Sichuan aircraft to China Airlines Life TCA (separate line item), given these aircraft have been purchased by China Airlines, there is a request/opprotunity to convert from Life TCA to Term TCA with potential to improve margin (albeit the existing deal is already good and so the improvement might be a challenge).</v>
      </c>
      <c r="D1292" s="1"/>
      <c r="E1292" s="1">
        <v>0</v>
      </c>
      <c r="F1292" s="1">
        <v>0</v>
      </c>
      <c r="G1292" s="1"/>
      <c r="H1292" s="1"/>
      <c r="I1292" s="1"/>
      <c r="J1292" s="1"/>
      <c r="K1292" s="1"/>
      <c r="L1292" s="1"/>
      <c r="M1292" s="1"/>
      <c r="N1292" s="1"/>
      <c r="O1292" s="1"/>
      <c r="P1292" s="1"/>
      <c r="Q1292" s="1"/>
      <c r="R1292"/>
      <c r="S1292" s="1"/>
      <c r="T1292" s="24"/>
      <c r="U1292"/>
      <c r="V1292" s="1"/>
      <c r="W1292" s="24"/>
      <c r="X1292"/>
      <c r="Y1292" s="1"/>
      <c r="Z1292" s="24"/>
      <c r="AA1292"/>
      <c r="AB1292" s="1"/>
      <c r="AC1292" s="24"/>
      <c r="AD1292"/>
      <c r="AE1292"/>
      <c r="AF1292"/>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c r="CA1292"/>
      <c r="CB1292"/>
      <c r="CC1292"/>
      <c r="CD1292"/>
      <c r="CE1292"/>
      <c r="CF1292"/>
      <c r="CG1292"/>
      <c r="CH1292"/>
      <c r="CI1292"/>
      <c r="CJ1292"/>
      <c r="CK1292"/>
      <c r="CL1292"/>
      <c r="CM1292"/>
      <c r="CN1292"/>
      <c r="CO1292"/>
      <c r="CP1292"/>
      <c r="CQ1292"/>
      <c r="CR1292"/>
      <c r="CS1292"/>
    </row>
    <row r="1293" spans="2:97">
      <c r="B1293"/>
      <c r="C1293" s="1" t="str">
        <v>China Southern 4 March 2026: Campaign started for TCA for China Southern's Block 2 fleet.  This presents an opportunity to pull forward spare engine delivery and potenitially sell additional spare engines to support the wider fleet.  Also potential to combine Block 2 into existing TCA.</v>
      </c>
      <c r="D1293" s="1"/>
      <c r="E1293" s="1">
        <v>0</v>
      </c>
      <c r="F1293" s="1">
        <v>0</v>
      </c>
      <c r="G1293" s="1"/>
      <c r="H1293" s="1"/>
      <c r="I1293" s="1"/>
      <c r="J1293" s="1"/>
      <c r="K1293" s="1"/>
      <c r="L1293" s="1"/>
      <c r="M1293" s="1"/>
      <c r="N1293" s="1"/>
      <c r="O1293" s="1"/>
      <c r="P1293" s="1"/>
      <c r="Q1293" s="1"/>
      <c r="R1293"/>
      <c r="S1293" s="1"/>
      <c r="T1293" s="24"/>
      <c r="U1293"/>
      <c r="V1293" s="1"/>
      <c r="W1293" s="24"/>
      <c r="X1293"/>
      <c r="Y1293" s="1"/>
      <c r="Z1293" s="24"/>
      <c r="AA1293"/>
      <c r="AB1293" s="1"/>
      <c r="AC1293" s="24"/>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c r="CA1293"/>
      <c r="CB1293"/>
      <c r="CC1293"/>
      <c r="CD1293"/>
      <c r="CE1293"/>
      <c r="CF1293"/>
      <c r="CG1293"/>
      <c r="CH1293"/>
      <c r="CI1293"/>
      <c r="CJ1293"/>
      <c r="CK1293"/>
      <c r="CL1293"/>
      <c r="CM1293"/>
      <c r="CN1293"/>
      <c r="CO1293"/>
      <c r="CP1293"/>
      <c r="CQ1293"/>
      <c r="CR1293"/>
      <c r="CS1293"/>
    </row>
    <row r="1294" spans="2:97">
      <c r="B1294"/>
      <c r="C1294" s="1" t="str">
        <v xml:space="preserve">China Eastern </v>
      </c>
      <c r="D1294" s="1"/>
      <c r="E1294" s="1">
        <v>0</v>
      </c>
      <c r="F1294" s="1">
        <v>0</v>
      </c>
      <c r="G1294" s="1"/>
      <c r="H1294" s="1"/>
      <c r="I1294" s="1"/>
      <c r="J1294" s="1"/>
      <c r="K1294" s="1"/>
      <c r="L1294" s="1"/>
      <c r="M1294" s="1"/>
      <c r="N1294" s="1"/>
      <c r="O1294" s="1"/>
      <c r="P1294" s="1"/>
      <c r="Q1294" s="1"/>
      <c r="R1294"/>
      <c r="S1294" s="1"/>
      <c r="T1294" s="24"/>
      <c r="U1294"/>
      <c r="V1294" s="1"/>
      <c r="W1294" s="24"/>
      <c r="X1294"/>
      <c r="Y1294" s="1"/>
      <c r="Z1294" s="24"/>
      <c r="AA1294"/>
      <c r="AB1294" s="1"/>
      <c r="AC1294" s="2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c r="CA1294"/>
      <c r="CB1294"/>
      <c r="CC1294"/>
      <c r="CD1294"/>
      <c r="CE1294"/>
      <c r="CF1294"/>
      <c r="CG1294"/>
      <c r="CH1294"/>
      <c r="CI1294"/>
      <c r="CJ1294"/>
      <c r="CK1294"/>
      <c r="CL1294"/>
      <c r="CM1294"/>
      <c r="CN1294"/>
      <c r="CO1294"/>
      <c r="CP1294"/>
      <c r="CQ1294"/>
      <c r="CR1294"/>
      <c r="CS1294"/>
    </row>
    <row r="1295" spans="2:97">
      <c r="B1295"/>
      <c r="C1295" s="1" t="str">
        <v xml:space="preserve">Air China </v>
      </c>
      <c r="D1295" s="1"/>
      <c r="E1295" s="1">
        <v>0</v>
      </c>
      <c r="F1295" s="1">
        <v>0</v>
      </c>
      <c r="G1295" s="1"/>
      <c r="H1295" s="1"/>
      <c r="I1295" s="1"/>
      <c r="J1295" s="1"/>
      <c r="K1295" s="1"/>
      <c r="L1295" s="1"/>
      <c r="M1295" s="1"/>
      <c r="N1295" s="1"/>
      <c r="O1295" s="1"/>
      <c r="P1295" s="1"/>
      <c r="Q1295" s="1"/>
      <c r="R1295"/>
      <c r="S1295" s="1"/>
      <c r="T1295" s="24"/>
      <c r="U1295"/>
      <c r="V1295" s="1"/>
      <c r="W1295" s="24"/>
      <c r="X1295"/>
      <c r="Y1295" s="1"/>
      <c r="Z1295" s="24"/>
      <c r="AA1295"/>
      <c r="AB1295" s="1"/>
      <c r="AC1295" s="24"/>
      <c r="AD1295"/>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c r="CA1295"/>
      <c r="CB1295"/>
      <c r="CC1295"/>
      <c r="CD1295"/>
      <c r="CE1295"/>
      <c r="CF1295"/>
      <c r="CG1295"/>
      <c r="CH1295"/>
      <c r="CI1295"/>
      <c r="CJ1295"/>
      <c r="CK1295"/>
      <c r="CL1295"/>
      <c r="CM1295"/>
      <c r="CN1295"/>
      <c r="CO1295"/>
      <c r="CP1295"/>
      <c r="CQ1295"/>
      <c r="CR1295"/>
      <c r="CS1295"/>
    </row>
    <row r="1296" spans="2:97">
      <c r="B1296"/>
      <c r="C1296" s="1" t="str">
        <v>Virgin Atlantic Airways Min Term Extention to  address CRP issue around some A/C engs reaching 2R during 2026 and potentially only have 3 months notice to exit TCA</v>
      </c>
      <c r="D1296" s="1"/>
      <c r="E1296" s="1">
        <v>0</v>
      </c>
      <c r="F1296" s="1">
        <v>0</v>
      </c>
      <c r="G1296" s="1"/>
      <c r="H1296" s="1"/>
      <c r="I1296" s="1"/>
      <c r="J1296" s="1"/>
      <c r="K1296" s="1"/>
      <c r="L1296" s="1"/>
      <c r="M1296" s="1"/>
      <c r="N1296" s="1"/>
      <c r="O1296" s="1"/>
      <c r="P1296" s="1"/>
      <c r="Q1296" s="1"/>
      <c r="R1296"/>
      <c r="S1296" s="1"/>
      <c r="T1296" s="24"/>
      <c r="U1296"/>
      <c r="V1296" s="1"/>
      <c r="W1296" s="24"/>
      <c r="X1296"/>
      <c r="Y1296" s="1"/>
      <c r="Z1296" s="24"/>
      <c r="AA1296"/>
      <c r="AB1296" s="1"/>
      <c r="AC1296" s="24"/>
      <c r="AD1296"/>
      <c r="AE1296"/>
      <c r="AF1296"/>
      <c r="AG1296"/>
      <c r="AH1296"/>
      <c r="AI1296"/>
      <c r="AJ1296"/>
      <c r="AK1296"/>
      <c r="AL1296"/>
      <c r="AM1296"/>
      <c r="AN1296"/>
      <c r="AO1296"/>
      <c r="AP1296"/>
      <c r="AQ1296"/>
      <c r="AR1296"/>
      <c r="AS1296"/>
      <c r="AT1296"/>
      <c r="AU1296"/>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c r="CA1296"/>
      <c r="CB1296"/>
      <c r="CC1296"/>
      <c r="CD1296"/>
      <c r="CE1296"/>
      <c r="CF1296"/>
      <c r="CG1296"/>
      <c r="CH1296"/>
      <c r="CI1296"/>
      <c r="CJ1296"/>
      <c r="CK1296"/>
      <c r="CL1296"/>
      <c r="CM1296"/>
      <c r="CN1296"/>
      <c r="CO1296"/>
      <c r="CP1296"/>
      <c r="CQ1296"/>
      <c r="CR1296"/>
      <c r="CS1296"/>
    </row>
    <row r="1297" spans="2:97">
      <c r="B1297"/>
      <c r="C1297" s="1" t="str">
        <v>Iberia Life Min Term extension to 25 years for 7 owned a/c and 12 years for leased a/c, plus removal of EoCL for a $/efh discount on both Engine &amp; LLPs.</v>
      </c>
      <c r="D1297" s="1"/>
      <c r="E1297" s="1">
        <v>0</v>
      </c>
      <c r="F1297" s="1">
        <v>0</v>
      </c>
      <c r="G1297" s="1"/>
      <c r="H1297" s="1"/>
      <c r="I1297" s="1"/>
      <c r="J1297" s="1"/>
      <c r="K1297" s="1"/>
      <c r="L1297" s="1"/>
      <c r="M1297" s="1"/>
      <c r="N1297" s="1"/>
      <c r="O1297" s="1"/>
      <c r="P1297" s="1"/>
      <c r="Q1297" s="1"/>
      <c r="R1297"/>
      <c r="S1297" s="1"/>
      <c r="T1297" s="24"/>
      <c r="U1297"/>
      <c r="V1297" s="1"/>
      <c r="W1297" s="24"/>
      <c r="X1297"/>
      <c r="Y1297" s="1"/>
      <c r="Z1297" s="24"/>
      <c r="AA1297"/>
      <c r="AB1297" s="1"/>
      <c r="AC1297" s="24"/>
      <c r="AD1297"/>
      <c r="AE1297"/>
      <c r="AF1297"/>
      <c r="AG1297"/>
      <c r="AH1297"/>
      <c r="AI1297"/>
      <c r="AJ1297"/>
      <c r="AK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c r="CA1297"/>
      <c r="CB1297"/>
      <c r="CC1297"/>
      <c r="CD1297"/>
      <c r="CE1297"/>
      <c r="CF1297"/>
      <c r="CG1297"/>
      <c r="CH1297"/>
      <c r="CI1297"/>
      <c r="CJ1297"/>
      <c r="CK1297"/>
      <c r="CL1297"/>
      <c r="CM1297"/>
      <c r="CN1297"/>
      <c r="CO1297"/>
      <c r="CP1297"/>
      <c r="CQ1297"/>
      <c r="CR1297"/>
      <c r="CS1297"/>
    </row>
    <row r="1298" spans="2:97">
      <c r="B1298"/>
      <c r="C1298" s="1" t="str">
        <v>Iberia LLP upsell for the 2x leased (used) a/c and further Min Term extension (+6yrs to 2036)</v>
      </c>
      <c r="D1298" s="1"/>
      <c r="E1298" s="1">
        <v>0</v>
      </c>
      <c r="F1298" s="1">
        <v>0</v>
      </c>
      <c r="G1298" s="1"/>
      <c r="H1298" s="1"/>
      <c r="I1298" s="1"/>
      <c r="J1298" s="1"/>
      <c r="K1298" s="1"/>
      <c r="L1298" s="1"/>
      <c r="M1298" s="1"/>
      <c r="N1298" s="1"/>
      <c r="O1298" s="1"/>
      <c r="P1298" s="1"/>
      <c r="Q1298" s="1"/>
      <c r="R1298"/>
      <c r="S1298" s="1"/>
      <c r="T1298" s="24"/>
      <c r="U1298"/>
      <c r="V1298" s="1"/>
      <c r="W1298" s="24"/>
      <c r="X1298"/>
      <c r="Y1298" s="1"/>
      <c r="Z1298" s="24"/>
      <c r="AA1298"/>
      <c r="AB1298" s="1"/>
      <c r="AC1298" s="24"/>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c r="CA1298"/>
      <c r="CB1298"/>
      <c r="CC1298"/>
      <c r="CD1298"/>
      <c r="CE1298"/>
      <c r="CF1298"/>
      <c r="CG1298"/>
      <c r="CH1298"/>
      <c r="CI1298"/>
      <c r="CJ1298"/>
      <c r="CK1298"/>
      <c r="CL1298"/>
      <c r="CM1298"/>
      <c r="CN1298"/>
      <c r="CO1298"/>
      <c r="CP1298"/>
      <c r="CQ1298"/>
      <c r="CR1298"/>
      <c r="CS1298"/>
    </row>
    <row r="1299" spans="2:97">
      <c r="B1299"/>
      <c r="C1299" s="1" t="str">
        <v>Turkish Airlines Inclusion of minU alleviation clause in all 3 Trent 700 contracts plus standardised NDSES remedies</v>
      </c>
      <c r="D1299" s="1"/>
      <c r="E1299" s="1">
        <v>0</v>
      </c>
      <c r="F1299" s="1">
        <v>0</v>
      </c>
      <c r="G1299" s="1"/>
      <c r="H1299" s="1"/>
      <c r="I1299" s="1"/>
      <c r="J1299" s="1"/>
      <c r="K1299" s="1"/>
      <c r="L1299" s="1"/>
      <c r="M1299" s="1"/>
      <c r="N1299" s="1"/>
      <c r="O1299" s="1"/>
      <c r="P1299" s="1"/>
      <c r="Q1299" s="1"/>
      <c r="R1299"/>
      <c r="S1299" s="1"/>
      <c r="T1299" s="24"/>
      <c r="U1299"/>
      <c r="V1299" s="1"/>
      <c r="W1299" s="24"/>
      <c r="X1299"/>
      <c r="Y1299" s="1"/>
      <c r="Z1299" s="24"/>
      <c r="AA1299"/>
      <c r="AB1299" s="1"/>
      <c r="AC1299" s="24"/>
      <c r="AD1299"/>
      <c r="AE1299"/>
      <c r="AF1299"/>
      <c r="AG1299"/>
      <c r="AH1299"/>
      <c r="AI1299"/>
      <c r="AJ1299"/>
      <c r="AK1299"/>
      <c r="AL1299"/>
      <c r="AM1299"/>
      <c r="AN1299"/>
      <c r="AO1299"/>
      <c r="AP1299"/>
      <c r="AQ1299"/>
      <c r="AR1299"/>
      <c r="AS1299"/>
      <c r="AT1299"/>
      <c r="AU1299"/>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c r="CA1299"/>
      <c r="CB1299"/>
      <c r="CC1299"/>
      <c r="CD1299"/>
      <c r="CE1299"/>
      <c r="CF1299"/>
      <c r="CG1299"/>
      <c r="CH1299"/>
      <c r="CI1299"/>
      <c r="CJ1299"/>
      <c r="CK1299"/>
      <c r="CL1299"/>
      <c r="CM1299"/>
      <c r="CN1299"/>
      <c r="CO1299"/>
      <c r="CP1299"/>
      <c r="CQ1299"/>
      <c r="CR1299"/>
      <c r="CS1299"/>
    </row>
    <row r="1300" spans="2:97">
      <c r="B1300"/>
      <c r="C1300" s="1" t="str">
        <v>Air Mauritius Potential cancellation of 3 X Additional A350-900s. Fleet review ongoing with Seabury.</v>
      </c>
      <c r="D1300" s="1"/>
      <c r="E1300" s="1">
        <v>0</v>
      </c>
      <c r="F1300" s="1">
        <v>0</v>
      </c>
      <c r="G1300" s="1"/>
      <c r="H1300" s="1"/>
      <c r="I1300" s="1"/>
      <c r="J1300" s="1"/>
      <c r="K1300" s="1"/>
      <c r="L1300" s="1"/>
      <c r="M1300" s="1"/>
      <c r="N1300" s="1"/>
      <c r="O1300" s="1"/>
      <c r="P1300" s="1"/>
      <c r="Q1300" s="1"/>
      <c r="R1300"/>
      <c r="S1300" s="1"/>
      <c r="T1300" s="24"/>
      <c r="U1300"/>
      <c r="V1300" s="1"/>
      <c r="W1300" s="24"/>
      <c r="X1300"/>
      <c r="Y1300" s="1"/>
      <c r="Z1300" s="24"/>
      <c r="AA1300"/>
      <c r="AB1300" s="1"/>
      <c r="AC1300" s="24"/>
      <c r="AD1300"/>
      <c r="AE1300"/>
      <c r="AF1300"/>
      <c r="AG1300"/>
      <c r="AH1300"/>
      <c r="AI1300"/>
      <c r="AJ1300"/>
      <c r="AK1300"/>
      <c r="AL1300"/>
      <c r="AM1300"/>
      <c r="AN1300"/>
      <c r="AO1300"/>
      <c r="AP1300"/>
      <c r="AQ1300"/>
      <c r="AR1300"/>
      <c r="AS1300"/>
      <c r="AT1300"/>
      <c r="AU1300"/>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c r="CA1300"/>
      <c r="CB1300"/>
      <c r="CC1300"/>
      <c r="CD1300"/>
      <c r="CE1300"/>
      <c r="CF1300"/>
      <c r="CG1300"/>
      <c r="CH1300"/>
      <c r="CI1300"/>
      <c r="CJ1300"/>
      <c r="CK1300"/>
      <c r="CL1300"/>
      <c r="CM1300"/>
      <c r="CN1300"/>
      <c r="CO1300"/>
      <c r="CP1300"/>
      <c r="CQ1300"/>
      <c r="CR1300"/>
      <c r="CS1300"/>
    </row>
    <row r="1301" spans="2:97">
      <c r="B1301"/>
      <c r="C1301" s="1" t="str">
        <v>Delta Air Lines New campaign deal uplifting pack margin to enable release of £59m onerous provision in AP6. Contracts signed</v>
      </c>
      <c r="D1301" s="1"/>
      <c r="E1301" s="1">
        <v>59</v>
      </c>
      <c r="F1301" s="1">
        <v>0</v>
      </c>
      <c r="G1301" s="1"/>
      <c r="H1301" s="1"/>
      <c r="I1301" s="1"/>
      <c r="J1301" s="1"/>
      <c r="K1301" s="1"/>
      <c r="L1301" s="1"/>
      <c r="M1301" s="1"/>
      <c r="N1301" s="1"/>
      <c r="O1301" s="1"/>
      <c r="P1301" s="1"/>
      <c r="Q1301" s="1"/>
      <c r="R1301"/>
      <c r="S1301" s="1"/>
      <c r="T1301" s="24"/>
      <c r="U1301"/>
      <c r="V1301" s="1"/>
      <c r="W1301" s="24"/>
      <c r="X1301"/>
      <c r="Y1301" s="1"/>
      <c r="Z1301" s="24"/>
      <c r="AA1301"/>
      <c r="AB1301" s="1"/>
      <c r="AC1301" s="24"/>
      <c r="AD1301"/>
      <c r="AE1301"/>
      <c r="AF1301"/>
      <c r="AG1301"/>
      <c r="AH1301"/>
      <c r="AI1301"/>
      <c r="AJ1301"/>
      <c r="AK1301"/>
      <c r="AL1301"/>
      <c r="AM1301"/>
      <c r="AN1301"/>
      <c r="AO1301"/>
      <c r="AP1301"/>
      <c r="AQ1301"/>
      <c r="AR1301"/>
      <c r="AS1301"/>
      <c r="AT1301"/>
      <c r="AU1301"/>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c r="CA1301"/>
      <c r="CB1301"/>
      <c r="CC1301"/>
      <c r="CD1301"/>
      <c r="CE1301"/>
      <c r="CF1301"/>
      <c r="CG1301"/>
      <c r="CH1301"/>
      <c r="CI1301"/>
      <c r="CJ1301"/>
      <c r="CK1301"/>
      <c r="CL1301"/>
      <c r="CM1301"/>
      <c r="CN1301"/>
      <c r="CO1301"/>
      <c r="CP1301"/>
      <c r="CQ1301"/>
      <c r="CR1301"/>
      <c r="CS1301"/>
    </row>
    <row r="1302" spans="2:97">
      <c r="B1302"/>
      <c r="C1302" s="1" t="str">
        <v xml:space="preserve"> </v>
      </c>
      <c r="D1302" s="1"/>
      <c r="E1302" s="1">
        <v>0</v>
      </c>
      <c r="F1302" s="1">
        <v>0</v>
      </c>
      <c r="G1302" s="1"/>
      <c r="H1302" s="1"/>
      <c r="I1302" s="1"/>
      <c r="J1302" s="1"/>
      <c r="K1302" s="1"/>
      <c r="L1302" s="1"/>
      <c r="M1302" s="1"/>
      <c r="N1302" s="1"/>
      <c r="O1302" s="1"/>
      <c r="P1302" s="1"/>
      <c r="Q1302" s="1"/>
      <c r="R1302"/>
      <c r="S1302" s="1"/>
      <c r="T1302" s="24"/>
      <c r="U1302"/>
      <c r="V1302" s="1"/>
      <c r="W1302" s="24"/>
      <c r="X1302"/>
      <c r="Y1302" s="1"/>
      <c r="Z1302" s="24"/>
      <c r="AA1302"/>
      <c r="AB1302" s="1"/>
      <c r="AC1302" s="24"/>
      <c r="AD1302"/>
      <c r="AE1302"/>
      <c r="AF1302"/>
      <c r="AG1302"/>
      <c r="AH1302"/>
      <c r="AI1302"/>
      <c r="AJ1302"/>
      <c r="AK1302"/>
      <c r="AL1302"/>
      <c r="AM1302"/>
      <c r="AN1302"/>
      <c r="AO1302"/>
      <c r="AP1302"/>
      <c r="AQ1302"/>
      <c r="AR1302"/>
      <c r="AS1302"/>
      <c r="AT1302"/>
      <c r="AU1302"/>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c r="CA1302"/>
      <c r="CB1302"/>
      <c r="CC1302"/>
      <c r="CD1302"/>
      <c r="CE1302"/>
      <c r="CF1302"/>
      <c r="CG1302"/>
      <c r="CH1302"/>
      <c r="CI1302"/>
      <c r="CJ1302"/>
      <c r="CK1302"/>
      <c r="CL1302"/>
      <c r="CM1302"/>
      <c r="CN1302"/>
      <c r="CO1302"/>
      <c r="CP1302"/>
      <c r="CQ1302"/>
      <c r="CR1302"/>
      <c r="CS1302"/>
    </row>
    <row r="1303" spans="2:97">
      <c r="B1303"/>
      <c r="C1303" s="1" t="str">
        <v xml:space="preserve"> </v>
      </c>
      <c r="D1303" s="1"/>
      <c r="E1303" s="1">
        <v>0</v>
      </c>
      <c r="F1303" s="1">
        <v>0</v>
      </c>
      <c r="G1303" s="1"/>
      <c r="H1303" s="1"/>
      <c r="I1303" s="1"/>
      <c r="J1303" s="1"/>
      <c r="K1303" s="1"/>
      <c r="L1303" s="1"/>
      <c r="M1303" s="1"/>
      <c r="N1303" s="1"/>
      <c r="O1303" s="1"/>
      <c r="P1303" s="1"/>
      <c r="Q1303" s="1"/>
      <c r="R1303"/>
      <c r="S1303" s="1"/>
      <c r="T1303" s="24"/>
      <c r="U1303"/>
      <c r="V1303" s="1"/>
      <c r="W1303" s="24"/>
      <c r="X1303"/>
      <c r="Y1303" s="1"/>
      <c r="Z1303" s="24"/>
      <c r="AA1303"/>
      <c r="AB1303" s="1"/>
      <c r="AC1303" s="24"/>
      <c r="AD1303"/>
      <c r="AE1303"/>
      <c r="AF1303"/>
      <c r="AG1303"/>
      <c r="AH1303"/>
      <c r="AI1303"/>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c r="CA1303"/>
      <c r="CB1303"/>
      <c r="CC1303"/>
      <c r="CD1303"/>
      <c r="CE1303"/>
      <c r="CF1303"/>
      <c r="CG1303"/>
      <c r="CH1303"/>
      <c r="CI1303"/>
      <c r="CJ1303"/>
      <c r="CK1303"/>
      <c r="CL1303"/>
      <c r="CM1303"/>
      <c r="CN1303"/>
      <c r="CO1303"/>
      <c r="CP1303"/>
      <c r="CQ1303"/>
      <c r="CR1303"/>
      <c r="CS1303"/>
    </row>
    <row r="1304" spans="2:97">
      <c r="B1304"/>
      <c r="C1304" s="1" t="str">
        <v xml:space="preserve"> </v>
      </c>
      <c r="D1304" s="1"/>
      <c r="E1304" s="1">
        <v>0</v>
      </c>
      <c r="F1304" s="1">
        <v>0</v>
      </c>
      <c r="G1304" s="1"/>
      <c r="H1304" s="1"/>
      <c r="I1304" s="1"/>
      <c r="J1304" s="1"/>
      <c r="K1304" s="1"/>
      <c r="L1304" s="1"/>
      <c r="M1304" s="1"/>
      <c r="N1304" s="1"/>
      <c r="O1304" s="1"/>
      <c r="P1304" s="1"/>
      <c r="Q1304" s="1"/>
      <c r="R1304"/>
      <c r="S1304" s="1"/>
      <c r="T1304" s="24"/>
      <c r="U1304"/>
      <c r="V1304" s="1"/>
      <c r="W1304" s="24"/>
      <c r="X1304"/>
      <c r="Y1304" s="1"/>
      <c r="Z1304" s="24"/>
      <c r="AA1304"/>
      <c r="AB1304" s="1"/>
      <c r="AC1304" s="24"/>
      <c r="AD1304"/>
      <c r="AE1304"/>
      <c r="AF1304"/>
      <c r="AG1304"/>
      <c r="AH1304"/>
      <c r="AI1304"/>
      <c r="AJ1304"/>
      <c r="AK1304"/>
      <c r="AL1304"/>
      <c r="AM1304"/>
      <c r="AN1304"/>
      <c r="AO1304"/>
      <c r="AP1304"/>
      <c r="AQ1304"/>
      <c r="AR1304"/>
      <c r="AS1304"/>
      <c r="AT1304"/>
      <c r="AU1304"/>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c r="CA1304"/>
      <c r="CB1304"/>
      <c r="CC1304"/>
      <c r="CD1304"/>
      <c r="CE1304"/>
      <c r="CF1304"/>
      <c r="CG1304"/>
      <c r="CH1304"/>
      <c r="CI1304"/>
      <c r="CJ1304"/>
      <c r="CK1304"/>
      <c r="CL1304"/>
      <c r="CM1304"/>
      <c r="CN1304"/>
      <c r="CO1304"/>
      <c r="CP1304"/>
      <c r="CQ1304"/>
      <c r="CR1304"/>
      <c r="CS1304"/>
    </row>
    <row r="1305" spans="2:97">
      <c r="B1305"/>
      <c r="C1305" s="1" t="str">
        <v xml:space="preserve"> </v>
      </c>
      <c r="D1305" s="1"/>
      <c r="E1305" s="1">
        <v>0</v>
      </c>
      <c r="F1305" s="1">
        <v>0</v>
      </c>
      <c r="G1305" s="1"/>
      <c r="H1305" s="1"/>
      <c r="I1305" s="1"/>
      <c r="J1305" s="1"/>
      <c r="K1305" s="1"/>
      <c r="L1305" s="1"/>
      <c r="M1305" s="1"/>
      <c r="N1305" s="1"/>
      <c r="O1305" s="1"/>
      <c r="P1305" s="1"/>
      <c r="Q1305" s="1"/>
      <c r="R1305"/>
      <c r="S1305" s="1"/>
      <c r="T1305" s="24"/>
      <c r="U1305"/>
      <c r="V1305" s="1"/>
      <c r="W1305" s="24"/>
      <c r="X1305"/>
      <c r="Y1305" s="1"/>
      <c r="Z1305" s="24"/>
      <c r="AA1305"/>
      <c r="AB1305" s="1"/>
      <c r="AC1305" s="24"/>
      <c r="AD1305"/>
      <c r="AE1305"/>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c r="CA1305"/>
      <c r="CB1305"/>
      <c r="CC1305"/>
      <c r="CD1305"/>
      <c r="CE1305"/>
      <c r="CF1305"/>
      <c r="CG1305"/>
      <c r="CH1305"/>
      <c r="CI1305"/>
      <c r="CJ1305"/>
      <c r="CK1305"/>
      <c r="CL1305"/>
      <c r="CM1305"/>
      <c r="CN1305"/>
      <c r="CO1305"/>
      <c r="CP1305"/>
      <c r="CQ1305"/>
      <c r="CR1305"/>
      <c r="CS1305"/>
    </row>
    <row r="1306" spans="2:97">
      <c r="B1306"/>
      <c r="C1306" s="1" t="str">
        <v xml:space="preserve"> </v>
      </c>
      <c r="D1306" s="1"/>
      <c r="E1306" s="1">
        <v>0</v>
      </c>
      <c r="F1306" s="1">
        <v>0</v>
      </c>
      <c r="G1306" s="1"/>
      <c r="H1306" s="1"/>
      <c r="I1306" s="1"/>
      <c r="J1306" s="1"/>
      <c r="K1306" s="1"/>
      <c r="L1306" s="1"/>
      <c r="M1306" s="1"/>
      <c r="N1306" s="1"/>
      <c r="O1306" s="1"/>
      <c r="P1306" s="1"/>
      <c r="Q1306" s="1"/>
      <c r="R1306"/>
      <c r="S1306" s="1"/>
      <c r="T1306" s="24"/>
      <c r="U1306"/>
      <c r="V1306" s="1"/>
      <c r="W1306" s="24"/>
      <c r="X1306"/>
      <c r="Y1306" s="1"/>
      <c r="Z1306" s="24"/>
      <c r="AA1306"/>
      <c r="AB1306" s="1"/>
      <c r="AC1306" s="24"/>
      <c r="AD1306"/>
      <c r="AE1306"/>
      <c r="AF1306"/>
      <c r="AG1306"/>
      <c r="AH1306"/>
      <c r="AI1306"/>
      <c r="AJ1306"/>
      <c r="AK1306"/>
      <c r="AL1306"/>
      <c r="AM1306"/>
      <c r="AN1306"/>
      <c r="AO1306"/>
      <c r="AP1306"/>
      <c r="AQ1306"/>
      <c r="AR1306"/>
      <c r="AS1306"/>
      <c r="AT1306"/>
      <c r="AU1306"/>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c r="CA1306"/>
      <c r="CB1306"/>
      <c r="CC1306"/>
      <c r="CD1306"/>
      <c r="CE1306"/>
      <c r="CF1306"/>
      <c r="CG1306"/>
      <c r="CH1306"/>
      <c r="CI1306"/>
      <c r="CJ1306"/>
      <c r="CK1306"/>
      <c r="CL1306"/>
      <c r="CM1306"/>
      <c r="CN1306"/>
      <c r="CO1306"/>
      <c r="CP1306"/>
      <c r="CQ1306"/>
      <c r="CR1306"/>
      <c r="CS1306"/>
    </row>
    <row r="1307" spans="2:97">
      <c r="B1307"/>
      <c r="C1307" s="1" t="str">
        <v xml:space="preserve"> </v>
      </c>
      <c r="D1307" s="1"/>
      <c r="E1307" s="1">
        <v>0</v>
      </c>
      <c r="F1307" s="1">
        <v>0</v>
      </c>
      <c r="G1307" s="1"/>
      <c r="H1307" s="1"/>
      <c r="I1307" s="1"/>
      <c r="J1307" s="1"/>
      <c r="K1307" s="1"/>
      <c r="L1307" s="1"/>
      <c r="M1307" s="1"/>
      <c r="N1307" s="1"/>
      <c r="O1307" s="1"/>
      <c r="P1307" s="1"/>
      <c r="Q1307" s="1"/>
      <c r="R1307"/>
      <c r="S1307" s="1"/>
      <c r="T1307" s="24"/>
      <c r="U1307"/>
      <c r="V1307" s="1"/>
      <c r="W1307" s="24"/>
      <c r="X1307"/>
      <c r="Y1307" s="1"/>
      <c r="Z1307" s="24"/>
      <c r="AA1307"/>
      <c r="AB1307" s="1"/>
      <c r="AC1307" s="24"/>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c r="CA1307"/>
      <c r="CB1307"/>
      <c r="CC1307"/>
      <c r="CD1307"/>
      <c r="CE1307"/>
      <c r="CF1307"/>
      <c r="CG1307"/>
      <c r="CH1307"/>
      <c r="CI1307"/>
      <c r="CJ1307"/>
      <c r="CK1307"/>
      <c r="CL1307"/>
      <c r="CM1307"/>
      <c r="CN1307"/>
      <c r="CO1307"/>
      <c r="CP1307"/>
      <c r="CQ1307"/>
      <c r="CR1307"/>
      <c r="CS1307"/>
    </row>
    <row r="1308" spans="2:97">
      <c r="B1308"/>
      <c r="C1308" s="1" t="str">
        <v xml:space="preserve"> </v>
      </c>
      <c r="D1308" s="1"/>
      <c r="E1308" s="1">
        <v>0</v>
      </c>
      <c r="F1308" s="1">
        <v>0</v>
      </c>
      <c r="G1308" s="1"/>
      <c r="H1308" s="1"/>
      <c r="I1308" s="1"/>
      <c r="J1308" s="1"/>
      <c r="K1308" s="1"/>
      <c r="L1308" s="1"/>
      <c r="M1308" s="1"/>
      <c r="N1308" s="1"/>
      <c r="O1308" s="1"/>
      <c r="P1308" s="1"/>
      <c r="Q1308" s="1"/>
      <c r="R1308"/>
      <c r="S1308" s="1"/>
      <c r="T1308" s="24"/>
      <c r="U1308"/>
      <c r="V1308" s="1"/>
      <c r="W1308" s="24"/>
      <c r="X1308"/>
      <c r="Y1308" s="1"/>
      <c r="Z1308" s="24"/>
      <c r="AA1308"/>
      <c r="AB1308" s="1"/>
      <c r="AC1308" s="24"/>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c r="CA1308"/>
      <c r="CB1308"/>
      <c r="CC1308"/>
      <c r="CD1308"/>
      <c r="CE1308"/>
      <c r="CF1308"/>
      <c r="CG1308"/>
      <c r="CH1308"/>
      <c r="CI1308"/>
      <c r="CJ1308"/>
      <c r="CK1308"/>
      <c r="CL1308"/>
      <c r="CM1308"/>
      <c r="CN1308"/>
      <c r="CO1308"/>
      <c r="CP1308"/>
      <c r="CQ1308"/>
      <c r="CR1308"/>
      <c r="CS1308"/>
    </row>
    <row r="1309" spans="2:97">
      <c r="B1309"/>
      <c r="C1309" s="1" t="str">
        <v xml:space="preserve"> </v>
      </c>
      <c r="D1309" s="1"/>
      <c r="E1309" s="1">
        <v>0</v>
      </c>
      <c r="F1309" s="1">
        <v>0</v>
      </c>
      <c r="G1309" s="1"/>
      <c r="H1309" s="1"/>
      <c r="I1309" s="1"/>
      <c r="J1309" s="1"/>
      <c r="K1309" s="1"/>
      <c r="L1309" s="1"/>
      <c r="M1309" s="1"/>
      <c r="N1309" s="1"/>
      <c r="O1309" s="1"/>
      <c r="P1309" s="1"/>
      <c r="Q1309" s="1"/>
      <c r="R1309"/>
      <c r="S1309" s="1"/>
      <c r="T1309" s="24"/>
      <c r="U1309"/>
      <c r="V1309" s="1"/>
      <c r="W1309" s="24"/>
      <c r="X1309"/>
      <c r="Y1309" s="1"/>
      <c r="Z1309" s="24"/>
      <c r="AA1309"/>
      <c r="AB1309" s="1"/>
      <c r="AC1309" s="24"/>
      <c r="AD1309"/>
      <c r="AE1309"/>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c r="CA1309"/>
      <c r="CB1309"/>
      <c r="CC1309"/>
      <c r="CD1309"/>
      <c r="CE1309"/>
      <c r="CF1309"/>
      <c r="CG1309"/>
      <c r="CH1309"/>
      <c r="CI1309"/>
      <c r="CJ1309"/>
      <c r="CK1309"/>
      <c r="CL1309"/>
      <c r="CM1309"/>
      <c r="CN1309"/>
      <c r="CO1309"/>
      <c r="CP1309"/>
      <c r="CQ1309"/>
      <c r="CR1309"/>
      <c r="CS1309"/>
    </row>
    <row r="1310" spans="2:97">
      <c r="B1310"/>
      <c r="C1310" s="1" t="str">
        <v xml:space="preserve"> </v>
      </c>
      <c r="D1310" s="1"/>
      <c r="E1310" s="1">
        <v>0</v>
      </c>
      <c r="F1310" s="1">
        <v>0</v>
      </c>
      <c r="G1310" s="1"/>
      <c r="H1310" s="1"/>
      <c r="I1310" s="1"/>
      <c r="J1310" s="1"/>
      <c r="K1310" s="1"/>
      <c r="L1310" s="1"/>
      <c r="M1310" s="1"/>
      <c r="N1310" s="1"/>
      <c r="O1310" s="1"/>
      <c r="P1310" s="1"/>
      <c r="Q1310" s="1"/>
      <c r="R1310"/>
      <c r="S1310" s="1"/>
      <c r="T1310" s="24"/>
      <c r="U1310"/>
      <c r="V1310" s="1"/>
      <c r="W1310" s="24"/>
      <c r="X1310"/>
      <c r="Y1310" s="1"/>
      <c r="Z1310" s="24"/>
      <c r="AA1310"/>
      <c r="AB1310" s="1"/>
      <c r="AC1310" s="24"/>
      <c r="AD1310"/>
      <c r="AE1310"/>
      <c r="AF1310"/>
      <c r="AG1310"/>
      <c r="AH1310"/>
      <c r="AI1310"/>
      <c r="AJ1310"/>
      <c r="AK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c r="CA1310"/>
      <c r="CB1310"/>
      <c r="CC1310"/>
      <c r="CD1310"/>
      <c r="CE1310"/>
      <c r="CF1310"/>
      <c r="CG1310"/>
      <c r="CH1310"/>
      <c r="CI1310"/>
      <c r="CJ1310"/>
      <c r="CK1310"/>
      <c r="CL1310"/>
      <c r="CM1310"/>
      <c r="CN1310"/>
      <c r="CO1310"/>
      <c r="CP1310"/>
      <c r="CQ1310"/>
      <c r="CR1310"/>
      <c r="CS1310"/>
    </row>
    <row r="1311" spans="2:97">
      <c r="B1311"/>
      <c r="C1311" s="1" t="str">
        <v xml:space="preserve"> </v>
      </c>
      <c r="D1311" s="1"/>
      <c r="E1311" s="1">
        <v>0</v>
      </c>
      <c r="F1311" s="1">
        <v>0</v>
      </c>
      <c r="G1311" s="1"/>
      <c r="H1311" s="1"/>
      <c r="I1311" s="1"/>
      <c r="J1311" s="1"/>
      <c r="K1311" s="1"/>
      <c r="L1311" s="1"/>
      <c r="M1311" s="1"/>
      <c r="N1311" s="1"/>
      <c r="O1311" s="1"/>
      <c r="P1311" s="1"/>
      <c r="Q1311" s="1"/>
      <c r="R1311"/>
      <c r="S1311" s="1"/>
      <c r="T1311" s="24"/>
      <c r="U1311"/>
      <c r="V1311" s="1"/>
      <c r="W1311" s="24"/>
      <c r="X1311"/>
      <c r="Y1311" s="1"/>
      <c r="Z1311" s="24"/>
      <c r="AA1311"/>
      <c r="AB1311" s="1"/>
      <c r="AC1311" s="24"/>
      <c r="AD1311"/>
      <c r="AE1311"/>
      <c r="AF1311"/>
      <c r="AG1311"/>
      <c r="AH1311"/>
      <c r="AI1311"/>
      <c r="AJ1311"/>
      <c r="AK1311"/>
      <c r="AL1311"/>
      <c r="AM1311"/>
      <c r="AN1311"/>
      <c r="AO1311"/>
      <c r="AP1311"/>
      <c r="AQ1311"/>
      <c r="AR1311"/>
      <c r="AS1311"/>
      <c r="AT1311"/>
      <c r="AU1311"/>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c r="CA1311"/>
      <c r="CB1311"/>
      <c r="CC1311"/>
      <c r="CD1311"/>
      <c r="CE1311"/>
      <c r="CF1311"/>
      <c r="CG1311"/>
      <c r="CH1311"/>
      <c r="CI1311"/>
      <c r="CJ1311"/>
      <c r="CK1311"/>
      <c r="CL1311"/>
      <c r="CM1311"/>
      <c r="CN1311"/>
      <c r="CO1311"/>
      <c r="CP1311"/>
      <c r="CQ1311"/>
      <c r="CR1311"/>
      <c r="CS1311"/>
    </row>
    <row r="1312" spans="2:97">
      <c r="B1312"/>
      <c r="C1312" s="1" t="str">
        <v xml:space="preserve"> </v>
      </c>
      <c r="D1312" s="1"/>
      <c r="E1312" s="1">
        <v>0</v>
      </c>
      <c r="F1312" s="1">
        <v>0</v>
      </c>
      <c r="G1312" s="1"/>
      <c r="H1312" s="1"/>
      <c r="I1312" s="1"/>
      <c r="J1312" s="1"/>
      <c r="K1312" s="1"/>
      <c r="L1312" s="1"/>
      <c r="M1312" s="1"/>
      <c r="N1312" s="1"/>
      <c r="O1312" s="1"/>
      <c r="P1312" s="1"/>
      <c r="Q1312" s="1"/>
      <c r="R1312"/>
      <c r="S1312" s="1"/>
      <c r="T1312" s="24"/>
      <c r="U1312"/>
      <c r="V1312" s="1"/>
      <c r="W1312" s="24"/>
      <c r="X1312"/>
      <c r="Y1312" s="1"/>
      <c r="Z1312" s="24"/>
      <c r="AA1312"/>
      <c r="AB1312" s="1"/>
      <c r="AC1312" s="24"/>
      <c r="AD1312"/>
      <c r="AE1312"/>
      <c r="AF1312"/>
      <c r="AG1312"/>
      <c r="AH1312"/>
      <c r="AI1312"/>
      <c r="AJ1312"/>
      <c r="AK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c r="CA1312"/>
      <c r="CB1312"/>
      <c r="CC1312"/>
      <c r="CD1312"/>
      <c r="CE1312"/>
      <c r="CF1312"/>
      <c r="CG1312"/>
      <c r="CH1312"/>
      <c r="CI1312"/>
      <c r="CJ1312"/>
      <c r="CK1312"/>
      <c r="CL1312"/>
      <c r="CM1312"/>
      <c r="CN1312"/>
      <c r="CO1312"/>
      <c r="CP1312"/>
      <c r="CQ1312"/>
      <c r="CR1312"/>
      <c r="CS1312"/>
    </row>
    <row r="1313" spans="2:97">
      <c r="B1313"/>
      <c r="C1313" s="1" t="str">
        <v xml:space="preserve"> </v>
      </c>
      <c r="D1313" s="1"/>
      <c r="E1313" s="1">
        <v>0</v>
      </c>
      <c r="F1313" s="1">
        <v>0</v>
      </c>
      <c r="G1313" s="1"/>
      <c r="H1313" s="1"/>
      <c r="I1313" s="1"/>
      <c r="J1313" s="1"/>
      <c r="K1313" s="1"/>
      <c r="L1313" s="1"/>
      <c r="M1313" s="1"/>
      <c r="N1313" s="1"/>
      <c r="O1313" s="1"/>
      <c r="P1313" s="1"/>
      <c r="Q1313" s="1"/>
      <c r="R1313"/>
      <c r="S1313" s="1"/>
      <c r="T1313" s="24"/>
      <c r="U1313"/>
      <c r="V1313" s="1"/>
      <c r="W1313" s="24"/>
      <c r="X1313"/>
      <c r="Y1313" s="1"/>
      <c r="Z1313" s="24"/>
      <c r="AA1313"/>
      <c r="AB1313" s="1"/>
      <c r="AC1313" s="24"/>
      <c r="AD1313"/>
      <c r="AE1313"/>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c r="CA1313"/>
      <c r="CB1313"/>
      <c r="CC1313"/>
      <c r="CD1313"/>
      <c r="CE1313"/>
      <c r="CF1313"/>
      <c r="CG1313"/>
      <c r="CH1313"/>
      <c r="CI1313"/>
      <c r="CJ1313"/>
      <c r="CK1313"/>
      <c r="CL1313"/>
      <c r="CM1313"/>
      <c r="CN1313"/>
      <c r="CO1313"/>
      <c r="CP1313"/>
      <c r="CQ1313"/>
      <c r="CR1313"/>
      <c r="CS1313"/>
    </row>
    <row r="1314" spans="2:97">
      <c r="B1314"/>
      <c r="C1314" s="1" t="str">
        <v xml:space="preserve"> </v>
      </c>
      <c r="D1314" s="1"/>
      <c r="E1314" s="1">
        <v>0</v>
      </c>
      <c r="F1314" s="1">
        <v>0</v>
      </c>
      <c r="G1314" s="1"/>
      <c r="H1314" s="1"/>
      <c r="I1314" s="1"/>
      <c r="J1314" s="1"/>
      <c r="K1314" s="1"/>
      <c r="L1314" s="1"/>
      <c r="M1314" s="1"/>
      <c r="N1314" s="1"/>
      <c r="O1314" s="1"/>
      <c r="P1314" s="1"/>
      <c r="Q1314" s="1"/>
      <c r="R1314"/>
      <c r="S1314" s="1"/>
      <c r="T1314" s="24"/>
      <c r="U1314"/>
      <c r="V1314" s="1"/>
      <c r="W1314" s="24"/>
      <c r="X1314"/>
      <c r="Y1314" s="1"/>
      <c r="Z1314" s="24"/>
      <c r="AA1314"/>
      <c r="AB1314" s="1"/>
      <c r="AC1314" s="24"/>
      <c r="AD1314"/>
      <c r="AE1314"/>
      <c r="AF1314"/>
      <c r="AG1314"/>
      <c r="AH1314"/>
      <c r="AI1314"/>
      <c r="AJ1314"/>
      <c r="AK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c r="CA1314"/>
      <c r="CB1314"/>
      <c r="CC1314"/>
      <c r="CD1314"/>
      <c r="CE1314"/>
      <c r="CF1314"/>
      <c r="CG1314"/>
      <c r="CH1314"/>
      <c r="CI1314"/>
      <c r="CJ1314"/>
      <c r="CK1314"/>
      <c r="CL1314"/>
      <c r="CM1314"/>
      <c r="CN1314"/>
      <c r="CO1314"/>
      <c r="CP1314"/>
      <c r="CQ1314"/>
      <c r="CR1314"/>
      <c r="CS1314"/>
    </row>
    <row r="1315" spans="2:97">
      <c r="B1315"/>
      <c r="C1315" s="1" t="str">
        <v xml:space="preserve"> </v>
      </c>
      <c r="D1315" s="1"/>
      <c r="E1315" s="1">
        <v>0</v>
      </c>
      <c r="F1315" s="1">
        <v>0</v>
      </c>
      <c r="G1315" s="1"/>
      <c r="H1315" s="1"/>
      <c r="I1315" s="1"/>
      <c r="J1315" s="1"/>
      <c r="K1315" s="1"/>
      <c r="L1315" s="1"/>
      <c r="M1315" s="1"/>
      <c r="N1315" s="1"/>
      <c r="O1315" s="1"/>
      <c r="P1315" s="1"/>
      <c r="Q1315" s="1"/>
      <c r="R1315"/>
      <c r="S1315" s="1"/>
      <c r="T1315" s="24"/>
      <c r="U1315"/>
      <c r="V1315" s="1"/>
      <c r="W1315" s="24"/>
      <c r="X1315"/>
      <c r="Y1315" s="1"/>
      <c r="Z1315" s="24"/>
      <c r="AA1315"/>
      <c r="AB1315" s="1"/>
      <c r="AC1315" s="24"/>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c r="CA1315"/>
      <c r="CB1315"/>
      <c r="CC1315"/>
      <c r="CD1315"/>
      <c r="CE1315"/>
      <c r="CF1315"/>
      <c r="CG1315"/>
      <c r="CH1315"/>
      <c r="CI1315"/>
      <c r="CJ1315"/>
      <c r="CK1315"/>
      <c r="CL1315"/>
      <c r="CM1315"/>
      <c r="CN1315"/>
      <c r="CO1315"/>
      <c r="CP1315"/>
      <c r="CQ1315"/>
      <c r="CR1315"/>
      <c r="CS1315"/>
    </row>
    <row r="1316" spans="2:97">
      <c r="B1316"/>
      <c r="C1316" s="1" t="str">
        <v xml:space="preserve"> </v>
      </c>
      <c r="D1316" s="1"/>
      <c r="E1316" s="1">
        <v>0</v>
      </c>
      <c r="F1316" s="1">
        <v>0</v>
      </c>
      <c r="G1316" s="1"/>
      <c r="H1316" s="1"/>
      <c r="I1316" s="1"/>
      <c r="J1316" s="1"/>
      <c r="K1316" s="1"/>
      <c r="L1316" s="1"/>
      <c r="M1316" s="1"/>
      <c r="N1316" s="1"/>
      <c r="O1316" s="1"/>
      <c r="P1316" s="1"/>
      <c r="Q1316" s="1"/>
      <c r="R1316"/>
      <c r="S1316" s="1"/>
      <c r="T1316" s="24"/>
      <c r="U1316"/>
      <c r="V1316" s="1"/>
      <c r="W1316" s="24"/>
      <c r="X1316"/>
      <c r="Y1316" s="1"/>
      <c r="Z1316" s="24"/>
      <c r="AA1316"/>
      <c r="AB1316" s="1"/>
      <c r="AC1316" s="24"/>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c r="CA1316"/>
      <c r="CB1316"/>
      <c r="CC1316"/>
      <c r="CD1316"/>
      <c r="CE1316"/>
      <c r="CF1316"/>
      <c r="CG1316"/>
      <c r="CH1316"/>
      <c r="CI1316"/>
      <c r="CJ1316"/>
      <c r="CK1316"/>
      <c r="CL1316"/>
      <c r="CM1316"/>
      <c r="CN1316"/>
      <c r="CO1316"/>
      <c r="CP1316"/>
      <c r="CQ1316"/>
      <c r="CR1316"/>
      <c r="CS1316"/>
    </row>
    <row r="1317" spans="2:97">
      <c r="B1317"/>
      <c r="C1317" s="1"/>
      <c r="D1317" s="1"/>
      <c r="E1317" s="1"/>
      <c r="F1317" s="1"/>
      <c r="G1317" s="1"/>
      <c r="H1317" s="1"/>
      <c r="I1317" s="1"/>
      <c r="J1317" s="1"/>
      <c r="K1317" s="1"/>
      <c r="L1317" s="1"/>
      <c r="M1317" s="1"/>
      <c r="N1317" s="1"/>
      <c r="O1317" s="1"/>
      <c r="P1317" s="1"/>
      <c r="Q1317" s="1"/>
      <c r="R1317"/>
      <c r="S1317" s="1"/>
      <c r="T1317" s="24"/>
      <c r="U1317"/>
      <c r="V1317" s="1"/>
      <c r="W1317" s="24"/>
      <c r="X1317"/>
      <c r="Y1317" s="1"/>
      <c r="Z1317" s="24"/>
      <c r="AA1317"/>
      <c r="AB1317" s="1"/>
      <c r="AC1317" s="24"/>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c r="CA1317"/>
      <c r="CB1317"/>
      <c r="CC1317"/>
      <c r="CD1317"/>
      <c r="CE1317"/>
      <c r="CF1317"/>
      <c r="CG1317"/>
      <c r="CH1317"/>
      <c r="CI1317"/>
      <c r="CJ1317"/>
      <c r="CK1317"/>
      <c r="CL1317"/>
      <c r="CM1317"/>
      <c r="CN1317"/>
      <c r="CO1317"/>
      <c r="CP1317"/>
      <c r="CQ1317"/>
      <c r="CR1317"/>
      <c r="CS1317"/>
    </row>
    <row r="1318" spans="2:97">
      <c r="B1318"/>
      <c r="C1318" s="1"/>
      <c r="D1318" s="1"/>
      <c r="E1318" s="1"/>
      <c r="F1318" s="1"/>
      <c r="G1318" s="1"/>
      <c r="H1318" s="1"/>
      <c r="I1318" s="1"/>
      <c r="J1318" s="1"/>
      <c r="K1318" s="1"/>
      <c r="L1318" s="1"/>
      <c r="M1318" s="1"/>
      <c r="N1318" s="1"/>
      <c r="O1318" s="1"/>
      <c r="P1318" s="1"/>
      <c r="Q1318" s="1"/>
      <c r="R1318"/>
      <c r="S1318" s="1"/>
      <c r="T1318" s="24"/>
      <c r="U1318"/>
      <c r="V1318" s="1"/>
      <c r="W1318" s="24"/>
      <c r="X1318"/>
      <c r="Y1318" s="1"/>
      <c r="Z1318" s="24"/>
      <c r="AA1318"/>
      <c r="AB1318" s="1"/>
      <c r="AC1318" s="24"/>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c r="CA1318"/>
      <c r="CB1318"/>
      <c r="CC1318"/>
      <c r="CD1318"/>
      <c r="CE1318"/>
      <c r="CF1318"/>
      <c r="CG1318"/>
      <c r="CH1318"/>
      <c r="CI1318"/>
      <c r="CJ1318"/>
      <c r="CK1318"/>
      <c r="CL1318"/>
      <c r="CM1318"/>
      <c r="CN1318"/>
      <c r="CO1318"/>
      <c r="CP1318"/>
      <c r="CQ1318"/>
      <c r="CR1318"/>
      <c r="CS1318"/>
    </row>
    <row r="1319" spans="2:97">
      <c r="B1319"/>
      <c r="C1319" s="1"/>
      <c r="D1319" s="1"/>
      <c r="E1319" s="1"/>
      <c r="F1319" s="1"/>
      <c r="G1319" s="1"/>
      <c r="H1319" s="1"/>
      <c r="I1319" s="1"/>
      <c r="J1319" s="1"/>
      <c r="K1319" s="1"/>
      <c r="L1319" s="1"/>
      <c r="M1319" s="1"/>
      <c r="N1319" s="1"/>
      <c r="O1319" s="1"/>
      <c r="P1319" s="1"/>
      <c r="Q1319" s="1"/>
      <c r="R1319"/>
      <c r="S1319" s="1"/>
      <c r="T1319" s="24"/>
      <c r="U1319"/>
      <c r="V1319" s="1"/>
      <c r="W1319" s="24"/>
      <c r="X1319"/>
      <c r="Y1319" s="1"/>
      <c r="Z1319" s="24"/>
      <c r="AA1319"/>
      <c r="AB1319" s="1"/>
      <c r="AC1319" s="24"/>
      <c r="AD1319"/>
      <c r="AE1319"/>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c r="CA1319"/>
      <c r="CB1319"/>
      <c r="CC1319"/>
      <c r="CD1319"/>
      <c r="CE1319"/>
      <c r="CF1319"/>
      <c r="CG1319"/>
      <c r="CH1319"/>
      <c r="CI1319"/>
      <c r="CJ1319"/>
      <c r="CK1319"/>
      <c r="CL1319"/>
      <c r="CM1319"/>
      <c r="CN1319"/>
      <c r="CO1319"/>
      <c r="CP1319"/>
      <c r="CQ1319"/>
      <c r="CR1319"/>
      <c r="CS1319"/>
    </row>
    <row r="1320" spans="2:97">
      <c r="B1320"/>
      <c r="C1320" s="1"/>
      <c r="D1320" s="1"/>
      <c r="E1320" s="1"/>
      <c r="F1320" s="1"/>
      <c r="G1320" s="1"/>
      <c r="H1320" s="1"/>
      <c r="I1320" s="1"/>
      <c r="J1320" s="1"/>
      <c r="K1320" s="1"/>
      <c r="L1320" s="1"/>
      <c r="M1320" s="1"/>
      <c r="N1320" s="1"/>
      <c r="O1320" s="1"/>
      <c r="P1320" s="1"/>
      <c r="Q1320" s="1"/>
      <c r="R1320"/>
      <c r="S1320" s="1"/>
      <c r="T1320" s="24"/>
      <c r="U1320"/>
      <c r="V1320" s="1"/>
      <c r="W1320" s="24"/>
      <c r="X1320"/>
      <c r="Y1320" s="1"/>
      <c r="Z1320" s="24"/>
      <c r="AA1320"/>
      <c r="AB1320" s="1"/>
      <c r="AC1320" s="24"/>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c r="CA1320"/>
      <c r="CB1320"/>
      <c r="CC1320"/>
      <c r="CD1320"/>
      <c r="CE1320"/>
      <c r="CF1320"/>
      <c r="CG1320"/>
      <c r="CH1320"/>
      <c r="CI1320"/>
      <c r="CJ1320"/>
      <c r="CK1320"/>
      <c r="CL1320"/>
      <c r="CM1320"/>
      <c r="CN1320"/>
      <c r="CO1320"/>
      <c r="CP1320"/>
      <c r="CQ1320"/>
      <c r="CR1320"/>
      <c r="CS1320"/>
    </row>
    <row r="1321" spans="2:97">
      <c r="B1321"/>
      <c r="C1321" s="1"/>
      <c r="D1321" s="1"/>
      <c r="E1321" s="1"/>
      <c r="F1321" s="1"/>
      <c r="G1321" s="1"/>
      <c r="H1321" s="1"/>
      <c r="I1321" s="1"/>
      <c r="J1321" s="1"/>
      <c r="K1321" s="1"/>
      <c r="L1321" s="1"/>
      <c r="M1321" s="1"/>
      <c r="N1321" s="1"/>
      <c r="O1321" s="1"/>
      <c r="P1321" s="1"/>
      <c r="Q1321" s="1"/>
      <c r="R1321"/>
      <c r="S1321" s="1"/>
      <c r="T1321" s="24"/>
      <c r="U1321"/>
      <c r="V1321" s="1"/>
      <c r="W1321" s="24"/>
      <c r="X1321"/>
      <c r="Y1321" s="1"/>
      <c r="Z1321" s="24"/>
      <c r="AA1321"/>
      <c r="AB1321" s="1"/>
      <c r="AC1321" s="24"/>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c r="CA1321"/>
      <c r="CB1321"/>
      <c r="CC1321"/>
      <c r="CD1321"/>
      <c r="CE1321"/>
      <c r="CF1321"/>
      <c r="CG1321"/>
      <c r="CH1321"/>
      <c r="CI1321"/>
      <c r="CJ1321"/>
      <c r="CK1321"/>
      <c r="CL1321"/>
      <c r="CM1321"/>
      <c r="CN1321"/>
      <c r="CO1321"/>
      <c r="CP1321"/>
      <c r="CQ1321"/>
      <c r="CR1321"/>
      <c r="CS1321"/>
    </row>
    <row r="1322" spans="2:97">
      <c r="B1322"/>
      <c r="C1322" s="1"/>
      <c r="D1322" s="1"/>
      <c r="E1322" s="1"/>
      <c r="F1322" s="1"/>
      <c r="G1322" s="1"/>
      <c r="H1322" s="1"/>
      <c r="I1322" s="1"/>
      <c r="J1322" s="1"/>
      <c r="K1322" s="1"/>
      <c r="L1322" s="1"/>
      <c r="M1322" s="1"/>
      <c r="N1322" s="1"/>
      <c r="O1322" s="1"/>
      <c r="P1322" s="1"/>
      <c r="Q1322" s="1"/>
      <c r="R1322"/>
      <c r="S1322" s="1"/>
      <c r="T1322" s="24"/>
      <c r="U1322"/>
      <c r="V1322" s="1"/>
      <c r="W1322" s="24"/>
      <c r="X1322"/>
      <c r="Y1322" s="1"/>
      <c r="Z1322" s="24"/>
      <c r="AA1322"/>
      <c r="AB1322" s="1"/>
      <c r="AC1322" s="24"/>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c r="CA1322"/>
      <c r="CB1322"/>
      <c r="CC1322"/>
      <c r="CD1322"/>
      <c r="CE1322"/>
      <c r="CF1322"/>
      <c r="CG1322"/>
      <c r="CH1322"/>
      <c r="CI1322"/>
      <c r="CJ1322"/>
      <c r="CK1322"/>
      <c r="CL1322"/>
      <c r="CM1322"/>
      <c r="CN1322"/>
      <c r="CO1322"/>
      <c r="CP1322"/>
      <c r="CQ1322"/>
      <c r="CR1322"/>
      <c r="CS1322"/>
    </row>
    <row r="1323" spans="2:97">
      <c r="B1323"/>
      <c r="C1323" s="1"/>
      <c r="D1323" s="1"/>
      <c r="E1323" s="1"/>
      <c r="F1323" s="1"/>
      <c r="G1323" s="1"/>
      <c r="H1323" s="1"/>
      <c r="I1323" s="1"/>
      <c r="J1323" s="1"/>
      <c r="K1323" s="1"/>
      <c r="L1323" s="1"/>
      <c r="M1323" s="1"/>
      <c r="N1323" s="1"/>
      <c r="O1323" s="1"/>
      <c r="P1323" s="1"/>
      <c r="Q1323" s="1"/>
      <c r="R1323"/>
      <c r="S1323" s="1"/>
      <c r="T1323" s="24"/>
      <c r="U1323"/>
      <c r="V1323" s="1"/>
      <c r="W1323" s="24"/>
      <c r="X1323"/>
      <c r="Y1323" s="1"/>
      <c r="Z1323" s="24"/>
      <c r="AA1323"/>
      <c r="AB1323" s="1"/>
      <c r="AC1323" s="24"/>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c r="CA1323"/>
      <c r="CB1323"/>
      <c r="CC1323"/>
      <c r="CD1323"/>
      <c r="CE1323"/>
      <c r="CF1323"/>
      <c r="CG1323"/>
      <c r="CH1323"/>
      <c r="CI1323"/>
      <c r="CJ1323"/>
      <c r="CK1323"/>
      <c r="CL1323"/>
      <c r="CM1323"/>
      <c r="CN1323"/>
      <c r="CO1323"/>
      <c r="CP1323"/>
      <c r="CQ1323"/>
      <c r="CR1323"/>
      <c r="CS1323"/>
    </row>
    <row r="1324" spans="2:97">
      <c r="B1324"/>
      <c r="C1324" s="1"/>
      <c r="D1324" s="1"/>
      <c r="E1324" s="1"/>
      <c r="F1324" s="1"/>
      <c r="G1324" s="1"/>
      <c r="H1324" s="1"/>
      <c r="I1324" s="1"/>
      <c r="J1324" s="1"/>
      <c r="K1324" s="1"/>
      <c r="L1324" s="1"/>
      <c r="M1324" s="1"/>
      <c r="N1324" s="1"/>
      <c r="O1324" s="1"/>
      <c r="P1324" s="1"/>
      <c r="Q1324" s="1"/>
      <c r="R1324"/>
      <c r="S1324" s="1"/>
      <c r="T1324" s="24"/>
      <c r="U1324"/>
      <c r="V1324" s="1"/>
      <c r="W1324" s="24"/>
      <c r="X1324"/>
      <c r="Y1324" s="1"/>
      <c r="Z1324" s="24"/>
      <c r="AA1324"/>
      <c r="AB1324" s="1"/>
      <c r="AC1324" s="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c r="CA1324"/>
      <c r="CB1324"/>
      <c r="CC1324"/>
      <c r="CD1324"/>
      <c r="CE1324"/>
      <c r="CF1324"/>
      <c r="CG1324"/>
      <c r="CH1324"/>
      <c r="CI1324"/>
      <c r="CJ1324"/>
      <c r="CK1324"/>
      <c r="CL1324"/>
      <c r="CM1324"/>
      <c r="CN1324"/>
      <c r="CO1324"/>
      <c r="CP1324"/>
      <c r="CQ1324"/>
      <c r="CR1324"/>
      <c r="CS1324"/>
    </row>
    <row r="1325" spans="2:97">
      <c r="B1325"/>
      <c r="C1325" s="1"/>
      <c r="D1325" s="1"/>
      <c r="E1325" s="1"/>
      <c r="F1325" s="1"/>
      <c r="G1325" s="1"/>
      <c r="H1325" s="1"/>
      <c r="I1325" s="1"/>
      <c r="J1325" s="1"/>
      <c r="K1325" s="1"/>
      <c r="L1325" s="1"/>
      <c r="M1325" s="1"/>
      <c r="N1325" s="1"/>
      <c r="O1325" s="1"/>
      <c r="P1325" s="1"/>
      <c r="Q1325" s="1"/>
      <c r="R1325"/>
      <c r="S1325" s="1"/>
      <c r="T1325" s="24"/>
      <c r="U1325"/>
      <c r="V1325" s="1"/>
      <c r="W1325" s="24"/>
      <c r="X1325"/>
      <c r="Y1325" s="1"/>
      <c r="Z1325" s="24"/>
      <c r="AA1325"/>
      <c r="AB1325" s="1"/>
      <c r="AC1325" s="24"/>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c r="CA1325"/>
      <c r="CB1325"/>
      <c r="CC1325"/>
      <c r="CD1325"/>
      <c r="CE1325"/>
      <c r="CF1325"/>
      <c r="CG1325"/>
      <c r="CH1325"/>
      <c r="CI1325"/>
      <c r="CJ1325"/>
      <c r="CK1325"/>
      <c r="CL1325"/>
      <c r="CM1325"/>
      <c r="CN1325"/>
      <c r="CO1325"/>
      <c r="CP1325"/>
      <c r="CQ1325"/>
      <c r="CR1325"/>
      <c r="CS1325"/>
    </row>
    <row r="1326" spans="2:97">
      <c r="B1326"/>
      <c r="C1326" s="1"/>
      <c r="D1326" s="1"/>
      <c r="E1326" s="1"/>
      <c r="F1326" s="1"/>
      <c r="G1326" s="1"/>
      <c r="H1326" s="1"/>
      <c r="I1326" s="1"/>
      <c r="J1326" s="1"/>
      <c r="K1326" s="1"/>
      <c r="L1326" s="1"/>
      <c r="M1326" s="1"/>
      <c r="N1326" s="1"/>
      <c r="O1326" s="1"/>
      <c r="P1326" s="1"/>
      <c r="Q1326" s="1"/>
      <c r="R1326"/>
      <c r="S1326" s="1"/>
      <c r="T1326" s="24"/>
      <c r="U1326"/>
      <c r="V1326" s="1"/>
      <c r="W1326" s="24"/>
      <c r="X1326"/>
      <c r="Y1326" s="1"/>
      <c r="Z1326" s="24"/>
      <c r="AA1326"/>
      <c r="AB1326" s="1"/>
      <c r="AC1326" s="24"/>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c r="CA1326"/>
      <c r="CB1326"/>
      <c r="CC1326"/>
      <c r="CD1326"/>
      <c r="CE1326"/>
      <c r="CF1326"/>
      <c r="CG1326"/>
      <c r="CH1326"/>
      <c r="CI1326"/>
      <c r="CJ1326"/>
      <c r="CK1326"/>
      <c r="CL1326"/>
      <c r="CM1326"/>
      <c r="CN1326"/>
      <c r="CO1326"/>
      <c r="CP1326"/>
      <c r="CQ1326"/>
      <c r="CR1326"/>
      <c r="CS1326"/>
    </row>
    <row r="1327" spans="2:97">
      <c r="B1327"/>
      <c r="C1327" s="1"/>
      <c r="D1327" s="1"/>
      <c r="E1327" s="1"/>
      <c r="F1327" s="1"/>
      <c r="G1327" s="1"/>
      <c r="H1327" s="1"/>
      <c r="I1327" s="1"/>
      <c r="J1327" s="1"/>
      <c r="K1327" s="1"/>
      <c r="L1327" s="1"/>
      <c r="M1327" s="1"/>
      <c r="N1327" s="1"/>
      <c r="O1327" s="1"/>
      <c r="P1327" s="1"/>
      <c r="Q1327" s="1"/>
      <c r="R1327"/>
      <c r="S1327" s="1"/>
      <c r="T1327" s="24"/>
      <c r="U1327"/>
      <c r="V1327" s="1"/>
      <c r="W1327" s="24"/>
      <c r="X1327"/>
      <c r="Y1327" s="1"/>
      <c r="Z1327" s="24"/>
      <c r="AA1327"/>
      <c r="AB1327" s="1"/>
      <c r="AC1327" s="24"/>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c r="CA1327"/>
      <c r="CB1327"/>
      <c r="CC1327"/>
      <c r="CD1327"/>
      <c r="CE1327"/>
      <c r="CF1327"/>
      <c r="CG1327"/>
      <c r="CH1327"/>
      <c r="CI1327"/>
      <c r="CJ1327"/>
      <c r="CK1327"/>
      <c r="CL1327"/>
      <c r="CM1327"/>
      <c r="CN1327"/>
      <c r="CO1327"/>
      <c r="CP1327"/>
      <c r="CQ1327"/>
      <c r="CR1327"/>
      <c r="CS1327"/>
    </row>
    <row r="1328" spans="2:97">
      <c r="B1328"/>
      <c r="C1328" s="1"/>
      <c r="D1328" s="1"/>
      <c r="E1328" s="1"/>
      <c r="F1328" s="1"/>
      <c r="G1328" s="1"/>
      <c r="H1328" s="1"/>
      <c r="I1328" s="1"/>
      <c r="J1328" s="1"/>
      <c r="K1328" s="1"/>
      <c r="L1328" s="1"/>
      <c r="M1328" s="1"/>
      <c r="N1328" s="1"/>
      <c r="O1328" s="1"/>
      <c r="P1328" s="1"/>
      <c r="Q1328" s="1"/>
      <c r="R1328"/>
      <c r="S1328" s="1"/>
      <c r="T1328" s="24"/>
      <c r="U1328"/>
      <c r="V1328" s="1"/>
      <c r="W1328" s="24"/>
      <c r="X1328"/>
      <c r="Y1328" s="1"/>
      <c r="Z1328" s="24"/>
      <c r="AA1328"/>
      <c r="AB1328" s="1"/>
      <c r="AC1328" s="24"/>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c r="CA1328"/>
      <c r="CB1328"/>
      <c r="CC1328"/>
      <c r="CD1328"/>
      <c r="CE1328"/>
      <c r="CF1328"/>
      <c r="CG1328"/>
      <c r="CH1328"/>
      <c r="CI1328"/>
      <c r="CJ1328"/>
      <c r="CK1328"/>
      <c r="CL1328"/>
      <c r="CM1328"/>
      <c r="CN1328"/>
      <c r="CO1328"/>
      <c r="CP1328"/>
      <c r="CQ1328"/>
      <c r="CR1328"/>
      <c r="CS1328"/>
    </row>
    <row r="1329" spans="2:97">
      <c r="B1329"/>
      <c r="C1329" s="1"/>
      <c r="D1329" s="1"/>
      <c r="E1329" s="1"/>
      <c r="F1329" s="1"/>
      <c r="G1329" s="1"/>
      <c r="H1329" s="1"/>
      <c r="I1329" s="1"/>
      <c r="J1329" s="1"/>
      <c r="K1329" s="1"/>
      <c r="L1329" s="1"/>
      <c r="M1329" s="1"/>
      <c r="N1329" s="1"/>
      <c r="O1329" s="1"/>
      <c r="P1329" s="1"/>
      <c r="Q1329" s="1"/>
      <c r="R1329"/>
      <c r="S1329" s="1"/>
      <c r="T1329" s="24"/>
      <c r="U1329"/>
      <c r="V1329" s="1"/>
      <c r="W1329" s="24"/>
      <c r="X1329"/>
      <c r="Y1329" s="1"/>
      <c r="Z1329" s="24"/>
      <c r="AA1329"/>
      <c r="AB1329" s="1"/>
      <c r="AC1329" s="24"/>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c r="CA1329"/>
      <c r="CB1329"/>
      <c r="CC1329"/>
      <c r="CD1329"/>
      <c r="CE1329"/>
      <c r="CF1329"/>
      <c r="CG1329"/>
      <c r="CH1329"/>
      <c r="CI1329"/>
      <c r="CJ1329"/>
      <c r="CK1329"/>
      <c r="CL1329"/>
      <c r="CM1329"/>
      <c r="CN1329"/>
      <c r="CO1329"/>
      <c r="CP1329"/>
      <c r="CQ1329"/>
      <c r="CR1329"/>
      <c r="CS1329"/>
    </row>
    <row r="1330" spans="2:97">
      <c r="B1330"/>
      <c r="C1330" s="1"/>
      <c r="D1330" s="1"/>
      <c r="E1330" s="1"/>
      <c r="F1330" s="1"/>
      <c r="G1330" s="1"/>
      <c r="H1330" s="1"/>
      <c r="I1330" s="1"/>
      <c r="J1330" s="1"/>
      <c r="K1330" s="1"/>
      <c r="L1330" s="1"/>
      <c r="M1330" s="1"/>
      <c r="N1330" s="1"/>
      <c r="O1330" s="1"/>
      <c r="P1330" s="1"/>
      <c r="Q1330" s="1"/>
      <c r="R1330"/>
      <c r="S1330" s="1"/>
      <c r="T1330" s="24"/>
      <c r="U1330"/>
      <c r="V1330" s="1"/>
      <c r="W1330" s="24"/>
      <c r="X1330"/>
      <c r="Y1330" s="1"/>
      <c r="Z1330" s="24"/>
      <c r="AA1330"/>
      <c r="AB1330" s="1"/>
      <c r="AC1330" s="24"/>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c r="CA1330"/>
      <c r="CB1330"/>
      <c r="CC1330"/>
      <c r="CD1330"/>
      <c r="CE1330"/>
      <c r="CF1330"/>
      <c r="CG1330"/>
      <c r="CH1330"/>
      <c r="CI1330"/>
      <c r="CJ1330"/>
      <c r="CK1330"/>
      <c r="CL1330"/>
      <c r="CM1330"/>
      <c r="CN1330"/>
      <c r="CO1330"/>
      <c r="CP1330"/>
      <c r="CQ1330"/>
      <c r="CR1330"/>
      <c r="CS1330"/>
    </row>
    <row r="1331" spans="2:97">
      <c r="B1331"/>
      <c r="C1331" s="1"/>
      <c r="D1331" s="1"/>
      <c r="E1331" s="1"/>
      <c r="F1331" s="1"/>
      <c r="G1331" s="1"/>
      <c r="H1331" s="1"/>
      <c r="I1331" s="1"/>
      <c r="J1331" s="1"/>
      <c r="K1331" s="1"/>
      <c r="L1331" s="1"/>
      <c r="M1331" s="1"/>
      <c r="N1331" s="1"/>
      <c r="O1331" s="1"/>
      <c r="P1331" s="1"/>
      <c r="Q1331" s="1"/>
      <c r="R1331"/>
      <c r="S1331" s="1"/>
      <c r="T1331" s="24"/>
      <c r="U1331"/>
      <c r="V1331" s="1"/>
      <c r="W1331" s="24"/>
      <c r="X1331"/>
      <c r="Y1331" s="1"/>
      <c r="Z1331" s="24"/>
      <c r="AA1331"/>
      <c r="AB1331" s="1"/>
      <c r="AC1331" s="24"/>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c r="CA1331"/>
      <c r="CB1331"/>
      <c r="CC1331"/>
      <c r="CD1331"/>
      <c r="CE1331"/>
      <c r="CF1331"/>
      <c r="CG1331"/>
      <c r="CH1331"/>
      <c r="CI1331"/>
      <c r="CJ1331"/>
      <c r="CK1331"/>
      <c r="CL1331"/>
      <c r="CM1331"/>
      <c r="CN1331"/>
      <c r="CO1331"/>
      <c r="CP1331"/>
      <c r="CQ1331"/>
      <c r="CR1331"/>
      <c r="CS1331"/>
    </row>
    <row r="1332" spans="2:97">
      <c r="B1332"/>
      <c r="C1332" s="1"/>
      <c r="D1332" s="1"/>
      <c r="E1332" s="1"/>
      <c r="F1332" s="1"/>
      <c r="G1332" s="1"/>
      <c r="H1332" s="1"/>
      <c r="I1332" s="1"/>
      <c r="J1332" s="1"/>
      <c r="K1332" s="1"/>
      <c r="L1332" s="1"/>
      <c r="M1332" s="1"/>
      <c r="N1332" s="1"/>
      <c r="O1332" s="1"/>
      <c r="P1332" s="1"/>
      <c r="Q1332" s="1"/>
      <c r="R1332"/>
      <c r="S1332" s="1"/>
      <c r="T1332" s="24"/>
      <c r="U1332"/>
      <c r="V1332" s="1"/>
      <c r="W1332" s="24"/>
      <c r="X1332"/>
      <c r="Y1332" s="1"/>
      <c r="Z1332" s="24"/>
      <c r="AA1332"/>
      <c r="AB1332" s="1"/>
      <c r="AC1332" s="24"/>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c r="CA1332"/>
      <c r="CB1332"/>
      <c r="CC1332"/>
      <c r="CD1332"/>
      <c r="CE1332"/>
      <c r="CF1332"/>
      <c r="CG1332"/>
      <c r="CH1332"/>
      <c r="CI1332"/>
      <c r="CJ1332"/>
      <c r="CK1332"/>
      <c r="CL1332"/>
      <c r="CM1332"/>
      <c r="CN1332"/>
      <c r="CO1332"/>
      <c r="CP1332"/>
      <c r="CQ1332"/>
      <c r="CR1332"/>
      <c r="CS1332"/>
    </row>
    <row r="1333" spans="2:97">
      <c r="B1333"/>
      <c r="C1333" s="1"/>
      <c r="D1333" s="1"/>
      <c r="E1333" s="1"/>
      <c r="F1333" s="1"/>
      <c r="G1333" s="1"/>
      <c r="H1333" s="1"/>
      <c r="I1333" s="1"/>
      <c r="J1333" s="1"/>
      <c r="K1333" s="1"/>
      <c r="L1333" s="1"/>
      <c r="M1333" s="1"/>
      <c r="N1333" s="1"/>
      <c r="O1333" s="1"/>
      <c r="P1333" s="1"/>
      <c r="Q1333" s="1"/>
      <c r="R1333"/>
      <c r="S1333" s="1"/>
      <c r="T1333" s="24"/>
      <c r="U1333"/>
      <c r="V1333" s="1"/>
      <c r="W1333" s="24"/>
      <c r="X1333"/>
      <c r="Y1333" s="1"/>
      <c r="Z1333" s="24"/>
      <c r="AA1333"/>
      <c r="AB1333" s="1"/>
      <c r="AC1333" s="24"/>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c r="CA1333"/>
      <c r="CB1333"/>
      <c r="CC1333"/>
      <c r="CD1333"/>
      <c r="CE1333"/>
      <c r="CF1333"/>
      <c r="CG1333"/>
      <c r="CH1333"/>
      <c r="CI1333"/>
      <c r="CJ1333"/>
      <c r="CK1333"/>
      <c r="CL1333"/>
      <c r="CM1333"/>
      <c r="CN1333"/>
      <c r="CO1333"/>
      <c r="CP1333"/>
      <c r="CQ1333"/>
      <c r="CR1333"/>
      <c r="CS1333"/>
    </row>
    <row r="1334" spans="2:97">
      <c r="B1334"/>
      <c r="C1334" s="1"/>
      <c r="D1334" s="1"/>
      <c r="E1334" s="1"/>
      <c r="F1334" s="1"/>
      <c r="G1334" s="1"/>
      <c r="H1334" s="1"/>
      <c r="I1334" s="1"/>
      <c r="J1334" s="1"/>
      <c r="K1334" s="1"/>
      <c r="L1334" s="1"/>
      <c r="M1334" s="1"/>
      <c r="N1334" s="1"/>
      <c r="O1334" s="1"/>
      <c r="P1334" s="1"/>
      <c r="Q1334" s="1"/>
      <c r="R1334"/>
      <c r="S1334" s="1"/>
      <c r="T1334" s="24"/>
      <c r="U1334"/>
      <c r="V1334" s="1"/>
      <c r="W1334" s="24"/>
      <c r="X1334"/>
      <c r="Y1334" s="1"/>
      <c r="Z1334" s="24"/>
      <c r="AA1334"/>
      <c r="AB1334" s="1"/>
      <c r="AC1334" s="2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c r="CA1334"/>
      <c r="CB1334"/>
      <c r="CC1334"/>
      <c r="CD1334"/>
      <c r="CE1334"/>
      <c r="CF1334"/>
      <c r="CG1334"/>
      <c r="CH1334"/>
      <c r="CI1334"/>
      <c r="CJ1334"/>
      <c r="CK1334"/>
      <c r="CL1334"/>
      <c r="CM1334"/>
      <c r="CN1334"/>
      <c r="CO1334"/>
      <c r="CP1334"/>
      <c r="CQ1334"/>
      <c r="CR1334"/>
      <c r="CS1334"/>
    </row>
    <row r="1335" spans="2:97">
      <c r="B1335"/>
      <c r="C1335" s="1"/>
      <c r="D1335" s="1"/>
      <c r="E1335" s="1"/>
      <c r="F1335" s="1"/>
      <c r="G1335" s="1"/>
      <c r="H1335" s="1"/>
      <c r="I1335" s="1"/>
      <c r="J1335" s="1"/>
      <c r="K1335" s="1"/>
      <c r="L1335" s="1"/>
      <c r="M1335" s="1"/>
      <c r="N1335" s="1"/>
      <c r="O1335" s="1"/>
      <c r="P1335" s="1"/>
      <c r="Q1335" s="1"/>
      <c r="R1335"/>
      <c r="S1335" s="1"/>
      <c r="T1335" s="24"/>
      <c r="U1335"/>
      <c r="V1335" s="1"/>
      <c r="W1335" s="24"/>
      <c r="X1335"/>
      <c r="Y1335" s="1"/>
      <c r="Z1335" s="24"/>
      <c r="AA1335"/>
      <c r="AB1335" s="1"/>
      <c r="AC1335" s="24"/>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c r="CA1335"/>
      <c r="CB1335"/>
      <c r="CC1335"/>
      <c r="CD1335"/>
      <c r="CE1335"/>
      <c r="CF1335"/>
      <c r="CG1335"/>
      <c r="CH1335"/>
      <c r="CI1335"/>
      <c r="CJ1335"/>
      <c r="CK1335"/>
      <c r="CL1335"/>
      <c r="CM1335"/>
      <c r="CN1335"/>
      <c r="CO1335"/>
      <c r="CP1335"/>
      <c r="CQ1335"/>
      <c r="CR1335"/>
      <c r="CS1335"/>
    </row>
    <row r="1336" spans="2:97">
      <c r="B1336"/>
      <c r="C1336" s="1"/>
      <c r="D1336" s="1"/>
      <c r="E1336" s="1"/>
      <c r="F1336" s="1"/>
      <c r="G1336" s="1"/>
      <c r="H1336" s="1"/>
      <c r="I1336" s="1"/>
      <c r="J1336" s="1"/>
      <c r="K1336" s="1"/>
      <c r="L1336" s="1"/>
      <c r="M1336" s="1"/>
      <c r="N1336" s="1"/>
      <c r="O1336" s="1"/>
      <c r="P1336" s="1"/>
      <c r="Q1336" s="1"/>
      <c r="R1336"/>
      <c r="S1336" s="1"/>
      <c r="T1336" s="24"/>
      <c r="U1336"/>
      <c r="V1336" s="1"/>
      <c r="W1336" s="24"/>
      <c r="X1336"/>
      <c r="Y1336" s="1"/>
      <c r="Z1336" s="24"/>
      <c r="AA1336"/>
      <c r="AB1336" s="1"/>
      <c r="AC1336" s="24"/>
      <c r="AD1336"/>
      <c r="AE1336"/>
      <c r="AF1336"/>
      <c r="AG1336"/>
      <c r="AH1336"/>
      <c r="AI1336"/>
      <c r="AJ1336"/>
      <c r="AK1336"/>
      <c r="AL1336"/>
      <c r="AM1336"/>
      <c r="AN1336"/>
      <c r="AO1336"/>
      <c r="AP1336"/>
      <c r="AQ1336"/>
      <c r="AR1336"/>
      <c r="AS1336"/>
      <c r="AT1336"/>
      <c r="AU1336"/>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c r="CA1336"/>
      <c r="CB1336"/>
      <c r="CC1336"/>
      <c r="CD1336"/>
      <c r="CE1336"/>
      <c r="CF1336"/>
      <c r="CG1336"/>
      <c r="CH1336"/>
      <c r="CI1336"/>
      <c r="CJ1336"/>
      <c r="CK1336"/>
      <c r="CL1336"/>
      <c r="CM1336"/>
      <c r="CN1336"/>
      <c r="CO1336"/>
      <c r="CP1336"/>
      <c r="CQ1336"/>
      <c r="CR1336"/>
      <c r="CS1336"/>
    </row>
    <row r="1337" spans="2:97">
      <c r="B1337"/>
      <c r="C1337" s="1"/>
      <c r="D1337" s="1"/>
      <c r="E1337" s="1"/>
      <c r="F1337" s="1"/>
      <c r="G1337" s="1"/>
      <c r="H1337" s="1"/>
      <c r="I1337" s="1"/>
      <c r="J1337" s="1"/>
      <c r="K1337" s="1"/>
      <c r="L1337" s="1"/>
      <c r="M1337" s="1"/>
      <c r="N1337" s="1"/>
      <c r="O1337" s="1"/>
      <c r="P1337" s="1"/>
      <c r="Q1337" s="1"/>
      <c r="R1337"/>
      <c r="S1337" s="1"/>
      <c r="T1337" s="24"/>
      <c r="U1337"/>
      <c r="V1337" s="1"/>
      <c r="W1337" s="24"/>
      <c r="X1337"/>
      <c r="Y1337" s="1"/>
      <c r="Z1337" s="24"/>
      <c r="AA1337"/>
      <c r="AB1337" s="1"/>
      <c r="AC1337" s="24"/>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c r="CA1337"/>
      <c r="CB1337"/>
      <c r="CC1337"/>
      <c r="CD1337"/>
      <c r="CE1337"/>
      <c r="CF1337"/>
      <c r="CG1337"/>
      <c r="CH1337"/>
      <c r="CI1337"/>
      <c r="CJ1337"/>
      <c r="CK1337"/>
      <c r="CL1337"/>
      <c r="CM1337"/>
      <c r="CN1337"/>
      <c r="CO1337"/>
      <c r="CP1337"/>
      <c r="CQ1337"/>
      <c r="CR1337"/>
      <c r="CS1337"/>
    </row>
    <row r="1338" spans="2:97">
      <c r="B1338"/>
      <c r="C1338" s="1"/>
      <c r="D1338" s="1"/>
      <c r="E1338" s="1"/>
      <c r="F1338" s="1"/>
      <c r="G1338" s="1"/>
      <c r="H1338" s="1"/>
      <c r="I1338" s="1"/>
      <c r="J1338" s="1"/>
      <c r="K1338" s="1"/>
      <c r="L1338" s="1"/>
      <c r="M1338" s="1"/>
      <c r="N1338" s="1"/>
      <c r="O1338" s="1"/>
      <c r="P1338" s="1"/>
      <c r="Q1338" s="1"/>
      <c r="R1338"/>
      <c r="S1338" s="1"/>
      <c r="T1338" s="24"/>
      <c r="U1338"/>
      <c r="V1338" s="1"/>
      <c r="W1338" s="24"/>
      <c r="X1338"/>
      <c r="Y1338" s="1"/>
      <c r="Z1338" s="24"/>
      <c r="AA1338"/>
      <c r="AB1338" s="1"/>
      <c r="AC1338" s="24"/>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c r="CA1338"/>
      <c r="CB1338"/>
      <c r="CC1338"/>
      <c r="CD1338"/>
      <c r="CE1338"/>
      <c r="CF1338"/>
      <c r="CG1338"/>
      <c r="CH1338"/>
      <c r="CI1338"/>
      <c r="CJ1338"/>
      <c r="CK1338"/>
      <c r="CL1338"/>
      <c r="CM1338"/>
      <c r="CN1338"/>
      <c r="CO1338"/>
      <c r="CP1338"/>
      <c r="CQ1338"/>
      <c r="CR1338"/>
      <c r="CS1338"/>
    </row>
    <row r="1339" spans="2:97">
      <c r="B1339"/>
      <c r="C1339" s="1"/>
      <c r="D1339" s="1"/>
      <c r="E1339" s="1"/>
      <c r="F1339" s="1"/>
      <c r="G1339" s="1"/>
      <c r="H1339" s="1"/>
      <c r="I1339" s="1"/>
      <c r="J1339" s="1"/>
      <c r="K1339" s="1"/>
      <c r="L1339" s="1"/>
      <c r="M1339" s="1"/>
      <c r="N1339" s="1"/>
      <c r="O1339" s="1"/>
      <c r="P1339" s="1"/>
      <c r="Q1339" s="1"/>
      <c r="R1339"/>
      <c r="S1339" s="1"/>
      <c r="T1339" s="24"/>
      <c r="U1339"/>
      <c r="V1339" s="1"/>
      <c r="W1339" s="24"/>
      <c r="X1339"/>
      <c r="Y1339" s="1"/>
      <c r="Z1339" s="24"/>
      <c r="AA1339"/>
      <c r="AB1339" s="1"/>
      <c r="AC1339" s="24"/>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c r="CA1339"/>
      <c r="CB1339"/>
      <c r="CC1339"/>
      <c r="CD1339"/>
      <c r="CE1339"/>
      <c r="CF1339"/>
      <c r="CG1339"/>
      <c r="CH1339"/>
      <c r="CI1339"/>
      <c r="CJ1339"/>
      <c r="CK1339"/>
      <c r="CL1339"/>
      <c r="CM1339"/>
      <c r="CN1339"/>
      <c r="CO1339"/>
      <c r="CP1339"/>
      <c r="CQ1339"/>
      <c r="CR1339"/>
      <c r="CS1339"/>
    </row>
    <row r="1340" spans="2:97">
      <c r="B1340"/>
      <c r="C1340" s="1"/>
      <c r="D1340" s="1"/>
      <c r="E1340" s="1"/>
      <c r="F1340" s="1"/>
      <c r="G1340" s="1"/>
      <c r="H1340" s="1"/>
      <c r="I1340" s="1"/>
      <c r="J1340" s="1"/>
      <c r="K1340" s="1"/>
      <c r="L1340" s="1"/>
      <c r="M1340" s="1"/>
      <c r="N1340" s="1"/>
      <c r="O1340" s="1"/>
      <c r="P1340" s="1"/>
      <c r="Q1340" s="1"/>
      <c r="R1340"/>
      <c r="S1340" s="1"/>
      <c r="T1340" s="24"/>
      <c r="U1340"/>
      <c r="V1340" s="1"/>
      <c r="W1340" s="24"/>
      <c r="X1340"/>
      <c r="Y1340" s="1"/>
      <c r="Z1340" s="24"/>
      <c r="AA1340"/>
      <c r="AB1340" s="1"/>
      <c r="AC1340" s="24"/>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c r="CA1340"/>
      <c r="CB1340"/>
      <c r="CC1340"/>
      <c r="CD1340"/>
      <c r="CE1340"/>
      <c r="CF1340"/>
      <c r="CG1340"/>
      <c r="CH1340"/>
      <c r="CI1340"/>
      <c r="CJ1340"/>
      <c r="CK1340"/>
      <c r="CL1340"/>
      <c r="CM1340"/>
      <c r="CN1340"/>
      <c r="CO1340"/>
      <c r="CP1340"/>
      <c r="CQ1340"/>
      <c r="CR1340"/>
      <c r="CS1340"/>
    </row>
    <row r="1341" spans="2:97">
      <c r="B1341"/>
      <c r="C1341" s="1"/>
      <c r="D1341" s="1"/>
      <c r="E1341" s="1"/>
      <c r="F1341" s="1"/>
      <c r="G1341" s="1"/>
      <c r="H1341" s="1"/>
      <c r="I1341" s="1"/>
      <c r="J1341" s="1"/>
      <c r="K1341" s="1"/>
      <c r="L1341" s="1"/>
      <c r="M1341" s="1"/>
      <c r="N1341" s="1"/>
      <c r="O1341" s="1"/>
      <c r="P1341" s="1"/>
      <c r="Q1341" s="1"/>
      <c r="R1341"/>
      <c r="S1341" s="1"/>
      <c r="T1341" s="24"/>
      <c r="U1341"/>
      <c r="V1341" s="1"/>
      <c r="W1341" s="24"/>
      <c r="X1341"/>
      <c r="Y1341" s="1"/>
      <c r="Z1341" s="24"/>
      <c r="AA1341"/>
      <c r="AB1341" s="1"/>
      <c r="AC1341" s="24"/>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c r="CA1341"/>
      <c r="CB1341"/>
      <c r="CC1341"/>
      <c r="CD1341"/>
      <c r="CE1341"/>
      <c r="CF1341"/>
      <c r="CG1341"/>
      <c r="CH1341"/>
      <c r="CI1341"/>
      <c r="CJ1341"/>
      <c r="CK1341"/>
      <c r="CL1341"/>
      <c r="CM1341"/>
      <c r="CN1341"/>
      <c r="CO1341"/>
      <c r="CP1341"/>
      <c r="CQ1341"/>
      <c r="CR1341"/>
      <c r="CS1341"/>
    </row>
    <row r="1342" spans="2:97">
      <c r="B1342"/>
      <c r="C1342" s="1"/>
      <c r="D1342" s="1"/>
      <c r="E1342" s="1"/>
      <c r="F1342" s="1"/>
      <c r="G1342" s="1"/>
      <c r="H1342" s="1"/>
      <c r="I1342" s="1"/>
      <c r="J1342" s="1"/>
      <c r="K1342" s="1"/>
      <c r="L1342" s="1"/>
      <c r="M1342" s="1"/>
      <c r="N1342" s="1"/>
      <c r="O1342" s="1"/>
      <c r="P1342" s="1"/>
      <c r="Q1342" s="1"/>
      <c r="R1342"/>
      <c r="S1342" s="1"/>
      <c r="T1342" s="24"/>
      <c r="U1342"/>
      <c r="V1342" s="1"/>
      <c r="W1342" s="24"/>
      <c r="X1342"/>
      <c r="Y1342" s="1"/>
      <c r="Z1342" s="24"/>
      <c r="AA1342"/>
      <c r="AB1342" s="1"/>
      <c r="AC1342" s="24"/>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c r="CA1342"/>
      <c r="CB1342"/>
      <c r="CC1342"/>
      <c r="CD1342"/>
      <c r="CE1342"/>
      <c r="CF1342"/>
      <c r="CG1342"/>
      <c r="CH1342"/>
      <c r="CI1342"/>
      <c r="CJ1342"/>
      <c r="CK1342"/>
      <c r="CL1342"/>
      <c r="CM1342"/>
      <c r="CN1342"/>
      <c r="CO1342"/>
      <c r="CP1342"/>
      <c r="CQ1342"/>
      <c r="CR1342"/>
      <c r="CS1342"/>
    </row>
    <row r="1343" spans="2:97">
      <c r="B1343"/>
      <c r="C1343" s="1"/>
      <c r="D1343" s="1"/>
      <c r="E1343" s="1"/>
      <c r="F1343" s="1"/>
      <c r="G1343" s="1"/>
      <c r="H1343" s="1"/>
      <c r="I1343" s="1"/>
      <c r="J1343" s="1"/>
      <c r="K1343" s="1"/>
      <c r="L1343" s="1"/>
      <c r="M1343" s="1"/>
      <c r="N1343" s="1"/>
      <c r="O1343" s="1"/>
      <c r="P1343" s="1"/>
      <c r="Q1343" s="1"/>
      <c r="R1343"/>
      <c r="S1343" s="1"/>
      <c r="T1343" s="24"/>
      <c r="U1343"/>
      <c r="V1343" s="1"/>
      <c r="W1343" s="24"/>
      <c r="X1343"/>
      <c r="Y1343" s="1"/>
      <c r="Z1343" s="24"/>
      <c r="AA1343"/>
      <c r="AB1343" s="1"/>
      <c r="AC1343" s="24"/>
      <c r="AD1343"/>
      <c r="AE1343"/>
      <c r="AF1343"/>
      <c r="AG1343"/>
      <c r="AH1343"/>
      <c r="AI1343"/>
      <c r="AJ1343"/>
      <c r="AK1343"/>
      <c r="AL1343"/>
      <c r="AM1343"/>
      <c r="AN1343"/>
      <c r="AO1343"/>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c r="CA1343"/>
      <c r="CB1343"/>
      <c r="CC1343"/>
      <c r="CD1343"/>
      <c r="CE1343"/>
      <c r="CF1343"/>
      <c r="CG1343"/>
      <c r="CH1343"/>
      <c r="CI1343"/>
      <c r="CJ1343"/>
      <c r="CK1343"/>
      <c r="CL1343"/>
      <c r="CM1343"/>
      <c r="CN1343"/>
      <c r="CO1343"/>
      <c r="CP1343"/>
      <c r="CQ1343"/>
      <c r="CR1343"/>
      <c r="CS1343"/>
    </row>
    <row r="1344" spans="2:97">
      <c r="B1344"/>
      <c r="C1344" s="1"/>
      <c r="D1344" s="1"/>
      <c r="E1344" s="1"/>
      <c r="F1344" s="1"/>
      <c r="G1344" s="1"/>
      <c r="H1344" s="1"/>
      <c r="I1344" s="1"/>
      <c r="J1344" s="1"/>
      <c r="K1344" s="1"/>
      <c r="L1344" s="1"/>
      <c r="M1344" s="1"/>
      <c r="N1344" s="1"/>
      <c r="O1344" s="1"/>
      <c r="P1344" s="1"/>
      <c r="Q1344" s="1"/>
      <c r="R1344"/>
      <c r="S1344" s="1"/>
      <c r="T1344" s="24"/>
      <c r="U1344"/>
      <c r="V1344" s="1"/>
      <c r="W1344" s="24"/>
      <c r="X1344"/>
      <c r="Y1344" s="1"/>
      <c r="Z1344" s="24"/>
      <c r="AA1344"/>
      <c r="AB1344" s="1"/>
      <c r="AC1344" s="2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c r="CA1344"/>
      <c r="CB1344"/>
      <c r="CC1344"/>
      <c r="CD1344"/>
      <c r="CE1344"/>
      <c r="CF1344"/>
      <c r="CG1344"/>
      <c r="CH1344"/>
      <c r="CI1344"/>
      <c r="CJ1344"/>
      <c r="CK1344"/>
      <c r="CL1344"/>
      <c r="CM1344"/>
      <c r="CN1344"/>
      <c r="CO1344"/>
      <c r="CP1344"/>
      <c r="CQ1344"/>
      <c r="CR1344"/>
      <c r="CS1344"/>
    </row>
    <row r="1345" spans="2:97">
      <c r="B1345"/>
      <c r="C1345" s="1"/>
      <c r="D1345" s="1"/>
      <c r="E1345" s="1"/>
      <c r="F1345" s="1"/>
      <c r="G1345" s="1"/>
      <c r="H1345" s="1"/>
      <c r="I1345" s="1"/>
      <c r="J1345" s="1"/>
      <c r="K1345" s="1"/>
      <c r="L1345" s="1"/>
      <c r="M1345" s="1"/>
      <c r="N1345" s="1"/>
      <c r="O1345" s="1"/>
      <c r="P1345" s="1"/>
      <c r="Q1345" s="1"/>
      <c r="R1345"/>
      <c r="S1345" s="1"/>
      <c r="T1345" s="24"/>
      <c r="U1345"/>
      <c r="V1345" s="1"/>
      <c r="W1345" s="24"/>
      <c r="X1345"/>
      <c r="Y1345" s="1"/>
      <c r="Z1345" s="24"/>
      <c r="AA1345"/>
      <c r="AB1345" s="1"/>
      <c r="AC1345" s="24"/>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c r="CA1345"/>
      <c r="CB1345"/>
      <c r="CC1345"/>
      <c r="CD1345"/>
      <c r="CE1345"/>
      <c r="CF1345"/>
      <c r="CG1345"/>
      <c r="CH1345"/>
      <c r="CI1345"/>
      <c r="CJ1345"/>
      <c r="CK1345"/>
      <c r="CL1345"/>
      <c r="CM1345"/>
      <c r="CN1345"/>
      <c r="CO1345"/>
      <c r="CP1345"/>
      <c r="CQ1345"/>
      <c r="CR1345"/>
      <c r="CS1345"/>
    </row>
    <row r="1346" spans="2:97">
      <c r="B1346"/>
      <c r="C1346" s="1"/>
      <c r="D1346" s="1"/>
      <c r="E1346" s="1"/>
      <c r="F1346" s="1"/>
      <c r="G1346" s="1"/>
      <c r="H1346" s="1"/>
      <c r="I1346" s="1"/>
      <c r="J1346" s="1"/>
      <c r="K1346" s="1"/>
      <c r="L1346" s="1"/>
      <c r="M1346" s="1"/>
      <c r="N1346" s="1"/>
      <c r="O1346" s="1"/>
      <c r="P1346" s="1"/>
      <c r="Q1346" s="1"/>
      <c r="R1346"/>
      <c r="S1346" s="1"/>
      <c r="T1346" s="24"/>
      <c r="U1346"/>
      <c r="V1346" s="1"/>
      <c r="W1346" s="24"/>
      <c r="X1346"/>
      <c r="Y1346" s="1"/>
      <c r="Z1346" s="24"/>
      <c r="AA1346"/>
      <c r="AB1346" s="1"/>
      <c r="AC1346" s="24"/>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c r="CA1346"/>
      <c r="CB1346"/>
      <c r="CC1346"/>
      <c r="CD1346"/>
      <c r="CE1346"/>
      <c r="CF1346"/>
      <c r="CG1346"/>
      <c r="CH1346"/>
      <c r="CI1346"/>
      <c r="CJ1346"/>
      <c r="CK1346"/>
      <c r="CL1346"/>
      <c r="CM1346"/>
      <c r="CN1346"/>
      <c r="CO1346"/>
      <c r="CP1346"/>
      <c r="CQ1346"/>
      <c r="CR1346"/>
      <c r="CS1346"/>
    </row>
    <row r="1347" spans="2:97">
      <c r="B1347"/>
      <c r="C1347" s="1"/>
      <c r="D1347" s="1"/>
      <c r="E1347" s="1"/>
      <c r="F1347" s="1"/>
      <c r="G1347" s="1"/>
      <c r="H1347" s="1"/>
      <c r="I1347" s="1"/>
      <c r="J1347" s="1"/>
      <c r="K1347" s="1"/>
      <c r="L1347" s="1"/>
      <c r="M1347" s="1"/>
      <c r="N1347" s="1"/>
      <c r="O1347" s="1"/>
      <c r="P1347" s="1"/>
      <c r="Q1347" s="1"/>
      <c r="R1347"/>
      <c r="S1347" s="1"/>
      <c r="T1347" s="24"/>
      <c r="U1347"/>
      <c r="V1347" s="1"/>
      <c r="W1347" s="24"/>
      <c r="X1347"/>
      <c r="Y1347" s="1"/>
      <c r="Z1347" s="24"/>
      <c r="AA1347"/>
      <c r="AB1347" s="1"/>
      <c r="AC1347" s="24"/>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c r="CA1347"/>
      <c r="CB1347"/>
      <c r="CC1347"/>
      <c r="CD1347"/>
      <c r="CE1347"/>
      <c r="CF1347"/>
      <c r="CG1347"/>
      <c r="CH1347"/>
      <c r="CI1347"/>
      <c r="CJ1347"/>
      <c r="CK1347"/>
      <c r="CL1347"/>
      <c r="CM1347"/>
      <c r="CN1347"/>
      <c r="CO1347"/>
      <c r="CP1347"/>
      <c r="CQ1347"/>
      <c r="CR1347"/>
      <c r="CS1347"/>
    </row>
    <row r="1348" spans="2:97">
      <c r="B1348"/>
      <c r="C1348" s="1"/>
      <c r="D1348" s="1"/>
      <c r="E1348" s="1"/>
      <c r="F1348" s="1"/>
      <c r="G1348" s="1"/>
      <c r="H1348" s="1"/>
      <c r="I1348" s="1"/>
      <c r="J1348" s="1"/>
      <c r="K1348" s="1"/>
      <c r="L1348" s="1"/>
      <c r="M1348" s="1"/>
      <c r="N1348" s="1"/>
      <c r="O1348" s="1"/>
      <c r="P1348" s="1"/>
      <c r="Q1348" s="1"/>
      <c r="R1348"/>
      <c r="S1348" s="1"/>
      <c r="T1348" s="24"/>
      <c r="U1348"/>
      <c r="V1348" s="1"/>
      <c r="W1348" s="24"/>
      <c r="X1348"/>
      <c r="Y1348" s="1"/>
      <c r="Z1348" s="24"/>
      <c r="AA1348"/>
      <c r="AB1348" s="1"/>
      <c r="AC1348" s="24"/>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c r="CA1348"/>
      <c r="CB1348"/>
      <c r="CC1348"/>
      <c r="CD1348"/>
      <c r="CE1348"/>
      <c r="CF1348"/>
      <c r="CG1348"/>
      <c r="CH1348"/>
      <c r="CI1348"/>
      <c r="CJ1348"/>
      <c r="CK1348"/>
      <c r="CL1348"/>
      <c r="CM1348"/>
      <c r="CN1348"/>
      <c r="CO1348"/>
      <c r="CP1348"/>
      <c r="CQ1348"/>
      <c r="CR1348"/>
      <c r="CS1348"/>
    </row>
    <row r="1349" spans="2:97">
      <c r="B1349"/>
      <c r="C1349" s="1"/>
      <c r="D1349" s="1"/>
      <c r="E1349" s="1"/>
      <c r="F1349" s="1"/>
      <c r="G1349" s="1"/>
      <c r="H1349" s="1"/>
      <c r="I1349" s="1"/>
      <c r="J1349" s="1"/>
      <c r="K1349" s="1"/>
      <c r="L1349" s="1"/>
      <c r="M1349" s="1"/>
      <c r="N1349" s="1"/>
      <c r="O1349" s="1"/>
      <c r="P1349" s="1"/>
      <c r="Q1349" s="1"/>
      <c r="R1349"/>
      <c r="S1349" s="1"/>
      <c r="T1349" s="24"/>
      <c r="U1349"/>
      <c r="V1349" s="1"/>
      <c r="W1349" s="24"/>
      <c r="X1349"/>
      <c r="Y1349" s="1"/>
      <c r="Z1349" s="24"/>
      <c r="AA1349"/>
      <c r="AB1349" s="1"/>
      <c r="AC1349" s="24"/>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c r="CA1349"/>
      <c r="CB1349"/>
      <c r="CC1349"/>
      <c r="CD1349"/>
      <c r="CE1349"/>
      <c r="CF1349"/>
      <c r="CG1349"/>
      <c r="CH1349"/>
      <c r="CI1349"/>
      <c r="CJ1349"/>
      <c r="CK1349"/>
      <c r="CL1349"/>
      <c r="CM1349"/>
      <c r="CN1349"/>
      <c r="CO1349"/>
      <c r="CP1349"/>
      <c r="CQ1349"/>
      <c r="CR1349"/>
      <c r="CS1349"/>
    </row>
    <row r="1350" spans="2:97">
      <c r="B1350"/>
      <c r="C1350" s="1"/>
      <c r="D1350" s="1"/>
      <c r="E1350" s="1"/>
      <c r="F1350" s="1"/>
      <c r="G1350" s="1"/>
      <c r="H1350" s="1"/>
      <c r="I1350" s="1"/>
      <c r="J1350" s="1"/>
      <c r="K1350" s="1"/>
      <c r="L1350" s="1"/>
      <c r="M1350" s="1"/>
      <c r="N1350" s="1"/>
      <c r="O1350" s="1"/>
      <c r="P1350" s="1"/>
      <c r="Q1350" s="1"/>
      <c r="R1350"/>
      <c r="S1350" s="1"/>
      <c r="T1350" s="24"/>
      <c r="U1350"/>
      <c r="V1350" s="1"/>
      <c r="W1350" s="24"/>
      <c r="X1350"/>
      <c r="Y1350" s="1"/>
      <c r="Z1350" s="24"/>
      <c r="AA1350"/>
      <c r="AB1350" s="1"/>
      <c r="AC1350" s="24"/>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c r="CA1350"/>
      <c r="CB1350"/>
      <c r="CC1350"/>
      <c r="CD1350"/>
      <c r="CE1350"/>
      <c r="CF1350"/>
      <c r="CG1350"/>
      <c r="CH1350"/>
      <c r="CI1350"/>
      <c r="CJ1350"/>
      <c r="CK1350"/>
      <c r="CL1350"/>
      <c r="CM1350"/>
      <c r="CN1350"/>
      <c r="CO1350"/>
      <c r="CP1350"/>
      <c r="CQ1350"/>
      <c r="CR1350"/>
      <c r="CS1350"/>
    </row>
    <row r="1351" spans="2:97">
      <c r="B1351"/>
      <c r="C1351" s="1"/>
      <c r="D1351" s="1"/>
      <c r="E1351" s="1"/>
      <c r="F1351" s="1"/>
      <c r="G1351" s="1"/>
      <c r="H1351" s="1"/>
      <c r="I1351" s="1"/>
      <c r="J1351" s="1"/>
      <c r="K1351" s="1"/>
      <c r="L1351" s="1"/>
      <c r="M1351" s="1"/>
      <c r="N1351" s="1"/>
      <c r="O1351" s="1"/>
      <c r="P1351" s="1"/>
      <c r="Q1351" s="1"/>
      <c r="R1351"/>
      <c r="S1351" s="1"/>
      <c r="T1351" s="24"/>
      <c r="U1351"/>
      <c r="V1351" s="1"/>
      <c r="W1351" s="24"/>
      <c r="X1351"/>
      <c r="Y1351" s="1"/>
      <c r="Z1351" s="24"/>
      <c r="AA1351"/>
      <c r="AB1351" s="1"/>
      <c r="AC1351" s="24"/>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c r="CA1351"/>
      <c r="CB1351"/>
      <c r="CC1351"/>
      <c r="CD1351"/>
      <c r="CE1351"/>
      <c r="CF1351"/>
      <c r="CG1351"/>
      <c r="CH1351"/>
      <c r="CI1351"/>
      <c r="CJ1351"/>
      <c r="CK1351"/>
      <c r="CL1351"/>
      <c r="CM1351"/>
      <c r="CN1351"/>
      <c r="CO1351"/>
      <c r="CP1351"/>
      <c r="CQ1351"/>
      <c r="CR1351"/>
      <c r="CS1351"/>
    </row>
    <row r="1352" spans="2:97">
      <c r="B1352"/>
      <c r="C1352" s="1"/>
      <c r="D1352" s="1"/>
      <c r="E1352" s="1"/>
      <c r="F1352" s="1"/>
      <c r="G1352" s="1"/>
      <c r="H1352" s="1"/>
      <c r="I1352" s="1"/>
      <c r="J1352" s="1"/>
      <c r="K1352" s="1"/>
      <c r="L1352" s="1"/>
      <c r="M1352" s="1"/>
      <c r="N1352" s="1"/>
      <c r="O1352" s="1"/>
      <c r="P1352" s="1"/>
      <c r="Q1352" s="1"/>
      <c r="R1352"/>
      <c r="S1352" s="1"/>
      <c r="T1352" s="24"/>
      <c r="U1352"/>
      <c r="V1352" s="1"/>
      <c r="W1352" s="24"/>
      <c r="X1352"/>
      <c r="Y1352" s="1"/>
      <c r="Z1352" s="24"/>
      <c r="AA1352"/>
      <c r="AB1352" s="1"/>
      <c r="AC1352" s="24"/>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c r="CA1352"/>
      <c r="CB1352"/>
      <c r="CC1352"/>
      <c r="CD1352"/>
      <c r="CE1352"/>
      <c r="CF1352"/>
      <c r="CG1352"/>
      <c r="CH1352"/>
      <c r="CI1352"/>
      <c r="CJ1352"/>
      <c r="CK1352"/>
      <c r="CL1352"/>
      <c r="CM1352"/>
      <c r="CN1352"/>
      <c r="CO1352"/>
      <c r="CP1352"/>
      <c r="CQ1352"/>
      <c r="CR1352"/>
      <c r="CS1352"/>
    </row>
    <row r="1353" spans="2:97">
      <c r="B1353"/>
      <c r="C1353" s="1"/>
      <c r="D1353" s="1"/>
      <c r="E1353" s="1"/>
      <c r="F1353" s="1"/>
      <c r="G1353" s="1"/>
      <c r="H1353" s="1"/>
      <c r="I1353" s="1"/>
      <c r="J1353" s="1"/>
      <c r="K1353" s="1"/>
      <c r="L1353" s="1"/>
      <c r="M1353" s="1"/>
      <c r="N1353" s="1"/>
      <c r="O1353" s="1"/>
      <c r="P1353" s="1"/>
      <c r="Q1353" s="1"/>
      <c r="R1353"/>
      <c r="S1353" s="1"/>
      <c r="T1353" s="24"/>
      <c r="U1353"/>
      <c r="V1353" s="1"/>
      <c r="W1353" s="24"/>
      <c r="X1353"/>
      <c r="Y1353" s="1"/>
      <c r="Z1353" s="24"/>
      <c r="AA1353"/>
      <c r="AB1353" s="1"/>
      <c r="AC1353" s="24"/>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c r="CA1353"/>
      <c r="CB1353"/>
      <c r="CC1353"/>
      <c r="CD1353"/>
      <c r="CE1353"/>
      <c r="CF1353"/>
      <c r="CG1353"/>
      <c r="CH1353"/>
      <c r="CI1353"/>
      <c r="CJ1353"/>
      <c r="CK1353"/>
      <c r="CL1353"/>
      <c r="CM1353"/>
      <c r="CN1353"/>
      <c r="CO1353"/>
      <c r="CP1353"/>
      <c r="CQ1353"/>
      <c r="CR1353"/>
      <c r="CS1353"/>
    </row>
    <row r="1354" spans="2:97">
      <c r="B1354"/>
      <c r="C1354" s="1"/>
      <c r="D1354" s="1"/>
      <c r="E1354" s="1"/>
      <c r="F1354" s="1"/>
      <c r="G1354" s="1"/>
      <c r="H1354" s="1"/>
      <c r="I1354" s="1"/>
      <c r="J1354" s="1"/>
      <c r="K1354" s="1"/>
      <c r="L1354" s="1"/>
      <c r="M1354" s="1"/>
      <c r="N1354" s="1"/>
      <c r="O1354" s="1"/>
      <c r="P1354" s="1"/>
      <c r="Q1354" s="1"/>
      <c r="R1354"/>
      <c r="S1354" s="1"/>
      <c r="T1354" s="24"/>
      <c r="U1354"/>
      <c r="V1354" s="1"/>
      <c r="W1354" s="24"/>
      <c r="X1354"/>
      <c r="Y1354" s="1"/>
      <c r="Z1354" s="24"/>
      <c r="AA1354"/>
      <c r="AB1354" s="1"/>
      <c r="AC1354" s="2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c r="CA1354"/>
      <c r="CB1354"/>
      <c r="CC1354"/>
      <c r="CD1354"/>
      <c r="CE1354"/>
      <c r="CF1354"/>
      <c r="CG1354"/>
      <c r="CH1354"/>
      <c r="CI1354"/>
      <c r="CJ1354"/>
      <c r="CK1354"/>
      <c r="CL1354"/>
      <c r="CM1354"/>
      <c r="CN1354"/>
      <c r="CO1354"/>
      <c r="CP1354"/>
      <c r="CQ1354"/>
      <c r="CR1354"/>
      <c r="CS1354"/>
    </row>
    <row r="1355" spans="2:97">
      <c r="B1355"/>
      <c r="C1355" s="1"/>
      <c r="D1355" s="1"/>
      <c r="E1355" s="1"/>
      <c r="F1355" s="1"/>
      <c r="G1355" s="1"/>
      <c r="H1355" s="1"/>
      <c r="I1355" s="1"/>
      <c r="J1355" s="1"/>
      <c r="K1355" s="1"/>
      <c r="L1355" s="1"/>
      <c r="M1355" s="1"/>
      <c r="N1355" s="1"/>
      <c r="O1355" s="1"/>
      <c r="P1355" s="1"/>
      <c r="Q1355" s="1"/>
      <c r="R1355"/>
      <c r="S1355" s="1"/>
      <c r="T1355" s="24"/>
      <c r="U1355"/>
      <c r="V1355" s="1"/>
      <c r="W1355" s="24"/>
      <c r="X1355"/>
      <c r="Y1355" s="1"/>
      <c r="Z1355" s="24"/>
      <c r="AA1355"/>
      <c r="AB1355" s="1"/>
      <c r="AC1355" s="24"/>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c r="CA1355"/>
      <c r="CB1355"/>
      <c r="CC1355"/>
      <c r="CD1355"/>
      <c r="CE1355"/>
      <c r="CF1355"/>
      <c r="CG1355"/>
      <c r="CH1355"/>
      <c r="CI1355"/>
      <c r="CJ1355"/>
      <c r="CK1355"/>
      <c r="CL1355"/>
      <c r="CM1355"/>
      <c r="CN1355"/>
      <c r="CO1355"/>
      <c r="CP1355"/>
      <c r="CQ1355"/>
      <c r="CR1355"/>
      <c r="CS1355"/>
    </row>
    <row r="1356" spans="2:97">
      <c r="B1356"/>
      <c r="C1356" s="1"/>
      <c r="D1356" s="1"/>
      <c r="E1356" s="1"/>
      <c r="F1356" s="1"/>
      <c r="G1356" s="1"/>
      <c r="H1356" s="1"/>
      <c r="I1356" s="1"/>
      <c r="J1356" s="1"/>
      <c r="K1356" s="1"/>
      <c r="L1356" s="1"/>
      <c r="M1356" s="1"/>
      <c r="N1356" s="1"/>
      <c r="O1356" s="1"/>
      <c r="P1356" s="1"/>
      <c r="Q1356" s="1"/>
      <c r="R1356"/>
      <c r="S1356" s="1"/>
      <c r="T1356" s="24"/>
      <c r="U1356"/>
      <c r="V1356" s="1"/>
      <c r="W1356" s="24"/>
      <c r="X1356"/>
      <c r="Y1356" s="1"/>
      <c r="Z1356" s="24"/>
      <c r="AA1356"/>
      <c r="AB1356" s="1"/>
      <c r="AC1356" s="24"/>
      <c r="AD1356"/>
      <c r="AE1356"/>
      <c r="AF1356"/>
      <c r="AG1356"/>
      <c r="AH1356"/>
      <c r="AI1356"/>
      <c r="AJ1356"/>
      <c r="AK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c r="CA1356"/>
      <c r="CB1356"/>
      <c r="CC1356"/>
      <c r="CD1356"/>
      <c r="CE1356"/>
      <c r="CF1356"/>
      <c r="CG1356"/>
      <c r="CH1356"/>
      <c r="CI1356"/>
      <c r="CJ1356"/>
      <c r="CK1356"/>
      <c r="CL1356"/>
      <c r="CM1356"/>
      <c r="CN1356"/>
      <c r="CO1356"/>
      <c r="CP1356"/>
      <c r="CQ1356"/>
      <c r="CR1356"/>
      <c r="CS1356"/>
    </row>
    <row r="1357" spans="2:97">
      <c r="B1357"/>
      <c r="C1357" s="1"/>
      <c r="D1357" s="1"/>
      <c r="E1357" s="1"/>
      <c r="F1357" s="1"/>
      <c r="G1357" s="1"/>
      <c r="H1357" s="1"/>
      <c r="I1357" s="1"/>
      <c r="J1357" s="1"/>
      <c r="K1357" s="1"/>
      <c r="L1357" s="1"/>
      <c r="M1357" s="1"/>
      <c r="N1357" s="1"/>
      <c r="O1357" s="1"/>
      <c r="P1357" s="1"/>
      <c r="Q1357" s="1"/>
      <c r="R1357"/>
      <c r="S1357" s="1"/>
      <c r="T1357" s="24"/>
      <c r="U1357"/>
      <c r="V1357" s="1"/>
      <c r="W1357" s="24"/>
      <c r="X1357"/>
      <c r="Y1357" s="1"/>
      <c r="Z1357" s="24"/>
      <c r="AA1357"/>
      <c r="AB1357" s="1"/>
      <c r="AC1357" s="24"/>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c r="CA1357"/>
      <c r="CB1357"/>
      <c r="CC1357"/>
      <c r="CD1357"/>
      <c r="CE1357"/>
      <c r="CF1357"/>
      <c r="CG1357"/>
      <c r="CH1357"/>
      <c r="CI1357"/>
      <c r="CJ1357"/>
      <c r="CK1357"/>
      <c r="CL1357"/>
      <c r="CM1357"/>
      <c r="CN1357"/>
      <c r="CO1357"/>
      <c r="CP1357"/>
      <c r="CQ1357"/>
      <c r="CR1357"/>
      <c r="CS1357"/>
    </row>
    <row r="1358" spans="2:97">
      <c r="B1358"/>
      <c r="C1358" s="1"/>
      <c r="D1358" s="1"/>
      <c r="E1358" s="1"/>
      <c r="F1358" s="1"/>
      <c r="G1358" s="1"/>
      <c r="H1358" s="1"/>
      <c r="I1358" s="1"/>
      <c r="J1358" s="1"/>
      <c r="K1358" s="1"/>
      <c r="L1358" s="1"/>
      <c r="M1358" s="1"/>
      <c r="N1358" s="1"/>
      <c r="O1358" s="1"/>
      <c r="P1358" s="1"/>
      <c r="Q1358" s="1"/>
      <c r="R1358"/>
      <c r="S1358" s="1"/>
      <c r="T1358" s="24"/>
      <c r="U1358"/>
      <c r="V1358" s="1"/>
      <c r="W1358" s="24"/>
      <c r="X1358"/>
      <c r="Y1358" s="1"/>
      <c r="Z1358" s="24"/>
      <c r="AA1358"/>
      <c r="AB1358" s="1"/>
      <c r="AC1358" s="24"/>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c r="CA1358"/>
      <c r="CB1358"/>
      <c r="CC1358"/>
      <c r="CD1358"/>
      <c r="CE1358"/>
      <c r="CF1358"/>
      <c r="CG1358"/>
      <c r="CH1358"/>
      <c r="CI1358"/>
      <c r="CJ1358"/>
      <c r="CK1358"/>
      <c r="CL1358"/>
      <c r="CM1358"/>
      <c r="CN1358"/>
      <c r="CO1358"/>
      <c r="CP1358"/>
      <c r="CQ1358"/>
      <c r="CR1358"/>
      <c r="CS1358"/>
    </row>
    <row r="1359" spans="2:97">
      <c r="B1359"/>
      <c r="C1359" s="1"/>
      <c r="D1359" s="1"/>
      <c r="E1359" s="1"/>
      <c r="F1359" s="1"/>
      <c r="G1359" s="1"/>
      <c r="H1359" s="1"/>
      <c r="I1359" s="1"/>
      <c r="J1359" s="1"/>
      <c r="K1359" s="1"/>
      <c r="L1359" s="1"/>
      <c r="M1359" s="1"/>
      <c r="N1359" s="1"/>
      <c r="O1359" s="1"/>
      <c r="P1359" s="1"/>
      <c r="Q1359" s="1"/>
      <c r="R1359"/>
      <c r="S1359" s="1"/>
      <c r="T1359" s="24"/>
      <c r="U1359"/>
      <c r="V1359" s="1"/>
      <c r="W1359" s="24"/>
      <c r="X1359"/>
      <c r="Y1359" s="1"/>
      <c r="Z1359" s="24"/>
      <c r="AA1359"/>
      <c r="AB1359" s="1"/>
      <c r="AC1359" s="24"/>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c r="CC1359"/>
      <c r="CD1359"/>
      <c r="CE1359"/>
      <c r="CF1359"/>
      <c r="CG1359"/>
      <c r="CH1359"/>
      <c r="CI1359"/>
      <c r="CJ1359"/>
      <c r="CK1359"/>
      <c r="CL1359"/>
      <c r="CM1359"/>
      <c r="CN1359"/>
      <c r="CO1359"/>
      <c r="CP1359"/>
      <c r="CQ1359"/>
      <c r="CR1359"/>
      <c r="CS1359"/>
    </row>
    <row r="1360" spans="2:97">
      <c r="B1360"/>
      <c r="C1360" s="1"/>
      <c r="D1360" s="1"/>
      <c r="E1360" s="1"/>
      <c r="F1360" s="1"/>
      <c r="G1360" s="1"/>
      <c r="H1360" s="1"/>
      <c r="I1360" s="1"/>
      <c r="J1360" s="1"/>
      <c r="K1360" s="1"/>
      <c r="L1360" s="1"/>
      <c r="M1360" s="1"/>
      <c r="N1360" s="1"/>
      <c r="O1360" s="1"/>
      <c r="P1360" s="1"/>
      <c r="Q1360" s="1"/>
      <c r="R1360"/>
      <c r="S1360" s="1"/>
      <c r="T1360" s="24"/>
      <c r="U1360"/>
      <c r="V1360" s="1"/>
      <c r="W1360" s="24"/>
      <c r="X1360"/>
      <c r="Y1360" s="1"/>
      <c r="Z1360" s="24"/>
      <c r="AA1360"/>
      <c r="AB1360" s="1"/>
      <c r="AC1360" s="24"/>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c r="CK1360"/>
      <c r="CL1360"/>
      <c r="CM1360"/>
      <c r="CN1360"/>
      <c r="CO1360"/>
      <c r="CP1360"/>
      <c r="CQ1360"/>
      <c r="CR1360"/>
      <c r="CS1360"/>
    </row>
    <row r="1361" spans="2:97">
      <c r="B1361"/>
      <c r="C1361" s="1"/>
      <c r="D1361" s="1"/>
      <c r="E1361" s="1"/>
      <c r="F1361" s="1"/>
      <c r="G1361" s="1"/>
      <c r="H1361" s="1"/>
      <c r="I1361" s="1"/>
      <c r="J1361" s="1"/>
      <c r="K1361" s="1"/>
      <c r="L1361" s="1"/>
      <c r="M1361" s="1"/>
      <c r="N1361" s="1"/>
      <c r="O1361" s="1"/>
      <c r="P1361" s="1"/>
      <c r="Q1361" s="1"/>
      <c r="R1361"/>
      <c r="S1361" s="1"/>
      <c r="T1361" s="24"/>
      <c r="U1361"/>
      <c r="V1361" s="1"/>
      <c r="W1361" s="24"/>
      <c r="X1361"/>
      <c r="Y1361" s="1"/>
      <c r="Z1361" s="24"/>
      <c r="AA1361"/>
      <c r="AB1361" s="1"/>
      <c r="AC1361" s="24"/>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c r="CA1361"/>
      <c r="CB1361"/>
      <c r="CC1361"/>
      <c r="CD1361"/>
      <c r="CE1361"/>
      <c r="CF1361"/>
      <c r="CG1361"/>
      <c r="CH1361"/>
      <c r="CI1361"/>
      <c r="CJ1361"/>
      <c r="CK1361"/>
      <c r="CL1361"/>
      <c r="CM1361"/>
      <c r="CN1361"/>
      <c r="CO1361"/>
      <c r="CP1361"/>
      <c r="CQ1361"/>
      <c r="CR1361"/>
      <c r="CS1361"/>
    </row>
    <row r="1362" spans="2:97">
      <c r="B1362"/>
      <c r="C1362" s="1"/>
      <c r="D1362" s="1"/>
      <c r="E1362" s="1"/>
      <c r="F1362" s="1"/>
      <c r="G1362" s="1"/>
      <c r="H1362" s="1"/>
      <c r="I1362" s="1"/>
      <c r="J1362" s="1"/>
      <c r="K1362" s="1"/>
      <c r="L1362" s="1"/>
      <c r="M1362" s="1"/>
      <c r="N1362" s="1"/>
      <c r="O1362" s="1"/>
      <c r="P1362" s="1"/>
      <c r="Q1362" s="1"/>
      <c r="R1362"/>
      <c r="S1362" s="1"/>
      <c r="T1362" s="24"/>
      <c r="U1362"/>
      <c r="V1362" s="1"/>
      <c r="W1362" s="24"/>
      <c r="X1362"/>
      <c r="Y1362" s="1"/>
      <c r="Z1362" s="24"/>
      <c r="AA1362"/>
      <c r="AB1362" s="1"/>
      <c r="AC1362" s="24"/>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c r="CA1362"/>
      <c r="CB1362"/>
      <c r="CC1362"/>
      <c r="CD1362"/>
      <c r="CE1362"/>
      <c r="CF1362"/>
      <c r="CG1362"/>
      <c r="CH1362"/>
      <c r="CI1362"/>
      <c r="CJ1362"/>
      <c r="CK1362"/>
      <c r="CL1362"/>
      <c r="CM1362"/>
      <c r="CN1362"/>
      <c r="CO1362"/>
      <c r="CP1362"/>
      <c r="CQ1362"/>
      <c r="CR1362"/>
      <c r="CS1362"/>
    </row>
    <row r="1363" spans="2:97">
      <c r="B1363"/>
      <c r="C1363" s="1"/>
      <c r="D1363" s="1"/>
      <c r="E1363" s="1"/>
      <c r="F1363" s="1"/>
      <c r="G1363" s="1"/>
      <c r="H1363" s="1"/>
      <c r="I1363" s="1"/>
      <c r="J1363" s="1"/>
      <c r="K1363" s="1"/>
      <c r="L1363" s="1"/>
      <c r="M1363" s="1"/>
      <c r="N1363" s="1"/>
      <c r="O1363" s="1"/>
      <c r="P1363" s="1"/>
      <c r="Q1363" s="1"/>
      <c r="R1363"/>
      <c r="S1363" s="1"/>
      <c r="T1363" s="24"/>
      <c r="U1363"/>
      <c r="V1363" s="1"/>
      <c r="W1363" s="24"/>
      <c r="X1363"/>
      <c r="Y1363" s="1"/>
      <c r="Z1363" s="24"/>
      <c r="AA1363"/>
      <c r="AB1363" s="1"/>
      <c r="AC1363" s="24"/>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c r="CA1363"/>
      <c r="CB1363"/>
      <c r="CC1363"/>
      <c r="CD1363"/>
      <c r="CE1363"/>
      <c r="CF1363"/>
      <c r="CG1363"/>
      <c r="CH1363"/>
      <c r="CI1363"/>
      <c r="CJ1363"/>
      <c r="CK1363"/>
      <c r="CL1363"/>
      <c r="CM1363"/>
      <c r="CN1363"/>
      <c r="CO1363"/>
      <c r="CP1363"/>
      <c r="CQ1363"/>
      <c r="CR1363"/>
      <c r="CS1363"/>
    </row>
    <row r="1364" spans="2:97">
      <c r="B1364"/>
      <c r="C1364" s="1"/>
      <c r="D1364" s="1"/>
      <c r="E1364" s="1"/>
      <c r="F1364" s="1"/>
      <c r="G1364" s="1"/>
      <c r="H1364" s="1"/>
      <c r="I1364" s="1"/>
      <c r="J1364" s="1"/>
      <c r="K1364" s="1"/>
      <c r="L1364" s="1"/>
      <c r="M1364" s="1"/>
      <c r="N1364" s="1"/>
      <c r="O1364" s="1"/>
      <c r="P1364" s="1"/>
      <c r="Q1364" s="1"/>
      <c r="R1364"/>
      <c r="S1364" s="1"/>
      <c r="T1364" s="24"/>
      <c r="U1364"/>
      <c r="V1364" s="1"/>
      <c r="W1364" s="24"/>
      <c r="X1364"/>
      <c r="Y1364" s="1"/>
      <c r="Z1364" s="24"/>
      <c r="AA1364"/>
      <c r="AB1364" s="1"/>
      <c r="AC1364" s="2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c r="CA1364"/>
      <c r="CB1364"/>
      <c r="CC1364"/>
      <c r="CD1364"/>
      <c r="CE1364"/>
      <c r="CF1364"/>
      <c r="CG1364"/>
      <c r="CH1364"/>
      <c r="CI1364"/>
      <c r="CJ1364"/>
      <c r="CK1364"/>
      <c r="CL1364"/>
      <c r="CM1364"/>
      <c r="CN1364"/>
      <c r="CO1364"/>
      <c r="CP1364"/>
      <c r="CQ1364"/>
      <c r="CR1364"/>
      <c r="CS1364"/>
    </row>
    <row r="1365" spans="2:97">
      <c r="B1365"/>
      <c r="C1365" s="1"/>
      <c r="D1365" s="1"/>
      <c r="E1365" s="1"/>
      <c r="F1365" s="1"/>
      <c r="G1365" s="1"/>
      <c r="H1365" s="1"/>
      <c r="I1365" s="1"/>
      <c r="J1365" s="1"/>
      <c r="K1365" s="1"/>
      <c r="L1365" s="1"/>
      <c r="M1365" s="1"/>
      <c r="N1365" s="1"/>
      <c r="O1365" s="1"/>
      <c r="P1365" s="1"/>
      <c r="Q1365" s="1"/>
      <c r="R1365"/>
      <c r="S1365" s="1"/>
      <c r="T1365" s="24"/>
      <c r="U1365"/>
      <c r="V1365" s="1"/>
      <c r="W1365" s="24"/>
      <c r="X1365"/>
      <c r="Y1365" s="1"/>
      <c r="Z1365" s="24"/>
      <c r="AA1365"/>
      <c r="AB1365" s="1"/>
      <c r="AC1365" s="24"/>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c r="CA1365"/>
      <c r="CB1365"/>
      <c r="CC1365"/>
      <c r="CD1365"/>
      <c r="CE1365"/>
      <c r="CF1365"/>
      <c r="CG1365"/>
      <c r="CH1365"/>
      <c r="CI1365"/>
      <c r="CJ1365"/>
      <c r="CK1365"/>
      <c r="CL1365"/>
      <c r="CM1365"/>
      <c r="CN1365"/>
      <c r="CO1365"/>
      <c r="CP1365"/>
      <c r="CQ1365"/>
      <c r="CR1365"/>
      <c r="CS1365"/>
    </row>
    <row r="1366" spans="2:97">
      <c r="B1366"/>
      <c r="C1366" s="1"/>
      <c r="D1366" s="1"/>
      <c r="E1366" s="1"/>
      <c r="F1366" s="1"/>
      <c r="G1366" s="1"/>
      <c r="H1366" s="1"/>
      <c r="I1366" s="1"/>
      <c r="J1366" s="1"/>
      <c r="K1366" s="1"/>
      <c r="L1366" s="1"/>
      <c r="M1366" s="1"/>
      <c r="N1366" s="1"/>
      <c r="O1366" s="1"/>
      <c r="P1366" s="1"/>
      <c r="Q1366" s="1"/>
      <c r="R1366"/>
      <c r="S1366" s="1"/>
      <c r="T1366" s="24"/>
      <c r="U1366"/>
      <c r="V1366" s="1"/>
      <c r="W1366" s="24"/>
      <c r="X1366"/>
      <c r="Y1366" s="1"/>
      <c r="Z1366" s="24"/>
      <c r="AA1366"/>
      <c r="AB1366" s="1"/>
      <c r="AC1366" s="24"/>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c r="CA1366"/>
      <c r="CB1366"/>
      <c r="CC1366"/>
      <c r="CD1366"/>
      <c r="CE1366"/>
      <c r="CF1366"/>
      <c r="CG1366"/>
      <c r="CH1366"/>
      <c r="CI1366"/>
      <c r="CJ1366"/>
      <c r="CK1366"/>
      <c r="CL1366"/>
      <c r="CM1366"/>
      <c r="CN1366"/>
      <c r="CO1366"/>
      <c r="CP1366"/>
      <c r="CQ1366"/>
      <c r="CR1366"/>
      <c r="CS1366"/>
    </row>
    <row r="1367" spans="2:97">
      <c r="B1367"/>
      <c r="C1367" s="1"/>
      <c r="D1367" s="1"/>
      <c r="E1367" s="1"/>
      <c r="F1367" s="1"/>
      <c r="G1367" s="1"/>
      <c r="H1367" s="1"/>
      <c r="I1367" s="1"/>
      <c r="J1367" s="1"/>
      <c r="K1367" s="1"/>
      <c r="L1367" s="1"/>
      <c r="M1367" s="1"/>
      <c r="N1367" s="1"/>
      <c r="O1367" s="1"/>
      <c r="P1367" s="1"/>
      <c r="Q1367" s="1"/>
      <c r="R1367"/>
      <c r="S1367" s="1"/>
      <c r="T1367" s="24"/>
      <c r="U1367"/>
      <c r="V1367" s="1"/>
      <c r="W1367" s="24"/>
      <c r="X1367"/>
      <c r="Y1367" s="1"/>
      <c r="Z1367" s="24"/>
      <c r="AA1367"/>
      <c r="AB1367" s="1"/>
      <c r="AC1367" s="24"/>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c r="CA1367"/>
      <c r="CB1367"/>
      <c r="CC1367"/>
      <c r="CD1367"/>
      <c r="CE1367"/>
      <c r="CF1367"/>
      <c r="CG1367"/>
      <c r="CH1367"/>
      <c r="CI1367"/>
      <c r="CJ1367"/>
      <c r="CK1367"/>
      <c r="CL1367"/>
      <c r="CM1367"/>
      <c r="CN1367"/>
      <c r="CO1367"/>
      <c r="CP1367"/>
      <c r="CQ1367"/>
      <c r="CR1367"/>
      <c r="CS1367"/>
    </row>
    <row r="1368" spans="2:97">
      <c r="B1368"/>
      <c r="C1368" s="1"/>
      <c r="D1368" s="1"/>
      <c r="E1368" s="1"/>
      <c r="F1368" s="1"/>
      <c r="G1368" s="1"/>
      <c r="H1368" s="1"/>
      <c r="I1368" s="1"/>
      <c r="J1368" s="1"/>
      <c r="K1368" s="1"/>
      <c r="L1368" s="1"/>
      <c r="M1368" s="1"/>
      <c r="N1368" s="1"/>
      <c r="O1368" s="1"/>
      <c r="P1368" s="1"/>
      <c r="Q1368" s="1"/>
      <c r="R1368"/>
      <c r="S1368" s="1"/>
      <c r="T1368" s="24"/>
      <c r="U1368"/>
      <c r="V1368" s="1"/>
      <c r="W1368" s="24"/>
      <c r="X1368"/>
      <c r="Y1368" s="1"/>
      <c r="Z1368" s="24"/>
      <c r="AA1368"/>
      <c r="AB1368" s="1"/>
      <c r="AC1368" s="24"/>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c r="CA1368"/>
      <c r="CB1368"/>
      <c r="CC1368"/>
      <c r="CD1368"/>
      <c r="CE1368"/>
      <c r="CF1368"/>
      <c r="CG1368"/>
      <c r="CH1368"/>
      <c r="CI1368"/>
      <c r="CJ1368"/>
      <c r="CK1368"/>
      <c r="CL1368"/>
      <c r="CM1368"/>
      <c r="CN1368"/>
      <c r="CO1368"/>
      <c r="CP1368"/>
      <c r="CQ1368"/>
      <c r="CR1368"/>
      <c r="CS1368"/>
    </row>
    <row r="1369" spans="2:97">
      <c r="B1369"/>
      <c r="C1369" s="1"/>
      <c r="D1369" s="1"/>
      <c r="E1369" s="1"/>
      <c r="F1369" s="1"/>
      <c r="G1369" s="1"/>
      <c r="H1369" s="1"/>
      <c r="I1369" s="1"/>
      <c r="J1369" s="1"/>
      <c r="K1369" s="1"/>
      <c r="L1369" s="1"/>
      <c r="M1369" s="1"/>
      <c r="N1369" s="1"/>
      <c r="O1369" s="1"/>
      <c r="P1369" s="1"/>
      <c r="Q1369" s="1"/>
      <c r="R1369"/>
      <c r="S1369" s="1"/>
      <c r="T1369" s="24"/>
      <c r="U1369"/>
      <c r="V1369" s="1"/>
      <c r="W1369" s="24"/>
      <c r="X1369"/>
      <c r="Y1369" s="1"/>
      <c r="Z1369" s="24"/>
      <c r="AA1369"/>
      <c r="AB1369" s="1"/>
      <c r="AC1369" s="24"/>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c r="CA1369"/>
      <c r="CB1369"/>
      <c r="CC1369"/>
      <c r="CD1369"/>
      <c r="CE1369"/>
      <c r="CF1369"/>
      <c r="CG1369"/>
      <c r="CH1369"/>
      <c r="CI1369"/>
      <c r="CJ1369"/>
      <c r="CK1369"/>
      <c r="CL1369"/>
      <c r="CM1369"/>
      <c r="CN1369"/>
      <c r="CO1369"/>
      <c r="CP1369"/>
      <c r="CQ1369"/>
      <c r="CR1369"/>
      <c r="CS1369"/>
    </row>
    <row r="1370" spans="2:97">
      <c r="B1370"/>
      <c r="C1370" s="1"/>
      <c r="D1370" s="1"/>
      <c r="E1370" s="1"/>
      <c r="F1370" s="1"/>
      <c r="G1370" s="1"/>
      <c r="H1370" s="1"/>
      <c r="I1370" s="1"/>
      <c r="J1370" s="1"/>
      <c r="K1370" s="1"/>
      <c r="L1370" s="1"/>
      <c r="M1370" s="1"/>
      <c r="N1370" s="1"/>
      <c r="O1370" s="1"/>
      <c r="P1370" s="1"/>
      <c r="Q1370" s="1"/>
      <c r="R1370"/>
      <c r="S1370" s="1"/>
      <c r="T1370" s="24"/>
      <c r="U1370"/>
      <c r="V1370" s="1"/>
      <c r="W1370" s="24"/>
      <c r="X1370"/>
      <c r="Y1370" s="1"/>
      <c r="Z1370" s="24"/>
      <c r="AA1370"/>
      <c r="AB1370" s="1"/>
      <c r="AC1370" s="24"/>
      <c r="AD1370"/>
      <c r="AE1370"/>
      <c r="AF1370"/>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c r="CA1370"/>
      <c r="CB1370"/>
      <c r="CC1370"/>
      <c r="CD1370"/>
      <c r="CE1370"/>
      <c r="CF1370"/>
      <c r="CG1370"/>
      <c r="CH1370"/>
      <c r="CI1370"/>
      <c r="CJ1370"/>
      <c r="CK1370"/>
      <c r="CL1370"/>
      <c r="CM1370"/>
      <c r="CN1370"/>
      <c r="CO1370"/>
      <c r="CP1370"/>
      <c r="CQ1370"/>
      <c r="CR1370"/>
      <c r="CS1370"/>
    </row>
    <row r="1371" spans="2:97">
      <c r="B1371"/>
      <c r="C1371" s="1"/>
      <c r="D1371" s="1"/>
      <c r="E1371" s="1"/>
      <c r="F1371" s="1"/>
      <c r="G1371" s="1"/>
      <c r="H1371" s="1"/>
      <c r="I1371" s="1"/>
      <c r="J1371" s="1"/>
      <c r="K1371" s="1"/>
      <c r="L1371" s="1"/>
      <c r="M1371" s="1"/>
      <c r="N1371" s="1"/>
      <c r="O1371" s="1"/>
      <c r="P1371" s="1"/>
      <c r="Q1371" s="1"/>
      <c r="R1371"/>
      <c r="S1371" s="1"/>
      <c r="T1371" s="24"/>
      <c r="U1371"/>
      <c r="V1371" s="1"/>
      <c r="W1371" s="24"/>
      <c r="X1371"/>
      <c r="Y1371" s="1"/>
      <c r="Z1371" s="24"/>
      <c r="AA1371"/>
      <c r="AB1371" s="1"/>
      <c r="AC1371" s="24"/>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c r="CA1371"/>
      <c r="CB1371"/>
      <c r="CC1371"/>
      <c r="CD1371"/>
      <c r="CE1371"/>
      <c r="CF1371"/>
      <c r="CG1371"/>
      <c r="CH1371"/>
      <c r="CI1371"/>
      <c r="CJ1371"/>
      <c r="CK1371"/>
      <c r="CL1371"/>
      <c r="CM1371"/>
      <c r="CN1371"/>
      <c r="CO1371"/>
      <c r="CP1371"/>
      <c r="CQ1371"/>
      <c r="CR1371"/>
      <c r="CS1371"/>
    </row>
    <row r="1372" spans="2:97">
      <c r="B1372"/>
      <c r="C1372" s="1"/>
      <c r="D1372" s="1"/>
      <c r="E1372" s="1"/>
      <c r="F1372" s="1"/>
      <c r="G1372" s="1"/>
      <c r="H1372" s="1"/>
      <c r="I1372" s="1"/>
      <c r="J1372" s="1"/>
      <c r="K1372" s="1"/>
      <c r="L1372" s="1"/>
      <c r="M1372" s="1"/>
      <c r="N1372" s="1"/>
      <c r="O1372" s="1"/>
      <c r="P1372" s="1"/>
      <c r="Q1372" s="1"/>
      <c r="R1372"/>
      <c r="S1372" s="1"/>
      <c r="T1372" s="24"/>
      <c r="U1372"/>
      <c r="V1372" s="1"/>
      <c r="W1372" s="24"/>
      <c r="X1372"/>
      <c r="Y1372" s="1"/>
      <c r="Z1372" s="24"/>
      <c r="AA1372"/>
      <c r="AB1372" s="1"/>
      <c r="AC1372" s="24"/>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c r="CA1372"/>
      <c r="CB1372"/>
      <c r="CC1372"/>
      <c r="CD1372"/>
      <c r="CE1372"/>
      <c r="CF1372"/>
      <c r="CG1372"/>
      <c r="CH1372"/>
      <c r="CI1372"/>
      <c r="CJ1372"/>
      <c r="CK1372"/>
      <c r="CL1372"/>
      <c r="CM1372"/>
      <c r="CN1372"/>
      <c r="CO1372"/>
      <c r="CP1372"/>
      <c r="CQ1372"/>
      <c r="CR1372"/>
      <c r="CS1372"/>
    </row>
    <row r="1373" spans="2:97">
      <c r="B1373"/>
      <c r="C1373" s="1"/>
      <c r="D1373" s="1"/>
      <c r="E1373" s="1"/>
      <c r="F1373" s="1"/>
      <c r="G1373" s="1"/>
      <c r="H1373" s="1"/>
      <c r="I1373" s="1"/>
      <c r="J1373" s="1"/>
      <c r="K1373" s="1"/>
      <c r="L1373" s="1"/>
      <c r="M1373" s="1"/>
      <c r="N1373" s="1"/>
      <c r="O1373" s="1"/>
      <c r="P1373" s="1"/>
      <c r="Q1373" s="1"/>
      <c r="R1373"/>
      <c r="S1373" s="1"/>
      <c r="T1373" s="24"/>
      <c r="U1373"/>
      <c r="V1373" s="1"/>
      <c r="W1373" s="24"/>
      <c r="X1373"/>
      <c r="Y1373" s="1"/>
      <c r="Z1373" s="24"/>
      <c r="AA1373"/>
      <c r="AB1373" s="1"/>
      <c r="AC1373" s="24"/>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c r="CA1373"/>
      <c r="CB1373"/>
      <c r="CC1373"/>
      <c r="CD1373"/>
      <c r="CE1373"/>
      <c r="CF1373"/>
      <c r="CG1373"/>
      <c r="CH1373"/>
      <c r="CI1373"/>
      <c r="CJ1373"/>
      <c r="CK1373"/>
      <c r="CL1373"/>
      <c r="CM1373"/>
      <c r="CN1373"/>
      <c r="CO1373"/>
      <c r="CP1373"/>
      <c r="CQ1373"/>
      <c r="CR1373"/>
      <c r="CS1373"/>
    </row>
    <row r="1374" spans="2:97">
      <c r="B1374"/>
      <c r="C1374" s="1"/>
      <c r="D1374" s="1"/>
      <c r="E1374" s="1"/>
      <c r="F1374" s="1"/>
      <c r="G1374" s="1"/>
      <c r="H1374" s="1"/>
      <c r="I1374" s="1"/>
      <c r="J1374" s="1"/>
      <c r="K1374" s="1"/>
      <c r="L1374" s="1"/>
      <c r="M1374" s="1"/>
      <c r="N1374" s="1"/>
      <c r="O1374" s="1"/>
      <c r="P1374" s="1"/>
      <c r="Q1374" s="1"/>
      <c r="R1374"/>
      <c r="S1374" s="1"/>
      <c r="T1374" s="24"/>
      <c r="U1374"/>
      <c r="V1374" s="1"/>
      <c r="W1374" s="24"/>
      <c r="X1374"/>
      <c r="Y1374" s="1"/>
      <c r="Z1374" s="24"/>
      <c r="AA1374"/>
      <c r="AB1374" s="1"/>
      <c r="AC1374" s="2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c r="CA1374"/>
      <c r="CB1374"/>
      <c r="CC1374"/>
      <c r="CD1374"/>
      <c r="CE1374"/>
      <c r="CF1374"/>
      <c r="CG1374"/>
      <c r="CH1374"/>
      <c r="CI1374"/>
      <c r="CJ1374"/>
      <c r="CK1374"/>
      <c r="CL1374"/>
      <c r="CM1374"/>
      <c r="CN1374"/>
      <c r="CO1374"/>
      <c r="CP1374"/>
      <c r="CQ1374"/>
      <c r="CR1374"/>
      <c r="CS1374"/>
    </row>
    <row r="1375" spans="2:97">
      <c r="B1375"/>
      <c r="C1375" s="1"/>
      <c r="D1375" s="1"/>
      <c r="E1375" s="1"/>
      <c r="F1375" s="1"/>
      <c r="G1375" s="1"/>
      <c r="H1375" s="1"/>
      <c r="I1375" s="1"/>
      <c r="J1375" s="1"/>
      <c r="K1375" s="1"/>
      <c r="L1375" s="1"/>
      <c r="M1375" s="1"/>
      <c r="N1375" s="1"/>
      <c r="O1375" s="1"/>
      <c r="P1375" s="1"/>
      <c r="Q1375" s="1"/>
      <c r="R1375"/>
      <c r="S1375" s="1"/>
      <c r="T1375" s="24"/>
      <c r="U1375"/>
      <c r="V1375" s="1"/>
      <c r="W1375" s="24"/>
      <c r="X1375"/>
      <c r="Y1375" s="1"/>
      <c r="Z1375" s="24"/>
      <c r="AA1375"/>
      <c r="AB1375" s="1"/>
      <c r="AC1375" s="24"/>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c r="CA1375"/>
      <c r="CB1375"/>
      <c r="CC1375"/>
      <c r="CD1375"/>
      <c r="CE1375"/>
      <c r="CF1375"/>
      <c r="CG1375"/>
      <c r="CH1375"/>
      <c r="CI1375"/>
      <c r="CJ1375"/>
      <c r="CK1375"/>
      <c r="CL1375"/>
      <c r="CM1375"/>
      <c r="CN1375"/>
      <c r="CO1375"/>
      <c r="CP1375"/>
      <c r="CQ1375"/>
      <c r="CR1375"/>
      <c r="CS1375"/>
    </row>
    <row r="1376" spans="2:97">
      <c r="B1376"/>
      <c r="C1376" s="1"/>
      <c r="D1376" s="1"/>
      <c r="E1376" s="1"/>
      <c r="F1376" s="1"/>
      <c r="G1376" s="1"/>
      <c r="H1376" s="1"/>
      <c r="I1376" s="1"/>
      <c r="J1376" s="1"/>
      <c r="K1376" s="1"/>
      <c r="L1376" s="1"/>
      <c r="M1376" s="1"/>
      <c r="N1376" s="1"/>
      <c r="O1376" s="1"/>
      <c r="P1376" s="1"/>
      <c r="Q1376" s="1"/>
      <c r="R1376"/>
      <c r="S1376" s="1"/>
      <c r="T1376" s="24"/>
      <c r="U1376"/>
      <c r="V1376" s="1"/>
      <c r="W1376" s="24"/>
      <c r="X1376"/>
      <c r="Y1376" s="1"/>
      <c r="Z1376" s="24"/>
      <c r="AA1376"/>
      <c r="AB1376" s="1"/>
      <c r="AC1376" s="24"/>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c r="CA1376"/>
      <c r="CB1376"/>
      <c r="CC1376"/>
      <c r="CD1376"/>
      <c r="CE1376"/>
      <c r="CF1376"/>
      <c r="CG1376"/>
      <c r="CH1376"/>
      <c r="CI1376"/>
      <c r="CJ1376"/>
      <c r="CK1376"/>
      <c r="CL1376"/>
      <c r="CM1376"/>
      <c r="CN1376"/>
      <c r="CO1376"/>
      <c r="CP1376"/>
      <c r="CQ1376"/>
      <c r="CR1376"/>
      <c r="CS1376"/>
    </row>
    <row r="1377" spans="2:97">
      <c r="B1377"/>
      <c r="C1377" s="1"/>
      <c r="D1377" s="1"/>
      <c r="E1377" s="1"/>
      <c r="F1377" s="1"/>
      <c r="G1377" s="1"/>
      <c r="H1377" s="1"/>
      <c r="I1377" s="1"/>
      <c r="J1377" s="1"/>
      <c r="K1377" s="1"/>
      <c r="L1377" s="1"/>
      <c r="M1377" s="1"/>
      <c r="N1377" s="1"/>
      <c r="O1377" s="1"/>
      <c r="P1377" s="1"/>
      <c r="Q1377" s="1"/>
      <c r="R1377"/>
      <c r="S1377" s="1"/>
      <c r="T1377" s="24"/>
      <c r="U1377"/>
      <c r="V1377" s="1"/>
      <c r="W1377" s="24"/>
      <c r="X1377"/>
      <c r="Y1377" s="1"/>
      <c r="Z1377" s="24"/>
      <c r="AA1377"/>
      <c r="AB1377" s="1"/>
      <c r="AC1377" s="24"/>
      <c r="AD1377"/>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c r="CA1377"/>
      <c r="CB1377"/>
      <c r="CC1377"/>
      <c r="CD1377"/>
      <c r="CE1377"/>
      <c r="CF1377"/>
      <c r="CG1377"/>
      <c r="CH1377"/>
      <c r="CI1377"/>
      <c r="CJ1377"/>
      <c r="CK1377"/>
      <c r="CL1377"/>
      <c r="CM1377"/>
      <c r="CN1377"/>
      <c r="CO1377"/>
      <c r="CP1377"/>
      <c r="CQ1377"/>
      <c r="CR1377"/>
      <c r="CS1377"/>
    </row>
    <row r="1378" spans="2:97">
      <c r="B1378"/>
      <c r="C1378" s="1"/>
      <c r="D1378" s="1"/>
      <c r="E1378" s="1"/>
      <c r="F1378" s="1"/>
      <c r="G1378" s="1"/>
      <c r="H1378" s="1"/>
      <c r="I1378" s="1"/>
      <c r="J1378" s="1"/>
      <c r="K1378" s="1"/>
      <c r="L1378" s="1"/>
      <c r="M1378" s="1"/>
      <c r="N1378" s="1"/>
      <c r="O1378" s="1"/>
      <c r="P1378" s="1"/>
      <c r="Q1378" s="1"/>
      <c r="R1378"/>
      <c r="S1378" s="1"/>
      <c r="T1378" s="24"/>
      <c r="U1378"/>
      <c r="V1378" s="1"/>
      <c r="W1378" s="24"/>
      <c r="X1378"/>
      <c r="Y1378" s="1"/>
      <c r="Z1378" s="24"/>
      <c r="AA1378"/>
      <c r="AB1378" s="1"/>
      <c r="AC1378" s="24"/>
      <c r="AD1378"/>
      <c r="AE1378"/>
      <c r="AF1378"/>
      <c r="AG1378"/>
      <c r="AH1378"/>
      <c r="AI1378"/>
      <c r="AJ1378"/>
      <c r="AK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c r="CA1378"/>
      <c r="CB1378"/>
      <c r="CC1378"/>
      <c r="CD1378"/>
      <c r="CE1378"/>
      <c r="CF1378"/>
      <c r="CG1378"/>
      <c r="CH1378"/>
      <c r="CI1378"/>
      <c r="CJ1378"/>
      <c r="CK1378"/>
      <c r="CL1378"/>
      <c r="CM1378"/>
      <c r="CN1378"/>
      <c r="CO1378"/>
      <c r="CP1378"/>
      <c r="CQ1378"/>
      <c r="CR1378"/>
      <c r="CS1378"/>
    </row>
    <row r="1379" spans="2:97">
      <c r="B1379"/>
      <c r="C1379" s="1"/>
      <c r="D1379" s="1"/>
      <c r="E1379" s="1"/>
      <c r="F1379" s="1"/>
      <c r="G1379" s="1"/>
      <c r="H1379" s="1"/>
      <c r="I1379" s="1"/>
      <c r="J1379" s="1"/>
      <c r="K1379" s="1"/>
      <c r="L1379" s="1"/>
      <c r="M1379" s="1"/>
      <c r="N1379" s="1"/>
      <c r="O1379" s="1"/>
      <c r="P1379" s="1"/>
      <c r="Q1379" s="1"/>
      <c r="R1379"/>
      <c r="S1379" s="1"/>
      <c r="T1379" s="24"/>
      <c r="U1379"/>
      <c r="V1379" s="1"/>
      <c r="W1379" s="24"/>
      <c r="X1379"/>
      <c r="Y1379" s="1"/>
      <c r="Z1379" s="24"/>
      <c r="AA1379"/>
      <c r="AB1379" s="1"/>
      <c r="AC1379" s="24"/>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c r="CA1379"/>
      <c r="CB1379"/>
      <c r="CC1379"/>
      <c r="CD1379"/>
      <c r="CE1379"/>
      <c r="CF1379"/>
      <c r="CG1379"/>
      <c r="CH1379"/>
      <c r="CI1379"/>
      <c r="CJ1379"/>
      <c r="CK1379"/>
      <c r="CL1379"/>
      <c r="CM1379"/>
      <c r="CN1379"/>
      <c r="CO1379"/>
      <c r="CP1379"/>
      <c r="CQ1379"/>
      <c r="CR1379"/>
      <c r="CS1379"/>
    </row>
    <row r="1380" spans="2:97">
      <c r="B1380"/>
      <c r="C1380" s="1"/>
      <c r="D1380" s="1"/>
      <c r="E1380" s="1"/>
      <c r="F1380" s="1"/>
      <c r="G1380" s="1"/>
      <c r="H1380" s="1"/>
      <c r="I1380" s="1"/>
      <c r="J1380" s="1"/>
      <c r="K1380" s="1"/>
      <c r="L1380" s="1"/>
      <c r="M1380" s="1"/>
      <c r="N1380" s="1"/>
      <c r="O1380" s="1"/>
      <c r="P1380" s="1"/>
      <c r="Q1380" s="1"/>
      <c r="R1380"/>
      <c r="S1380" s="1"/>
      <c r="T1380" s="24"/>
      <c r="U1380"/>
      <c r="V1380" s="1"/>
      <c r="W1380" s="24"/>
      <c r="X1380"/>
      <c r="Y1380" s="1"/>
      <c r="Z1380" s="24"/>
      <c r="AA1380"/>
      <c r="AB1380" s="1"/>
      <c r="AC1380" s="24"/>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c r="CA1380"/>
      <c r="CB1380"/>
      <c r="CC1380"/>
      <c r="CD1380"/>
      <c r="CE1380"/>
      <c r="CF1380"/>
      <c r="CG1380"/>
      <c r="CH1380"/>
      <c r="CI1380"/>
      <c r="CJ1380"/>
      <c r="CK1380"/>
      <c r="CL1380"/>
      <c r="CM1380"/>
      <c r="CN1380"/>
      <c r="CO1380"/>
      <c r="CP1380"/>
      <c r="CQ1380"/>
      <c r="CR1380"/>
      <c r="CS1380"/>
    </row>
    <row r="1381" spans="2:97">
      <c r="B1381"/>
      <c r="C1381" s="1"/>
      <c r="D1381" s="1"/>
      <c r="E1381" s="1"/>
      <c r="F1381" s="1"/>
      <c r="G1381" s="1"/>
      <c r="H1381" s="1"/>
      <c r="I1381" s="1"/>
      <c r="J1381" s="1"/>
      <c r="K1381" s="1"/>
      <c r="L1381" s="1"/>
      <c r="M1381" s="1"/>
      <c r="N1381" s="1"/>
      <c r="O1381" s="1"/>
      <c r="P1381" s="1"/>
      <c r="Q1381" s="1"/>
      <c r="R1381"/>
      <c r="S1381" s="1"/>
      <c r="T1381" s="24"/>
      <c r="U1381"/>
      <c r="V1381" s="1"/>
      <c r="W1381" s="24"/>
      <c r="X1381"/>
      <c r="Y1381" s="1"/>
      <c r="Z1381" s="24"/>
      <c r="AA1381"/>
      <c r="AB1381" s="1"/>
      <c r="AC1381" s="24"/>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c r="CA1381"/>
      <c r="CB1381"/>
      <c r="CC1381"/>
      <c r="CD1381"/>
      <c r="CE1381"/>
      <c r="CF1381"/>
      <c r="CG1381"/>
      <c r="CH1381"/>
      <c r="CI1381"/>
      <c r="CJ1381"/>
      <c r="CK1381"/>
      <c r="CL1381"/>
      <c r="CM1381"/>
      <c r="CN1381"/>
      <c r="CO1381"/>
      <c r="CP1381"/>
      <c r="CQ1381"/>
      <c r="CR1381"/>
      <c r="CS1381"/>
    </row>
    <row r="1382" spans="2:97">
      <c r="B1382"/>
      <c r="C1382" s="1"/>
      <c r="D1382" s="1"/>
      <c r="E1382" s="1"/>
      <c r="F1382" s="1"/>
      <c r="G1382" s="1"/>
      <c r="H1382" s="1"/>
      <c r="I1382" s="1"/>
      <c r="J1382" s="1"/>
      <c r="K1382" s="1"/>
      <c r="L1382" s="1"/>
      <c r="M1382" s="1"/>
      <c r="N1382" s="1"/>
      <c r="O1382" s="1"/>
      <c r="P1382" s="1"/>
      <c r="Q1382" s="1"/>
      <c r="R1382"/>
      <c r="S1382" s="1"/>
      <c r="T1382" s="24"/>
      <c r="U1382"/>
      <c r="V1382" s="1"/>
      <c r="W1382" s="24"/>
      <c r="X1382"/>
      <c r="Y1382" s="1"/>
      <c r="Z1382" s="24"/>
      <c r="AA1382"/>
      <c r="AB1382" s="1"/>
      <c r="AC1382" s="24"/>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c r="CA1382"/>
      <c r="CB1382"/>
      <c r="CC1382"/>
      <c r="CD1382"/>
      <c r="CE1382"/>
      <c r="CF1382"/>
      <c r="CG1382"/>
      <c r="CH1382"/>
      <c r="CI1382"/>
      <c r="CJ1382"/>
      <c r="CK1382"/>
      <c r="CL1382"/>
      <c r="CM1382"/>
      <c r="CN1382"/>
      <c r="CO1382"/>
      <c r="CP1382"/>
      <c r="CQ1382"/>
      <c r="CR1382"/>
      <c r="CS1382"/>
    </row>
    <row r="1383" spans="2:97">
      <c r="B1383"/>
      <c r="C1383" s="1"/>
      <c r="D1383" s="1"/>
      <c r="E1383" s="1"/>
      <c r="F1383" s="1"/>
      <c r="G1383" s="1"/>
      <c r="H1383" s="1"/>
      <c r="I1383" s="1"/>
      <c r="J1383" s="1"/>
      <c r="K1383" s="1"/>
      <c r="L1383" s="1"/>
      <c r="M1383" s="1"/>
      <c r="N1383" s="1"/>
      <c r="O1383" s="1"/>
      <c r="P1383" s="1"/>
      <c r="Q1383" s="1"/>
      <c r="R1383"/>
      <c r="S1383" s="1"/>
      <c r="T1383" s="24"/>
      <c r="U1383"/>
      <c r="V1383" s="1"/>
      <c r="W1383" s="24"/>
      <c r="X1383"/>
      <c r="Y1383" s="1"/>
      <c r="Z1383" s="24"/>
      <c r="AA1383"/>
      <c r="AB1383" s="1"/>
      <c r="AC1383" s="24"/>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c r="CA1383"/>
      <c r="CB1383"/>
      <c r="CC1383"/>
      <c r="CD1383"/>
      <c r="CE1383"/>
      <c r="CF1383"/>
      <c r="CG1383"/>
      <c r="CH1383"/>
      <c r="CI1383"/>
      <c r="CJ1383"/>
      <c r="CK1383"/>
      <c r="CL1383"/>
      <c r="CM1383"/>
      <c r="CN1383"/>
      <c r="CO1383"/>
      <c r="CP1383"/>
      <c r="CQ1383"/>
      <c r="CR1383"/>
      <c r="CS1383"/>
    </row>
    <row r="1384" spans="2:97">
      <c r="B1384"/>
      <c r="C1384" s="1"/>
      <c r="D1384" s="1"/>
      <c r="E1384" s="1"/>
      <c r="F1384" s="1"/>
      <c r="G1384" s="1"/>
      <c r="H1384" s="1"/>
      <c r="I1384" s="1"/>
      <c r="J1384" s="1"/>
      <c r="K1384" s="1"/>
      <c r="L1384" s="1"/>
      <c r="M1384" s="1"/>
      <c r="N1384" s="1"/>
      <c r="O1384" s="1"/>
      <c r="P1384" s="1"/>
      <c r="Q1384" s="1"/>
      <c r="R1384"/>
      <c r="S1384" s="1"/>
      <c r="T1384" s="24"/>
      <c r="U1384"/>
      <c r="V1384" s="1"/>
      <c r="W1384" s="24"/>
      <c r="X1384"/>
      <c r="Y1384" s="1"/>
      <c r="Z1384" s="24"/>
      <c r="AA1384"/>
      <c r="AB1384" s="1"/>
      <c r="AC1384" s="2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c r="CA1384"/>
      <c r="CB1384"/>
      <c r="CC1384"/>
      <c r="CD1384"/>
      <c r="CE1384"/>
      <c r="CF1384"/>
      <c r="CG1384"/>
      <c r="CH1384"/>
      <c r="CI1384"/>
      <c r="CJ1384"/>
      <c r="CK1384"/>
      <c r="CL1384"/>
      <c r="CM1384"/>
      <c r="CN1384"/>
      <c r="CO1384"/>
      <c r="CP1384"/>
      <c r="CQ1384"/>
      <c r="CR1384"/>
      <c r="CS1384"/>
    </row>
    <row r="1385" spans="2:97">
      <c r="B1385"/>
      <c r="C1385" s="1"/>
      <c r="D1385" s="1"/>
      <c r="E1385" s="1"/>
      <c r="F1385" s="1"/>
      <c r="G1385" s="1"/>
      <c r="H1385" s="1"/>
      <c r="I1385" s="1"/>
      <c r="J1385" s="1"/>
      <c r="K1385" s="1"/>
      <c r="L1385" s="1"/>
      <c r="M1385" s="1"/>
      <c r="N1385" s="1"/>
      <c r="O1385" s="1"/>
      <c r="P1385" s="1"/>
      <c r="Q1385" s="1"/>
      <c r="R1385"/>
      <c r="S1385" s="1"/>
      <c r="T1385" s="24"/>
      <c r="U1385"/>
      <c r="V1385" s="1"/>
      <c r="W1385" s="24"/>
      <c r="X1385"/>
      <c r="Y1385" s="1"/>
      <c r="Z1385" s="24"/>
      <c r="AA1385"/>
      <c r="AB1385" s="1"/>
      <c r="AC1385" s="24"/>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c r="CA1385"/>
      <c r="CB1385"/>
      <c r="CC1385"/>
      <c r="CD1385"/>
      <c r="CE1385"/>
      <c r="CF1385"/>
      <c r="CG1385"/>
      <c r="CH1385"/>
      <c r="CI1385"/>
      <c r="CJ1385"/>
      <c r="CK1385"/>
      <c r="CL1385"/>
      <c r="CM1385"/>
      <c r="CN1385"/>
      <c r="CO1385"/>
      <c r="CP1385"/>
      <c r="CQ1385"/>
      <c r="CR1385"/>
      <c r="CS1385"/>
    </row>
    <row r="1386" spans="2:97">
      <c r="B1386"/>
      <c r="C1386" s="1"/>
      <c r="D1386" s="1"/>
      <c r="E1386" s="1"/>
      <c r="F1386" s="1"/>
      <c r="G1386" s="1"/>
      <c r="H1386" s="1"/>
      <c r="I1386" s="1"/>
      <c r="J1386" s="1"/>
      <c r="K1386" s="1"/>
      <c r="L1386" s="1"/>
      <c r="M1386" s="1"/>
      <c r="N1386" s="1"/>
      <c r="O1386" s="1"/>
      <c r="P1386" s="1"/>
      <c r="Q1386" s="1"/>
      <c r="R1386"/>
      <c r="S1386" s="1"/>
      <c r="T1386" s="24"/>
      <c r="U1386"/>
      <c r="V1386" s="1"/>
      <c r="W1386" s="24"/>
      <c r="X1386"/>
      <c r="Y1386" s="1"/>
      <c r="Z1386" s="24"/>
      <c r="AA1386"/>
      <c r="AB1386" s="1"/>
      <c r="AC1386" s="24"/>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c r="CA1386"/>
      <c r="CB1386"/>
      <c r="CC1386"/>
      <c r="CD1386"/>
      <c r="CE1386"/>
      <c r="CF1386"/>
      <c r="CG1386"/>
      <c r="CH1386"/>
      <c r="CI1386"/>
      <c r="CJ1386"/>
      <c r="CK1386"/>
      <c r="CL1386"/>
      <c r="CM1386"/>
      <c r="CN1386"/>
      <c r="CO1386"/>
      <c r="CP1386"/>
      <c r="CQ1386"/>
      <c r="CR1386"/>
      <c r="CS1386"/>
    </row>
    <row r="1387" spans="2:97">
      <c r="B1387"/>
      <c r="C1387" s="1"/>
      <c r="D1387" s="1"/>
      <c r="E1387" s="1"/>
      <c r="F1387" s="1"/>
      <c r="G1387" s="1"/>
      <c r="H1387" s="1"/>
      <c r="I1387" s="1"/>
      <c r="J1387" s="1"/>
      <c r="K1387" s="1"/>
      <c r="L1387" s="1"/>
      <c r="M1387" s="1"/>
      <c r="N1387" s="1"/>
      <c r="O1387" s="1"/>
      <c r="P1387" s="1"/>
      <c r="Q1387" s="1"/>
      <c r="R1387"/>
      <c r="S1387" s="1"/>
      <c r="T1387" s="24"/>
      <c r="U1387"/>
      <c r="V1387" s="1"/>
      <c r="W1387" s="24"/>
      <c r="X1387"/>
      <c r="Y1387" s="1"/>
      <c r="Z1387" s="24"/>
      <c r="AA1387"/>
      <c r="AB1387" s="1"/>
      <c r="AC1387" s="24"/>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c r="CA1387"/>
      <c r="CB1387"/>
      <c r="CC1387"/>
      <c r="CD1387"/>
      <c r="CE1387"/>
      <c r="CF1387"/>
      <c r="CG1387"/>
      <c r="CH1387"/>
      <c r="CI1387"/>
      <c r="CJ1387"/>
      <c r="CK1387"/>
      <c r="CL1387"/>
      <c r="CM1387"/>
      <c r="CN1387"/>
      <c r="CO1387"/>
      <c r="CP1387"/>
      <c r="CQ1387"/>
      <c r="CR1387"/>
      <c r="CS1387"/>
    </row>
    <row r="1388" spans="2:97">
      <c r="B1388"/>
      <c r="C1388" s="1"/>
      <c r="D1388" s="1"/>
      <c r="E1388" s="1"/>
      <c r="F1388" s="1"/>
      <c r="G1388" s="1"/>
      <c r="H1388" s="1"/>
      <c r="I1388" s="1"/>
      <c r="J1388" s="1"/>
      <c r="K1388" s="1"/>
      <c r="L1388" s="1"/>
      <c r="M1388" s="1"/>
      <c r="N1388" s="1"/>
      <c r="O1388" s="1"/>
      <c r="P1388" s="1"/>
      <c r="Q1388" s="1"/>
      <c r="R1388"/>
      <c r="S1388" s="1"/>
      <c r="T1388" s="24"/>
      <c r="U1388"/>
      <c r="V1388" s="1"/>
      <c r="W1388" s="24"/>
      <c r="X1388"/>
      <c r="Y1388" s="1"/>
      <c r="Z1388" s="24"/>
      <c r="AA1388"/>
      <c r="AB1388" s="1"/>
      <c r="AC1388" s="24"/>
      <c r="AD1388"/>
      <c r="AE1388"/>
      <c r="AF1388"/>
      <c r="AG1388"/>
      <c r="AH1388"/>
      <c r="AI1388"/>
      <c r="AJ1388"/>
      <c r="AK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c r="CA1388"/>
      <c r="CB1388"/>
      <c r="CC1388"/>
      <c r="CD1388"/>
      <c r="CE1388"/>
      <c r="CF1388"/>
      <c r="CG1388"/>
      <c r="CH1388"/>
      <c r="CI1388"/>
      <c r="CJ1388"/>
      <c r="CK1388"/>
      <c r="CL1388"/>
      <c r="CM1388"/>
      <c r="CN1388"/>
      <c r="CO1388"/>
      <c r="CP1388"/>
      <c r="CQ1388"/>
      <c r="CR1388"/>
      <c r="CS1388"/>
    </row>
    <row r="1389" spans="2:97">
      <c r="B1389"/>
      <c r="C1389" s="1"/>
      <c r="D1389" s="1"/>
      <c r="E1389" s="1"/>
      <c r="F1389" s="1"/>
      <c r="G1389" s="1"/>
      <c r="H1389" s="1"/>
      <c r="I1389" s="1"/>
      <c r="J1389" s="1"/>
      <c r="K1389" s="1"/>
      <c r="L1389" s="1"/>
      <c r="M1389" s="1"/>
      <c r="N1389" s="1"/>
      <c r="O1389" s="1"/>
      <c r="P1389" s="1"/>
      <c r="Q1389" s="1"/>
      <c r="R1389"/>
      <c r="S1389" s="1"/>
      <c r="T1389" s="24"/>
      <c r="U1389"/>
      <c r="V1389" s="1"/>
      <c r="W1389" s="24"/>
      <c r="X1389"/>
      <c r="Y1389" s="1"/>
      <c r="Z1389" s="24"/>
      <c r="AA1389"/>
      <c r="AB1389" s="1"/>
      <c r="AC1389" s="24"/>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c r="CA1389"/>
      <c r="CB1389"/>
      <c r="CC1389"/>
      <c r="CD1389"/>
      <c r="CE1389"/>
      <c r="CF1389"/>
      <c r="CG1389"/>
      <c r="CH1389"/>
      <c r="CI1389"/>
      <c r="CJ1389"/>
      <c r="CK1389"/>
      <c r="CL1389"/>
      <c r="CM1389"/>
      <c r="CN1389"/>
      <c r="CO1389"/>
      <c r="CP1389"/>
      <c r="CQ1389"/>
      <c r="CR1389"/>
      <c r="CS1389"/>
    </row>
    <row r="1390" spans="2:97">
      <c r="B1390"/>
      <c r="C1390" s="1"/>
      <c r="D1390" s="1"/>
      <c r="E1390" s="1"/>
      <c r="F1390" s="1"/>
      <c r="G1390" s="1"/>
      <c r="H1390" s="1"/>
      <c r="I1390" s="1"/>
      <c r="J1390" s="1"/>
      <c r="K1390" s="1"/>
      <c r="L1390" s="1"/>
      <c r="M1390" s="1"/>
      <c r="N1390" s="1"/>
      <c r="O1390" s="1"/>
      <c r="P1390" s="1"/>
      <c r="Q1390" s="1"/>
      <c r="R1390"/>
      <c r="S1390" s="1"/>
      <c r="T1390" s="24"/>
      <c r="U1390"/>
      <c r="V1390" s="1"/>
      <c r="W1390" s="24"/>
      <c r="X1390"/>
      <c r="Y1390" s="1"/>
      <c r="Z1390" s="24"/>
      <c r="AA1390"/>
      <c r="AB1390" s="1"/>
      <c r="AC1390" s="24"/>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c r="CA1390"/>
      <c r="CB1390"/>
      <c r="CC1390"/>
      <c r="CD1390"/>
      <c r="CE1390"/>
      <c r="CF1390"/>
      <c r="CG1390"/>
      <c r="CH1390"/>
      <c r="CI1390"/>
      <c r="CJ1390"/>
      <c r="CK1390"/>
      <c r="CL1390"/>
      <c r="CM1390"/>
      <c r="CN1390"/>
      <c r="CO1390"/>
      <c r="CP1390"/>
      <c r="CQ1390"/>
      <c r="CR1390"/>
      <c r="CS1390"/>
    </row>
    <row r="1391" spans="2:97">
      <c r="B1391"/>
      <c r="C1391" s="1"/>
      <c r="D1391" s="1"/>
      <c r="E1391" s="1"/>
      <c r="F1391" s="1"/>
      <c r="G1391" s="1"/>
      <c r="H1391" s="1"/>
      <c r="I1391" s="1"/>
      <c r="J1391" s="1"/>
      <c r="K1391" s="1"/>
      <c r="L1391" s="1"/>
      <c r="M1391" s="1"/>
      <c r="N1391" s="1"/>
      <c r="O1391" s="1"/>
      <c r="P1391" s="1"/>
      <c r="Q1391" s="1"/>
      <c r="R1391"/>
      <c r="S1391" s="1"/>
      <c r="T1391" s="24"/>
      <c r="U1391"/>
      <c r="V1391" s="1"/>
      <c r="W1391" s="24"/>
      <c r="X1391"/>
      <c r="Y1391" s="1"/>
      <c r="Z1391" s="24"/>
      <c r="AA1391"/>
      <c r="AB1391" s="1"/>
      <c r="AC1391" s="24"/>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c r="CA1391"/>
      <c r="CB1391"/>
      <c r="CC1391"/>
      <c r="CD1391"/>
      <c r="CE1391"/>
      <c r="CF1391"/>
      <c r="CG1391"/>
      <c r="CH1391"/>
      <c r="CI1391"/>
      <c r="CJ1391"/>
      <c r="CK1391"/>
      <c r="CL1391"/>
      <c r="CM1391"/>
      <c r="CN1391"/>
      <c r="CO1391"/>
      <c r="CP1391"/>
      <c r="CQ1391"/>
      <c r="CR1391"/>
      <c r="CS1391"/>
    </row>
    <row r="1392" spans="2:97">
      <c r="B1392"/>
      <c r="C1392" s="1"/>
      <c r="D1392" s="1"/>
      <c r="E1392" s="1"/>
      <c r="F1392" s="1"/>
      <c r="G1392" s="1"/>
      <c r="H1392" s="1"/>
      <c r="I1392" s="1"/>
      <c r="J1392" s="1"/>
      <c r="K1392" s="1"/>
      <c r="L1392" s="1"/>
      <c r="M1392" s="1"/>
      <c r="N1392" s="1"/>
      <c r="O1392" s="1"/>
      <c r="P1392" s="1"/>
      <c r="Q1392" s="1"/>
      <c r="R1392"/>
      <c r="S1392" s="1"/>
      <c r="T1392" s="24"/>
      <c r="U1392"/>
      <c r="V1392" s="1"/>
      <c r="W1392" s="24"/>
      <c r="X1392"/>
      <c r="Y1392" s="1"/>
      <c r="Z1392" s="24"/>
      <c r="AA1392"/>
      <c r="AB1392" s="1"/>
      <c r="AC1392" s="24"/>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c r="CA1392"/>
      <c r="CB1392"/>
      <c r="CC1392"/>
      <c r="CD1392"/>
      <c r="CE1392"/>
      <c r="CF1392"/>
      <c r="CG1392"/>
      <c r="CH1392"/>
      <c r="CI1392"/>
      <c r="CJ1392"/>
      <c r="CK1392"/>
      <c r="CL1392"/>
      <c r="CM1392"/>
      <c r="CN1392"/>
      <c r="CO1392"/>
      <c r="CP1392"/>
      <c r="CQ1392"/>
      <c r="CR1392"/>
      <c r="CS1392"/>
    </row>
    <row r="1393" spans="2:97">
      <c r="B1393"/>
      <c r="C1393" s="1"/>
      <c r="D1393" s="1"/>
      <c r="E1393" s="1"/>
      <c r="F1393" s="1"/>
      <c r="G1393" s="1"/>
      <c r="H1393" s="1"/>
      <c r="I1393" s="1"/>
      <c r="J1393" s="1"/>
      <c r="K1393" s="1"/>
      <c r="L1393" s="1"/>
      <c r="M1393" s="1"/>
      <c r="N1393" s="1"/>
      <c r="O1393" s="1"/>
      <c r="P1393" s="1"/>
      <c r="Q1393" s="1"/>
      <c r="R1393"/>
      <c r="S1393" s="1"/>
      <c r="T1393" s="24"/>
      <c r="U1393"/>
      <c r="V1393" s="1"/>
      <c r="W1393" s="24"/>
      <c r="X1393"/>
      <c r="Y1393" s="1"/>
      <c r="Z1393" s="24"/>
      <c r="AA1393"/>
      <c r="AB1393" s="1"/>
      <c r="AC1393" s="24"/>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c r="CA1393"/>
      <c r="CB1393"/>
      <c r="CC1393"/>
      <c r="CD1393"/>
      <c r="CE1393"/>
      <c r="CF1393"/>
      <c r="CG1393"/>
      <c r="CH1393"/>
      <c r="CI1393"/>
      <c r="CJ1393"/>
      <c r="CK1393"/>
      <c r="CL1393"/>
      <c r="CM1393"/>
      <c r="CN1393"/>
      <c r="CO1393"/>
      <c r="CP1393"/>
      <c r="CQ1393"/>
      <c r="CR1393"/>
      <c r="CS1393"/>
    </row>
    <row r="1394" spans="2:97">
      <c r="B1394"/>
      <c r="C1394" s="1"/>
      <c r="D1394" s="1"/>
      <c r="E1394" s="1"/>
      <c r="F1394" s="1"/>
      <c r="G1394" s="1"/>
      <c r="H1394" s="1"/>
      <c r="I1394" s="1"/>
      <c r="J1394" s="1"/>
      <c r="K1394" s="1"/>
      <c r="L1394" s="1"/>
      <c r="M1394" s="1"/>
      <c r="N1394" s="1"/>
      <c r="O1394" s="1"/>
      <c r="P1394" s="1"/>
      <c r="Q1394" s="1"/>
      <c r="R1394"/>
      <c r="S1394" s="1"/>
      <c r="T1394" s="24"/>
      <c r="U1394"/>
      <c r="V1394" s="1"/>
      <c r="W1394" s="24"/>
      <c r="X1394"/>
      <c r="Y1394" s="1"/>
      <c r="Z1394" s="24"/>
      <c r="AA1394"/>
      <c r="AB1394" s="1"/>
      <c r="AC1394" s="2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c r="CA1394"/>
      <c r="CB1394"/>
      <c r="CC1394"/>
      <c r="CD1394"/>
      <c r="CE1394"/>
      <c r="CF1394"/>
      <c r="CG1394"/>
      <c r="CH1394"/>
      <c r="CI1394"/>
      <c r="CJ1394"/>
      <c r="CK1394"/>
      <c r="CL1394"/>
      <c r="CM1394"/>
      <c r="CN1394"/>
      <c r="CO1394"/>
      <c r="CP1394"/>
      <c r="CQ1394"/>
      <c r="CR1394"/>
      <c r="CS1394"/>
    </row>
    <row r="1395" spans="2:97">
      <c r="B1395"/>
      <c r="C1395" s="1"/>
      <c r="D1395" s="1"/>
      <c r="E1395" s="1"/>
      <c r="F1395" s="1"/>
      <c r="G1395" s="1"/>
      <c r="H1395" s="1"/>
      <c r="I1395" s="1"/>
      <c r="J1395" s="1"/>
      <c r="K1395" s="1"/>
      <c r="L1395" s="1"/>
      <c r="M1395" s="1"/>
      <c r="N1395" s="1"/>
      <c r="O1395" s="1"/>
      <c r="P1395" s="1"/>
      <c r="Q1395" s="1"/>
      <c r="R1395"/>
      <c r="S1395" s="1"/>
      <c r="T1395" s="24"/>
      <c r="U1395"/>
      <c r="V1395" s="1"/>
      <c r="W1395" s="24"/>
      <c r="X1395"/>
      <c r="Y1395" s="1"/>
      <c r="Z1395" s="24"/>
      <c r="AA1395"/>
      <c r="AB1395" s="1"/>
      <c r="AC1395" s="24"/>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c r="CA1395"/>
      <c r="CB1395"/>
      <c r="CC1395"/>
      <c r="CD1395"/>
      <c r="CE1395"/>
      <c r="CF1395"/>
      <c r="CG1395"/>
      <c r="CH1395"/>
      <c r="CI1395"/>
      <c r="CJ1395"/>
      <c r="CK1395"/>
      <c r="CL1395"/>
      <c r="CM1395"/>
      <c r="CN1395"/>
      <c r="CO1395"/>
      <c r="CP1395"/>
      <c r="CQ1395"/>
      <c r="CR1395"/>
      <c r="CS1395"/>
    </row>
    <row r="1396" spans="2:97">
      <c r="B1396"/>
      <c r="C1396" s="1"/>
      <c r="D1396" s="1"/>
      <c r="E1396" s="1"/>
      <c r="F1396" s="1"/>
      <c r="G1396" s="1"/>
      <c r="H1396" s="1"/>
      <c r="I1396" s="1"/>
      <c r="J1396" s="1"/>
      <c r="K1396" s="1"/>
      <c r="L1396" s="1"/>
      <c r="M1396" s="1"/>
      <c r="N1396" s="1"/>
      <c r="O1396" s="1"/>
      <c r="P1396" s="1"/>
      <c r="Q1396" s="1"/>
      <c r="R1396"/>
      <c r="S1396" s="1"/>
      <c r="T1396" s="24"/>
      <c r="U1396"/>
      <c r="V1396" s="1"/>
      <c r="W1396" s="24"/>
      <c r="X1396"/>
      <c r="Y1396" s="1"/>
      <c r="Z1396" s="24"/>
      <c r="AA1396"/>
      <c r="AB1396" s="1"/>
      <c r="AC1396" s="24"/>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c r="CA1396"/>
      <c r="CB1396"/>
      <c r="CC1396"/>
      <c r="CD1396"/>
      <c r="CE1396"/>
      <c r="CF1396"/>
      <c r="CG1396"/>
      <c r="CH1396"/>
      <c r="CI1396"/>
      <c r="CJ1396"/>
      <c r="CK1396"/>
      <c r="CL1396"/>
      <c r="CM1396"/>
      <c r="CN1396"/>
      <c r="CO1396"/>
      <c r="CP1396"/>
      <c r="CQ1396"/>
      <c r="CR1396"/>
      <c r="CS1396"/>
    </row>
    <row r="1397" spans="2:97">
      <c r="B1397"/>
      <c r="C1397" s="1"/>
      <c r="D1397" s="1"/>
      <c r="E1397" s="1"/>
      <c r="F1397" s="1"/>
      <c r="G1397" s="1"/>
      <c r="H1397" s="1"/>
      <c r="I1397" s="1"/>
      <c r="J1397" s="1"/>
      <c r="K1397" s="1"/>
      <c r="L1397" s="1"/>
      <c r="M1397" s="1"/>
      <c r="N1397" s="1"/>
      <c r="O1397" s="1"/>
      <c r="P1397" s="1"/>
      <c r="Q1397" s="1"/>
      <c r="R1397"/>
      <c r="S1397" s="1"/>
      <c r="T1397" s="24"/>
      <c r="U1397"/>
      <c r="V1397" s="1"/>
      <c r="W1397" s="24"/>
      <c r="X1397"/>
      <c r="Y1397" s="1"/>
      <c r="Z1397" s="24"/>
      <c r="AA1397"/>
      <c r="AB1397" s="1"/>
      <c r="AC1397" s="24"/>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c r="CA1397"/>
      <c r="CB1397"/>
      <c r="CC1397"/>
      <c r="CD1397"/>
      <c r="CE1397"/>
      <c r="CF1397"/>
      <c r="CG1397"/>
      <c r="CH1397"/>
      <c r="CI1397"/>
      <c r="CJ1397"/>
      <c r="CK1397"/>
      <c r="CL1397"/>
      <c r="CM1397"/>
      <c r="CN1397"/>
      <c r="CO1397"/>
      <c r="CP1397"/>
      <c r="CQ1397"/>
      <c r="CR1397"/>
      <c r="CS1397"/>
    </row>
    <row r="1398" spans="2:97">
      <c r="B1398"/>
      <c r="C1398" s="1"/>
      <c r="D1398" s="1"/>
      <c r="E1398" s="1"/>
      <c r="F1398" s="1"/>
      <c r="G1398" s="1"/>
      <c r="H1398" s="1"/>
      <c r="I1398" s="1"/>
      <c r="J1398" s="1"/>
      <c r="K1398" s="1"/>
      <c r="L1398" s="1"/>
      <c r="M1398" s="1"/>
      <c r="N1398" s="1"/>
      <c r="O1398" s="1"/>
      <c r="P1398" s="1"/>
      <c r="Q1398" s="1"/>
      <c r="R1398"/>
      <c r="S1398" s="1"/>
      <c r="T1398" s="24"/>
      <c r="U1398"/>
      <c r="V1398" s="1"/>
      <c r="W1398" s="24"/>
      <c r="X1398"/>
      <c r="Y1398" s="1"/>
      <c r="Z1398" s="24"/>
      <c r="AA1398"/>
      <c r="AB1398" s="1"/>
      <c r="AC1398" s="24"/>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c r="CA1398"/>
      <c r="CB1398"/>
      <c r="CC1398"/>
      <c r="CD1398"/>
      <c r="CE1398"/>
      <c r="CF1398"/>
      <c r="CG1398"/>
      <c r="CH1398"/>
      <c r="CI1398"/>
      <c r="CJ1398"/>
      <c r="CK1398"/>
      <c r="CL1398"/>
      <c r="CM1398"/>
      <c r="CN1398"/>
      <c r="CO1398"/>
      <c r="CP1398"/>
      <c r="CQ1398"/>
      <c r="CR1398"/>
      <c r="CS1398"/>
    </row>
    <row r="1399" spans="2:97">
      <c r="B1399"/>
      <c r="C1399" s="1"/>
      <c r="D1399" s="1"/>
      <c r="E1399" s="1"/>
      <c r="F1399" s="1"/>
      <c r="G1399" s="1"/>
      <c r="H1399" s="1"/>
      <c r="I1399" s="1"/>
      <c r="J1399" s="1"/>
      <c r="K1399" s="1"/>
      <c r="L1399" s="1"/>
      <c r="M1399" s="1"/>
      <c r="N1399" s="1"/>
      <c r="O1399" s="1"/>
      <c r="P1399" s="1"/>
      <c r="Q1399" s="1"/>
      <c r="R1399"/>
      <c r="S1399" s="1"/>
      <c r="T1399" s="24"/>
      <c r="U1399"/>
      <c r="V1399" s="1"/>
      <c r="W1399" s="24"/>
      <c r="X1399"/>
      <c r="Y1399" s="1"/>
      <c r="Z1399" s="24"/>
      <c r="AA1399"/>
      <c r="AB1399" s="1"/>
      <c r="AC1399" s="24"/>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c r="CA1399"/>
      <c r="CB1399"/>
      <c r="CC1399"/>
      <c r="CD1399"/>
      <c r="CE1399"/>
      <c r="CF1399"/>
      <c r="CG1399"/>
      <c r="CH1399"/>
      <c r="CI1399"/>
      <c r="CJ1399"/>
      <c r="CK1399"/>
      <c r="CL1399"/>
      <c r="CM1399"/>
      <c r="CN1399"/>
      <c r="CO1399"/>
      <c r="CP1399"/>
      <c r="CQ1399"/>
      <c r="CR1399"/>
      <c r="CS1399"/>
    </row>
    <row r="1400" spans="2:97">
      <c r="B1400"/>
      <c r="C1400" s="1"/>
      <c r="D1400" s="1"/>
      <c r="E1400" s="1"/>
      <c r="F1400" s="1"/>
      <c r="G1400" s="1"/>
      <c r="H1400" s="1"/>
      <c r="I1400" s="1"/>
      <c r="J1400" s="1"/>
      <c r="K1400" s="1"/>
      <c r="L1400" s="1"/>
      <c r="M1400" s="1"/>
      <c r="N1400" s="1"/>
      <c r="O1400" s="1"/>
      <c r="P1400" s="1"/>
      <c r="Q1400" s="1"/>
      <c r="R1400"/>
      <c r="S1400" s="1"/>
      <c r="T1400" s="24"/>
      <c r="U1400"/>
      <c r="V1400" s="1"/>
      <c r="W1400" s="24"/>
      <c r="X1400"/>
      <c r="Y1400" s="1"/>
      <c r="Z1400" s="24"/>
      <c r="AA1400"/>
      <c r="AB1400" s="1"/>
      <c r="AC1400" s="24"/>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c r="CA1400"/>
      <c r="CB1400"/>
      <c r="CC1400"/>
      <c r="CD1400"/>
      <c r="CE1400"/>
      <c r="CF1400"/>
      <c r="CG1400"/>
      <c r="CH1400"/>
      <c r="CI1400"/>
      <c r="CJ1400"/>
      <c r="CK1400"/>
      <c r="CL1400"/>
      <c r="CM1400"/>
      <c r="CN1400"/>
      <c r="CO1400"/>
      <c r="CP1400"/>
      <c r="CQ1400"/>
      <c r="CR1400"/>
      <c r="CS1400"/>
    </row>
    <row r="1401" spans="2:97">
      <c r="B1401"/>
      <c r="C1401" s="1"/>
      <c r="D1401" s="1"/>
      <c r="E1401" s="1"/>
      <c r="F1401" s="1"/>
      <c r="G1401" s="1"/>
      <c r="H1401" s="1"/>
      <c r="I1401" s="1"/>
      <c r="J1401" s="1"/>
      <c r="K1401" s="1"/>
      <c r="L1401" s="1"/>
      <c r="M1401" s="1"/>
      <c r="N1401" s="1"/>
      <c r="O1401" s="1"/>
      <c r="P1401" s="1"/>
      <c r="Q1401" s="1"/>
      <c r="R1401"/>
      <c r="S1401" s="1"/>
      <c r="T1401" s="24"/>
      <c r="U1401"/>
      <c r="V1401" s="1"/>
      <c r="W1401" s="24"/>
      <c r="X1401"/>
      <c r="Y1401" s="1"/>
      <c r="Z1401" s="24"/>
      <c r="AA1401"/>
      <c r="AB1401" s="1"/>
      <c r="AC1401" s="24"/>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c r="CA1401"/>
      <c r="CB1401"/>
      <c r="CC1401"/>
      <c r="CD1401"/>
      <c r="CE1401"/>
      <c r="CF1401"/>
      <c r="CG1401"/>
      <c r="CH1401"/>
      <c r="CI1401"/>
      <c r="CJ1401"/>
      <c r="CK1401"/>
      <c r="CL1401"/>
      <c r="CM1401"/>
      <c r="CN1401"/>
      <c r="CO1401"/>
      <c r="CP1401"/>
      <c r="CQ1401"/>
      <c r="CR1401"/>
      <c r="CS1401"/>
    </row>
    <row r="1402" spans="2:97">
      <c r="B1402"/>
      <c r="C1402" s="1"/>
      <c r="D1402" s="1"/>
      <c r="E1402" s="1"/>
      <c r="F1402" s="1"/>
      <c r="G1402" s="1"/>
      <c r="H1402" s="1"/>
      <c r="I1402" s="1"/>
      <c r="J1402" s="1"/>
      <c r="K1402" s="1"/>
      <c r="L1402" s="1"/>
      <c r="M1402" s="1"/>
      <c r="N1402" s="1"/>
      <c r="O1402" s="1"/>
      <c r="P1402" s="1"/>
      <c r="Q1402" s="1"/>
      <c r="R1402"/>
      <c r="S1402" s="1"/>
      <c r="T1402" s="24"/>
      <c r="U1402"/>
      <c r="V1402" s="1"/>
      <c r="W1402" s="24"/>
      <c r="X1402"/>
      <c r="Y1402" s="1"/>
      <c r="Z1402" s="24"/>
      <c r="AA1402"/>
      <c r="AB1402" s="1"/>
      <c r="AC1402" s="24"/>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c r="CA1402"/>
      <c r="CB1402"/>
      <c r="CC1402"/>
      <c r="CD1402"/>
      <c r="CE1402"/>
      <c r="CF1402"/>
      <c r="CG1402"/>
      <c r="CH1402"/>
      <c r="CI1402"/>
      <c r="CJ1402"/>
      <c r="CK1402"/>
      <c r="CL1402"/>
      <c r="CM1402"/>
      <c r="CN1402"/>
      <c r="CO1402"/>
      <c r="CP1402"/>
      <c r="CQ1402"/>
      <c r="CR1402"/>
      <c r="CS1402"/>
    </row>
    <row r="1403" spans="2:97">
      <c r="B1403"/>
      <c r="C1403" s="1"/>
      <c r="D1403" s="1"/>
      <c r="E1403" s="1"/>
      <c r="F1403" s="1"/>
      <c r="G1403" s="1"/>
      <c r="H1403" s="1"/>
      <c r="I1403" s="1"/>
      <c r="J1403" s="1"/>
      <c r="K1403" s="1"/>
      <c r="L1403" s="1"/>
      <c r="M1403" s="1"/>
      <c r="N1403" s="1"/>
      <c r="O1403" s="1"/>
      <c r="P1403" s="1"/>
      <c r="Q1403" s="1"/>
      <c r="R1403"/>
      <c r="S1403" s="1"/>
      <c r="T1403" s="24"/>
      <c r="U1403"/>
      <c r="V1403" s="1"/>
      <c r="W1403" s="24"/>
      <c r="X1403"/>
      <c r="Y1403" s="1"/>
      <c r="Z1403" s="24"/>
      <c r="AA1403"/>
      <c r="AB1403" s="1"/>
      <c r="AC1403" s="24"/>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c r="CA1403"/>
      <c r="CB1403"/>
      <c r="CC1403"/>
      <c r="CD1403"/>
      <c r="CE1403"/>
      <c r="CF1403"/>
      <c r="CG1403"/>
      <c r="CH1403"/>
      <c r="CI1403"/>
      <c r="CJ1403"/>
      <c r="CK1403"/>
      <c r="CL1403"/>
      <c r="CM1403"/>
      <c r="CN1403"/>
      <c r="CO1403"/>
      <c r="CP1403"/>
      <c r="CQ1403"/>
      <c r="CR1403"/>
      <c r="CS1403"/>
    </row>
    <row r="1404" spans="2:97">
      <c r="B1404"/>
      <c r="C1404" s="1"/>
      <c r="D1404" s="1"/>
      <c r="E1404" s="1"/>
      <c r="F1404" s="1"/>
      <c r="G1404" s="1"/>
      <c r="H1404" s="1"/>
      <c r="I1404" s="1"/>
      <c r="J1404" s="1"/>
      <c r="K1404" s="1"/>
      <c r="L1404" s="1"/>
      <c r="M1404" s="1"/>
      <c r="N1404" s="1"/>
      <c r="O1404" s="1"/>
      <c r="P1404" s="1"/>
      <c r="Q1404" s="1"/>
      <c r="R1404"/>
      <c r="S1404" s="1"/>
      <c r="T1404" s="24"/>
      <c r="U1404"/>
      <c r="V1404" s="1"/>
      <c r="W1404" s="24"/>
      <c r="X1404"/>
      <c r="Y1404" s="1"/>
      <c r="Z1404" s="24"/>
      <c r="AA1404"/>
      <c r="AB1404" s="1"/>
      <c r="AC1404" s="2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c r="CA1404"/>
      <c r="CB1404"/>
      <c r="CC1404"/>
      <c r="CD1404"/>
      <c r="CE1404"/>
      <c r="CF1404"/>
      <c r="CG1404"/>
      <c r="CH1404"/>
      <c r="CI1404"/>
      <c r="CJ1404"/>
      <c r="CK1404"/>
      <c r="CL1404"/>
      <c r="CM1404"/>
      <c r="CN1404"/>
      <c r="CO1404"/>
      <c r="CP1404"/>
      <c r="CQ1404"/>
      <c r="CR1404"/>
      <c r="CS1404"/>
    </row>
    <row r="1405" spans="2:97">
      <c r="B1405"/>
      <c r="C1405" s="1"/>
      <c r="D1405" s="1"/>
      <c r="E1405" s="1"/>
      <c r="F1405" s="1"/>
      <c r="G1405" s="1"/>
      <c r="H1405" s="1"/>
      <c r="I1405" s="1"/>
      <c r="J1405" s="1"/>
      <c r="K1405" s="1"/>
      <c r="L1405" s="1"/>
      <c r="M1405" s="1"/>
      <c r="N1405" s="1"/>
      <c r="O1405" s="1"/>
      <c r="P1405" s="1"/>
      <c r="Q1405" s="1"/>
      <c r="R1405"/>
      <c r="S1405" s="1"/>
      <c r="T1405" s="24"/>
      <c r="U1405"/>
      <c r="V1405" s="1"/>
      <c r="W1405" s="24"/>
      <c r="X1405"/>
      <c r="Y1405" s="1"/>
      <c r="Z1405" s="24"/>
      <c r="AA1405"/>
      <c r="AB1405" s="1"/>
      <c r="AC1405" s="24"/>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c r="CA1405"/>
      <c r="CB1405"/>
      <c r="CC1405"/>
      <c r="CD1405"/>
      <c r="CE1405"/>
      <c r="CF1405"/>
      <c r="CG1405"/>
      <c r="CH1405"/>
      <c r="CI1405"/>
      <c r="CJ1405"/>
      <c r="CK1405"/>
      <c r="CL1405"/>
      <c r="CM1405"/>
      <c r="CN1405"/>
      <c r="CO1405"/>
      <c r="CP1405"/>
      <c r="CQ1405"/>
      <c r="CR1405"/>
      <c r="CS1405"/>
    </row>
    <row r="1406" spans="2:97">
      <c r="B1406"/>
      <c r="C1406" s="1"/>
      <c r="D1406" s="1"/>
      <c r="E1406" s="1"/>
      <c r="F1406" s="1"/>
      <c r="G1406" s="1"/>
      <c r="H1406" s="1"/>
      <c r="I1406" s="1"/>
      <c r="J1406" s="1"/>
      <c r="K1406" s="1"/>
      <c r="L1406" s="1"/>
      <c r="M1406" s="1"/>
      <c r="N1406" s="1"/>
      <c r="O1406" s="1"/>
      <c r="P1406" s="1"/>
      <c r="Q1406" s="1"/>
      <c r="R1406"/>
      <c r="S1406" s="1"/>
      <c r="T1406" s="24"/>
      <c r="U1406"/>
      <c r="V1406" s="1"/>
      <c r="W1406" s="24"/>
      <c r="X1406"/>
      <c r="Y1406" s="1"/>
      <c r="Z1406" s="24"/>
      <c r="AA1406"/>
      <c r="AB1406" s="1"/>
      <c r="AC1406" s="24"/>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c r="CA1406"/>
      <c r="CB1406"/>
      <c r="CC1406"/>
      <c r="CD1406"/>
      <c r="CE1406"/>
      <c r="CF1406"/>
      <c r="CG1406"/>
      <c r="CH1406"/>
      <c r="CI1406"/>
      <c r="CJ1406"/>
      <c r="CK1406"/>
      <c r="CL1406"/>
      <c r="CM1406"/>
      <c r="CN1406"/>
      <c r="CO1406"/>
      <c r="CP1406"/>
      <c r="CQ1406"/>
      <c r="CR1406"/>
      <c r="CS1406"/>
    </row>
    <row r="1407" spans="2:97">
      <c r="B1407"/>
      <c r="C1407" s="1"/>
      <c r="D1407" s="1"/>
      <c r="E1407" s="1"/>
      <c r="F1407" s="1"/>
      <c r="G1407" s="1"/>
      <c r="H1407" s="1"/>
      <c r="I1407" s="1"/>
      <c r="J1407" s="1"/>
      <c r="K1407" s="1"/>
      <c r="L1407" s="1"/>
      <c r="M1407" s="1"/>
      <c r="N1407" s="1"/>
      <c r="O1407" s="1"/>
      <c r="P1407" s="1"/>
      <c r="Q1407" s="1"/>
      <c r="R1407"/>
      <c r="S1407" s="1"/>
      <c r="T1407" s="24"/>
      <c r="U1407"/>
      <c r="V1407" s="1"/>
      <c r="W1407" s="24"/>
      <c r="X1407"/>
      <c r="Y1407" s="1"/>
      <c r="Z1407" s="24"/>
      <c r="AA1407"/>
      <c r="AB1407" s="1"/>
      <c r="AC1407" s="24"/>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c r="CA1407"/>
      <c r="CB1407"/>
      <c r="CC1407"/>
      <c r="CD1407"/>
      <c r="CE1407"/>
      <c r="CF1407"/>
      <c r="CG1407"/>
      <c r="CH1407"/>
      <c r="CI1407"/>
      <c r="CJ1407"/>
      <c r="CK1407"/>
      <c r="CL1407"/>
      <c r="CM1407"/>
      <c r="CN1407"/>
      <c r="CO1407"/>
      <c r="CP1407"/>
      <c r="CQ1407"/>
      <c r="CR1407"/>
      <c r="CS1407"/>
    </row>
    <row r="1408" spans="2:97">
      <c r="B1408"/>
      <c r="C1408" s="1"/>
      <c r="D1408" s="1"/>
      <c r="E1408" s="1"/>
      <c r="F1408" s="1"/>
      <c r="G1408" s="1"/>
      <c r="H1408" s="1"/>
      <c r="I1408" s="1"/>
      <c r="J1408" s="1"/>
      <c r="K1408" s="1"/>
      <c r="L1408" s="1"/>
      <c r="M1408" s="1"/>
      <c r="N1408" s="1"/>
      <c r="O1408" s="1"/>
      <c r="P1408" s="1"/>
      <c r="Q1408" s="1"/>
      <c r="R1408"/>
      <c r="S1408" s="1"/>
      <c r="T1408" s="24"/>
      <c r="U1408"/>
      <c r="V1408" s="1"/>
      <c r="W1408" s="24"/>
      <c r="X1408"/>
      <c r="Y1408" s="1"/>
      <c r="Z1408" s="24"/>
      <c r="AA1408"/>
      <c r="AB1408" s="1"/>
      <c r="AC1408" s="24"/>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c r="CA1408"/>
      <c r="CB1408"/>
      <c r="CC1408"/>
      <c r="CD1408"/>
      <c r="CE1408"/>
      <c r="CF1408"/>
      <c r="CG1408"/>
      <c r="CH1408"/>
      <c r="CI1408"/>
      <c r="CJ1408"/>
      <c r="CK1408"/>
      <c r="CL1408"/>
      <c r="CM1408"/>
      <c r="CN1408"/>
      <c r="CO1408"/>
      <c r="CP1408"/>
      <c r="CQ1408"/>
      <c r="CR1408"/>
      <c r="CS1408"/>
    </row>
    <row r="1409" spans="2:97">
      <c r="B1409"/>
      <c r="C1409" s="1"/>
      <c r="D1409" s="1"/>
      <c r="E1409" s="1"/>
      <c r="F1409" s="1"/>
      <c r="G1409" s="1"/>
      <c r="H1409" s="1"/>
      <c r="I1409" s="1"/>
      <c r="J1409" s="1"/>
      <c r="K1409" s="1"/>
      <c r="L1409" s="1"/>
      <c r="M1409" s="1"/>
      <c r="N1409" s="1"/>
      <c r="O1409" s="1"/>
      <c r="P1409" s="1"/>
      <c r="Q1409" s="1"/>
      <c r="R1409"/>
      <c r="S1409" s="1"/>
      <c r="T1409" s="24"/>
      <c r="U1409"/>
      <c r="V1409" s="1"/>
      <c r="W1409" s="24"/>
      <c r="X1409"/>
      <c r="Y1409" s="1"/>
      <c r="Z1409" s="24"/>
      <c r="AA1409"/>
      <c r="AB1409" s="1"/>
      <c r="AC1409" s="24"/>
      <c r="AD1409"/>
      <c r="AE1409"/>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c r="CA1409"/>
      <c r="CB1409"/>
      <c r="CC1409"/>
      <c r="CD1409"/>
      <c r="CE1409"/>
      <c r="CF1409"/>
      <c r="CG1409"/>
      <c r="CH1409"/>
      <c r="CI1409"/>
      <c r="CJ1409"/>
      <c r="CK1409"/>
      <c r="CL1409"/>
      <c r="CM1409"/>
      <c r="CN1409"/>
      <c r="CO1409"/>
      <c r="CP1409"/>
      <c r="CQ1409"/>
      <c r="CR1409"/>
      <c r="CS1409"/>
    </row>
    <row r="1410" spans="2:97">
      <c r="B1410"/>
      <c r="C1410" s="1"/>
      <c r="D1410" s="1"/>
      <c r="E1410" s="1"/>
      <c r="F1410" s="1"/>
      <c r="G1410" s="1"/>
      <c r="H1410" s="1"/>
      <c r="I1410" s="1"/>
      <c r="J1410" s="1"/>
      <c r="K1410" s="1"/>
      <c r="L1410" s="1"/>
      <c r="M1410" s="1"/>
      <c r="N1410" s="1"/>
      <c r="O1410" s="1"/>
      <c r="P1410" s="1"/>
      <c r="Q1410" s="1"/>
      <c r="R1410"/>
      <c r="S1410" s="1"/>
      <c r="T1410" s="24"/>
      <c r="U1410"/>
      <c r="V1410" s="1"/>
      <c r="W1410" s="24"/>
      <c r="X1410"/>
      <c r="Y1410" s="1"/>
      <c r="Z1410" s="24"/>
      <c r="AA1410"/>
      <c r="AB1410" s="1"/>
      <c r="AC1410" s="24"/>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c r="CA1410"/>
      <c r="CB1410"/>
      <c r="CC1410"/>
      <c r="CD1410"/>
      <c r="CE1410"/>
      <c r="CF1410"/>
      <c r="CG1410"/>
      <c r="CH1410"/>
      <c r="CI1410"/>
      <c r="CJ1410"/>
      <c r="CK1410"/>
      <c r="CL1410"/>
      <c r="CM1410"/>
      <c r="CN1410"/>
      <c r="CO1410"/>
      <c r="CP1410"/>
      <c r="CQ1410"/>
      <c r="CR1410"/>
      <c r="CS1410"/>
    </row>
    <row r="1411" spans="2:97">
      <c r="B1411"/>
      <c r="C1411" s="1"/>
      <c r="D1411" s="1"/>
      <c r="E1411" s="1"/>
      <c r="F1411" s="1"/>
      <c r="G1411" s="1"/>
      <c r="H1411" s="1"/>
      <c r="I1411" s="1"/>
      <c r="J1411" s="1"/>
      <c r="K1411" s="1"/>
      <c r="L1411" s="1"/>
      <c r="M1411" s="1"/>
      <c r="N1411" s="1"/>
      <c r="O1411" s="1"/>
      <c r="P1411" s="1"/>
      <c r="Q1411" s="1"/>
      <c r="R1411"/>
      <c r="S1411" s="1"/>
      <c r="T1411" s="24"/>
      <c r="U1411"/>
      <c r="V1411" s="1"/>
      <c r="W1411" s="24"/>
      <c r="X1411"/>
      <c r="Y1411" s="1"/>
      <c r="Z1411" s="24"/>
      <c r="AA1411"/>
      <c r="AB1411" s="1"/>
      <c r="AC1411" s="24"/>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c r="CK1411"/>
      <c r="CL1411"/>
      <c r="CM1411"/>
      <c r="CN1411"/>
      <c r="CO1411"/>
      <c r="CP1411"/>
      <c r="CQ1411"/>
      <c r="CR1411"/>
      <c r="CS1411"/>
    </row>
    <row r="1412" spans="2:97">
      <c r="B1412"/>
      <c r="C1412" s="1"/>
      <c r="D1412" s="1"/>
      <c r="E1412" s="1"/>
      <c r="F1412" s="1"/>
      <c r="G1412" s="1"/>
      <c r="H1412" s="1"/>
      <c r="I1412" s="1"/>
      <c r="J1412" s="1"/>
      <c r="K1412" s="1"/>
      <c r="L1412" s="1"/>
      <c r="M1412" s="1"/>
      <c r="N1412" s="1"/>
      <c r="O1412" s="1"/>
      <c r="P1412" s="1"/>
      <c r="Q1412" s="1"/>
      <c r="R1412"/>
      <c r="S1412" s="1"/>
      <c r="T1412" s="24"/>
      <c r="U1412"/>
      <c r="V1412" s="1"/>
      <c r="W1412" s="24"/>
      <c r="X1412"/>
      <c r="Y1412" s="1"/>
      <c r="Z1412" s="24"/>
      <c r="AA1412"/>
      <c r="AB1412" s="1"/>
      <c r="AC1412" s="24"/>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c r="CA1412"/>
      <c r="CB1412"/>
      <c r="CC1412"/>
      <c r="CD1412"/>
      <c r="CE1412"/>
      <c r="CF1412"/>
      <c r="CG1412"/>
      <c r="CH1412"/>
      <c r="CI1412"/>
      <c r="CJ1412"/>
      <c r="CK1412"/>
      <c r="CL1412"/>
      <c r="CM1412"/>
      <c r="CN1412"/>
      <c r="CO1412"/>
      <c r="CP1412"/>
      <c r="CQ1412"/>
      <c r="CR1412"/>
      <c r="CS1412"/>
    </row>
    <row r="1413" spans="2:97">
      <c r="B1413"/>
      <c r="C1413" s="1"/>
      <c r="D1413" s="1"/>
      <c r="E1413" s="1"/>
      <c r="F1413" s="1"/>
      <c r="G1413" s="1"/>
      <c r="H1413" s="1"/>
      <c r="I1413" s="1"/>
      <c r="J1413" s="1"/>
      <c r="K1413" s="1"/>
      <c r="L1413" s="1"/>
      <c r="M1413" s="1"/>
      <c r="N1413" s="1"/>
      <c r="O1413" s="1"/>
      <c r="P1413" s="1"/>
      <c r="Q1413" s="1"/>
      <c r="R1413"/>
      <c r="S1413" s="1"/>
      <c r="T1413" s="24"/>
      <c r="U1413"/>
      <c r="V1413" s="1"/>
      <c r="W1413" s="24"/>
      <c r="X1413"/>
      <c r="Y1413" s="1"/>
      <c r="Z1413" s="24"/>
      <c r="AA1413"/>
      <c r="AB1413" s="1"/>
      <c r="AC1413" s="24"/>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c r="CA1413"/>
      <c r="CB1413"/>
      <c r="CC1413"/>
      <c r="CD1413"/>
      <c r="CE1413"/>
      <c r="CF1413"/>
      <c r="CG1413"/>
      <c r="CH1413"/>
      <c r="CI1413"/>
      <c r="CJ1413"/>
      <c r="CK1413"/>
      <c r="CL1413"/>
      <c r="CM1413"/>
      <c r="CN1413"/>
      <c r="CO1413"/>
      <c r="CP1413"/>
      <c r="CQ1413"/>
      <c r="CR1413"/>
      <c r="CS1413"/>
    </row>
    <row r="1414" spans="2:97">
      <c r="B1414"/>
      <c r="C1414" s="1"/>
      <c r="D1414" s="1"/>
      <c r="E1414" s="1"/>
      <c r="F1414" s="1"/>
      <c r="G1414" s="1"/>
      <c r="H1414" s="1"/>
      <c r="I1414" s="1"/>
      <c r="J1414" s="1"/>
      <c r="K1414" s="1"/>
      <c r="L1414" s="1"/>
      <c r="M1414" s="1"/>
      <c r="N1414" s="1"/>
      <c r="O1414" s="1"/>
      <c r="P1414" s="1"/>
      <c r="Q1414" s="1"/>
      <c r="R1414"/>
      <c r="S1414" s="1"/>
      <c r="T1414" s="24"/>
      <c r="U1414"/>
      <c r="V1414" s="1"/>
      <c r="W1414" s="24"/>
      <c r="X1414"/>
      <c r="Y1414" s="1"/>
      <c r="Z1414" s="24"/>
      <c r="AA1414"/>
      <c r="AB1414" s="1"/>
      <c r="AC1414" s="2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c r="CA1414"/>
      <c r="CB1414"/>
      <c r="CC1414"/>
      <c r="CD1414"/>
      <c r="CE1414"/>
      <c r="CF1414"/>
      <c r="CG1414"/>
      <c r="CH1414"/>
      <c r="CI1414"/>
      <c r="CJ1414"/>
      <c r="CK1414"/>
      <c r="CL1414"/>
      <c r="CM1414"/>
      <c r="CN1414"/>
      <c r="CO1414"/>
      <c r="CP1414"/>
      <c r="CQ1414"/>
      <c r="CR1414"/>
      <c r="CS1414"/>
    </row>
    <row r="1415" spans="2:97">
      <c r="B1415"/>
      <c r="C1415" s="1"/>
      <c r="D1415" s="1"/>
      <c r="E1415" s="1"/>
      <c r="F1415" s="1"/>
      <c r="G1415" s="1"/>
      <c r="H1415" s="1"/>
      <c r="I1415" s="1"/>
      <c r="J1415" s="1"/>
      <c r="K1415" s="1"/>
      <c r="L1415" s="1"/>
      <c r="M1415" s="1"/>
      <c r="N1415" s="1"/>
      <c r="O1415" s="1"/>
      <c r="P1415" s="1"/>
      <c r="Q1415" s="1"/>
      <c r="R1415"/>
      <c r="S1415" s="1"/>
      <c r="T1415" s="24"/>
      <c r="U1415"/>
      <c r="V1415" s="1"/>
      <c r="W1415" s="24"/>
      <c r="X1415"/>
      <c r="Y1415" s="1"/>
      <c r="Z1415" s="24"/>
      <c r="AA1415"/>
      <c r="AB1415" s="1"/>
      <c r="AC1415" s="24"/>
      <c r="AD1415"/>
      <c r="AE1415"/>
      <c r="AF1415"/>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c r="CA1415"/>
      <c r="CB1415"/>
      <c r="CC1415"/>
      <c r="CD1415"/>
      <c r="CE1415"/>
      <c r="CF1415"/>
      <c r="CG1415"/>
      <c r="CH1415"/>
      <c r="CI1415"/>
      <c r="CJ1415"/>
      <c r="CK1415"/>
      <c r="CL1415"/>
      <c r="CM1415"/>
      <c r="CN1415"/>
      <c r="CO1415"/>
      <c r="CP1415"/>
      <c r="CQ1415"/>
      <c r="CR1415"/>
      <c r="CS1415"/>
    </row>
    <row r="1416" spans="2:97">
      <c r="B1416"/>
      <c r="C1416" s="1"/>
      <c r="D1416" s="1"/>
      <c r="E1416" s="1"/>
      <c r="F1416" s="1"/>
      <c r="G1416" s="1"/>
      <c r="H1416" s="1"/>
      <c r="I1416" s="1"/>
      <c r="J1416" s="1"/>
      <c r="K1416" s="1"/>
      <c r="L1416" s="1"/>
      <c r="M1416" s="1"/>
      <c r="N1416" s="1"/>
      <c r="O1416" s="1"/>
      <c r="P1416" s="1"/>
      <c r="Q1416" s="1"/>
      <c r="R1416"/>
      <c r="S1416" s="1"/>
      <c r="T1416" s="24"/>
      <c r="U1416"/>
      <c r="V1416" s="1"/>
      <c r="W1416" s="24"/>
      <c r="X1416"/>
      <c r="Y1416" s="1"/>
      <c r="Z1416" s="24"/>
      <c r="AA1416"/>
      <c r="AB1416" s="1"/>
      <c r="AC1416" s="24"/>
      <c r="AD1416"/>
      <c r="AE1416"/>
      <c r="AF1416"/>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c r="CA1416"/>
      <c r="CB1416"/>
      <c r="CC1416"/>
      <c r="CD1416"/>
      <c r="CE1416"/>
      <c r="CF1416"/>
      <c r="CG1416"/>
      <c r="CH1416"/>
      <c r="CI1416"/>
      <c r="CJ1416"/>
      <c r="CK1416"/>
      <c r="CL1416"/>
      <c r="CM1416"/>
      <c r="CN1416"/>
      <c r="CO1416"/>
      <c r="CP1416"/>
      <c r="CQ1416"/>
      <c r="CR1416"/>
      <c r="CS1416"/>
    </row>
    <row r="1417" spans="2:97">
      <c r="B1417"/>
      <c r="C1417" s="1"/>
      <c r="D1417" s="1"/>
      <c r="E1417" s="1"/>
      <c r="F1417" s="1"/>
      <c r="G1417" s="1"/>
      <c r="H1417" s="1"/>
      <c r="I1417" s="1"/>
      <c r="J1417" s="1"/>
      <c r="K1417" s="1"/>
      <c r="L1417" s="1"/>
      <c r="M1417" s="1"/>
      <c r="N1417" s="1"/>
      <c r="O1417" s="1"/>
      <c r="P1417" s="1"/>
      <c r="Q1417" s="1"/>
      <c r="R1417"/>
      <c r="S1417" s="1"/>
      <c r="T1417" s="24"/>
      <c r="U1417"/>
      <c r="V1417" s="1"/>
      <c r="W1417" s="24"/>
      <c r="X1417"/>
      <c r="Y1417" s="1"/>
      <c r="Z1417" s="24"/>
      <c r="AA1417"/>
      <c r="AB1417" s="1"/>
      <c r="AC1417" s="24"/>
      <c r="AD1417"/>
      <c r="AE1417"/>
      <c r="AF1417"/>
      <c r="AG1417"/>
      <c r="AH1417"/>
      <c r="AI1417"/>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c r="CA1417"/>
      <c r="CB1417"/>
      <c r="CC1417"/>
      <c r="CD1417"/>
      <c r="CE1417"/>
      <c r="CF1417"/>
      <c r="CG1417"/>
      <c r="CH1417"/>
      <c r="CI1417"/>
      <c r="CJ1417"/>
      <c r="CK1417"/>
      <c r="CL1417"/>
      <c r="CM1417"/>
      <c r="CN1417"/>
      <c r="CO1417"/>
      <c r="CP1417"/>
      <c r="CQ1417"/>
      <c r="CR1417"/>
      <c r="CS1417"/>
    </row>
    <row r="1418" spans="2:97">
      <c r="B1418"/>
      <c r="C1418" s="1"/>
      <c r="D1418" s="1"/>
      <c r="E1418" s="1"/>
      <c r="F1418" s="1"/>
      <c r="G1418" s="1"/>
      <c r="H1418" s="1"/>
      <c r="I1418" s="1"/>
      <c r="J1418" s="1"/>
      <c r="K1418" s="1"/>
      <c r="L1418" s="1"/>
      <c r="M1418" s="1"/>
      <c r="N1418" s="1"/>
      <c r="O1418" s="1"/>
      <c r="P1418" s="1"/>
      <c r="Q1418" s="1"/>
      <c r="R1418"/>
      <c r="S1418" s="1"/>
      <c r="T1418" s="24"/>
      <c r="U1418"/>
      <c r="V1418" s="1"/>
      <c r="W1418" s="24"/>
      <c r="X1418"/>
      <c r="Y1418" s="1"/>
      <c r="Z1418" s="24"/>
      <c r="AA1418"/>
      <c r="AB1418" s="1"/>
      <c r="AC1418" s="24"/>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c r="CA1418"/>
      <c r="CB1418"/>
      <c r="CC1418"/>
      <c r="CD1418"/>
      <c r="CE1418"/>
      <c r="CF1418"/>
      <c r="CG1418"/>
      <c r="CH1418"/>
      <c r="CI1418"/>
      <c r="CJ1418"/>
      <c r="CK1418"/>
      <c r="CL1418"/>
      <c r="CM1418"/>
      <c r="CN1418"/>
      <c r="CO1418"/>
      <c r="CP1418"/>
      <c r="CQ1418"/>
      <c r="CR1418"/>
      <c r="CS1418"/>
    </row>
    <row r="1419" spans="2:97">
      <c r="B1419"/>
      <c r="C1419" s="1"/>
      <c r="D1419" s="1"/>
      <c r="E1419" s="1"/>
      <c r="F1419" s="1"/>
      <c r="G1419" s="1"/>
      <c r="H1419" s="1"/>
      <c r="I1419" s="1"/>
      <c r="J1419" s="1"/>
      <c r="K1419" s="1"/>
      <c r="L1419" s="1"/>
      <c r="M1419" s="1"/>
      <c r="N1419" s="1"/>
      <c r="O1419" s="1"/>
      <c r="P1419" s="1"/>
      <c r="Q1419" s="1"/>
      <c r="R1419"/>
      <c r="S1419" s="1"/>
      <c r="T1419" s="24"/>
      <c r="U1419"/>
      <c r="V1419" s="1"/>
      <c r="W1419" s="24"/>
      <c r="X1419"/>
      <c r="Y1419" s="1"/>
      <c r="Z1419" s="24"/>
      <c r="AA1419"/>
      <c r="AB1419" s="1"/>
      <c r="AC1419" s="24"/>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c r="CA1419"/>
      <c r="CB1419"/>
      <c r="CC1419"/>
      <c r="CD1419"/>
      <c r="CE1419"/>
      <c r="CF1419"/>
      <c r="CG1419"/>
      <c r="CH1419"/>
      <c r="CI1419"/>
      <c r="CJ1419"/>
      <c r="CK1419"/>
      <c r="CL1419"/>
      <c r="CM1419"/>
      <c r="CN1419"/>
      <c r="CO1419"/>
      <c r="CP1419"/>
      <c r="CQ1419"/>
      <c r="CR1419"/>
      <c r="CS1419"/>
    </row>
    <row r="1420" spans="2:97">
      <c r="B1420"/>
      <c r="C1420" s="1"/>
      <c r="D1420" s="1"/>
      <c r="E1420" s="1"/>
      <c r="F1420" s="1"/>
      <c r="G1420" s="1"/>
      <c r="H1420" s="1"/>
      <c r="I1420" s="1"/>
      <c r="J1420" s="1"/>
      <c r="K1420" s="1"/>
      <c r="L1420" s="1"/>
      <c r="M1420" s="1"/>
      <c r="N1420" s="1"/>
      <c r="O1420" s="1"/>
      <c r="P1420" s="1"/>
      <c r="Q1420" s="1"/>
      <c r="R1420"/>
      <c r="S1420" s="1"/>
      <c r="T1420" s="24"/>
      <c r="U1420"/>
      <c r="V1420" s="1"/>
      <c r="W1420" s="24"/>
      <c r="X1420"/>
      <c r="Y1420" s="1"/>
      <c r="Z1420" s="24"/>
      <c r="AA1420"/>
      <c r="AB1420" s="1"/>
      <c r="AC1420" s="24"/>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c r="CA1420"/>
      <c r="CB1420"/>
      <c r="CC1420"/>
      <c r="CD1420"/>
      <c r="CE1420"/>
      <c r="CF1420"/>
      <c r="CG1420"/>
      <c r="CH1420"/>
      <c r="CI1420"/>
      <c r="CJ1420"/>
      <c r="CK1420"/>
      <c r="CL1420"/>
      <c r="CM1420"/>
      <c r="CN1420"/>
      <c r="CO1420"/>
      <c r="CP1420"/>
      <c r="CQ1420"/>
      <c r="CR1420"/>
      <c r="CS1420"/>
    </row>
    <row r="1421" spans="2:97">
      <c r="B1421"/>
      <c r="C1421" s="1"/>
      <c r="D1421" s="1"/>
      <c r="E1421" s="1"/>
      <c r="F1421" s="1"/>
      <c r="G1421" s="1"/>
      <c r="H1421" s="1"/>
      <c r="I1421" s="1"/>
      <c r="J1421" s="1"/>
      <c r="K1421" s="1"/>
      <c r="L1421" s="1"/>
      <c r="M1421" s="1"/>
      <c r="N1421" s="1"/>
      <c r="O1421" s="1"/>
      <c r="P1421" s="1"/>
      <c r="Q1421" s="1"/>
      <c r="R1421"/>
      <c r="S1421" s="1"/>
      <c r="T1421" s="24"/>
      <c r="U1421"/>
      <c r="V1421" s="1"/>
      <c r="W1421" s="24"/>
      <c r="X1421"/>
      <c r="Y1421" s="1"/>
      <c r="Z1421" s="24"/>
      <c r="AA1421"/>
      <c r="AB1421" s="1"/>
      <c r="AC1421" s="24"/>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c r="CA1421"/>
      <c r="CB1421"/>
      <c r="CC1421"/>
      <c r="CD1421"/>
      <c r="CE1421"/>
      <c r="CF1421"/>
      <c r="CG1421"/>
      <c r="CH1421"/>
      <c r="CI1421"/>
      <c r="CJ1421"/>
      <c r="CK1421"/>
      <c r="CL1421"/>
      <c r="CM1421"/>
      <c r="CN1421"/>
      <c r="CO1421"/>
      <c r="CP1421"/>
      <c r="CQ1421"/>
      <c r="CR1421"/>
      <c r="CS1421"/>
    </row>
    <row r="1422" spans="2:97">
      <c r="B1422"/>
      <c r="C1422" s="1"/>
      <c r="D1422" s="1"/>
      <c r="E1422" s="1"/>
      <c r="F1422" s="1"/>
      <c r="G1422" s="1"/>
      <c r="H1422" s="1"/>
      <c r="I1422" s="1"/>
      <c r="J1422" s="1"/>
      <c r="K1422" s="1"/>
      <c r="L1422" s="1"/>
      <c r="M1422" s="1"/>
      <c r="N1422" s="1"/>
      <c r="O1422" s="1"/>
      <c r="P1422" s="1"/>
      <c r="Q1422" s="1"/>
      <c r="R1422"/>
      <c r="S1422" s="1"/>
      <c r="T1422" s="24"/>
      <c r="U1422"/>
      <c r="V1422" s="1"/>
      <c r="W1422" s="24"/>
      <c r="X1422"/>
      <c r="Y1422" s="1"/>
      <c r="Z1422" s="24"/>
      <c r="AA1422"/>
      <c r="AB1422" s="1"/>
      <c r="AC1422" s="24"/>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c r="CA1422"/>
      <c r="CB1422"/>
      <c r="CC1422"/>
      <c r="CD1422"/>
      <c r="CE1422"/>
      <c r="CF1422"/>
      <c r="CG1422"/>
      <c r="CH1422"/>
      <c r="CI1422"/>
      <c r="CJ1422"/>
      <c r="CK1422"/>
      <c r="CL1422"/>
      <c r="CM1422"/>
      <c r="CN1422"/>
      <c r="CO1422"/>
      <c r="CP1422"/>
      <c r="CQ1422"/>
      <c r="CR1422"/>
      <c r="CS1422"/>
    </row>
    <row r="1423" spans="2:97">
      <c r="B1423"/>
      <c r="C1423" s="1"/>
      <c r="D1423" s="1"/>
      <c r="E1423" s="1"/>
      <c r="F1423" s="1"/>
      <c r="G1423" s="1"/>
      <c r="H1423" s="1"/>
      <c r="I1423" s="1"/>
      <c r="J1423" s="1"/>
      <c r="K1423" s="1"/>
      <c r="L1423" s="1"/>
      <c r="M1423" s="1"/>
      <c r="N1423" s="1"/>
      <c r="O1423" s="1"/>
      <c r="P1423" s="1"/>
      <c r="Q1423" s="1"/>
      <c r="R1423"/>
      <c r="S1423" s="1"/>
      <c r="T1423" s="24"/>
      <c r="U1423"/>
      <c r="V1423" s="1"/>
      <c r="W1423" s="24"/>
      <c r="X1423"/>
      <c r="Y1423" s="1"/>
      <c r="Z1423" s="24"/>
      <c r="AA1423"/>
      <c r="AB1423" s="1"/>
      <c r="AC1423" s="24"/>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c r="CA1423"/>
      <c r="CB1423"/>
      <c r="CC1423"/>
      <c r="CD1423"/>
      <c r="CE1423"/>
      <c r="CF1423"/>
      <c r="CG1423"/>
      <c r="CH1423"/>
      <c r="CI1423"/>
      <c r="CJ1423"/>
      <c r="CK1423"/>
      <c r="CL1423"/>
      <c r="CM1423"/>
      <c r="CN1423"/>
      <c r="CO1423"/>
      <c r="CP1423"/>
      <c r="CQ1423"/>
      <c r="CR1423"/>
      <c r="CS1423"/>
    </row>
    <row r="1424" spans="2:97">
      <c r="B1424"/>
      <c r="C1424" s="1"/>
      <c r="D1424" s="1"/>
      <c r="E1424" s="1"/>
      <c r="F1424" s="1"/>
      <c r="G1424" s="1"/>
      <c r="H1424" s="1"/>
      <c r="I1424" s="1"/>
      <c r="J1424" s="1"/>
      <c r="K1424" s="1"/>
      <c r="L1424" s="1"/>
      <c r="M1424" s="1"/>
      <c r="N1424" s="1"/>
      <c r="O1424" s="1"/>
      <c r="P1424" s="1"/>
      <c r="Q1424" s="1"/>
      <c r="R1424"/>
      <c r="S1424" s="1"/>
      <c r="T1424" s="24"/>
      <c r="U1424"/>
      <c r="V1424" s="1"/>
      <c r="W1424" s="24"/>
      <c r="X1424"/>
      <c r="Y1424" s="1"/>
      <c r="Z1424" s="24"/>
      <c r="AA1424"/>
      <c r="AB1424" s="1"/>
      <c r="AC1424" s="24"/>
      <c r="AD1424"/>
      <c r="AE1424"/>
      <c r="AF1424"/>
      <c r="AG1424"/>
      <c r="AH1424"/>
      <c r="AI1424"/>
      <c r="AJ1424"/>
      <c r="AK1424"/>
      <c r="AL1424"/>
      <c r="AM1424"/>
      <c r="AN1424"/>
      <c r="AO1424"/>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c r="CA1424"/>
      <c r="CB1424"/>
      <c r="CC1424"/>
      <c r="CD1424"/>
      <c r="CE1424"/>
      <c r="CF1424"/>
      <c r="CG1424"/>
      <c r="CH1424"/>
      <c r="CI1424"/>
      <c r="CJ1424"/>
      <c r="CK1424"/>
      <c r="CL1424"/>
      <c r="CM1424"/>
      <c r="CN1424"/>
      <c r="CO1424"/>
      <c r="CP1424"/>
      <c r="CQ1424"/>
      <c r="CR1424"/>
      <c r="CS1424"/>
    </row>
    <row r="1425" spans="2:97">
      <c r="B1425"/>
      <c r="C1425" s="1"/>
      <c r="D1425" s="1"/>
      <c r="E1425" s="1"/>
      <c r="F1425" s="1"/>
      <c r="G1425" s="1"/>
      <c r="H1425" s="1"/>
      <c r="I1425" s="1"/>
      <c r="J1425" s="1"/>
      <c r="K1425" s="1"/>
      <c r="L1425" s="1"/>
      <c r="M1425" s="1"/>
      <c r="N1425" s="1"/>
      <c r="O1425" s="1"/>
      <c r="P1425" s="1"/>
      <c r="Q1425" s="1"/>
      <c r="R1425"/>
      <c r="S1425" s="1"/>
      <c r="T1425" s="24"/>
      <c r="U1425"/>
      <c r="V1425" s="1"/>
      <c r="W1425" s="24"/>
      <c r="X1425"/>
      <c r="Y1425" s="1"/>
      <c r="Z1425" s="24"/>
      <c r="AA1425"/>
      <c r="AB1425" s="1"/>
      <c r="AC1425" s="24"/>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c r="CA1425"/>
      <c r="CB1425"/>
      <c r="CC1425"/>
      <c r="CD1425"/>
      <c r="CE1425"/>
      <c r="CF1425"/>
      <c r="CG1425"/>
      <c r="CH1425"/>
      <c r="CI1425"/>
      <c r="CJ1425"/>
      <c r="CK1425"/>
      <c r="CL1425"/>
      <c r="CM1425"/>
      <c r="CN1425"/>
      <c r="CO1425"/>
      <c r="CP1425"/>
      <c r="CQ1425"/>
      <c r="CR1425"/>
      <c r="CS1425"/>
    </row>
    <row r="1426" spans="2:97">
      <c r="B1426"/>
      <c r="C1426" s="1"/>
      <c r="D1426" s="1"/>
      <c r="E1426" s="1"/>
      <c r="F1426" s="1"/>
      <c r="G1426" s="1"/>
      <c r="H1426" s="1"/>
      <c r="I1426" s="1"/>
      <c r="J1426" s="1"/>
      <c r="K1426" s="1"/>
      <c r="L1426" s="1"/>
      <c r="M1426" s="1"/>
      <c r="N1426" s="1"/>
      <c r="O1426" s="1"/>
      <c r="P1426" s="1"/>
      <c r="Q1426" s="1"/>
      <c r="R1426"/>
      <c r="S1426" s="1"/>
      <c r="T1426" s="24"/>
      <c r="U1426"/>
      <c r="V1426" s="1"/>
      <c r="W1426" s="24"/>
      <c r="X1426"/>
      <c r="Y1426" s="1"/>
      <c r="Z1426" s="24"/>
      <c r="AA1426"/>
      <c r="AB1426" s="1"/>
      <c r="AC1426" s="24"/>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c r="CA1426"/>
      <c r="CB1426"/>
      <c r="CC1426"/>
      <c r="CD1426"/>
      <c r="CE1426"/>
      <c r="CF1426"/>
      <c r="CG1426"/>
      <c r="CH1426"/>
      <c r="CI1426"/>
      <c r="CJ1426"/>
      <c r="CK1426"/>
      <c r="CL1426"/>
      <c r="CM1426"/>
      <c r="CN1426"/>
      <c r="CO1426"/>
      <c r="CP1426"/>
      <c r="CQ1426"/>
      <c r="CR1426"/>
      <c r="CS1426"/>
    </row>
    <row r="1427" spans="2:97">
      <c r="B1427"/>
      <c r="C1427" s="1"/>
      <c r="D1427" s="1"/>
      <c r="E1427" s="1"/>
      <c r="F1427" s="1"/>
      <c r="G1427" s="1"/>
      <c r="H1427" s="1"/>
      <c r="I1427" s="1"/>
      <c r="J1427" s="1"/>
      <c r="K1427" s="1"/>
      <c r="L1427" s="1"/>
      <c r="M1427" s="1"/>
      <c r="N1427" s="1"/>
      <c r="O1427" s="1"/>
      <c r="P1427" s="1"/>
      <c r="Q1427" s="1"/>
      <c r="R1427"/>
      <c r="S1427" s="1"/>
      <c r="T1427" s="24"/>
      <c r="U1427"/>
      <c r="V1427" s="1"/>
      <c r="W1427" s="24"/>
      <c r="X1427"/>
      <c r="Y1427" s="1"/>
      <c r="Z1427" s="24"/>
      <c r="AA1427"/>
      <c r="AB1427" s="1"/>
      <c r="AC1427" s="24"/>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c r="CA1427"/>
      <c r="CB1427"/>
      <c r="CC1427"/>
      <c r="CD1427"/>
      <c r="CE1427"/>
      <c r="CF1427"/>
      <c r="CG1427"/>
      <c r="CH1427"/>
      <c r="CI1427"/>
      <c r="CJ1427"/>
      <c r="CK1427"/>
      <c r="CL1427"/>
      <c r="CM1427"/>
      <c r="CN1427"/>
      <c r="CO1427"/>
      <c r="CP1427"/>
      <c r="CQ1427"/>
      <c r="CR1427"/>
      <c r="CS1427"/>
    </row>
    <row r="1428" spans="2:97">
      <c r="B1428"/>
      <c r="C1428" s="1"/>
      <c r="D1428" s="1"/>
      <c r="E1428" s="1"/>
      <c r="F1428" s="1"/>
      <c r="G1428" s="1"/>
      <c r="H1428" s="1"/>
      <c r="I1428" s="1"/>
      <c r="J1428" s="1"/>
      <c r="K1428" s="1"/>
      <c r="L1428" s="1"/>
      <c r="M1428" s="1"/>
      <c r="N1428" s="1"/>
      <c r="O1428" s="1"/>
      <c r="P1428" s="1"/>
      <c r="Q1428" s="1"/>
      <c r="R1428"/>
      <c r="S1428" s="1"/>
      <c r="T1428" s="24"/>
      <c r="U1428"/>
      <c r="V1428" s="1"/>
      <c r="W1428" s="24"/>
      <c r="X1428"/>
      <c r="Y1428" s="1"/>
      <c r="Z1428" s="24"/>
      <c r="AA1428"/>
      <c r="AB1428" s="1"/>
      <c r="AC1428" s="24"/>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c r="CA1428"/>
      <c r="CB1428"/>
      <c r="CC1428"/>
      <c r="CD1428"/>
      <c r="CE1428"/>
      <c r="CF1428"/>
      <c r="CG1428"/>
      <c r="CH1428"/>
      <c r="CI1428"/>
      <c r="CJ1428"/>
      <c r="CK1428"/>
      <c r="CL1428"/>
      <c r="CM1428"/>
      <c r="CN1428"/>
      <c r="CO1428"/>
      <c r="CP1428"/>
      <c r="CQ1428"/>
      <c r="CR1428"/>
      <c r="CS1428"/>
    </row>
    <row r="1429" spans="2:97">
      <c r="B1429"/>
      <c r="C1429" s="1"/>
      <c r="D1429" s="1"/>
      <c r="E1429" s="1"/>
      <c r="F1429" s="1"/>
      <c r="G1429" s="1"/>
      <c r="H1429" s="1"/>
      <c r="I1429" s="1"/>
      <c r="J1429" s="1"/>
      <c r="K1429" s="1"/>
      <c r="L1429" s="1"/>
      <c r="M1429" s="1"/>
      <c r="N1429" s="1"/>
      <c r="O1429" s="1"/>
      <c r="P1429" s="1"/>
      <c r="Q1429" s="1"/>
      <c r="R1429"/>
      <c r="S1429" s="1"/>
      <c r="T1429" s="24"/>
      <c r="U1429"/>
      <c r="V1429" s="1"/>
      <c r="W1429" s="24"/>
      <c r="X1429"/>
      <c r="Y1429" s="1"/>
      <c r="Z1429" s="24"/>
      <c r="AA1429"/>
      <c r="AB1429" s="1"/>
      <c r="AC1429" s="24"/>
      <c r="AD1429"/>
      <c r="AE1429"/>
      <c r="AF1429"/>
      <c r="AG1429"/>
      <c r="AH1429"/>
      <c r="AI1429"/>
      <c r="AJ1429"/>
      <c r="AK1429"/>
      <c r="AL1429"/>
      <c r="AM1429"/>
      <c r="AN1429"/>
      <c r="AO1429"/>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c r="CA1429"/>
      <c r="CB1429"/>
      <c r="CC1429"/>
      <c r="CD1429"/>
      <c r="CE1429"/>
      <c r="CF1429"/>
      <c r="CG1429"/>
      <c r="CH1429"/>
      <c r="CI1429"/>
      <c r="CJ1429"/>
      <c r="CK1429"/>
      <c r="CL1429"/>
      <c r="CM1429"/>
      <c r="CN1429"/>
      <c r="CO1429"/>
      <c r="CP1429"/>
      <c r="CQ1429"/>
      <c r="CR1429"/>
      <c r="CS1429"/>
    </row>
    <row r="1430" spans="2:97">
      <c r="B1430"/>
      <c r="C1430" s="1"/>
      <c r="D1430" s="1"/>
      <c r="E1430" s="1"/>
      <c r="F1430" s="1"/>
      <c r="G1430" s="1"/>
      <c r="H1430" s="1"/>
      <c r="I1430" s="1"/>
      <c r="J1430" s="1"/>
      <c r="K1430" s="1"/>
      <c r="L1430" s="1"/>
      <c r="M1430" s="1"/>
      <c r="N1430" s="1"/>
      <c r="O1430" s="1"/>
      <c r="P1430" s="1"/>
      <c r="Q1430" s="1"/>
      <c r="R1430"/>
      <c r="S1430" s="1"/>
      <c r="T1430" s="24"/>
      <c r="U1430"/>
      <c r="V1430" s="1"/>
      <c r="W1430" s="24"/>
      <c r="X1430"/>
      <c r="Y1430" s="1"/>
      <c r="Z1430" s="24"/>
      <c r="AA1430"/>
      <c r="AB1430" s="1"/>
      <c r="AC1430" s="24"/>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c r="CA1430"/>
      <c r="CB1430"/>
      <c r="CC1430"/>
      <c r="CD1430"/>
      <c r="CE1430"/>
      <c r="CF1430"/>
      <c r="CG1430"/>
      <c r="CH1430"/>
      <c r="CI1430"/>
      <c r="CJ1430"/>
      <c r="CK1430"/>
      <c r="CL1430"/>
      <c r="CM1430"/>
      <c r="CN1430"/>
      <c r="CO1430"/>
      <c r="CP1430"/>
      <c r="CQ1430"/>
      <c r="CR1430"/>
      <c r="CS1430"/>
    </row>
    <row r="1431" spans="2:97">
      <c r="B1431"/>
      <c r="C1431" s="1"/>
      <c r="D1431" s="1"/>
      <c r="E1431" s="1"/>
      <c r="F1431" s="1"/>
      <c r="G1431" s="1"/>
      <c r="H1431" s="1"/>
      <c r="I1431" s="1"/>
      <c r="J1431" s="1"/>
      <c r="K1431" s="1"/>
      <c r="L1431" s="1"/>
      <c r="M1431" s="1"/>
      <c r="N1431" s="1"/>
      <c r="O1431" s="1"/>
      <c r="P1431" s="1"/>
      <c r="Q1431" s="1"/>
      <c r="R1431"/>
      <c r="S1431" s="1"/>
      <c r="T1431" s="24"/>
      <c r="U1431"/>
      <c r="V1431" s="1"/>
      <c r="W1431" s="24"/>
      <c r="X1431"/>
      <c r="Y1431" s="1"/>
      <c r="Z1431" s="24"/>
      <c r="AA1431"/>
      <c r="AB1431" s="1"/>
      <c r="AC1431" s="24"/>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c r="CA1431"/>
      <c r="CB1431"/>
      <c r="CC1431"/>
      <c r="CD1431"/>
      <c r="CE1431"/>
      <c r="CF1431"/>
      <c r="CG1431"/>
      <c r="CH1431"/>
      <c r="CI1431"/>
      <c r="CJ1431"/>
      <c r="CK1431"/>
      <c r="CL1431"/>
      <c r="CM1431"/>
      <c r="CN1431"/>
      <c r="CO1431"/>
      <c r="CP1431"/>
      <c r="CQ1431"/>
      <c r="CR1431"/>
      <c r="CS1431"/>
    </row>
    <row r="1432" spans="2:97">
      <c r="B1432"/>
      <c r="C1432" s="1"/>
      <c r="D1432" s="1"/>
      <c r="E1432" s="1"/>
      <c r="F1432" s="1"/>
      <c r="G1432" s="1"/>
      <c r="H1432" s="1"/>
      <c r="I1432" s="1"/>
      <c r="J1432" s="1"/>
      <c r="K1432" s="1"/>
      <c r="L1432" s="1"/>
      <c r="M1432" s="1"/>
      <c r="N1432" s="1"/>
      <c r="O1432" s="1"/>
      <c r="P1432" s="1"/>
      <c r="Q1432" s="1"/>
      <c r="R1432"/>
      <c r="S1432" s="1"/>
      <c r="T1432" s="24"/>
      <c r="U1432"/>
      <c r="V1432" s="1"/>
      <c r="W1432" s="24"/>
      <c r="X1432"/>
      <c r="Y1432" s="1"/>
      <c r="Z1432" s="24"/>
      <c r="AA1432"/>
      <c r="AB1432" s="1"/>
      <c r="AC1432" s="24"/>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c r="CA1432"/>
      <c r="CB1432"/>
      <c r="CC1432"/>
      <c r="CD1432"/>
      <c r="CE1432"/>
      <c r="CF1432"/>
      <c r="CG1432"/>
      <c r="CH1432"/>
      <c r="CI1432"/>
      <c r="CJ1432"/>
      <c r="CK1432"/>
      <c r="CL1432"/>
      <c r="CM1432"/>
      <c r="CN1432"/>
      <c r="CO1432"/>
      <c r="CP1432"/>
      <c r="CQ1432"/>
      <c r="CR1432"/>
      <c r="CS1432"/>
    </row>
    <row r="1433" spans="2:97">
      <c r="B1433"/>
      <c r="C1433" s="1"/>
      <c r="D1433" s="1"/>
      <c r="E1433" s="1"/>
      <c r="F1433" s="1"/>
      <c r="G1433" s="1"/>
      <c r="H1433" s="1"/>
      <c r="I1433" s="1"/>
      <c r="J1433" s="1"/>
      <c r="K1433" s="1"/>
      <c r="L1433" s="1"/>
      <c r="M1433" s="1"/>
      <c r="N1433" s="1"/>
      <c r="O1433" s="1"/>
      <c r="P1433" s="1"/>
      <c r="Q1433" s="1"/>
      <c r="R1433"/>
      <c r="S1433" s="1"/>
      <c r="T1433" s="24"/>
      <c r="U1433"/>
      <c r="V1433" s="1"/>
      <c r="W1433" s="24"/>
      <c r="X1433"/>
      <c r="Y1433" s="1"/>
      <c r="Z1433" s="24"/>
      <c r="AA1433"/>
      <c r="AB1433" s="1"/>
      <c r="AC1433" s="24"/>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c r="CA1433"/>
      <c r="CB1433"/>
      <c r="CC1433"/>
      <c r="CD1433"/>
      <c r="CE1433"/>
      <c r="CF1433"/>
      <c r="CG1433"/>
      <c r="CH1433"/>
      <c r="CI1433"/>
      <c r="CJ1433"/>
      <c r="CK1433"/>
      <c r="CL1433"/>
      <c r="CM1433"/>
      <c r="CN1433"/>
      <c r="CO1433"/>
      <c r="CP1433"/>
      <c r="CQ1433"/>
      <c r="CR1433"/>
      <c r="CS1433"/>
    </row>
    <row r="1434" spans="2:97">
      <c r="B1434"/>
      <c r="C1434" s="1"/>
      <c r="D1434" s="1"/>
      <c r="E1434" s="1"/>
      <c r="F1434" s="1"/>
      <c r="G1434" s="1"/>
      <c r="H1434" s="1"/>
      <c r="I1434" s="1"/>
      <c r="J1434" s="1"/>
      <c r="K1434" s="1"/>
      <c r="L1434" s="1"/>
      <c r="M1434" s="1"/>
      <c r="N1434" s="1"/>
      <c r="O1434" s="1"/>
      <c r="P1434" s="1"/>
      <c r="Q1434" s="1"/>
      <c r="R1434"/>
      <c r="S1434" s="1"/>
      <c r="T1434" s="24"/>
      <c r="U1434"/>
      <c r="V1434" s="1"/>
      <c r="W1434" s="24"/>
      <c r="X1434"/>
      <c r="Y1434" s="1"/>
      <c r="Z1434" s="24"/>
      <c r="AA1434"/>
      <c r="AB1434" s="1"/>
      <c r="AC1434" s="2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c r="CA1434"/>
      <c r="CB1434"/>
      <c r="CC1434"/>
      <c r="CD1434"/>
      <c r="CE1434"/>
      <c r="CF1434"/>
      <c r="CG1434"/>
      <c r="CH1434"/>
      <c r="CI1434"/>
      <c r="CJ1434"/>
      <c r="CK1434"/>
      <c r="CL1434"/>
      <c r="CM1434"/>
      <c r="CN1434"/>
      <c r="CO1434"/>
      <c r="CP1434"/>
      <c r="CQ1434"/>
      <c r="CR1434"/>
      <c r="CS1434"/>
    </row>
    <row r="1435" spans="2:97">
      <c r="B1435"/>
      <c r="C1435" s="1"/>
      <c r="D1435" s="1"/>
      <c r="E1435" s="1"/>
      <c r="F1435" s="1"/>
      <c r="G1435" s="1"/>
      <c r="H1435" s="1"/>
      <c r="I1435" s="1"/>
      <c r="J1435" s="1"/>
      <c r="K1435" s="1"/>
      <c r="L1435" s="1"/>
      <c r="M1435" s="1"/>
      <c r="N1435" s="1"/>
      <c r="O1435" s="1"/>
      <c r="P1435" s="1"/>
      <c r="Q1435" s="1"/>
      <c r="R1435"/>
      <c r="S1435" s="1"/>
      <c r="T1435" s="24"/>
      <c r="U1435"/>
      <c r="V1435" s="1"/>
      <c r="W1435" s="24"/>
      <c r="X1435"/>
      <c r="Y1435" s="1"/>
      <c r="Z1435" s="24"/>
      <c r="AA1435"/>
      <c r="AB1435" s="1"/>
      <c r="AC1435" s="24"/>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c r="CA1435"/>
      <c r="CB1435"/>
      <c r="CC1435"/>
      <c r="CD1435"/>
      <c r="CE1435"/>
      <c r="CF1435"/>
      <c r="CG1435"/>
      <c r="CH1435"/>
      <c r="CI1435"/>
      <c r="CJ1435"/>
      <c r="CK1435"/>
      <c r="CL1435"/>
      <c r="CM1435"/>
      <c r="CN1435"/>
      <c r="CO1435"/>
      <c r="CP1435"/>
      <c r="CQ1435"/>
      <c r="CR1435"/>
      <c r="CS1435"/>
    </row>
    <row r="1436" spans="2:97">
      <c r="B1436"/>
      <c r="C1436" s="1"/>
      <c r="D1436" s="1"/>
      <c r="E1436" s="1"/>
      <c r="F1436" s="1"/>
      <c r="G1436" s="1"/>
      <c r="H1436" s="1"/>
      <c r="I1436" s="1"/>
      <c r="J1436" s="1"/>
      <c r="K1436" s="1"/>
      <c r="L1436" s="1"/>
      <c r="M1436" s="1"/>
      <c r="N1436" s="1"/>
      <c r="O1436" s="1"/>
      <c r="P1436" s="1"/>
      <c r="Q1436" s="1"/>
      <c r="R1436"/>
      <c r="S1436" s="1"/>
      <c r="T1436" s="24"/>
      <c r="U1436"/>
      <c r="V1436" s="1"/>
      <c r="W1436" s="24"/>
      <c r="X1436"/>
      <c r="Y1436" s="1"/>
      <c r="Z1436" s="24"/>
      <c r="AA1436"/>
      <c r="AB1436" s="1"/>
      <c r="AC1436" s="24"/>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c r="CA1436"/>
      <c r="CB1436"/>
      <c r="CC1436"/>
      <c r="CD1436"/>
      <c r="CE1436"/>
      <c r="CF1436"/>
      <c r="CG1436"/>
      <c r="CH1436"/>
      <c r="CI1436"/>
      <c r="CJ1436"/>
      <c r="CK1436"/>
      <c r="CL1436"/>
      <c r="CM1436"/>
      <c r="CN1436"/>
      <c r="CO1436"/>
      <c r="CP1436"/>
      <c r="CQ1436"/>
      <c r="CR1436"/>
      <c r="CS1436"/>
    </row>
    <row r="1437" spans="2:97">
      <c r="B1437"/>
      <c r="C1437" s="1"/>
      <c r="D1437" s="1"/>
      <c r="E1437" s="1"/>
      <c r="F1437" s="1"/>
      <c r="G1437" s="1"/>
      <c r="H1437" s="1"/>
      <c r="I1437" s="1"/>
      <c r="J1437" s="1"/>
      <c r="K1437" s="1"/>
      <c r="L1437" s="1"/>
      <c r="M1437" s="1"/>
      <c r="N1437" s="1"/>
      <c r="O1437" s="1"/>
      <c r="P1437" s="1"/>
      <c r="Q1437" s="1"/>
      <c r="R1437"/>
      <c r="S1437" s="1"/>
      <c r="T1437" s="24"/>
      <c r="U1437"/>
      <c r="V1437" s="1"/>
      <c r="W1437" s="24"/>
      <c r="X1437"/>
      <c r="Y1437" s="1"/>
      <c r="Z1437" s="24"/>
      <c r="AA1437"/>
      <c r="AB1437" s="1"/>
      <c r="AC1437" s="24"/>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c r="CA1437"/>
      <c r="CB1437"/>
      <c r="CC1437"/>
      <c r="CD1437"/>
      <c r="CE1437"/>
      <c r="CF1437"/>
      <c r="CG1437"/>
      <c r="CH1437"/>
      <c r="CI1437"/>
      <c r="CJ1437"/>
      <c r="CK1437"/>
      <c r="CL1437"/>
      <c r="CM1437"/>
      <c r="CN1437"/>
      <c r="CO1437"/>
      <c r="CP1437"/>
      <c r="CQ1437"/>
      <c r="CR1437"/>
      <c r="CS1437"/>
    </row>
    <row r="1438" spans="2:97">
      <c r="B1438"/>
      <c r="C1438" s="1"/>
      <c r="D1438" s="1"/>
      <c r="E1438" s="1"/>
      <c r="F1438" s="1"/>
      <c r="G1438" s="1"/>
      <c r="H1438" s="1"/>
      <c r="I1438" s="1"/>
      <c r="J1438" s="1"/>
      <c r="K1438" s="1"/>
      <c r="L1438" s="1"/>
      <c r="M1438" s="1"/>
      <c r="N1438" s="1"/>
      <c r="O1438" s="1"/>
      <c r="P1438" s="1"/>
      <c r="Q1438" s="1"/>
      <c r="R1438"/>
      <c r="S1438" s="1"/>
      <c r="T1438" s="24"/>
      <c r="U1438"/>
      <c r="V1438" s="1"/>
      <c r="W1438" s="24"/>
      <c r="X1438"/>
      <c r="Y1438" s="1"/>
      <c r="Z1438" s="24"/>
      <c r="AA1438"/>
      <c r="AB1438" s="1"/>
      <c r="AC1438" s="24"/>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c r="CA1438"/>
      <c r="CB1438"/>
      <c r="CC1438"/>
      <c r="CD1438"/>
      <c r="CE1438"/>
      <c r="CF1438"/>
      <c r="CG1438"/>
      <c r="CH1438"/>
      <c r="CI1438"/>
      <c r="CJ1438"/>
      <c r="CK1438"/>
      <c r="CL1438"/>
      <c r="CM1438"/>
      <c r="CN1438"/>
      <c r="CO1438"/>
      <c r="CP1438"/>
      <c r="CQ1438"/>
      <c r="CR1438"/>
      <c r="CS1438"/>
    </row>
    <row r="1439" spans="2:97">
      <c r="B1439"/>
      <c r="C1439" s="1"/>
      <c r="D1439" s="1"/>
      <c r="E1439" s="1"/>
      <c r="F1439" s="1"/>
      <c r="G1439" s="1"/>
      <c r="H1439" s="1"/>
      <c r="I1439" s="1"/>
      <c r="J1439" s="1"/>
      <c r="K1439" s="1"/>
      <c r="L1439" s="1"/>
      <c r="M1439" s="1"/>
      <c r="N1439" s="1"/>
      <c r="O1439" s="1"/>
      <c r="P1439" s="1"/>
      <c r="Q1439" s="1"/>
      <c r="R1439"/>
      <c r="S1439" s="1"/>
      <c r="T1439" s="24"/>
      <c r="U1439"/>
      <c r="V1439" s="1"/>
      <c r="W1439" s="24"/>
      <c r="X1439"/>
      <c r="Y1439" s="1"/>
      <c r="Z1439" s="24"/>
      <c r="AA1439"/>
      <c r="AB1439" s="1"/>
      <c r="AC1439" s="24"/>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c r="CA1439"/>
      <c r="CB1439"/>
      <c r="CC1439"/>
      <c r="CD1439"/>
      <c r="CE1439"/>
      <c r="CF1439"/>
      <c r="CG1439"/>
      <c r="CH1439"/>
      <c r="CI1439"/>
      <c r="CJ1439"/>
      <c r="CK1439"/>
      <c r="CL1439"/>
      <c r="CM1439"/>
      <c r="CN1439"/>
      <c r="CO1439"/>
      <c r="CP1439"/>
      <c r="CQ1439"/>
      <c r="CR1439"/>
      <c r="CS1439"/>
    </row>
    <row r="1440" spans="2:97">
      <c r="B1440"/>
      <c r="C1440" s="1"/>
      <c r="D1440" s="1"/>
      <c r="E1440" s="1"/>
      <c r="F1440" s="1"/>
      <c r="G1440" s="1"/>
      <c r="H1440" s="1"/>
      <c r="I1440" s="1"/>
      <c r="J1440" s="1"/>
      <c r="K1440" s="1"/>
      <c r="L1440" s="1"/>
      <c r="M1440" s="1"/>
      <c r="N1440" s="1"/>
      <c r="O1440" s="1"/>
      <c r="P1440" s="1"/>
      <c r="Q1440" s="1"/>
      <c r="R1440"/>
      <c r="S1440" s="1"/>
      <c r="T1440" s="24"/>
      <c r="U1440"/>
      <c r="V1440" s="1"/>
      <c r="W1440" s="24"/>
      <c r="X1440"/>
      <c r="Y1440" s="1"/>
      <c r="Z1440" s="24"/>
      <c r="AA1440"/>
      <c r="AB1440" s="1"/>
      <c r="AC1440" s="24"/>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c r="CA1440"/>
      <c r="CB1440"/>
      <c r="CC1440"/>
      <c r="CD1440"/>
      <c r="CE1440"/>
      <c r="CF1440"/>
      <c r="CG1440"/>
      <c r="CH1440"/>
      <c r="CI1440"/>
      <c r="CJ1440"/>
      <c r="CK1440"/>
      <c r="CL1440"/>
      <c r="CM1440"/>
      <c r="CN1440"/>
      <c r="CO1440"/>
      <c r="CP1440"/>
      <c r="CQ1440"/>
      <c r="CR1440"/>
      <c r="CS1440"/>
    </row>
    <row r="1441" spans="2:97">
      <c r="B1441"/>
      <c r="C1441" s="1"/>
      <c r="D1441" s="1"/>
      <c r="E1441" s="1"/>
      <c r="F1441" s="1"/>
      <c r="G1441" s="1"/>
      <c r="H1441" s="1"/>
      <c r="I1441" s="1"/>
      <c r="J1441" s="1"/>
      <c r="K1441" s="1"/>
      <c r="L1441" s="1"/>
      <c r="M1441" s="1"/>
      <c r="N1441" s="1"/>
      <c r="O1441" s="1"/>
      <c r="P1441" s="1"/>
      <c r="Q1441" s="1"/>
      <c r="R1441"/>
      <c r="S1441" s="1"/>
      <c r="T1441" s="24"/>
      <c r="U1441"/>
      <c r="V1441" s="1"/>
      <c r="W1441" s="24"/>
      <c r="X1441"/>
      <c r="Y1441" s="1"/>
      <c r="Z1441" s="24"/>
      <c r="AA1441"/>
      <c r="AB1441" s="1"/>
      <c r="AC1441" s="24"/>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c r="CA1441"/>
      <c r="CB1441"/>
      <c r="CC1441"/>
      <c r="CD1441"/>
      <c r="CE1441"/>
      <c r="CF1441"/>
      <c r="CG1441"/>
      <c r="CH1441"/>
      <c r="CI1441"/>
      <c r="CJ1441"/>
      <c r="CK1441"/>
      <c r="CL1441"/>
      <c r="CM1441"/>
      <c r="CN1441"/>
      <c r="CO1441"/>
      <c r="CP1441"/>
      <c r="CQ1441"/>
      <c r="CR1441"/>
      <c r="CS1441"/>
    </row>
    <row r="1442" spans="2:97">
      <c r="B1442"/>
      <c r="C1442" s="1"/>
      <c r="D1442" s="1"/>
      <c r="E1442" s="1"/>
      <c r="F1442" s="1"/>
      <c r="G1442" s="1"/>
      <c r="H1442" s="1"/>
      <c r="I1442" s="1"/>
      <c r="J1442" s="1"/>
      <c r="K1442" s="1"/>
      <c r="L1442" s="1"/>
      <c r="M1442" s="1"/>
      <c r="N1442" s="1"/>
      <c r="O1442" s="1"/>
      <c r="P1442" s="1"/>
      <c r="Q1442" s="1"/>
      <c r="R1442"/>
      <c r="S1442" s="1"/>
      <c r="T1442" s="24"/>
      <c r="U1442"/>
      <c r="V1442" s="1"/>
      <c r="W1442" s="24"/>
      <c r="X1442"/>
      <c r="Y1442" s="1"/>
      <c r="Z1442" s="24"/>
      <c r="AA1442"/>
      <c r="AB1442" s="1"/>
      <c r="AC1442" s="24"/>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c r="CA1442"/>
      <c r="CB1442"/>
      <c r="CC1442"/>
      <c r="CD1442"/>
      <c r="CE1442"/>
      <c r="CF1442"/>
      <c r="CG1442"/>
      <c r="CH1442"/>
      <c r="CI1442"/>
      <c r="CJ1442"/>
      <c r="CK1442"/>
      <c r="CL1442"/>
      <c r="CM1442"/>
      <c r="CN1442"/>
      <c r="CO1442"/>
      <c r="CP1442"/>
      <c r="CQ1442"/>
      <c r="CR1442"/>
      <c r="CS1442"/>
    </row>
    <row r="1443" spans="2:97">
      <c r="B1443"/>
      <c r="C1443" s="1"/>
      <c r="D1443" s="1"/>
      <c r="E1443" s="1"/>
      <c r="F1443" s="1"/>
      <c r="G1443" s="1"/>
      <c r="H1443" s="1"/>
      <c r="I1443" s="1"/>
      <c r="J1443" s="1"/>
      <c r="K1443" s="1"/>
      <c r="L1443" s="1"/>
      <c r="M1443" s="1"/>
      <c r="N1443" s="1"/>
      <c r="O1443" s="1"/>
      <c r="P1443" s="1"/>
      <c r="Q1443" s="1"/>
      <c r="R1443"/>
      <c r="S1443" s="1"/>
      <c r="T1443" s="24"/>
      <c r="U1443"/>
      <c r="V1443" s="1"/>
      <c r="W1443" s="24"/>
      <c r="X1443"/>
      <c r="Y1443" s="1"/>
      <c r="Z1443" s="24"/>
      <c r="AA1443"/>
      <c r="AB1443" s="1"/>
      <c r="AC1443" s="24"/>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c r="CA1443"/>
      <c r="CB1443"/>
      <c r="CC1443"/>
      <c r="CD1443"/>
      <c r="CE1443"/>
      <c r="CF1443"/>
      <c r="CG1443"/>
      <c r="CH1443"/>
      <c r="CI1443"/>
      <c r="CJ1443"/>
      <c r="CK1443"/>
      <c r="CL1443"/>
      <c r="CM1443"/>
      <c r="CN1443"/>
      <c r="CO1443"/>
      <c r="CP1443"/>
      <c r="CQ1443"/>
      <c r="CR1443"/>
      <c r="CS1443"/>
    </row>
    <row r="1444" spans="2:97">
      <c r="B1444"/>
      <c r="C1444" s="1"/>
      <c r="D1444" s="1"/>
      <c r="E1444" s="1"/>
      <c r="F1444" s="1"/>
      <c r="G1444" s="1"/>
      <c r="H1444" s="1"/>
      <c r="I1444" s="1"/>
      <c r="J1444" s="1"/>
      <c r="K1444" s="1"/>
      <c r="L1444" s="1"/>
      <c r="M1444" s="1"/>
      <c r="N1444" s="1"/>
      <c r="O1444" s="1"/>
      <c r="P1444" s="1"/>
      <c r="Q1444" s="1"/>
      <c r="R1444"/>
      <c r="S1444" s="1"/>
      <c r="T1444" s="24"/>
      <c r="U1444"/>
      <c r="V1444" s="1"/>
      <c r="W1444" s="24"/>
      <c r="X1444"/>
      <c r="Y1444" s="1"/>
      <c r="Z1444" s="24"/>
      <c r="AA1444"/>
      <c r="AB1444" s="1"/>
      <c r="AC1444" s="2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c r="CA1444"/>
      <c r="CB1444"/>
      <c r="CC1444"/>
      <c r="CD1444"/>
      <c r="CE1444"/>
      <c r="CF1444"/>
      <c r="CG1444"/>
      <c r="CH1444"/>
      <c r="CI1444"/>
      <c r="CJ1444"/>
      <c r="CK1444"/>
      <c r="CL1444"/>
      <c r="CM1444"/>
      <c r="CN1444"/>
      <c r="CO1444"/>
      <c r="CP1444"/>
      <c r="CQ1444"/>
      <c r="CR1444"/>
      <c r="CS1444"/>
    </row>
    <row r="1445" spans="2:97">
      <c r="B1445"/>
      <c r="C1445" s="1"/>
      <c r="D1445" s="1"/>
      <c r="E1445" s="1"/>
      <c r="F1445" s="1"/>
      <c r="G1445" s="1"/>
      <c r="H1445" s="1"/>
      <c r="I1445" s="1"/>
      <c r="J1445" s="1"/>
      <c r="K1445" s="1"/>
      <c r="L1445" s="1"/>
      <c r="M1445" s="1"/>
      <c r="N1445" s="1"/>
      <c r="O1445" s="1"/>
      <c r="P1445" s="1"/>
      <c r="Q1445" s="1"/>
      <c r="R1445"/>
      <c r="S1445" s="1"/>
      <c r="T1445" s="24"/>
      <c r="U1445"/>
      <c r="V1445" s="1"/>
      <c r="W1445" s="24"/>
      <c r="X1445"/>
      <c r="Y1445" s="1"/>
      <c r="Z1445" s="24"/>
      <c r="AA1445"/>
      <c r="AB1445" s="1"/>
      <c r="AC1445" s="24"/>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c r="CA1445"/>
      <c r="CB1445"/>
      <c r="CC1445"/>
      <c r="CD1445"/>
      <c r="CE1445"/>
      <c r="CF1445"/>
      <c r="CG1445"/>
      <c r="CH1445"/>
      <c r="CI1445"/>
      <c r="CJ1445"/>
      <c r="CK1445"/>
      <c r="CL1445"/>
      <c r="CM1445"/>
      <c r="CN1445"/>
      <c r="CO1445"/>
      <c r="CP1445"/>
      <c r="CQ1445"/>
      <c r="CR1445"/>
      <c r="CS1445"/>
    </row>
    <row r="1446" spans="2:97">
      <c r="B1446"/>
      <c r="C1446" s="1"/>
      <c r="D1446" s="1"/>
      <c r="E1446" s="1"/>
      <c r="F1446" s="1"/>
      <c r="G1446" s="1"/>
      <c r="H1446" s="1"/>
      <c r="I1446" s="1"/>
      <c r="J1446" s="1"/>
      <c r="K1446" s="1"/>
      <c r="L1446" s="1"/>
      <c r="M1446" s="1"/>
      <c r="N1446" s="1"/>
      <c r="O1446" s="1"/>
      <c r="P1446" s="1"/>
      <c r="Q1446" s="1"/>
      <c r="R1446"/>
      <c r="S1446" s="1"/>
      <c r="T1446" s="24"/>
      <c r="U1446"/>
      <c r="V1446" s="1"/>
      <c r="W1446" s="24"/>
      <c r="X1446"/>
      <c r="Y1446" s="1"/>
      <c r="Z1446" s="24"/>
      <c r="AA1446"/>
      <c r="AB1446" s="1"/>
      <c r="AC1446" s="24"/>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c r="CA1446"/>
      <c r="CB1446"/>
      <c r="CC1446"/>
      <c r="CD1446"/>
      <c r="CE1446"/>
      <c r="CF1446"/>
      <c r="CG1446"/>
      <c r="CH1446"/>
      <c r="CI1446"/>
      <c r="CJ1446"/>
      <c r="CK1446"/>
      <c r="CL1446"/>
      <c r="CM1446"/>
      <c r="CN1446"/>
      <c r="CO1446"/>
      <c r="CP1446"/>
      <c r="CQ1446"/>
      <c r="CR1446"/>
      <c r="CS1446"/>
    </row>
    <row r="1447" spans="2:97">
      <c r="B1447"/>
      <c r="C1447" s="1"/>
      <c r="D1447" s="1"/>
      <c r="E1447" s="1"/>
      <c r="F1447" s="1"/>
      <c r="G1447" s="1"/>
      <c r="H1447" s="1"/>
      <c r="I1447" s="1"/>
      <c r="J1447" s="1"/>
      <c r="K1447" s="1"/>
      <c r="L1447" s="1"/>
      <c r="M1447" s="1"/>
      <c r="N1447" s="1"/>
      <c r="O1447" s="1"/>
      <c r="P1447" s="1"/>
      <c r="Q1447" s="1"/>
      <c r="R1447"/>
      <c r="S1447" s="1"/>
      <c r="T1447" s="24"/>
      <c r="U1447"/>
      <c r="V1447" s="1"/>
      <c r="W1447" s="24"/>
      <c r="X1447"/>
      <c r="Y1447" s="1"/>
      <c r="Z1447" s="24"/>
      <c r="AA1447"/>
      <c r="AB1447" s="1"/>
      <c r="AC1447" s="24"/>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c r="CA1447"/>
      <c r="CB1447"/>
      <c r="CC1447"/>
      <c r="CD1447"/>
      <c r="CE1447"/>
      <c r="CF1447"/>
      <c r="CG1447"/>
      <c r="CH1447"/>
      <c r="CI1447"/>
      <c r="CJ1447"/>
      <c r="CK1447"/>
      <c r="CL1447"/>
      <c r="CM1447"/>
      <c r="CN1447"/>
      <c r="CO1447"/>
      <c r="CP1447"/>
      <c r="CQ1447"/>
      <c r="CR1447"/>
      <c r="CS1447"/>
    </row>
    <row r="1448" spans="2:97">
      <c r="B1448"/>
      <c r="C1448" s="1"/>
      <c r="D1448" s="1"/>
      <c r="E1448" s="1"/>
      <c r="F1448" s="1"/>
      <c r="G1448" s="1"/>
      <c r="H1448" s="1"/>
      <c r="I1448" s="1"/>
      <c r="J1448" s="1"/>
      <c r="K1448" s="1"/>
      <c r="L1448" s="1"/>
      <c r="M1448" s="1"/>
      <c r="N1448" s="1"/>
      <c r="O1448" s="1"/>
      <c r="P1448" s="1"/>
      <c r="Q1448" s="1"/>
      <c r="R1448"/>
      <c r="S1448" s="1"/>
      <c r="T1448" s="24"/>
      <c r="U1448"/>
      <c r="V1448" s="1"/>
      <c r="W1448" s="24"/>
      <c r="X1448"/>
      <c r="Y1448" s="1"/>
      <c r="Z1448" s="24"/>
      <c r="AA1448"/>
      <c r="AB1448" s="1"/>
      <c r="AC1448" s="24"/>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c r="CA1448"/>
      <c r="CB1448"/>
      <c r="CC1448"/>
      <c r="CD1448"/>
      <c r="CE1448"/>
      <c r="CF1448"/>
      <c r="CG1448"/>
      <c r="CH1448"/>
      <c r="CI1448"/>
      <c r="CJ1448"/>
      <c r="CK1448"/>
      <c r="CL1448"/>
      <c r="CM1448"/>
      <c r="CN1448"/>
      <c r="CO1448"/>
      <c r="CP1448"/>
      <c r="CQ1448"/>
      <c r="CR1448"/>
      <c r="CS1448"/>
    </row>
    <row r="1449" spans="2:97">
      <c r="B1449"/>
      <c r="C1449" s="1"/>
      <c r="D1449" s="1"/>
      <c r="E1449" s="1"/>
      <c r="F1449" s="1"/>
      <c r="G1449" s="1"/>
      <c r="H1449" s="1"/>
      <c r="I1449" s="1"/>
      <c r="J1449" s="1"/>
      <c r="K1449" s="1"/>
      <c r="L1449" s="1"/>
      <c r="M1449" s="1"/>
      <c r="N1449" s="1"/>
      <c r="O1449" s="1"/>
      <c r="P1449" s="1"/>
      <c r="Q1449" s="1"/>
      <c r="R1449"/>
      <c r="S1449" s="1"/>
      <c r="T1449" s="24"/>
      <c r="U1449"/>
      <c r="V1449" s="1"/>
      <c r="W1449" s="24"/>
      <c r="X1449"/>
      <c r="Y1449" s="1"/>
      <c r="Z1449" s="24"/>
      <c r="AA1449"/>
      <c r="AB1449" s="1"/>
      <c r="AC1449" s="24"/>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c r="CA1449"/>
      <c r="CB1449"/>
      <c r="CC1449"/>
      <c r="CD1449"/>
      <c r="CE1449"/>
      <c r="CF1449"/>
      <c r="CG1449"/>
      <c r="CH1449"/>
      <c r="CI1449"/>
      <c r="CJ1449"/>
      <c r="CK1449"/>
      <c r="CL1449"/>
      <c r="CM1449"/>
      <c r="CN1449"/>
      <c r="CO1449"/>
      <c r="CP1449"/>
      <c r="CQ1449"/>
      <c r="CR1449"/>
      <c r="CS1449"/>
    </row>
    <row r="1450" spans="2:97">
      <c r="B1450"/>
      <c r="C1450" s="1"/>
      <c r="D1450" s="1"/>
      <c r="E1450" s="1"/>
      <c r="F1450" s="1"/>
      <c r="G1450" s="1"/>
      <c r="H1450" s="1"/>
      <c r="I1450" s="1"/>
      <c r="J1450" s="1"/>
      <c r="K1450" s="1"/>
      <c r="L1450" s="1"/>
      <c r="M1450" s="1"/>
      <c r="N1450" s="1"/>
      <c r="O1450" s="1"/>
      <c r="P1450" s="1"/>
      <c r="Q1450" s="1"/>
      <c r="R1450"/>
      <c r="S1450" s="1"/>
      <c r="T1450" s="24"/>
      <c r="U1450"/>
      <c r="V1450" s="1"/>
      <c r="W1450" s="24"/>
      <c r="X1450"/>
      <c r="Y1450" s="1"/>
      <c r="Z1450" s="24"/>
      <c r="AA1450"/>
      <c r="AB1450" s="1"/>
      <c r="AC1450" s="24"/>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c r="CA1450"/>
      <c r="CB1450"/>
      <c r="CC1450"/>
      <c r="CD1450"/>
      <c r="CE1450"/>
      <c r="CF1450"/>
      <c r="CG1450"/>
      <c r="CH1450"/>
      <c r="CI1450"/>
      <c r="CJ1450"/>
      <c r="CK1450"/>
      <c r="CL1450"/>
      <c r="CM1450"/>
      <c r="CN1450"/>
      <c r="CO1450"/>
      <c r="CP1450"/>
      <c r="CQ1450"/>
      <c r="CR1450"/>
      <c r="CS1450"/>
    </row>
    <row r="1451" spans="2:97">
      <c r="B1451"/>
      <c r="C1451" s="1"/>
      <c r="D1451" s="1"/>
      <c r="E1451" s="1"/>
      <c r="F1451" s="1"/>
      <c r="G1451" s="1"/>
      <c r="H1451" s="1"/>
      <c r="I1451" s="1"/>
      <c r="J1451" s="1"/>
      <c r="K1451" s="1"/>
      <c r="L1451" s="1"/>
      <c r="M1451" s="1"/>
      <c r="N1451" s="1"/>
      <c r="O1451" s="1"/>
      <c r="P1451" s="1"/>
      <c r="Q1451" s="1"/>
      <c r="R1451"/>
      <c r="S1451" s="1"/>
      <c r="T1451" s="24"/>
      <c r="U1451"/>
      <c r="V1451" s="1"/>
      <c r="W1451" s="24"/>
      <c r="X1451"/>
      <c r="Y1451" s="1"/>
      <c r="Z1451" s="24"/>
      <c r="AA1451"/>
      <c r="AB1451" s="1"/>
      <c r="AC1451" s="24"/>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c r="CA1451"/>
      <c r="CB1451"/>
      <c r="CC1451"/>
      <c r="CD1451"/>
      <c r="CE1451"/>
      <c r="CF1451"/>
      <c r="CG1451"/>
      <c r="CH1451"/>
      <c r="CI1451"/>
      <c r="CJ1451"/>
      <c r="CK1451"/>
      <c r="CL1451"/>
      <c r="CM1451"/>
      <c r="CN1451"/>
      <c r="CO1451"/>
      <c r="CP1451"/>
      <c r="CQ1451"/>
      <c r="CR1451"/>
      <c r="CS1451"/>
    </row>
    <row r="1452" spans="2:97">
      <c r="B1452"/>
      <c r="C1452" s="1"/>
      <c r="D1452" s="1"/>
      <c r="E1452" s="1"/>
      <c r="F1452" s="1"/>
      <c r="G1452" s="1"/>
      <c r="H1452" s="1"/>
      <c r="I1452" s="1"/>
      <c r="J1452" s="1"/>
      <c r="K1452" s="1"/>
      <c r="L1452" s="1"/>
      <c r="M1452" s="1"/>
      <c r="N1452" s="1"/>
      <c r="O1452" s="1"/>
      <c r="P1452" s="1"/>
      <c r="Q1452" s="1"/>
      <c r="R1452"/>
      <c r="S1452" s="1"/>
      <c r="T1452" s="24"/>
      <c r="U1452"/>
      <c r="V1452" s="1"/>
      <c r="W1452" s="24"/>
      <c r="X1452"/>
      <c r="Y1452" s="1"/>
      <c r="Z1452" s="24"/>
      <c r="AA1452"/>
      <c r="AB1452" s="1"/>
      <c r="AC1452" s="24"/>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c r="CA1452"/>
      <c r="CB1452"/>
      <c r="CC1452"/>
      <c r="CD1452"/>
      <c r="CE1452"/>
      <c r="CF1452"/>
      <c r="CG1452"/>
      <c r="CH1452"/>
      <c r="CI1452"/>
      <c r="CJ1452"/>
      <c r="CK1452"/>
      <c r="CL1452"/>
      <c r="CM1452"/>
      <c r="CN1452"/>
      <c r="CO1452"/>
      <c r="CP1452"/>
      <c r="CQ1452"/>
      <c r="CR1452"/>
      <c r="CS1452"/>
    </row>
    <row r="1453" spans="2:97">
      <c r="B1453"/>
      <c r="C1453" s="1"/>
      <c r="D1453" s="1"/>
      <c r="E1453" s="1"/>
      <c r="F1453" s="1"/>
      <c r="G1453" s="1"/>
      <c r="H1453" s="1"/>
      <c r="I1453" s="1"/>
      <c r="J1453" s="1"/>
      <c r="K1453" s="1"/>
      <c r="L1453" s="1"/>
      <c r="M1453" s="1"/>
      <c r="N1453" s="1"/>
      <c r="O1453" s="1"/>
      <c r="P1453" s="1"/>
      <c r="Q1453" s="1"/>
      <c r="R1453"/>
      <c r="S1453" s="1"/>
      <c r="T1453" s="24"/>
      <c r="U1453"/>
      <c r="V1453" s="1"/>
      <c r="W1453" s="24"/>
      <c r="X1453"/>
      <c r="Y1453" s="1"/>
      <c r="Z1453" s="24"/>
      <c r="AA1453"/>
      <c r="AB1453" s="1"/>
      <c r="AC1453" s="24"/>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c r="CA1453"/>
      <c r="CB1453"/>
      <c r="CC1453"/>
      <c r="CD1453"/>
      <c r="CE1453"/>
      <c r="CF1453"/>
      <c r="CG1453"/>
      <c r="CH1453"/>
      <c r="CI1453"/>
      <c r="CJ1453"/>
      <c r="CK1453"/>
      <c r="CL1453"/>
      <c r="CM1453"/>
      <c r="CN1453"/>
      <c r="CO1453"/>
      <c r="CP1453"/>
      <c r="CQ1453"/>
      <c r="CR1453"/>
      <c r="CS1453"/>
    </row>
    <row r="1454" spans="2:97">
      <c r="B1454"/>
      <c r="C1454" s="1"/>
      <c r="D1454" s="1"/>
      <c r="E1454" s="1"/>
      <c r="F1454" s="1"/>
      <c r="G1454" s="1"/>
      <c r="H1454" s="1"/>
      <c r="I1454" s="1"/>
      <c r="J1454" s="1"/>
      <c r="K1454" s="1"/>
      <c r="L1454" s="1"/>
      <c r="M1454" s="1"/>
      <c r="N1454" s="1"/>
      <c r="O1454" s="1"/>
      <c r="P1454" s="1"/>
      <c r="Q1454" s="1"/>
      <c r="R1454"/>
      <c r="S1454" s="1"/>
      <c r="T1454" s="24"/>
      <c r="U1454"/>
      <c r="V1454" s="1"/>
      <c r="W1454" s="24"/>
      <c r="X1454"/>
      <c r="Y1454" s="1"/>
      <c r="Z1454" s="24"/>
      <c r="AA1454"/>
      <c r="AB1454" s="1"/>
      <c r="AC1454" s="2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c r="CA1454"/>
      <c r="CB1454"/>
      <c r="CC1454"/>
      <c r="CD1454"/>
      <c r="CE1454"/>
      <c r="CF1454"/>
      <c r="CG1454"/>
      <c r="CH1454"/>
      <c r="CI1454"/>
      <c r="CJ1454"/>
      <c r="CK1454"/>
      <c r="CL1454"/>
      <c r="CM1454"/>
      <c r="CN1454"/>
      <c r="CO1454"/>
      <c r="CP1454"/>
      <c r="CQ1454"/>
      <c r="CR1454"/>
      <c r="CS1454"/>
    </row>
    <row r="1455" spans="2:97">
      <c r="B1455"/>
      <c r="C1455" s="1"/>
      <c r="D1455" s="1"/>
      <c r="E1455" s="1"/>
      <c r="F1455" s="1"/>
      <c r="G1455" s="1"/>
      <c r="H1455" s="1"/>
      <c r="I1455" s="1"/>
      <c r="J1455" s="1"/>
      <c r="K1455" s="1"/>
      <c r="L1455" s="1"/>
      <c r="M1455" s="1"/>
      <c r="N1455" s="1"/>
      <c r="O1455" s="1"/>
      <c r="P1455" s="1"/>
      <c r="Q1455" s="1"/>
      <c r="R1455"/>
      <c r="S1455" s="1"/>
      <c r="T1455" s="24"/>
      <c r="U1455"/>
      <c r="V1455" s="1"/>
      <c r="W1455" s="24"/>
      <c r="X1455"/>
      <c r="Y1455" s="1"/>
      <c r="Z1455" s="24"/>
      <c r="AA1455"/>
      <c r="AB1455" s="1"/>
      <c r="AC1455" s="24"/>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c r="CA1455"/>
      <c r="CB1455"/>
      <c r="CC1455"/>
      <c r="CD1455"/>
      <c r="CE1455"/>
      <c r="CF1455"/>
      <c r="CG1455"/>
      <c r="CH1455"/>
      <c r="CI1455"/>
      <c r="CJ1455"/>
      <c r="CK1455"/>
      <c r="CL1455"/>
      <c r="CM1455"/>
      <c r="CN1455"/>
      <c r="CO1455"/>
      <c r="CP1455"/>
      <c r="CQ1455"/>
      <c r="CR1455"/>
      <c r="CS1455"/>
    </row>
    <row r="1456" spans="2:97">
      <c r="B1456"/>
      <c r="C1456" s="1"/>
      <c r="D1456" s="1"/>
      <c r="E1456" s="1"/>
      <c r="F1456" s="1"/>
      <c r="G1456" s="1"/>
      <c r="H1456" s="1"/>
      <c r="I1456" s="1"/>
      <c r="J1456" s="1"/>
      <c r="K1456" s="1"/>
      <c r="L1456" s="1"/>
      <c r="M1456" s="1"/>
      <c r="N1456" s="1"/>
      <c r="O1456" s="1"/>
      <c r="P1456" s="1"/>
      <c r="Q1456" s="1"/>
      <c r="R1456"/>
      <c r="S1456" s="1"/>
      <c r="T1456" s="24"/>
      <c r="U1456"/>
      <c r="V1456" s="1"/>
      <c r="W1456" s="24"/>
      <c r="X1456"/>
      <c r="Y1456" s="1"/>
      <c r="Z1456" s="24"/>
      <c r="AA1456"/>
      <c r="AB1456" s="1"/>
      <c r="AC1456" s="24"/>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c r="CA1456"/>
      <c r="CB1456"/>
      <c r="CC1456"/>
      <c r="CD1456"/>
      <c r="CE1456"/>
      <c r="CF1456"/>
      <c r="CG1456"/>
      <c r="CH1456"/>
      <c r="CI1456"/>
      <c r="CJ1456"/>
      <c r="CK1456"/>
      <c r="CL1456"/>
      <c r="CM1456"/>
      <c r="CN1456"/>
      <c r="CO1456"/>
      <c r="CP1456"/>
      <c r="CQ1456"/>
      <c r="CR1456"/>
      <c r="CS1456"/>
    </row>
    <row r="1457" spans="2:97">
      <c r="B1457"/>
      <c r="C1457" s="1"/>
      <c r="D1457" s="1"/>
      <c r="E1457" s="1"/>
      <c r="F1457" s="1"/>
      <c r="G1457" s="1"/>
      <c r="H1457" s="1"/>
      <c r="I1457" s="1"/>
      <c r="J1457" s="1"/>
      <c r="K1457" s="1"/>
      <c r="L1457" s="1"/>
      <c r="M1457" s="1"/>
      <c r="N1457" s="1"/>
      <c r="O1457" s="1"/>
      <c r="P1457" s="1"/>
      <c r="Q1457" s="1"/>
      <c r="R1457"/>
      <c r="S1457" s="1"/>
      <c r="T1457" s="24"/>
      <c r="U1457"/>
      <c r="V1457" s="1"/>
      <c r="W1457" s="24"/>
      <c r="X1457"/>
      <c r="Y1457" s="1"/>
      <c r="Z1457" s="24"/>
      <c r="AA1457"/>
      <c r="AB1457" s="1"/>
      <c r="AC1457" s="24"/>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c r="CA1457"/>
      <c r="CB1457"/>
      <c r="CC1457"/>
      <c r="CD1457"/>
      <c r="CE1457"/>
      <c r="CF1457"/>
      <c r="CG1457"/>
      <c r="CH1457"/>
      <c r="CI1457"/>
      <c r="CJ1457"/>
      <c r="CK1457"/>
      <c r="CL1457"/>
      <c r="CM1457"/>
      <c r="CN1457"/>
      <c r="CO1457"/>
      <c r="CP1457"/>
      <c r="CQ1457"/>
      <c r="CR1457"/>
      <c r="CS1457"/>
    </row>
    <row r="1458" spans="2:97">
      <c r="B1458"/>
      <c r="C1458" s="1"/>
      <c r="D1458" s="1"/>
      <c r="E1458" s="1"/>
      <c r="F1458" s="1"/>
      <c r="G1458" s="1"/>
      <c r="H1458" s="1"/>
      <c r="I1458" s="1"/>
      <c r="J1458" s="1"/>
      <c r="K1458" s="1"/>
      <c r="L1458" s="1"/>
      <c r="M1458" s="1"/>
      <c r="N1458" s="1"/>
      <c r="O1458" s="1"/>
      <c r="P1458" s="1"/>
      <c r="Q1458" s="1"/>
      <c r="R1458"/>
      <c r="S1458" s="1"/>
      <c r="T1458" s="24"/>
      <c r="U1458"/>
      <c r="V1458" s="1"/>
      <c r="W1458" s="24"/>
      <c r="X1458"/>
      <c r="Y1458" s="1"/>
      <c r="Z1458" s="24"/>
      <c r="AA1458"/>
      <c r="AB1458" s="1"/>
      <c r="AC1458" s="24"/>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c r="CA1458"/>
      <c r="CB1458"/>
      <c r="CC1458"/>
      <c r="CD1458"/>
      <c r="CE1458"/>
      <c r="CF1458"/>
      <c r="CG1458"/>
      <c r="CH1458"/>
      <c r="CI1458"/>
      <c r="CJ1458"/>
      <c r="CK1458"/>
      <c r="CL1458"/>
      <c r="CM1458"/>
      <c r="CN1458"/>
      <c r="CO1458"/>
      <c r="CP1458"/>
      <c r="CQ1458"/>
      <c r="CR1458"/>
      <c r="CS1458"/>
    </row>
    <row r="1459" spans="2:97">
      <c r="B1459"/>
      <c r="C1459" s="1"/>
      <c r="D1459" s="1"/>
      <c r="E1459" s="1"/>
      <c r="F1459" s="1"/>
      <c r="G1459" s="1"/>
      <c r="H1459" s="1"/>
      <c r="I1459" s="1"/>
      <c r="J1459" s="1"/>
      <c r="K1459" s="1"/>
      <c r="L1459" s="1"/>
      <c r="M1459" s="1"/>
      <c r="N1459" s="1"/>
      <c r="O1459" s="1"/>
      <c r="P1459" s="1"/>
      <c r="Q1459" s="1"/>
      <c r="R1459"/>
      <c r="S1459" s="1"/>
      <c r="T1459" s="24"/>
      <c r="U1459"/>
      <c r="V1459" s="1"/>
      <c r="W1459" s="24"/>
      <c r="X1459"/>
      <c r="Y1459" s="1"/>
      <c r="Z1459" s="24"/>
      <c r="AA1459"/>
      <c r="AB1459" s="1"/>
      <c r="AC1459" s="24"/>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c r="CA1459"/>
      <c r="CB1459"/>
      <c r="CC1459"/>
      <c r="CD1459"/>
      <c r="CE1459"/>
      <c r="CF1459"/>
      <c r="CG1459"/>
      <c r="CH1459"/>
      <c r="CI1459"/>
      <c r="CJ1459"/>
      <c r="CK1459"/>
      <c r="CL1459"/>
      <c r="CM1459"/>
      <c r="CN1459"/>
      <c r="CO1459"/>
      <c r="CP1459"/>
      <c r="CQ1459"/>
      <c r="CR1459"/>
      <c r="CS1459"/>
    </row>
    <row r="1460" spans="2:97">
      <c r="B1460"/>
      <c r="C1460" s="1"/>
      <c r="D1460" s="1"/>
      <c r="E1460" s="1"/>
      <c r="F1460" s="1"/>
      <c r="G1460" s="1"/>
      <c r="H1460" s="1"/>
      <c r="I1460" s="1"/>
      <c r="J1460" s="1"/>
      <c r="K1460" s="1"/>
      <c r="L1460" s="1"/>
      <c r="M1460" s="1"/>
      <c r="N1460" s="1"/>
      <c r="O1460" s="1"/>
      <c r="P1460" s="1"/>
      <c r="Q1460" s="1"/>
      <c r="R1460"/>
      <c r="S1460" s="1"/>
      <c r="T1460" s="24"/>
      <c r="U1460"/>
      <c r="V1460" s="1"/>
      <c r="W1460" s="24"/>
      <c r="X1460"/>
      <c r="Y1460" s="1"/>
      <c r="Z1460" s="24"/>
      <c r="AA1460"/>
      <c r="AB1460" s="1"/>
      <c r="AC1460" s="24"/>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c r="CA1460"/>
      <c r="CB1460"/>
      <c r="CC1460"/>
      <c r="CD1460"/>
      <c r="CE1460"/>
      <c r="CF1460"/>
      <c r="CG1460"/>
      <c r="CH1460"/>
      <c r="CI1460"/>
      <c r="CJ1460"/>
      <c r="CK1460"/>
      <c r="CL1460"/>
      <c r="CM1460"/>
      <c r="CN1460"/>
      <c r="CO1460"/>
      <c r="CP1460"/>
      <c r="CQ1460"/>
      <c r="CR1460"/>
      <c r="CS1460"/>
    </row>
    <row r="1461" spans="2:97">
      <c r="B1461"/>
      <c r="C1461" s="1"/>
      <c r="D1461" s="1"/>
      <c r="E1461" s="1"/>
      <c r="F1461" s="1"/>
      <c r="G1461" s="1"/>
      <c r="H1461" s="1"/>
      <c r="I1461" s="1"/>
      <c r="J1461" s="1"/>
      <c r="K1461" s="1"/>
      <c r="L1461" s="1"/>
      <c r="M1461" s="1"/>
      <c r="N1461" s="1"/>
      <c r="O1461" s="1"/>
      <c r="P1461" s="1"/>
      <c r="Q1461" s="1"/>
      <c r="R1461"/>
      <c r="S1461" s="1"/>
      <c r="T1461" s="24"/>
      <c r="U1461"/>
      <c r="V1461" s="1"/>
      <c r="W1461" s="24"/>
      <c r="X1461"/>
      <c r="Y1461" s="1"/>
      <c r="Z1461" s="24"/>
      <c r="AA1461"/>
      <c r="AB1461" s="1"/>
      <c r="AC1461" s="24"/>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c r="CA1461"/>
      <c r="CB1461"/>
      <c r="CC1461"/>
      <c r="CD1461"/>
      <c r="CE1461"/>
      <c r="CF1461"/>
      <c r="CG1461"/>
      <c r="CH1461"/>
      <c r="CI1461"/>
      <c r="CJ1461"/>
      <c r="CK1461"/>
      <c r="CL1461"/>
      <c r="CM1461"/>
      <c r="CN1461"/>
      <c r="CO1461"/>
      <c r="CP1461"/>
      <c r="CQ1461"/>
      <c r="CR1461"/>
      <c r="CS1461"/>
    </row>
    <row r="1462" spans="2:97">
      <c r="B1462"/>
      <c r="C1462" s="1"/>
      <c r="D1462" s="1"/>
      <c r="E1462" s="1"/>
      <c r="F1462" s="1"/>
      <c r="G1462" s="1"/>
      <c r="H1462" s="1"/>
      <c r="I1462" s="1"/>
      <c r="J1462" s="1"/>
      <c r="K1462" s="1"/>
      <c r="L1462" s="1"/>
      <c r="M1462" s="1"/>
      <c r="N1462" s="1"/>
      <c r="O1462" s="1"/>
      <c r="P1462" s="1"/>
      <c r="Q1462" s="1"/>
      <c r="R1462"/>
      <c r="S1462" s="1"/>
      <c r="T1462" s="24"/>
      <c r="U1462"/>
      <c r="V1462" s="1"/>
      <c r="W1462" s="24"/>
      <c r="X1462"/>
      <c r="Y1462" s="1"/>
      <c r="Z1462" s="24"/>
      <c r="AA1462"/>
      <c r="AB1462" s="1"/>
      <c r="AC1462" s="24"/>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c r="CE1462"/>
      <c r="CF1462"/>
      <c r="CG1462"/>
      <c r="CH1462"/>
      <c r="CI1462"/>
      <c r="CJ1462"/>
      <c r="CK1462"/>
      <c r="CL1462"/>
      <c r="CM1462"/>
      <c r="CN1462"/>
      <c r="CO1462"/>
      <c r="CP1462"/>
      <c r="CQ1462"/>
      <c r="CR1462"/>
      <c r="CS1462"/>
    </row>
    <row r="1463" spans="2:97">
      <c r="B1463"/>
      <c r="C1463" s="1"/>
      <c r="D1463" s="1"/>
      <c r="E1463" s="1"/>
      <c r="F1463" s="1"/>
      <c r="G1463" s="1"/>
      <c r="H1463" s="1"/>
      <c r="I1463" s="1"/>
      <c r="J1463" s="1"/>
      <c r="K1463" s="1"/>
      <c r="L1463" s="1"/>
      <c r="M1463" s="1"/>
      <c r="N1463" s="1"/>
      <c r="O1463" s="1"/>
      <c r="P1463" s="1"/>
      <c r="Q1463" s="1"/>
      <c r="R1463"/>
      <c r="S1463" s="1"/>
      <c r="T1463" s="24"/>
      <c r="U1463"/>
      <c r="V1463" s="1"/>
      <c r="W1463" s="24"/>
      <c r="X1463"/>
      <c r="Y1463" s="1"/>
      <c r="Z1463" s="24"/>
      <c r="AA1463"/>
      <c r="AB1463" s="1"/>
      <c r="AC1463" s="24"/>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c r="CA1463"/>
      <c r="CB1463"/>
      <c r="CC1463"/>
      <c r="CD1463"/>
      <c r="CE1463"/>
      <c r="CF1463"/>
      <c r="CG1463"/>
      <c r="CH1463"/>
      <c r="CI1463"/>
      <c r="CJ1463"/>
      <c r="CK1463"/>
      <c r="CL1463"/>
      <c r="CM1463"/>
      <c r="CN1463"/>
      <c r="CO1463"/>
      <c r="CP1463"/>
      <c r="CQ1463"/>
      <c r="CR1463"/>
      <c r="CS1463"/>
    </row>
    <row r="1464" spans="2:97">
      <c r="B1464"/>
      <c r="C1464" s="1"/>
      <c r="D1464" s="1"/>
      <c r="E1464" s="1"/>
      <c r="F1464" s="1"/>
      <c r="G1464" s="1"/>
      <c r="H1464" s="1"/>
      <c r="I1464" s="1"/>
      <c r="J1464" s="1"/>
      <c r="K1464" s="1"/>
      <c r="L1464" s="1"/>
      <c r="M1464" s="1"/>
      <c r="N1464" s="1"/>
      <c r="O1464" s="1"/>
      <c r="P1464" s="1"/>
      <c r="Q1464" s="1"/>
      <c r="R1464"/>
      <c r="S1464" s="1"/>
      <c r="T1464" s="24"/>
      <c r="U1464"/>
      <c r="V1464" s="1"/>
      <c r="W1464" s="24"/>
      <c r="X1464"/>
      <c r="Y1464" s="1"/>
      <c r="Z1464" s="24"/>
      <c r="AA1464"/>
      <c r="AB1464" s="1"/>
      <c r="AC1464" s="2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c r="CA1464"/>
      <c r="CB1464"/>
      <c r="CC1464"/>
      <c r="CD1464"/>
      <c r="CE1464"/>
      <c r="CF1464"/>
      <c r="CG1464"/>
      <c r="CH1464"/>
      <c r="CI1464"/>
      <c r="CJ1464"/>
      <c r="CK1464"/>
      <c r="CL1464"/>
      <c r="CM1464"/>
      <c r="CN1464"/>
      <c r="CO1464"/>
      <c r="CP1464"/>
      <c r="CQ1464"/>
      <c r="CR1464"/>
      <c r="CS1464"/>
    </row>
    <row r="1465" spans="2:97">
      <c r="B1465"/>
      <c r="C1465" s="1"/>
      <c r="D1465" s="1"/>
      <c r="E1465" s="1"/>
      <c r="F1465" s="1"/>
      <c r="G1465" s="1"/>
      <c r="H1465" s="1"/>
      <c r="I1465" s="1"/>
      <c r="J1465" s="1"/>
      <c r="K1465" s="1"/>
      <c r="L1465" s="1"/>
      <c r="M1465" s="1"/>
      <c r="N1465" s="1"/>
      <c r="O1465" s="1"/>
      <c r="P1465" s="1"/>
      <c r="Q1465" s="1"/>
      <c r="R1465"/>
      <c r="S1465" s="1"/>
      <c r="T1465" s="24"/>
      <c r="U1465"/>
      <c r="V1465" s="1"/>
      <c r="W1465" s="24"/>
      <c r="X1465"/>
      <c r="Y1465" s="1"/>
      <c r="Z1465" s="24"/>
      <c r="AA1465"/>
      <c r="AB1465" s="1"/>
      <c r="AC1465" s="24"/>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c r="CA1465"/>
      <c r="CB1465"/>
      <c r="CC1465"/>
      <c r="CD1465"/>
      <c r="CE1465"/>
      <c r="CF1465"/>
      <c r="CG1465"/>
      <c r="CH1465"/>
      <c r="CI1465"/>
      <c r="CJ1465"/>
      <c r="CK1465"/>
      <c r="CL1465"/>
      <c r="CM1465"/>
      <c r="CN1465"/>
      <c r="CO1465"/>
      <c r="CP1465"/>
      <c r="CQ1465"/>
      <c r="CR1465"/>
      <c r="CS1465"/>
    </row>
    <row r="1466" spans="2:97">
      <c r="B1466"/>
      <c r="C1466" s="1"/>
      <c r="D1466" s="1"/>
      <c r="E1466" s="1"/>
      <c r="F1466" s="1"/>
      <c r="G1466" s="1"/>
      <c r="H1466" s="1"/>
      <c r="I1466" s="1"/>
      <c r="J1466" s="1"/>
      <c r="K1466" s="1"/>
      <c r="L1466" s="1"/>
      <c r="M1466" s="1"/>
      <c r="N1466" s="1"/>
      <c r="O1466" s="1"/>
      <c r="P1466" s="1"/>
      <c r="Q1466" s="1"/>
      <c r="R1466"/>
      <c r="S1466" s="1"/>
      <c r="T1466" s="24"/>
      <c r="U1466"/>
      <c r="V1466" s="1"/>
      <c r="W1466" s="24"/>
      <c r="X1466"/>
      <c r="Y1466" s="1"/>
      <c r="Z1466" s="24"/>
      <c r="AA1466"/>
      <c r="AB1466" s="1"/>
      <c r="AC1466" s="24"/>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c r="CA1466"/>
      <c r="CB1466"/>
      <c r="CC1466"/>
      <c r="CD1466"/>
      <c r="CE1466"/>
      <c r="CF1466"/>
      <c r="CG1466"/>
      <c r="CH1466"/>
      <c r="CI1466"/>
      <c r="CJ1466"/>
      <c r="CK1466"/>
      <c r="CL1466"/>
      <c r="CM1466"/>
      <c r="CN1466"/>
      <c r="CO1466"/>
      <c r="CP1466"/>
      <c r="CQ1466"/>
      <c r="CR1466"/>
      <c r="CS1466"/>
    </row>
    <row r="1467" spans="2:97">
      <c r="B1467"/>
      <c r="C1467" s="1"/>
      <c r="D1467" s="1"/>
      <c r="E1467" s="1"/>
      <c r="F1467" s="1"/>
      <c r="G1467" s="1"/>
      <c r="H1467" s="1"/>
      <c r="I1467" s="1"/>
      <c r="J1467" s="1"/>
      <c r="K1467" s="1"/>
      <c r="L1467" s="1"/>
      <c r="M1467" s="1"/>
      <c r="N1467" s="1"/>
      <c r="O1467" s="1"/>
      <c r="P1467" s="1"/>
      <c r="Q1467" s="1"/>
      <c r="R1467"/>
      <c r="S1467" s="1"/>
      <c r="T1467" s="24"/>
      <c r="U1467"/>
      <c r="V1467" s="1"/>
      <c r="W1467" s="24"/>
      <c r="X1467"/>
      <c r="Y1467" s="1"/>
      <c r="Z1467" s="24"/>
      <c r="AA1467"/>
      <c r="AB1467" s="1"/>
      <c r="AC1467" s="24"/>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c r="CA1467"/>
      <c r="CB1467"/>
      <c r="CC1467"/>
      <c r="CD1467"/>
      <c r="CE1467"/>
      <c r="CF1467"/>
      <c r="CG1467"/>
      <c r="CH1467"/>
      <c r="CI1467"/>
      <c r="CJ1467"/>
      <c r="CK1467"/>
      <c r="CL1467"/>
      <c r="CM1467"/>
      <c r="CN1467"/>
      <c r="CO1467"/>
      <c r="CP1467"/>
      <c r="CQ1467"/>
      <c r="CR1467"/>
      <c r="CS1467"/>
    </row>
    <row r="1468" spans="2:97">
      <c r="B1468"/>
      <c r="C1468" s="1"/>
      <c r="D1468" s="1"/>
      <c r="E1468" s="1"/>
      <c r="F1468" s="1"/>
      <c r="G1468" s="1"/>
      <c r="H1468" s="1"/>
      <c r="I1468" s="1"/>
      <c r="J1468" s="1"/>
      <c r="K1468" s="1"/>
      <c r="L1468" s="1"/>
      <c r="M1468" s="1"/>
      <c r="N1468" s="1"/>
      <c r="O1468" s="1"/>
      <c r="P1468" s="1"/>
      <c r="Q1468" s="1"/>
      <c r="R1468"/>
      <c r="S1468" s="1"/>
      <c r="T1468" s="24"/>
      <c r="U1468"/>
      <c r="V1468" s="1"/>
      <c r="W1468" s="24"/>
      <c r="X1468"/>
      <c r="Y1468" s="1"/>
      <c r="Z1468" s="24"/>
      <c r="AA1468"/>
      <c r="AB1468" s="1"/>
      <c r="AC1468" s="24"/>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c r="CA1468"/>
      <c r="CB1468"/>
      <c r="CC1468"/>
      <c r="CD1468"/>
      <c r="CE1468"/>
      <c r="CF1468"/>
      <c r="CG1468"/>
      <c r="CH1468"/>
      <c r="CI1468"/>
      <c r="CJ1468"/>
      <c r="CK1468"/>
      <c r="CL1468"/>
      <c r="CM1468"/>
      <c r="CN1468"/>
      <c r="CO1468"/>
      <c r="CP1468"/>
      <c r="CQ1468"/>
      <c r="CR1468"/>
      <c r="CS1468"/>
    </row>
    <row r="1469" spans="2:97">
      <c r="B1469"/>
      <c r="C1469" s="1"/>
      <c r="D1469" s="1"/>
      <c r="E1469" s="1"/>
      <c r="F1469" s="1"/>
      <c r="G1469" s="1"/>
      <c r="H1469" s="1"/>
      <c r="I1469" s="1"/>
      <c r="J1469" s="1"/>
      <c r="K1469" s="1"/>
      <c r="L1469" s="1"/>
      <c r="M1469" s="1"/>
      <c r="N1469" s="1"/>
      <c r="O1469" s="1"/>
      <c r="P1469" s="1"/>
      <c r="Q1469" s="1"/>
      <c r="R1469"/>
      <c r="S1469" s="1"/>
      <c r="T1469" s="24"/>
      <c r="U1469"/>
      <c r="V1469" s="1"/>
      <c r="W1469" s="24"/>
      <c r="X1469"/>
      <c r="Y1469" s="1"/>
      <c r="Z1469" s="24"/>
      <c r="AA1469"/>
      <c r="AB1469" s="1"/>
      <c r="AC1469" s="24"/>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c r="CA1469"/>
      <c r="CB1469"/>
      <c r="CC1469"/>
      <c r="CD1469"/>
      <c r="CE1469"/>
      <c r="CF1469"/>
      <c r="CG1469"/>
      <c r="CH1469"/>
      <c r="CI1469"/>
      <c r="CJ1469"/>
      <c r="CK1469"/>
      <c r="CL1469"/>
      <c r="CM1469"/>
      <c r="CN1469"/>
      <c r="CO1469"/>
      <c r="CP1469"/>
      <c r="CQ1469"/>
      <c r="CR1469"/>
      <c r="CS1469"/>
    </row>
    <row r="1470" spans="2:97">
      <c r="B1470"/>
      <c r="C1470" s="1"/>
      <c r="D1470" s="1"/>
      <c r="E1470" s="1"/>
      <c r="F1470" s="1"/>
      <c r="G1470" s="1"/>
      <c r="H1470" s="1"/>
      <c r="I1470" s="1"/>
      <c r="J1470" s="1"/>
      <c r="K1470" s="1"/>
      <c r="L1470" s="1"/>
      <c r="M1470" s="1"/>
      <c r="N1470" s="1"/>
      <c r="O1470" s="1"/>
      <c r="P1470" s="1"/>
      <c r="Q1470" s="1"/>
      <c r="R1470"/>
      <c r="S1470" s="1"/>
      <c r="T1470" s="24"/>
      <c r="U1470"/>
      <c r="V1470" s="1"/>
      <c r="W1470" s="24"/>
      <c r="X1470"/>
      <c r="Y1470" s="1"/>
      <c r="Z1470" s="24"/>
      <c r="AA1470"/>
      <c r="AB1470" s="1"/>
      <c r="AC1470" s="24"/>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c r="CA1470"/>
      <c r="CB1470"/>
      <c r="CC1470"/>
      <c r="CD1470"/>
      <c r="CE1470"/>
      <c r="CF1470"/>
      <c r="CG1470"/>
      <c r="CH1470"/>
      <c r="CI1470"/>
      <c r="CJ1470"/>
      <c r="CK1470"/>
      <c r="CL1470"/>
      <c r="CM1470"/>
      <c r="CN1470"/>
      <c r="CO1470"/>
      <c r="CP1470"/>
      <c r="CQ1470"/>
      <c r="CR1470"/>
      <c r="CS1470"/>
    </row>
    <row r="1471" spans="2:97">
      <c r="B1471"/>
      <c r="C1471" s="1"/>
      <c r="D1471" s="1"/>
      <c r="E1471" s="1"/>
      <c r="F1471" s="1"/>
      <c r="G1471" s="1"/>
      <c r="H1471" s="1"/>
      <c r="I1471" s="1"/>
      <c r="J1471" s="1"/>
      <c r="K1471" s="1"/>
      <c r="L1471" s="1"/>
      <c r="M1471" s="1"/>
      <c r="N1471" s="1"/>
      <c r="O1471" s="1"/>
      <c r="P1471" s="1"/>
      <c r="Q1471" s="1"/>
      <c r="R1471"/>
      <c r="S1471" s="1"/>
      <c r="T1471" s="24"/>
      <c r="U1471"/>
      <c r="V1471" s="1"/>
      <c r="W1471" s="24"/>
      <c r="X1471"/>
      <c r="Y1471" s="1"/>
      <c r="Z1471" s="24"/>
      <c r="AA1471"/>
      <c r="AB1471" s="1"/>
      <c r="AC1471" s="24"/>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c r="CA1471"/>
      <c r="CB1471"/>
      <c r="CC1471"/>
      <c r="CD1471"/>
      <c r="CE1471"/>
      <c r="CF1471"/>
      <c r="CG1471"/>
      <c r="CH1471"/>
      <c r="CI1471"/>
      <c r="CJ1471"/>
      <c r="CK1471"/>
      <c r="CL1471"/>
      <c r="CM1471"/>
      <c r="CN1471"/>
      <c r="CO1471"/>
      <c r="CP1471"/>
      <c r="CQ1471"/>
      <c r="CR1471"/>
      <c r="CS1471"/>
    </row>
    <row r="1472" spans="2:97">
      <c r="B1472"/>
      <c r="C1472" s="1"/>
      <c r="D1472" s="1"/>
      <c r="E1472" s="1"/>
      <c r="F1472" s="1"/>
      <c r="G1472" s="1"/>
      <c r="H1472" s="1"/>
      <c r="I1472" s="1"/>
      <c r="J1472" s="1"/>
      <c r="K1472" s="1"/>
      <c r="L1472" s="1"/>
      <c r="M1472" s="1"/>
      <c r="N1472" s="1"/>
      <c r="O1472" s="1"/>
      <c r="P1472" s="1"/>
      <c r="Q1472" s="1"/>
      <c r="R1472"/>
      <c r="S1472" s="1"/>
      <c r="T1472" s="24"/>
      <c r="U1472"/>
      <c r="V1472" s="1"/>
      <c r="W1472" s="24"/>
      <c r="X1472"/>
      <c r="Y1472" s="1"/>
      <c r="Z1472" s="24"/>
      <c r="AA1472"/>
      <c r="AB1472" s="1"/>
      <c r="AC1472" s="24"/>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c r="CA1472"/>
      <c r="CB1472"/>
      <c r="CC1472"/>
      <c r="CD1472"/>
      <c r="CE1472"/>
      <c r="CF1472"/>
      <c r="CG1472"/>
      <c r="CH1472"/>
      <c r="CI1472"/>
      <c r="CJ1472"/>
      <c r="CK1472"/>
      <c r="CL1472"/>
      <c r="CM1472"/>
      <c r="CN1472"/>
      <c r="CO1472"/>
      <c r="CP1472"/>
      <c r="CQ1472"/>
      <c r="CR1472"/>
      <c r="CS1472"/>
    </row>
    <row r="1473" spans="2:97">
      <c r="B1473"/>
      <c r="C1473" s="1"/>
      <c r="D1473" s="1"/>
      <c r="E1473" s="1"/>
      <c r="F1473" s="1"/>
      <c r="G1473" s="1"/>
      <c r="H1473" s="1"/>
      <c r="I1473" s="1"/>
      <c r="J1473" s="1"/>
      <c r="K1473" s="1"/>
      <c r="L1473" s="1"/>
      <c r="M1473" s="1"/>
      <c r="N1473" s="1"/>
      <c r="O1473" s="1"/>
      <c r="P1473" s="1"/>
      <c r="Q1473" s="1"/>
      <c r="R1473"/>
      <c r="S1473" s="1"/>
      <c r="T1473" s="24"/>
      <c r="U1473"/>
      <c r="V1473" s="1"/>
      <c r="W1473" s="24"/>
      <c r="X1473"/>
      <c r="Y1473" s="1"/>
      <c r="Z1473" s="24"/>
      <c r="AA1473"/>
      <c r="AB1473" s="1"/>
      <c r="AC1473" s="24"/>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c r="CA1473"/>
      <c r="CB1473"/>
      <c r="CC1473"/>
      <c r="CD1473"/>
      <c r="CE1473"/>
      <c r="CF1473"/>
      <c r="CG1473"/>
      <c r="CH1473"/>
      <c r="CI1473"/>
      <c r="CJ1473"/>
      <c r="CK1473"/>
      <c r="CL1473"/>
      <c r="CM1473"/>
      <c r="CN1473"/>
      <c r="CO1473"/>
      <c r="CP1473"/>
      <c r="CQ1473"/>
      <c r="CR1473"/>
      <c r="CS1473"/>
    </row>
    <row r="1474" spans="2:97">
      <c r="B1474"/>
      <c r="C1474" s="1"/>
      <c r="D1474" s="1"/>
      <c r="E1474" s="1"/>
      <c r="F1474" s="1"/>
      <c r="G1474" s="1"/>
      <c r="H1474" s="1"/>
      <c r="I1474" s="1"/>
      <c r="J1474" s="1"/>
      <c r="K1474" s="1"/>
      <c r="L1474" s="1"/>
      <c r="M1474" s="1"/>
      <c r="N1474" s="1"/>
      <c r="O1474" s="1"/>
      <c r="P1474" s="1"/>
      <c r="Q1474" s="1"/>
      <c r="R1474"/>
      <c r="S1474" s="1"/>
      <c r="T1474" s="24"/>
      <c r="U1474"/>
      <c r="V1474" s="1"/>
      <c r="W1474" s="24"/>
      <c r="X1474"/>
      <c r="Y1474" s="1"/>
      <c r="Z1474" s="24"/>
      <c r="AA1474"/>
      <c r="AB1474" s="1"/>
      <c r="AC1474" s="24"/>
      <c r="AD1474"/>
      <c r="AE1474"/>
      <c r="AF1474"/>
      <c r="AG1474"/>
      <c r="AH1474"/>
      <c r="AI1474"/>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c r="CA1474"/>
      <c r="CB1474"/>
      <c r="CC1474"/>
      <c r="CD1474"/>
      <c r="CE1474"/>
      <c r="CF1474"/>
      <c r="CG1474"/>
      <c r="CH1474"/>
      <c r="CI1474"/>
      <c r="CJ1474"/>
      <c r="CK1474"/>
      <c r="CL1474"/>
      <c r="CM1474"/>
      <c r="CN1474"/>
      <c r="CO1474"/>
      <c r="CP1474"/>
      <c r="CQ1474"/>
      <c r="CR1474"/>
      <c r="CS1474"/>
    </row>
    <row r="1475" spans="2:97">
      <c r="B1475"/>
      <c r="C1475" s="1"/>
      <c r="D1475" s="1"/>
      <c r="E1475" s="1"/>
      <c r="F1475" s="1"/>
      <c r="G1475" s="1"/>
      <c r="H1475" s="1"/>
      <c r="I1475" s="1"/>
      <c r="J1475" s="1"/>
      <c r="K1475" s="1"/>
      <c r="L1475" s="1"/>
      <c r="M1475" s="1"/>
      <c r="N1475" s="1"/>
      <c r="O1475" s="1"/>
      <c r="P1475" s="1"/>
      <c r="Q1475" s="1"/>
      <c r="R1475"/>
      <c r="S1475" s="1"/>
      <c r="T1475" s="24"/>
      <c r="U1475"/>
      <c r="V1475" s="1"/>
      <c r="W1475" s="24"/>
      <c r="X1475"/>
      <c r="Y1475" s="1"/>
      <c r="Z1475" s="24"/>
      <c r="AA1475"/>
      <c r="AB1475" s="1"/>
      <c r="AC1475" s="24"/>
      <c r="AD1475"/>
      <c r="AE1475"/>
      <c r="AF1475"/>
      <c r="AG1475"/>
      <c r="AH1475"/>
      <c r="AI1475"/>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c r="CA1475"/>
      <c r="CB1475"/>
      <c r="CC1475"/>
      <c r="CD1475"/>
      <c r="CE1475"/>
      <c r="CF1475"/>
      <c r="CG1475"/>
      <c r="CH1475"/>
      <c r="CI1475"/>
      <c r="CJ1475"/>
      <c r="CK1475"/>
      <c r="CL1475"/>
      <c r="CM1475"/>
      <c r="CN1475"/>
      <c r="CO1475"/>
      <c r="CP1475"/>
      <c r="CQ1475"/>
      <c r="CR1475"/>
      <c r="CS1475"/>
    </row>
    <row r="1476" spans="2:97">
      <c r="B1476"/>
      <c r="C1476" s="1"/>
      <c r="D1476" s="1"/>
      <c r="E1476" s="1"/>
      <c r="F1476" s="1"/>
      <c r="G1476" s="1"/>
      <c r="H1476" s="1"/>
      <c r="I1476" s="1"/>
      <c r="J1476" s="1"/>
      <c r="K1476" s="1"/>
      <c r="L1476" s="1"/>
      <c r="M1476" s="1"/>
      <c r="N1476" s="1"/>
      <c r="O1476" s="1"/>
      <c r="P1476" s="1"/>
      <c r="Q1476" s="1"/>
      <c r="R1476"/>
      <c r="S1476" s="1"/>
      <c r="T1476" s="24"/>
      <c r="U1476"/>
      <c r="V1476" s="1"/>
      <c r="W1476" s="24"/>
      <c r="X1476"/>
      <c r="Y1476" s="1"/>
      <c r="Z1476" s="24"/>
      <c r="AA1476"/>
      <c r="AB1476" s="1"/>
      <c r="AC1476" s="24"/>
      <c r="AD1476"/>
      <c r="AE1476"/>
      <c r="AF1476"/>
      <c r="AG1476"/>
      <c r="AH1476"/>
      <c r="AI1476"/>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c r="CA1476"/>
      <c r="CB1476"/>
      <c r="CC1476"/>
      <c r="CD1476"/>
      <c r="CE1476"/>
      <c r="CF1476"/>
      <c r="CG1476"/>
      <c r="CH1476"/>
      <c r="CI1476"/>
      <c r="CJ1476"/>
      <c r="CK1476"/>
      <c r="CL1476"/>
      <c r="CM1476"/>
      <c r="CN1476"/>
      <c r="CO1476"/>
      <c r="CP1476"/>
      <c r="CQ1476"/>
      <c r="CR1476"/>
      <c r="CS1476"/>
    </row>
    <row r="1477" spans="2:97">
      <c r="B1477"/>
      <c r="C1477" s="1"/>
      <c r="D1477" s="1"/>
      <c r="E1477" s="1"/>
      <c r="F1477" s="1"/>
      <c r="G1477" s="1"/>
      <c r="H1477" s="1"/>
      <c r="I1477" s="1"/>
      <c r="J1477" s="1"/>
      <c r="K1477" s="1"/>
      <c r="L1477" s="1"/>
      <c r="M1477" s="1"/>
      <c r="N1477" s="1"/>
      <c r="O1477" s="1"/>
      <c r="P1477" s="1"/>
      <c r="Q1477" s="1"/>
      <c r="R1477"/>
      <c r="S1477" s="1"/>
      <c r="T1477" s="24"/>
      <c r="U1477"/>
      <c r="V1477" s="1"/>
      <c r="W1477" s="24"/>
      <c r="X1477"/>
      <c r="Y1477" s="1"/>
      <c r="Z1477" s="24"/>
      <c r="AA1477"/>
      <c r="AB1477" s="1"/>
      <c r="AC1477" s="24"/>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c r="CA1477"/>
      <c r="CB1477"/>
      <c r="CC1477"/>
      <c r="CD1477"/>
      <c r="CE1477"/>
      <c r="CF1477"/>
      <c r="CG1477"/>
      <c r="CH1477"/>
      <c r="CI1477"/>
      <c r="CJ1477"/>
      <c r="CK1477"/>
      <c r="CL1477"/>
      <c r="CM1477"/>
      <c r="CN1477"/>
      <c r="CO1477"/>
      <c r="CP1477"/>
      <c r="CQ1477"/>
      <c r="CR1477"/>
      <c r="CS1477"/>
    </row>
    <row r="1478" spans="2:97">
      <c r="B1478"/>
      <c r="C1478" s="1"/>
      <c r="D1478" s="1"/>
      <c r="E1478" s="1"/>
      <c r="F1478" s="1"/>
      <c r="G1478" s="1"/>
      <c r="H1478" s="1"/>
      <c r="I1478" s="1"/>
      <c r="J1478" s="1"/>
      <c r="K1478" s="1"/>
      <c r="L1478" s="1"/>
      <c r="M1478" s="1"/>
      <c r="N1478" s="1"/>
      <c r="O1478" s="1"/>
      <c r="P1478" s="1"/>
      <c r="Q1478" s="1"/>
      <c r="R1478"/>
      <c r="S1478" s="1"/>
      <c r="T1478" s="24"/>
      <c r="U1478"/>
      <c r="V1478" s="1"/>
      <c r="W1478" s="24"/>
      <c r="X1478"/>
      <c r="Y1478" s="1"/>
      <c r="Z1478" s="24"/>
      <c r="AA1478"/>
      <c r="AB1478" s="1"/>
      <c r="AC1478" s="24"/>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c r="CA1478"/>
      <c r="CB1478"/>
      <c r="CC1478"/>
      <c r="CD1478"/>
      <c r="CE1478"/>
      <c r="CF1478"/>
      <c r="CG1478"/>
      <c r="CH1478"/>
      <c r="CI1478"/>
      <c r="CJ1478"/>
      <c r="CK1478"/>
      <c r="CL1478"/>
      <c r="CM1478"/>
      <c r="CN1478"/>
      <c r="CO1478"/>
      <c r="CP1478"/>
      <c r="CQ1478"/>
      <c r="CR1478"/>
      <c r="CS1478"/>
    </row>
    <row r="1479" spans="2:97">
      <c r="B1479"/>
      <c r="C1479" s="1"/>
      <c r="D1479" s="1"/>
      <c r="E1479" s="1"/>
      <c r="F1479" s="1"/>
      <c r="G1479" s="1"/>
      <c r="H1479" s="1"/>
      <c r="I1479" s="1"/>
      <c r="J1479" s="1"/>
      <c r="K1479" s="1"/>
      <c r="L1479" s="1"/>
      <c r="M1479" s="1"/>
      <c r="N1479" s="1"/>
      <c r="O1479" s="1"/>
      <c r="P1479" s="1"/>
      <c r="Q1479" s="1"/>
      <c r="R1479"/>
      <c r="S1479" s="1"/>
      <c r="T1479" s="24"/>
      <c r="U1479"/>
      <c r="V1479" s="1"/>
      <c r="W1479" s="24"/>
      <c r="X1479"/>
      <c r="Y1479" s="1"/>
      <c r="Z1479" s="24"/>
      <c r="AA1479"/>
      <c r="AB1479" s="1"/>
      <c r="AC1479" s="24"/>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c r="CA1479"/>
      <c r="CB1479"/>
      <c r="CC1479"/>
      <c r="CD1479"/>
      <c r="CE1479"/>
      <c r="CF1479"/>
      <c r="CG1479"/>
      <c r="CH1479"/>
      <c r="CI1479"/>
      <c r="CJ1479"/>
      <c r="CK1479"/>
      <c r="CL1479"/>
      <c r="CM1479"/>
      <c r="CN1479"/>
      <c r="CO1479"/>
      <c r="CP1479"/>
      <c r="CQ1479"/>
      <c r="CR1479"/>
      <c r="CS1479"/>
    </row>
    <row r="1480" spans="2:97">
      <c r="B1480"/>
      <c r="C1480" s="1"/>
      <c r="D1480" s="1"/>
      <c r="E1480" s="1"/>
      <c r="F1480" s="1"/>
      <c r="G1480" s="1"/>
      <c r="H1480" s="1"/>
      <c r="I1480" s="1"/>
      <c r="J1480" s="1"/>
      <c r="K1480" s="1"/>
      <c r="L1480" s="1"/>
      <c r="M1480" s="1"/>
      <c r="N1480" s="1"/>
      <c r="O1480" s="1"/>
      <c r="P1480" s="1"/>
      <c r="Q1480" s="1"/>
      <c r="R1480"/>
      <c r="S1480" s="1"/>
      <c r="T1480" s="24"/>
      <c r="U1480"/>
      <c r="V1480" s="1"/>
      <c r="W1480" s="24"/>
      <c r="X1480"/>
      <c r="Y1480" s="1"/>
      <c r="Z1480" s="24"/>
      <c r="AA1480"/>
      <c r="AB1480" s="1"/>
      <c r="AC1480" s="24"/>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c r="CA1480"/>
      <c r="CB1480"/>
      <c r="CC1480"/>
      <c r="CD1480"/>
      <c r="CE1480"/>
      <c r="CF1480"/>
      <c r="CG1480"/>
      <c r="CH1480"/>
      <c r="CI1480"/>
      <c r="CJ1480"/>
      <c r="CK1480"/>
      <c r="CL1480"/>
      <c r="CM1480"/>
      <c r="CN1480"/>
      <c r="CO1480"/>
      <c r="CP1480"/>
      <c r="CQ1480"/>
      <c r="CR1480"/>
      <c r="CS1480"/>
    </row>
    <row r="1481" spans="2:97">
      <c r="B1481"/>
      <c r="C1481" s="1"/>
      <c r="D1481" s="1"/>
      <c r="E1481" s="1"/>
      <c r="F1481" s="1"/>
      <c r="G1481" s="1"/>
      <c r="H1481" s="1"/>
      <c r="I1481" s="1"/>
      <c r="J1481" s="1"/>
      <c r="K1481" s="1"/>
      <c r="L1481" s="1"/>
      <c r="M1481" s="1"/>
      <c r="N1481" s="1"/>
      <c r="O1481" s="1"/>
      <c r="P1481" s="1"/>
      <c r="Q1481" s="1"/>
      <c r="R1481"/>
      <c r="S1481" s="1"/>
      <c r="T1481" s="24"/>
      <c r="U1481"/>
      <c r="V1481" s="1"/>
      <c r="W1481" s="24"/>
      <c r="X1481"/>
      <c r="Y1481" s="1"/>
      <c r="Z1481" s="24"/>
      <c r="AA1481"/>
      <c r="AB1481" s="1"/>
      <c r="AC1481" s="24"/>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c r="CA1481"/>
      <c r="CB1481"/>
      <c r="CC1481"/>
      <c r="CD1481"/>
      <c r="CE1481"/>
      <c r="CF1481"/>
      <c r="CG1481"/>
      <c r="CH1481"/>
      <c r="CI1481"/>
      <c r="CJ1481"/>
      <c r="CK1481"/>
      <c r="CL1481"/>
      <c r="CM1481"/>
      <c r="CN1481"/>
      <c r="CO1481"/>
      <c r="CP1481"/>
      <c r="CQ1481"/>
      <c r="CR1481"/>
      <c r="CS1481"/>
    </row>
    <row r="1482" spans="2:97">
      <c r="B1482"/>
      <c r="C1482" s="1"/>
      <c r="D1482" s="1"/>
      <c r="E1482" s="1"/>
      <c r="F1482" s="1"/>
      <c r="G1482" s="1"/>
      <c r="H1482" s="1"/>
      <c r="I1482" s="1"/>
      <c r="J1482" s="1"/>
      <c r="K1482" s="1"/>
      <c r="L1482" s="1"/>
      <c r="M1482" s="1"/>
      <c r="N1482" s="1"/>
      <c r="O1482" s="1"/>
      <c r="P1482" s="1"/>
      <c r="Q1482" s="1"/>
      <c r="R1482"/>
      <c r="S1482" s="1"/>
      <c r="T1482" s="24"/>
      <c r="U1482"/>
      <c r="V1482" s="1"/>
      <c r="W1482" s="24"/>
      <c r="X1482"/>
      <c r="Y1482" s="1"/>
      <c r="Z1482" s="24"/>
      <c r="AA1482"/>
      <c r="AB1482" s="1"/>
      <c r="AC1482" s="24"/>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c r="CA1482"/>
      <c r="CB1482"/>
      <c r="CC1482"/>
      <c r="CD1482"/>
      <c r="CE1482"/>
      <c r="CF1482"/>
      <c r="CG1482"/>
      <c r="CH1482"/>
      <c r="CI1482"/>
      <c r="CJ1482"/>
      <c r="CK1482"/>
      <c r="CL1482"/>
      <c r="CM1482"/>
      <c r="CN1482"/>
      <c r="CO1482"/>
      <c r="CP1482"/>
      <c r="CQ1482"/>
      <c r="CR1482"/>
      <c r="CS1482"/>
    </row>
    <row r="1483" spans="2:97">
      <c r="B1483"/>
      <c r="C1483" s="1"/>
      <c r="D1483" s="1"/>
      <c r="E1483" s="1"/>
      <c r="F1483" s="1"/>
      <c r="G1483" s="1"/>
      <c r="H1483" s="1"/>
      <c r="I1483" s="1"/>
      <c r="J1483" s="1"/>
      <c r="K1483" s="1"/>
      <c r="L1483" s="1"/>
      <c r="M1483" s="1"/>
      <c r="N1483" s="1"/>
      <c r="O1483" s="1"/>
      <c r="P1483" s="1"/>
      <c r="Q1483" s="1"/>
      <c r="R1483"/>
      <c r="S1483" s="1"/>
      <c r="T1483" s="24"/>
      <c r="U1483"/>
      <c r="V1483" s="1"/>
      <c r="W1483" s="24"/>
      <c r="X1483"/>
      <c r="Y1483" s="1"/>
      <c r="Z1483" s="24"/>
      <c r="AA1483"/>
      <c r="AB1483" s="1"/>
      <c r="AC1483" s="24"/>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c r="CA1483"/>
      <c r="CB1483"/>
      <c r="CC1483"/>
      <c r="CD1483"/>
      <c r="CE1483"/>
      <c r="CF1483"/>
      <c r="CG1483"/>
      <c r="CH1483"/>
      <c r="CI1483"/>
      <c r="CJ1483"/>
      <c r="CK1483"/>
      <c r="CL1483"/>
      <c r="CM1483"/>
      <c r="CN1483"/>
      <c r="CO1483"/>
      <c r="CP1483"/>
      <c r="CQ1483"/>
      <c r="CR1483"/>
      <c r="CS1483"/>
    </row>
    <row r="1484" spans="2:97">
      <c r="B1484"/>
      <c r="C1484" s="1"/>
      <c r="D1484" s="1"/>
      <c r="E1484" s="1"/>
      <c r="F1484" s="1"/>
      <c r="G1484" s="1"/>
      <c r="H1484" s="1"/>
      <c r="I1484" s="1"/>
      <c r="J1484" s="1"/>
      <c r="K1484" s="1"/>
      <c r="L1484" s="1"/>
      <c r="M1484" s="1"/>
      <c r="N1484" s="1"/>
      <c r="O1484" s="1"/>
      <c r="P1484" s="1"/>
      <c r="Q1484" s="1"/>
      <c r="R1484"/>
      <c r="S1484" s="1"/>
      <c r="T1484" s="24"/>
      <c r="U1484"/>
      <c r="V1484" s="1"/>
      <c r="W1484" s="24"/>
      <c r="X1484"/>
      <c r="Y1484" s="1"/>
      <c r="Z1484" s="24"/>
      <c r="AA1484"/>
      <c r="AB1484" s="1"/>
      <c r="AC1484" s="2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c r="CA1484"/>
      <c r="CB1484"/>
      <c r="CC1484"/>
      <c r="CD1484"/>
      <c r="CE1484"/>
      <c r="CF1484"/>
      <c r="CG1484"/>
      <c r="CH1484"/>
      <c r="CI1484"/>
      <c r="CJ1484"/>
      <c r="CK1484"/>
      <c r="CL1484"/>
      <c r="CM1484"/>
      <c r="CN1484"/>
      <c r="CO1484"/>
      <c r="CP1484"/>
      <c r="CQ1484"/>
      <c r="CR1484"/>
      <c r="CS1484"/>
    </row>
    <row r="1485" spans="2:97">
      <c r="B1485"/>
      <c r="C1485" s="1"/>
      <c r="D1485" s="1"/>
      <c r="E1485" s="1"/>
      <c r="F1485" s="1"/>
      <c r="G1485" s="1"/>
      <c r="H1485" s="1"/>
      <c r="I1485" s="1"/>
      <c r="J1485" s="1"/>
      <c r="K1485" s="1"/>
      <c r="L1485" s="1"/>
      <c r="M1485" s="1"/>
      <c r="N1485" s="1"/>
      <c r="O1485" s="1"/>
      <c r="P1485" s="1"/>
      <c r="Q1485" s="1"/>
      <c r="R1485"/>
      <c r="S1485" s="1"/>
      <c r="T1485" s="24"/>
      <c r="U1485"/>
      <c r="V1485" s="1"/>
      <c r="W1485" s="24"/>
      <c r="X1485"/>
      <c r="Y1485" s="1"/>
      <c r="Z1485" s="24"/>
      <c r="AA1485"/>
      <c r="AB1485" s="1"/>
      <c r="AC1485" s="24"/>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c r="CA1485"/>
      <c r="CB1485"/>
      <c r="CC1485"/>
      <c r="CD1485"/>
      <c r="CE1485"/>
      <c r="CF1485"/>
      <c r="CG1485"/>
      <c r="CH1485"/>
      <c r="CI1485"/>
      <c r="CJ1485"/>
      <c r="CK1485"/>
      <c r="CL1485"/>
      <c r="CM1485"/>
      <c r="CN1485"/>
      <c r="CO1485"/>
      <c r="CP1485"/>
      <c r="CQ1485"/>
      <c r="CR1485"/>
      <c r="CS1485"/>
    </row>
    <row r="1486" spans="2:97">
      <c r="B1486"/>
      <c r="C1486" s="1"/>
      <c r="D1486" s="1"/>
      <c r="E1486" s="1"/>
      <c r="F1486" s="1"/>
      <c r="G1486" s="1"/>
      <c r="H1486" s="1"/>
      <c r="I1486" s="1"/>
      <c r="J1486" s="1"/>
      <c r="K1486" s="1"/>
      <c r="L1486" s="1"/>
      <c r="M1486" s="1"/>
      <c r="N1486" s="1"/>
      <c r="O1486" s="1"/>
      <c r="P1486" s="1"/>
      <c r="Q1486" s="1"/>
      <c r="R1486"/>
      <c r="S1486" s="1"/>
      <c r="T1486" s="24"/>
      <c r="U1486"/>
      <c r="V1486" s="1"/>
      <c r="W1486" s="24"/>
      <c r="X1486"/>
      <c r="Y1486" s="1"/>
      <c r="Z1486" s="24"/>
      <c r="AA1486"/>
      <c r="AB1486" s="1"/>
      <c r="AC1486" s="24"/>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c r="CA1486"/>
      <c r="CB1486"/>
      <c r="CC1486"/>
      <c r="CD1486"/>
      <c r="CE1486"/>
      <c r="CF1486"/>
      <c r="CG1486"/>
      <c r="CH1486"/>
      <c r="CI1486"/>
      <c r="CJ1486"/>
      <c r="CK1486"/>
      <c r="CL1486"/>
      <c r="CM1486"/>
      <c r="CN1486"/>
      <c r="CO1486"/>
      <c r="CP1486"/>
      <c r="CQ1486"/>
      <c r="CR1486"/>
      <c r="CS1486"/>
    </row>
    <row r="1487" spans="2:97">
      <c r="B1487"/>
      <c r="C1487" s="1"/>
      <c r="D1487" s="1"/>
      <c r="E1487" s="1"/>
      <c r="F1487" s="1"/>
      <c r="G1487" s="1"/>
      <c r="H1487" s="1"/>
      <c r="I1487" s="1"/>
      <c r="J1487" s="1"/>
      <c r="K1487" s="1"/>
      <c r="L1487" s="1"/>
      <c r="M1487" s="1"/>
      <c r="N1487" s="1"/>
      <c r="O1487" s="1"/>
      <c r="P1487" s="1"/>
      <c r="Q1487" s="1"/>
      <c r="R1487"/>
      <c r="S1487" s="1"/>
      <c r="T1487" s="24"/>
      <c r="U1487"/>
      <c r="V1487" s="1"/>
      <c r="W1487" s="24"/>
      <c r="X1487"/>
      <c r="Y1487" s="1"/>
      <c r="Z1487" s="24"/>
      <c r="AA1487"/>
      <c r="AB1487" s="1"/>
      <c r="AC1487" s="24"/>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c r="CA1487"/>
      <c r="CB1487"/>
      <c r="CC1487"/>
      <c r="CD1487"/>
      <c r="CE1487"/>
      <c r="CF1487"/>
      <c r="CG1487"/>
      <c r="CH1487"/>
      <c r="CI1487"/>
      <c r="CJ1487"/>
      <c r="CK1487"/>
      <c r="CL1487"/>
      <c r="CM1487"/>
      <c r="CN1487"/>
      <c r="CO1487"/>
      <c r="CP1487"/>
      <c r="CQ1487"/>
      <c r="CR1487"/>
      <c r="CS1487"/>
    </row>
    <row r="1488" spans="2:97">
      <c r="B1488"/>
      <c r="C1488" s="1"/>
      <c r="D1488" s="1"/>
      <c r="E1488" s="1"/>
      <c r="F1488" s="1"/>
      <c r="G1488" s="1"/>
      <c r="H1488" s="1"/>
      <c r="I1488" s="1"/>
      <c r="J1488" s="1"/>
      <c r="K1488" s="1"/>
      <c r="L1488" s="1"/>
      <c r="M1488" s="1"/>
      <c r="N1488" s="1"/>
      <c r="O1488" s="1"/>
      <c r="P1488" s="1"/>
      <c r="Q1488" s="1"/>
      <c r="R1488"/>
      <c r="S1488" s="1"/>
      <c r="T1488" s="24"/>
      <c r="U1488"/>
      <c r="V1488" s="1"/>
      <c r="W1488" s="24"/>
      <c r="X1488"/>
      <c r="Y1488" s="1"/>
      <c r="Z1488" s="24"/>
      <c r="AA1488"/>
      <c r="AB1488" s="1"/>
      <c r="AC1488" s="24"/>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c r="CA1488"/>
      <c r="CB1488"/>
      <c r="CC1488"/>
      <c r="CD1488"/>
      <c r="CE1488"/>
      <c r="CF1488"/>
      <c r="CG1488"/>
      <c r="CH1488"/>
      <c r="CI1488"/>
      <c r="CJ1488"/>
      <c r="CK1488"/>
      <c r="CL1488"/>
      <c r="CM1488"/>
      <c r="CN1488"/>
      <c r="CO1488"/>
      <c r="CP1488"/>
      <c r="CQ1488"/>
      <c r="CR1488"/>
      <c r="CS1488"/>
    </row>
    <row r="1489" spans="2:97">
      <c r="B1489"/>
      <c r="C1489" s="1"/>
      <c r="D1489" s="1"/>
      <c r="E1489" s="1"/>
      <c r="F1489" s="1"/>
      <c r="G1489" s="1"/>
      <c r="H1489" s="1"/>
      <c r="I1489" s="1"/>
      <c r="J1489" s="1"/>
      <c r="K1489" s="1"/>
      <c r="L1489" s="1"/>
      <c r="M1489" s="1"/>
      <c r="N1489" s="1"/>
      <c r="O1489" s="1"/>
      <c r="P1489" s="1"/>
      <c r="Q1489" s="1"/>
      <c r="R1489"/>
      <c r="S1489" s="1"/>
      <c r="T1489" s="24"/>
      <c r="U1489"/>
      <c r="V1489" s="1"/>
      <c r="W1489" s="24"/>
      <c r="X1489"/>
      <c r="Y1489" s="1"/>
      <c r="Z1489" s="24"/>
      <c r="AA1489"/>
      <c r="AB1489" s="1"/>
      <c r="AC1489" s="24"/>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c r="CA1489"/>
      <c r="CB1489"/>
      <c r="CC1489"/>
      <c r="CD1489"/>
      <c r="CE1489"/>
      <c r="CF1489"/>
      <c r="CG1489"/>
      <c r="CH1489"/>
      <c r="CI1489"/>
      <c r="CJ1489"/>
      <c r="CK1489"/>
      <c r="CL1489"/>
      <c r="CM1489"/>
      <c r="CN1489"/>
      <c r="CO1489"/>
      <c r="CP1489"/>
      <c r="CQ1489"/>
      <c r="CR1489"/>
      <c r="CS1489"/>
    </row>
    <row r="1490" spans="2:97">
      <c r="B1490"/>
      <c r="C1490" s="1"/>
      <c r="D1490" s="1"/>
      <c r="E1490" s="1"/>
      <c r="F1490" s="1"/>
      <c r="G1490" s="1"/>
      <c r="H1490" s="1"/>
      <c r="I1490" s="1"/>
      <c r="J1490" s="1"/>
      <c r="K1490" s="1"/>
      <c r="L1490" s="1"/>
      <c r="M1490" s="1"/>
      <c r="N1490" s="1"/>
      <c r="O1490" s="1"/>
      <c r="P1490" s="1"/>
      <c r="Q1490" s="1"/>
      <c r="R1490"/>
      <c r="S1490" s="1"/>
      <c r="T1490" s="24"/>
      <c r="U1490"/>
      <c r="V1490" s="1"/>
      <c r="W1490" s="24"/>
      <c r="X1490"/>
      <c r="Y1490" s="1"/>
      <c r="Z1490" s="24"/>
      <c r="AA1490"/>
      <c r="AB1490" s="1"/>
      <c r="AC1490" s="24"/>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c r="CA1490"/>
      <c r="CB1490"/>
      <c r="CC1490"/>
      <c r="CD1490"/>
      <c r="CE1490"/>
      <c r="CF1490"/>
      <c r="CG1490"/>
      <c r="CH1490"/>
      <c r="CI1490"/>
      <c r="CJ1490"/>
      <c r="CK1490"/>
      <c r="CL1490"/>
      <c r="CM1490"/>
      <c r="CN1490"/>
      <c r="CO1490"/>
      <c r="CP1490"/>
      <c r="CQ1490"/>
      <c r="CR1490"/>
      <c r="CS1490"/>
    </row>
    <row r="1491" spans="2:97">
      <c r="B1491"/>
      <c r="C1491" s="1"/>
      <c r="D1491" s="1"/>
      <c r="E1491" s="1"/>
      <c r="F1491" s="1"/>
      <c r="G1491" s="1"/>
      <c r="H1491" s="1"/>
      <c r="I1491" s="1"/>
      <c r="J1491" s="1"/>
      <c r="K1491" s="1"/>
      <c r="L1491" s="1"/>
      <c r="M1491" s="1"/>
      <c r="N1491" s="1"/>
      <c r="O1491" s="1"/>
      <c r="P1491" s="1"/>
      <c r="Q1491" s="1"/>
      <c r="R1491"/>
      <c r="S1491" s="1"/>
      <c r="T1491" s="24"/>
      <c r="U1491"/>
      <c r="V1491" s="1"/>
      <c r="W1491" s="24"/>
      <c r="X1491"/>
      <c r="Y1491" s="1"/>
      <c r="Z1491" s="24"/>
      <c r="AA1491"/>
      <c r="AB1491" s="1"/>
      <c r="AC1491" s="24"/>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c r="CA1491"/>
      <c r="CB1491"/>
      <c r="CC1491"/>
      <c r="CD1491"/>
      <c r="CE1491"/>
      <c r="CF1491"/>
      <c r="CG1491"/>
      <c r="CH1491"/>
      <c r="CI1491"/>
      <c r="CJ1491"/>
      <c r="CK1491"/>
      <c r="CL1491"/>
      <c r="CM1491"/>
      <c r="CN1491"/>
      <c r="CO1491"/>
      <c r="CP1491"/>
      <c r="CQ1491"/>
      <c r="CR1491"/>
      <c r="CS1491"/>
    </row>
    <row r="1492" spans="2:97">
      <c r="B1492"/>
      <c r="C1492" s="1"/>
      <c r="D1492" s="1"/>
      <c r="E1492" s="1"/>
      <c r="F1492" s="1"/>
      <c r="G1492" s="1"/>
      <c r="H1492" s="1"/>
      <c r="I1492" s="1"/>
      <c r="J1492" s="1"/>
      <c r="K1492" s="1"/>
      <c r="L1492" s="1"/>
      <c r="M1492" s="1"/>
      <c r="N1492" s="1"/>
      <c r="O1492" s="1"/>
      <c r="P1492" s="1"/>
      <c r="Q1492" s="1"/>
      <c r="R1492"/>
      <c r="S1492" s="1"/>
      <c r="T1492" s="24"/>
      <c r="U1492"/>
      <c r="V1492" s="1"/>
      <c r="W1492" s="24"/>
      <c r="X1492"/>
      <c r="Y1492" s="1"/>
      <c r="Z1492" s="24"/>
      <c r="AA1492"/>
      <c r="AB1492" s="1"/>
      <c r="AC1492" s="24"/>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c r="CA1492"/>
      <c r="CB1492"/>
      <c r="CC1492"/>
      <c r="CD1492"/>
      <c r="CE1492"/>
      <c r="CF1492"/>
      <c r="CG1492"/>
      <c r="CH1492"/>
      <c r="CI1492"/>
      <c r="CJ1492"/>
      <c r="CK1492"/>
      <c r="CL1492"/>
      <c r="CM1492"/>
      <c r="CN1492"/>
      <c r="CO1492"/>
      <c r="CP1492"/>
      <c r="CQ1492"/>
      <c r="CR1492"/>
      <c r="CS1492"/>
    </row>
    <row r="1493" spans="2:97">
      <c r="B1493"/>
      <c r="C1493" s="1"/>
      <c r="D1493" s="1"/>
      <c r="E1493" s="1"/>
      <c r="F1493" s="1"/>
      <c r="G1493" s="1"/>
      <c r="H1493" s="1"/>
      <c r="I1493" s="1"/>
      <c r="J1493" s="1"/>
      <c r="K1493" s="1"/>
      <c r="L1493" s="1"/>
      <c r="M1493" s="1"/>
      <c r="N1493" s="1"/>
      <c r="O1493" s="1"/>
      <c r="P1493" s="1"/>
      <c r="Q1493" s="1"/>
      <c r="R1493"/>
      <c r="S1493" s="1"/>
      <c r="T1493" s="24"/>
      <c r="U1493"/>
      <c r="V1493" s="1"/>
      <c r="W1493" s="24"/>
      <c r="X1493"/>
      <c r="Y1493" s="1"/>
      <c r="Z1493" s="24"/>
      <c r="AA1493"/>
      <c r="AB1493" s="1"/>
      <c r="AC1493" s="24"/>
      <c r="AD1493"/>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c r="CA1493"/>
      <c r="CB1493"/>
      <c r="CC1493"/>
      <c r="CD1493"/>
      <c r="CE1493"/>
      <c r="CF1493"/>
      <c r="CG1493"/>
      <c r="CH1493"/>
      <c r="CI1493"/>
      <c r="CJ1493"/>
      <c r="CK1493"/>
      <c r="CL1493"/>
      <c r="CM1493"/>
      <c r="CN1493"/>
      <c r="CO1493"/>
      <c r="CP1493"/>
      <c r="CQ1493"/>
      <c r="CR1493"/>
      <c r="CS1493"/>
    </row>
    <row r="1494" spans="2:97">
      <c r="B1494"/>
      <c r="C1494" s="1"/>
      <c r="D1494" s="1"/>
      <c r="E1494" s="1"/>
      <c r="F1494" s="1"/>
      <c r="G1494" s="1"/>
      <c r="H1494" s="1"/>
      <c r="I1494" s="1"/>
      <c r="J1494" s="1"/>
      <c r="K1494" s="1"/>
      <c r="L1494" s="1"/>
      <c r="M1494" s="1"/>
      <c r="N1494" s="1"/>
      <c r="O1494" s="1"/>
      <c r="P1494" s="1"/>
      <c r="Q1494" s="1"/>
      <c r="R1494"/>
      <c r="S1494" s="1"/>
      <c r="T1494" s="24"/>
      <c r="U1494"/>
      <c r="V1494" s="1"/>
      <c r="W1494" s="24"/>
      <c r="X1494"/>
      <c r="Y1494" s="1"/>
      <c r="Z1494" s="24"/>
      <c r="AA1494"/>
      <c r="AB1494" s="1"/>
      <c r="AC1494" s="2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c r="CA1494"/>
      <c r="CB1494"/>
      <c r="CC1494"/>
      <c r="CD1494"/>
      <c r="CE1494"/>
      <c r="CF1494"/>
      <c r="CG1494"/>
      <c r="CH1494"/>
      <c r="CI1494"/>
      <c r="CJ1494"/>
      <c r="CK1494"/>
      <c r="CL1494"/>
      <c r="CM1494"/>
      <c r="CN1494"/>
      <c r="CO1494"/>
      <c r="CP1494"/>
      <c r="CQ1494"/>
      <c r="CR1494"/>
      <c r="CS1494"/>
    </row>
    <row r="1495" spans="2:97">
      <c r="B1495"/>
      <c r="C1495" s="1"/>
      <c r="D1495" s="1"/>
      <c r="E1495" s="1"/>
      <c r="F1495" s="1"/>
      <c r="G1495" s="1"/>
      <c r="H1495" s="1"/>
      <c r="I1495" s="1"/>
      <c r="J1495" s="1"/>
      <c r="K1495" s="1"/>
      <c r="L1495" s="1"/>
      <c r="M1495" s="1"/>
      <c r="N1495" s="1"/>
      <c r="O1495" s="1"/>
      <c r="P1495" s="1"/>
      <c r="Q1495" s="1"/>
      <c r="R1495"/>
      <c r="S1495" s="1"/>
      <c r="T1495" s="24"/>
      <c r="U1495"/>
      <c r="V1495" s="1"/>
      <c r="W1495" s="24"/>
      <c r="X1495"/>
      <c r="Y1495" s="1"/>
      <c r="Z1495" s="24"/>
      <c r="AA1495"/>
      <c r="AB1495" s="1"/>
      <c r="AC1495" s="24"/>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c r="CA1495"/>
      <c r="CB1495"/>
      <c r="CC1495"/>
      <c r="CD1495"/>
      <c r="CE1495"/>
      <c r="CF1495"/>
      <c r="CG1495"/>
      <c r="CH1495"/>
      <c r="CI1495"/>
      <c r="CJ1495"/>
      <c r="CK1495"/>
      <c r="CL1495"/>
      <c r="CM1495"/>
      <c r="CN1495"/>
      <c r="CO1495"/>
      <c r="CP1495"/>
      <c r="CQ1495"/>
      <c r="CR1495"/>
      <c r="CS1495"/>
    </row>
    <row r="1496" spans="2:97">
      <c r="B1496"/>
      <c r="C1496" s="1"/>
      <c r="D1496" s="1"/>
      <c r="E1496" s="1"/>
      <c r="F1496" s="1"/>
      <c r="G1496" s="1"/>
      <c r="H1496" s="1"/>
      <c r="I1496" s="1"/>
      <c r="J1496" s="1"/>
      <c r="K1496" s="1"/>
      <c r="L1496" s="1"/>
      <c r="M1496" s="1"/>
      <c r="N1496" s="1"/>
      <c r="O1496" s="1"/>
      <c r="P1496" s="1"/>
      <c r="Q1496" s="1"/>
      <c r="R1496"/>
      <c r="S1496" s="1"/>
      <c r="T1496" s="24"/>
      <c r="U1496"/>
      <c r="V1496" s="1"/>
      <c r="W1496" s="24"/>
      <c r="X1496"/>
      <c r="Y1496" s="1"/>
      <c r="Z1496" s="24"/>
      <c r="AA1496"/>
      <c r="AB1496" s="1"/>
      <c r="AC1496" s="24"/>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c r="CA1496"/>
      <c r="CB1496"/>
      <c r="CC1496"/>
      <c r="CD1496"/>
      <c r="CE1496"/>
      <c r="CF1496"/>
      <c r="CG1496"/>
      <c r="CH1496"/>
      <c r="CI1496"/>
      <c r="CJ1496"/>
      <c r="CK1496"/>
      <c r="CL1496"/>
      <c r="CM1496"/>
      <c r="CN1496"/>
      <c r="CO1496"/>
      <c r="CP1496"/>
      <c r="CQ1496"/>
      <c r="CR1496"/>
      <c r="CS1496"/>
    </row>
    <row r="1497" spans="2:97">
      <c r="B1497"/>
      <c r="C1497" s="1"/>
      <c r="D1497" s="1"/>
      <c r="E1497" s="1"/>
      <c r="F1497" s="1"/>
      <c r="G1497" s="1"/>
      <c r="H1497" s="1"/>
      <c r="I1497" s="1"/>
      <c r="J1497" s="1"/>
      <c r="K1497" s="1"/>
      <c r="L1497" s="1"/>
      <c r="M1497" s="1"/>
      <c r="N1497" s="1"/>
      <c r="O1497" s="1"/>
      <c r="P1497" s="1"/>
      <c r="Q1497" s="1"/>
      <c r="R1497"/>
      <c r="S1497" s="1"/>
      <c r="T1497" s="24"/>
      <c r="U1497"/>
      <c r="V1497" s="1"/>
      <c r="W1497" s="24"/>
      <c r="X1497"/>
      <c r="Y1497" s="1"/>
      <c r="Z1497" s="24"/>
      <c r="AA1497"/>
      <c r="AB1497" s="1"/>
      <c r="AC1497" s="24"/>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c r="CA1497"/>
      <c r="CB1497"/>
      <c r="CC1497"/>
      <c r="CD1497"/>
      <c r="CE1497"/>
      <c r="CF1497"/>
      <c r="CG1497"/>
      <c r="CH1497"/>
      <c r="CI1497"/>
      <c r="CJ1497"/>
      <c r="CK1497"/>
      <c r="CL1497"/>
      <c r="CM1497"/>
      <c r="CN1497"/>
      <c r="CO1497"/>
      <c r="CP1497"/>
      <c r="CQ1497"/>
      <c r="CR1497"/>
      <c r="CS1497"/>
    </row>
    <row r="1498" spans="2:97">
      <c r="B1498"/>
      <c r="C1498" s="1"/>
      <c r="D1498" s="1"/>
      <c r="E1498" s="1"/>
      <c r="F1498" s="1"/>
      <c r="G1498" s="1"/>
      <c r="H1498" s="1"/>
      <c r="I1498" s="1"/>
      <c r="J1498" s="1"/>
      <c r="K1498" s="1"/>
      <c r="L1498" s="1"/>
      <c r="M1498" s="1"/>
      <c r="N1498" s="1"/>
      <c r="O1498" s="1"/>
      <c r="P1498" s="1"/>
      <c r="Q1498" s="1"/>
      <c r="R1498"/>
      <c r="S1498" s="1"/>
      <c r="T1498" s="24"/>
      <c r="U1498"/>
      <c r="V1498" s="1"/>
      <c r="W1498" s="24"/>
      <c r="X1498"/>
      <c r="Y1498" s="1"/>
      <c r="Z1498" s="24"/>
      <c r="AA1498"/>
      <c r="AB1498" s="1"/>
      <c r="AC1498" s="24"/>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c r="CA1498"/>
      <c r="CB1498"/>
      <c r="CC1498"/>
      <c r="CD1498"/>
      <c r="CE1498"/>
      <c r="CF1498"/>
      <c r="CG1498"/>
      <c r="CH1498"/>
      <c r="CI1498"/>
      <c r="CJ1498"/>
      <c r="CK1498"/>
      <c r="CL1498"/>
      <c r="CM1498"/>
      <c r="CN1498"/>
      <c r="CO1498"/>
      <c r="CP1498"/>
      <c r="CQ1498"/>
      <c r="CR1498"/>
      <c r="CS1498"/>
    </row>
    <row r="1499" spans="2:97">
      <c r="B1499"/>
      <c r="C1499" s="1"/>
      <c r="D1499" s="1"/>
      <c r="E1499" s="1"/>
      <c r="F1499" s="1"/>
      <c r="G1499" s="1"/>
      <c r="H1499" s="1"/>
      <c r="I1499" s="1"/>
      <c r="J1499" s="1"/>
      <c r="K1499" s="1"/>
      <c r="L1499" s="1"/>
      <c r="M1499" s="1"/>
      <c r="N1499" s="1"/>
      <c r="O1499" s="1"/>
      <c r="P1499" s="1"/>
      <c r="Q1499" s="1"/>
      <c r="R1499"/>
      <c r="S1499" s="1"/>
      <c r="T1499" s="24"/>
      <c r="U1499"/>
      <c r="V1499" s="1"/>
      <c r="W1499" s="24"/>
      <c r="X1499"/>
      <c r="Y1499" s="1"/>
      <c r="Z1499" s="24"/>
      <c r="AA1499"/>
      <c r="AB1499" s="1"/>
      <c r="AC1499" s="24"/>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c r="CA1499"/>
      <c r="CB1499"/>
      <c r="CC1499"/>
      <c r="CD1499"/>
      <c r="CE1499"/>
      <c r="CF1499"/>
      <c r="CG1499"/>
      <c r="CH1499"/>
      <c r="CI1499"/>
      <c r="CJ1499"/>
      <c r="CK1499"/>
      <c r="CL1499"/>
      <c r="CM1499"/>
      <c r="CN1499"/>
      <c r="CO1499"/>
      <c r="CP1499"/>
      <c r="CQ1499"/>
      <c r="CR1499"/>
      <c r="CS1499"/>
    </row>
    <row r="1500" spans="2:97">
      <c r="B1500"/>
      <c r="C1500" s="1"/>
      <c r="D1500" s="1"/>
      <c r="E1500" s="1"/>
      <c r="F1500" s="1"/>
      <c r="G1500" s="1"/>
      <c r="H1500" s="1"/>
      <c r="I1500" s="1"/>
      <c r="J1500" s="1"/>
      <c r="K1500" s="1"/>
      <c r="L1500" s="1"/>
      <c r="M1500" s="1"/>
      <c r="N1500" s="1"/>
      <c r="O1500" s="1"/>
      <c r="P1500" s="1"/>
      <c r="Q1500" s="1"/>
      <c r="R1500"/>
      <c r="S1500" s="1"/>
      <c r="T1500" s="24"/>
      <c r="U1500"/>
      <c r="V1500" s="1"/>
      <c r="W1500" s="24"/>
      <c r="X1500"/>
      <c r="Y1500" s="1"/>
      <c r="Z1500" s="24"/>
      <c r="AA1500"/>
      <c r="AB1500" s="1"/>
      <c r="AC1500" s="24"/>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c r="CA1500"/>
      <c r="CB1500"/>
      <c r="CC1500"/>
      <c r="CD1500"/>
      <c r="CE1500"/>
      <c r="CF1500"/>
      <c r="CG1500"/>
      <c r="CH1500"/>
      <c r="CI1500"/>
      <c r="CJ1500"/>
      <c r="CK1500"/>
      <c r="CL1500"/>
      <c r="CM1500"/>
      <c r="CN1500"/>
      <c r="CO1500"/>
      <c r="CP1500"/>
      <c r="CQ1500"/>
      <c r="CR1500"/>
      <c r="CS1500"/>
    </row>
    <row r="1501" spans="2:97">
      <c r="B1501"/>
      <c r="C1501" s="1"/>
      <c r="D1501" s="1"/>
      <c r="E1501" s="1"/>
      <c r="F1501" s="1"/>
      <c r="G1501" s="1"/>
      <c r="H1501" s="1"/>
      <c r="I1501" s="1"/>
      <c r="J1501" s="1"/>
      <c r="K1501" s="1"/>
      <c r="L1501" s="1"/>
      <c r="M1501" s="1"/>
      <c r="N1501" s="1"/>
      <c r="O1501" s="1"/>
      <c r="P1501" s="1"/>
      <c r="Q1501" s="1"/>
      <c r="R1501"/>
      <c r="S1501" s="1"/>
      <c r="T1501" s="24"/>
      <c r="U1501"/>
      <c r="V1501" s="1"/>
      <c r="W1501" s="24"/>
      <c r="X1501"/>
      <c r="Y1501" s="1"/>
      <c r="Z1501" s="24"/>
      <c r="AA1501"/>
      <c r="AB1501" s="1"/>
      <c r="AC1501" s="24"/>
      <c r="AD1501"/>
      <c r="AE1501"/>
      <c r="AF1501"/>
      <c r="AG1501"/>
      <c r="AH1501"/>
      <c r="AI1501"/>
      <c r="AJ1501"/>
      <c r="AK1501"/>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c r="CA1501"/>
      <c r="CB1501"/>
      <c r="CC1501"/>
      <c r="CD1501"/>
      <c r="CE1501"/>
      <c r="CF1501"/>
      <c r="CG1501"/>
      <c r="CH1501"/>
      <c r="CI1501"/>
      <c r="CJ1501"/>
      <c r="CK1501"/>
      <c r="CL1501"/>
      <c r="CM1501"/>
      <c r="CN1501"/>
      <c r="CO1501"/>
      <c r="CP1501"/>
      <c r="CQ1501"/>
      <c r="CR1501"/>
      <c r="CS1501"/>
    </row>
    <row r="1502" spans="2:97">
      <c r="B1502"/>
      <c r="C1502" s="1"/>
      <c r="D1502" s="1"/>
      <c r="E1502" s="1"/>
      <c r="F1502" s="1"/>
      <c r="G1502" s="1"/>
      <c r="H1502" s="1"/>
      <c r="I1502" s="1"/>
      <c r="J1502" s="1"/>
      <c r="K1502" s="1"/>
      <c r="L1502" s="1"/>
      <c r="M1502" s="1"/>
      <c r="N1502" s="1"/>
      <c r="O1502" s="1"/>
      <c r="P1502" s="1"/>
      <c r="Q1502" s="1"/>
      <c r="R1502"/>
      <c r="S1502" s="1"/>
      <c r="T1502" s="24"/>
      <c r="U1502"/>
      <c r="V1502" s="1"/>
      <c r="W1502" s="24"/>
      <c r="X1502"/>
      <c r="Y1502" s="1"/>
      <c r="Z1502" s="24"/>
      <c r="AA1502"/>
      <c r="AB1502" s="1"/>
      <c r="AC1502" s="24"/>
      <c r="AD1502"/>
      <c r="AE1502"/>
      <c r="AF1502"/>
      <c r="AG1502"/>
      <c r="AH1502"/>
      <c r="AI1502"/>
      <c r="AJ1502"/>
      <c r="AK1502"/>
      <c r="AL1502"/>
      <c r="AM1502"/>
      <c r="AN1502"/>
      <c r="AO1502"/>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c r="CA1502"/>
      <c r="CB1502"/>
      <c r="CC1502"/>
      <c r="CD1502"/>
      <c r="CE1502"/>
      <c r="CF1502"/>
      <c r="CG1502"/>
      <c r="CH1502"/>
      <c r="CI1502"/>
      <c r="CJ1502"/>
      <c r="CK1502"/>
      <c r="CL1502"/>
      <c r="CM1502"/>
      <c r="CN1502"/>
      <c r="CO1502"/>
      <c r="CP1502"/>
      <c r="CQ1502"/>
      <c r="CR1502"/>
      <c r="CS1502"/>
    </row>
    <row r="1503" spans="2:97">
      <c r="B1503"/>
      <c r="C1503" s="1"/>
      <c r="D1503" s="1"/>
      <c r="E1503" s="1"/>
      <c r="F1503" s="1"/>
      <c r="G1503" s="1"/>
      <c r="H1503" s="1"/>
      <c r="I1503" s="1"/>
      <c r="J1503" s="1"/>
      <c r="K1503" s="1"/>
      <c r="L1503" s="1"/>
      <c r="M1503" s="1"/>
      <c r="N1503" s="1"/>
      <c r="O1503" s="1"/>
      <c r="P1503" s="1"/>
      <c r="Q1503" s="1"/>
      <c r="R1503"/>
      <c r="S1503" s="1"/>
      <c r="T1503" s="24"/>
      <c r="U1503"/>
      <c r="V1503" s="1"/>
      <c r="W1503" s="24"/>
      <c r="X1503"/>
      <c r="Y1503" s="1"/>
      <c r="Z1503" s="24"/>
      <c r="AA1503"/>
      <c r="AB1503" s="1"/>
      <c r="AC1503" s="24"/>
      <c r="AD1503"/>
      <c r="AE1503"/>
      <c r="AF1503"/>
      <c r="AG1503"/>
      <c r="AH1503"/>
      <c r="AI1503"/>
      <c r="AJ1503"/>
      <c r="AK1503"/>
      <c r="AL1503"/>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c r="CA1503"/>
      <c r="CB1503"/>
      <c r="CC1503"/>
      <c r="CD1503"/>
      <c r="CE1503"/>
      <c r="CF1503"/>
      <c r="CG1503"/>
      <c r="CH1503"/>
      <c r="CI1503"/>
      <c r="CJ1503"/>
      <c r="CK1503"/>
      <c r="CL1503"/>
      <c r="CM1503"/>
      <c r="CN1503"/>
      <c r="CO1503"/>
      <c r="CP1503"/>
      <c r="CQ1503"/>
      <c r="CR1503"/>
      <c r="CS1503"/>
    </row>
    <row r="1504" spans="2:97">
      <c r="B1504"/>
      <c r="C1504" s="1"/>
      <c r="D1504" s="1"/>
      <c r="E1504" s="1"/>
      <c r="F1504" s="1"/>
      <c r="G1504" s="1"/>
      <c r="H1504" s="1"/>
      <c r="I1504" s="1"/>
      <c r="J1504" s="1"/>
      <c r="K1504" s="1"/>
      <c r="L1504" s="1"/>
      <c r="M1504" s="1"/>
      <c r="N1504" s="1"/>
      <c r="O1504" s="1"/>
      <c r="P1504" s="1"/>
      <c r="Q1504" s="1"/>
      <c r="R1504"/>
      <c r="S1504" s="1"/>
      <c r="T1504" s="24"/>
      <c r="U1504"/>
      <c r="V1504" s="1"/>
      <c r="W1504" s="24"/>
      <c r="X1504"/>
      <c r="Y1504" s="1"/>
      <c r="Z1504" s="24"/>
      <c r="AA1504"/>
      <c r="AB1504" s="1"/>
      <c r="AC1504" s="24"/>
      <c r="AD1504"/>
      <c r="AE1504"/>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c r="CA1504"/>
      <c r="CB1504"/>
      <c r="CC1504"/>
      <c r="CD1504"/>
      <c r="CE1504"/>
      <c r="CF1504"/>
      <c r="CG1504"/>
      <c r="CH1504"/>
      <c r="CI1504"/>
      <c r="CJ1504"/>
      <c r="CK1504"/>
      <c r="CL1504"/>
      <c r="CM1504"/>
      <c r="CN1504"/>
      <c r="CO1504"/>
      <c r="CP1504"/>
      <c r="CQ1504"/>
      <c r="CR1504"/>
      <c r="CS1504"/>
    </row>
    <row r="1505" spans="2:97">
      <c r="B1505"/>
      <c r="C1505" s="1"/>
      <c r="D1505" s="1"/>
      <c r="E1505" s="1"/>
      <c r="F1505" s="1"/>
      <c r="G1505" s="1"/>
      <c r="H1505" s="1"/>
      <c r="I1505" s="1"/>
      <c r="J1505" s="1"/>
      <c r="K1505" s="1"/>
      <c r="L1505" s="1"/>
      <c r="M1505" s="1"/>
      <c r="N1505" s="1"/>
      <c r="O1505" s="1"/>
      <c r="P1505" s="1"/>
      <c r="Q1505" s="1"/>
      <c r="R1505"/>
      <c r="S1505" s="1"/>
      <c r="T1505" s="24"/>
      <c r="U1505"/>
      <c r="V1505" s="1"/>
      <c r="W1505" s="24"/>
      <c r="X1505"/>
      <c r="Y1505" s="1"/>
      <c r="Z1505" s="24"/>
      <c r="AA1505"/>
      <c r="AB1505" s="1"/>
      <c r="AC1505" s="24"/>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c r="CA1505"/>
      <c r="CB1505"/>
      <c r="CC1505"/>
      <c r="CD1505"/>
      <c r="CE1505"/>
      <c r="CF1505"/>
      <c r="CG1505"/>
      <c r="CH1505"/>
      <c r="CI1505"/>
      <c r="CJ1505"/>
      <c r="CK1505"/>
      <c r="CL1505"/>
      <c r="CM1505"/>
      <c r="CN1505"/>
      <c r="CO1505"/>
      <c r="CP1505"/>
      <c r="CQ1505"/>
      <c r="CR1505"/>
      <c r="CS1505"/>
    </row>
    <row r="1506" spans="2:97">
      <c r="B1506"/>
      <c r="C1506" s="1"/>
      <c r="D1506" s="1"/>
      <c r="E1506" s="1"/>
      <c r="F1506" s="1"/>
      <c r="G1506" s="1"/>
      <c r="H1506" s="1"/>
      <c r="I1506" s="1"/>
      <c r="J1506" s="1"/>
      <c r="K1506" s="1"/>
      <c r="L1506" s="1"/>
      <c r="M1506" s="1"/>
      <c r="N1506" s="1"/>
      <c r="O1506" s="1"/>
      <c r="P1506" s="1"/>
      <c r="Q1506" s="1"/>
      <c r="R1506"/>
      <c r="S1506" s="1"/>
      <c r="T1506" s="24"/>
      <c r="U1506"/>
      <c r="V1506" s="1"/>
      <c r="W1506" s="24"/>
      <c r="X1506"/>
      <c r="Y1506" s="1"/>
      <c r="Z1506" s="24"/>
      <c r="AA1506"/>
      <c r="AB1506" s="1"/>
      <c r="AC1506" s="24"/>
      <c r="AD1506"/>
      <c r="AE1506"/>
      <c r="AF1506"/>
      <c r="AG1506"/>
      <c r="AH1506"/>
      <c r="AI1506"/>
      <c r="AJ1506"/>
      <c r="AK1506"/>
      <c r="AL1506"/>
      <c r="AM1506"/>
      <c r="AN1506"/>
      <c r="AO1506"/>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c r="CA1506"/>
      <c r="CB1506"/>
      <c r="CC1506"/>
      <c r="CD1506"/>
      <c r="CE1506"/>
      <c r="CF1506"/>
      <c r="CG1506"/>
      <c r="CH1506"/>
      <c r="CI1506"/>
      <c r="CJ1506"/>
      <c r="CK1506"/>
      <c r="CL1506"/>
      <c r="CM1506"/>
      <c r="CN1506"/>
      <c r="CO1506"/>
      <c r="CP1506"/>
      <c r="CQ1506"/>
      <c r="CR1506"/>
      <c r="CS1506"/>
    </row>
    <row r="1507" spans="2:97">
      <c r="B1507"/>
      <c r="C1507" s="1"/>
      <c r="D1507" s="1"/>
      <c r="E1507" s="1"/>
      <c r="F1507" s="1"/>
      <c r="G1507" s="1"/>
      <c r="H1507" s="1"/>
      <c r="I1507" s="1"/>
      <c r="J1507" s="1"/>
      <c r="K1507" s="1"/>
      <c r="L1507" s="1"/>
      <c r="M1507" s="1"/>
      <c r="N1507" s="1"/>
      <c r="O1507" s="1"/>
      <c r="P1507" s="1"/>
      <c r="Q1507" s="1"/>
      <c r="R1507"/>
      <c r="S1507" s="1"/>
      <c r="T1507" s="24"/>
      <c r="U1507"/>
      <c r="V1507" s="1"/>
      <c r="W1507" s="24"/>
      <c r="X1507"/>
      <c r="Y1507" s="1"/>
      <c r="Z1507" s="24"/>
      <c r="AA1507"/>
      <c r="AB1507" s="1"/>
      <c r="AC1507" s="24"/>
      <c r="AD1507"/>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c r="CA1507"/>
      <c r="CB1507"/>
      <c r="CC1507"/>
      <c r="CD1507"/>
      <c r="CE1507"/>
      <c r="CF1507"/>
      <c r="CG1507"/>
      <c r="CH1507"/>
      <c r="CI1507"/>
      <c r="CJ1507"/>
      <c r="CK1507"/>
      <c r="CL1507"/>
      <c r="CM1507"/>
      <c r="CN1507"/>
      <c r="CO1507"/>
      <c r="CP1507"/>
      <c r="CQ1507"/>
      <c r="CR1507"/>
      <c r="CS1507"/>
    </row>
    <row r="1508" spans="2:97">
      <c r="B1508"/>
      <c r="C1508" s="1"/>
      <c r="D1508" s="1"/>
      <c r="E1508" s="1"/>
      <c r="F1508" s="1"/>
      <c r="G1508" s="1"/>
      <c r="H1508" s="1"/>
      <c r="I1508" s="1"/>
      <c r="J1508" s="1"/>
      <c r="K1508" s="1"/>
      <c r="L1508" s="1"/>
      <c r="M1508" s="1"/>
      <c r="N1508" s="1"/>
      <c r="O1508" s="1"/>
      <c r="P1508" s="1"/>
      <c r="Q1508" s="1"/>
      <c r="R1508"/>
      <c r="S1508" s="1"/>
      <c r="T1508" s="24"/>
      <c r="U1508"/>
      <c r="V1508" s="1"/>
      <c r="W1508" s="24"/>
      <c r="X1508"/>
      <c r="Y1508" s="1"/>
      <c r="Z1508" s="24"/>
      <c r="AA1508"/>
      <c r="AB1508" s="1"/>
      <c r="AC1508" s="24"/>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c r="CA1508"/>
      <c r="CB1508"/>
      <c r="CC1508"/>
      <c r="CD1508"/>
      <c r="CE1508"/>
      <c r="CF1508"/>
      <c r="CG1508"/>
      <c r="CH1508"/>
      <c r="CI1508"/>
      <c r="CJ1508"/>
      <c r="CK1508"/>
      <c r="CL1508"/>
      <c r="CM1508"/>
      <c r="CN1508"/>
      <c r="CO1508"/>
      <c r="CP1508"/>
      <c r="CQ1508"/>
      <c r="CR1508"/>
      <c r="CS1508"/>
    </row>
    <row r="1509" spans="2:97">
      <c r="B1509"/>
      <c r="C1509" s="1"/>
      <c r="D1509" s="1"/>
      <c r="E1509" s="1"/>
      <c r="F1509" s="1"/>
      <c r="G1509" s="1"/>
      <c r="H1509" s="1"/>
      <c r="I1509" s="1"/>
      <c r="J1509" s="1"/>
      <c r="K1509" s="1"/>
      <c r="L1509" s="1"/>
      <c r="M1509" s="1"/>
      <c r="N1509" s="1"/>
      <c r="O1509" s="1"/>
      <c r="P1509" s="1"/>
      <c r="Q1509" s="1"/>
      <c r="R1509"/>
      <c r="S1509" s="1"/>
      <c r="T1509" s="24"/>
      <c r="U1509"/>
      <c r="V1509" s="1"/>
      <c r="W1509" s="24"/>
      <c r="X1509"/>
      <c r="Y1509" s="1"/>
      <c r="Z1509" s="24"/>
      <c r="AA1509"/>
      <c r="AB1509" s="1"/>
      <c r="AC1509" s="24"/>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c r="CA1509"/>
      <c r="CB1509"/>
      <c r="CC1509"/>
      <c r="CD1509"/>
      <c r="CE1509"/>
      <c r="CF1509"/>
      <c r="CG1509"/>
      <c r="CH1509"/>
      <c r="CI1509"/>
      <c r="CJ1509"/>
      <c r="CK1509"/>
      <c r="CL1509"/>
      <c r="CM1509"/>
      <c r="CN1509"/>
      <c r="CO1509"/>
      <c r="CP1509"/>
      <c r="CQ1509"/>
      <c r="CR1509"/>
      <c r="CS1509"/>
    </row>
    <row r="1510" spans="2:97">
      <c r="B1510"/>
      <c r="C1510" s="1"/>
      <c r="D1510" s="1"/>
      <c r="E1510" s="1"/>
      <c r="F1510" s="1"/>
      <c r="G1510" s="1"/>
      <c r="H1510" s="1"/>
      <c r="I1510" s="1"/>
      <c r="J1510" s="1"/>
      <c r="K1510" s="1"/>
      <c r="L1510" s="1"/>
      <c r="M1510" s="1"/>
      <c r="N1510" s="1"/>
      <c r="O1510" s="1"/>
      <c r="P1510" s="1"/>
      <c r="Q1510" s="1"/>
      <c r="R1510"/>
      <c r="S1510" s="1"/>
      <c r="T1510" s="24"/>
      <c r="U1510"/>
      <c r="V1510" s="1"/>
      <c r="W1510" s="24"/>
      <c r="X1510"/>
      <c r="Y1510" s="1"/>
      <c r="Z1510" s="24"/>
      <c r="AA1510"/>
      <c r="AB1510" s="1"/>
      <c r="AC1510" s="24"/>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c r="CA1510"/>
      <c r="CB1510"/>
      <c r="CC1510"/>
      <c r="CD1510"/>
      <c r="CE1510"/>
      <c r="CF1510"/>
      <c r="CG1510"/>
      <c r="CH1510"/>
      <c r="CI1510"/>
      <c r="CJ1510"/>
      <c r="CK1510"/>
      <c r="CL1510"/>
      <c r="CM1510"/>
      <c r="CN1510"/>
      <c r="CO1510"/>
      <c r="CP1510"/>
      <c r="CQ1510"/>
      <c r="CR1510"/>
      <c r="CS1510"/>
    </row>
    <row r="1511" spans="2:97">
      <c r="B1511"/>
      <c r="C1511" s="1"/>
      <c r="D1511" s="1"/>
      <c r="E1511" s="1"/>
      <c r="F1511" s="1"/>
      <c r="G1511" s="1"/>
      <c r="H1511" s="1"/>
      <c r="I1511" s="1"/>
      <c r="J1511" s="1"/>
      <c r="K1511" s="1"/>
      <c r="L1511" s="1"/>
      <c r="M1511" s="1"/>
      <c r="N1511" s="1"/>
      <c r="O1511" s="1"/>
      <c r="P1511" s="1"/>
      <c r="Q1511" s="1"/>
      <c r="R1511"/>
      <c r="S1511" s="1"/>
      <c r="T1511" s="24"/>
      <c r="U1511"/>
      <c r="V1511" s="1"/>
      <c r="W1511" s="24"/>
      <c r="X1511"/>
      <c r="Y1511" s="1"/>
      <c r="Z1511" s="24"/>
      <c r="AA1511"/>
      <c r="AB1511" s="1"/>
      <c r="AC1511" s="24"/>
      <c r="AD1511"/>
      <c r="AE1511"/>
      <c r="AF1511"/>
      <c r="AG1511"/>
      <c r="AH1511"/>
      <c r="AI1511"/>
      <c r="AJ1511"/>
      <c r="AK1511"/>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c r="CA1511"/>
      <c r="CB1511"/>
      <c r="CC1511"/>
      <c r="CD1511"/>
      <c r="CE1511"/>
      <c r="CF1511"/>
      <c r="CG1511"/>
      <c r="CH1511"/>
      <c r="CI1511"/>
      <c r="CJ1511"/>
      <c r="CK1511"/>
      <c r="CL1511"/>
      <c r="CM1511"/>
      <c r="CN1511"/>
      <c r="CO1511"/>
      <c r="CP1511"/>
      <c r="CQ1511"/>
      <c r="CR1511"/>
      <c r="CS1511"/>
    </row>
    <row r="1512" spans="2:97">
      <c r="B1512"/>
      <c r="C1512" s="1"/>
      <c r="D1512" s="1"/>
      <c r="E1512" s="1"/>
      <c r="F1512" s="1"/>
      <c r="G1512" s="1"/>
      <c r="H1512" s="1"/>
      <c r="I1512" s="1"/>
      <c r="J1512" s="1"/>
      <c r="K1512" s="1"/>
      <c r="L1512" s="1"/>
      <c r="M1512" s="1"/>
      <c r="N1512" s="1"/>
      <c r="O1512" s="1"/>
      <c r="P1512" s="1"/>
      <c r="Q1512" s="1"/>
      <c r="R1512"/>
      <c r="S1512" s="1"/>
      <c r="T1512" s="24"/>
      <c r="U1512"/>
      <c r="V1512" s="1"/>
      <c r="W1512" s="24"/>
      <c r="X1512"/>
      <c r="Y1512" s="1"/>
      <c r="Z1512" s="24"/>
      <c r="AA1512"/>
      <c r="AB1512" s="1"/>
      <c r="AC1512" s="24"/>
      <c r="AD1512"/>
      <c r="AE1512"/>
      <c r="AF1512"/>
      <c r="AG1512"/>
      <c r="AH1512"/>
      <c r="AI1512"/>
      <c r="AJ1512"/>
      <c r="AK1512"/>
      <c r="AL1512"/>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c r="CA1512"/>
      <c r="CB1512"/>
      <c r="CC1512"/>
      <c r="CD1512"/>
      <c r="CE1512"/>
      <c r="CF1512"/>
      <c r="CG1512"/>
      <c r="CH1512"/>
      <c r="CI1512"/>
      <c r="CJ1512"/>
      <c r="CK1512"/>
      <c r="CL1512"/>
      <c r="CM1512"/>
      <c r="CN1512"/>
      <c r="CO1512"/>
      <c r="CP1512"/>
      <c r="CQ1512"/>
      <c r="CR1512"/>
      <c r="CS1512"/>
    </row>
    <row r="1513" spans="2:97">
      <c r="B1513"/>
      <c r="C1513" s="1"/>
      <c r="D1513" s="1"/>
      <c r="E1513" s="1"/>
      <c r="F1513" s="1"/>
      <c r="G1513" s="1"/>
      <c r="H1513" s="1"/>
      <c r="I1513" s="1"/>
      <c r="J1513" s="1"/>
      <c r="K1513" s="1"/>
      <c r="L1513" s="1"/>
      <c r="M1513" s="1"/>
      <c r="N1513" s="1"/>
      <c r="O1513" s="1"/>
      <c r="P1513" s="1"/>
      <c r="Q1513" s="1"/>
      <c r="R1513"/>
      <c r="S1513" s="1"/>
      <c r="T1513" s="24"/>
      <c r="U1513"/>
      <c r="V1513" s="1"/>
      <c r="W1513" s="24"/>
      <c r="X1513"/>
      <c r="Y1513" s="1"/>
      <c r="Z1513" s="24"/>
      <c r="AA1513"/>
      <c r="AB1513" s="1"/>
      <c r="AC1513" s="24"/>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c r="CK1513"/>
      <c r="CL1513"/>
      <c r="CM1513"/>
      <c r="CN1513"/>
      <c r="CO1513"/>
      <c r="CP1513"/>
      <c r="CQ1513"/>
      <c r="CR1513"/>
      <c r="CS1513"/>
    </row>
    <row r="1514" spans="2:97">
      <c r="B1514"/>
      <c r="C1514" s="1"/>
      <c r="D1514" s="1"/>
      <c r="E1514" s="1"/>
      <c r="F1514" s="1"/>
      <c r="G1514" s="1"/>
      <c r="H1514" s="1"/>
      <c r="I1514" s="1"/>
      <c r="J1514" s="1"/>
      <c r="K1514" s="1"/>
      <c r="L1514" s="1"/>
      <c r="M1514" s="1"/>
      <c r="N1514" s="1"/>
      <c r="O1514" s="1"/>
      <c r="P1514" s="1"/>
      <c r="Q1514" s="1"/>
      <c r="R1514"/>
      <c r="S1514" s="1"/>
      <c r="T1514" s="24"/>
      <c r="U1514"/>
      <c r="V1514" s="1"/>
      <c r="W1514" s="24"/>
      <c r="X1514"/>
      <c r="Y1514" s="1"/>
      <c r="Z1514" s="24"/>
      <c r="AA1514"/>
      <c r="AB1514" s="1"/>
      <c r="AC1514" s="2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c r="CA1514"/>
      <c r="CB1514"/>
      <c r="CC1514"/>
      <c r="CD1514"/>
      <c r="CE1514"/>
      <c r="CF1514"/>
      <c r="CG1514"/>
      <c r="CH1514"/>
      <c r="CI1514"/>
      <c r="CJ1514"/>
      <c r="CK1514"/>
      <c r="CL1514"/>
      <c r="CM1514"/>
      <c r="CN1514"/>
      <c r="CO1514"/>
      <c r="CP1514"/>
      <c r="CQ1514"/>
      <c r="CR1514"/>
      <c r="CS1514"/>
    </row>
    <row r="1515" spans="2:97">
      <c r="B1515"/>
      <c r="C1515" s="1"/>
      <c r="D1515" s="1"/>
      <c r="E1515" s="1"/>
      <c r="F1515" s="1"/>
      <c r="G1515" s="1"/>
      <c r="H1515" s="1"/>
      <c r="I1515" s="1"/>
      <c r="J1515" s="1"/>
      <c r="K1515" s="1"/>
      <c r="L1515" s="1"/>
      <c r="M1515" s="1"/>
      <c r="N1515" s="1"/>
      <c r="O1515" s="1"/>
      <c r="P1515" s="1"/>
      <c r="Q1515" s="1"/>
      <c r="R1515"/>
      <c r="S1515" s="1"/>
      <c r="T1515" s="24"/>
      <c r="U1515"/>
      <c r="V1515" s="1"/>
      <c r="W1515" s="24"/>
      <c r="X1515"/>
      <c r="Y1515" s="1"/>
      <c r="Z1515" s="24"/>
      <c r="AA1515"/>
      <c r="AB1515" s="1"/>
      <c r="AC1515" s="24"/>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c r="CA1515"/>
      <c r="CB1515"/>
      <c r="CC1515"/>
      <c r="CD1515"/>
      <c r="CE1515"/>
      <c r="CF1515"/>
      <c r="CG1515"/>
      <c r="CH1515"/>
      <c r="CI1515"/>
      <c r="CJ1515"/>
      <c r="CK1515"/>
      <c r="CL1515"/>
      <c r="CM1515"/>
      <c r="CN1515"/>
      <c r="CO1515"/>
      <c r="CP1515"/>
      <c r="CQ1515"/>
      <c r="CR1515"/>
      <c r="CS1515"/>
    </row>
    <row r="1516" spans="2:97">
      <c r="B1516"/>
      <c r="C1516" s="1"/>
      <c r="D1516" s="1"/>
      <c r="E1516" s="1"/>
      <c r="F1516" s="1"/>
      <c r="G1516" s="1"/>
      <c r="H1516" s="1"/>
      <c r="I1516" s="1"/>
      <c r="J1516" s="1"/>
      <c r="K1516" s="1"/>
      <c r="L1516" s="1"/>
      <c r="M1516" s="1"/>
      <c r="N1516" s="1"/>
      <c r="O1516" s="1"/>
      <c r="P1516" s="1"/>
      <c r="Q1516" s="1"/>
      <c r="R1516"/>
      <c r="S1516" s="1"/>
      <c r="T1516" s="24"/>
      <c r="U1516"/>
      <c r="V1516" s="1"/>
      <c r="W1516" s="24"/>
      <c r="X1516"/>
      <c r="Y1516" s="1"/>
      <c r="Z1516" s="24"/>
      <c r="AA1516"/>
      <c r="AB1516" s="1"/>
      <c r="AC1516" s="24"/>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c r="CA1516"/>
      <c r="CB1516"/>
      <c r="CC1516"/>
      <c r="CD1516"/>
      <c r="CE1516"/>
      <c r="CF1516"/>
      <c r="CG1516"/>
      <c r="CH1516"/>
      <c r="CI1516"/>
      <c r="CJ1516"/>
      <c r="CK1516"/>
      <c r="CL1516"/>
      <c r="CM1516"/>
      <c r="CN1516"/>
      <c r="CO1516"/>
      <c r="CP1516"/>
      <c r="CQ1516"/>
      <c r="CR1516"/>
      <c r="CS1516"/>
    </row>
    <row r="1517" spans="2:97">
      <c r="B1517"/>
      <c r="C1517" s="1"/>
      <c r="D1517" s="1"/>
      <c r="E1517" s="1"/>
      <c r="F1517" s="1"/>
      <c r="G1517" s="1"/>
      <c r="H1517" s="1"/>
      <c r="I1517" s="1"/>
      <c r="J1517" s="1"/>
      <c r="K1517" s="1"/>
      <c r="L1517" s="1"/>
      <c r="M1517" s="1"/>
      <c r="N1517" s="1"/>
      <c r="O1517" s="1"/>
      <c r="P1517" s="1"/>
      <c r="Q1517" s="1"/>
      <c r="R1517"/>
      <c r="S1517" s="1"/>
      <c r="T1517" s="24"/>
      <c r="U1517"/>
      <c r="V1517" s="1"/>
      <c r="W1517" s="24"/>
      <c r="X1517"/>
      <c r="Y1517" s="1"/>
      <c r="Z1517" s="24"/>
      <c r="AA1517"/>
      <c r="AB1517" s="1"/>
      <c r="AC1517" s="24"/>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c r="CA1517"/>
      <c r="CB1517"/>
      <c r="CC1517"/>
      <c r="CD1517"/>
      <c r="CE1517"/>
      <c r="CF1517"/>
      <c r="CG1517"/>
      <c r="CH1517"/>
      <c r="CI1517"/>
      <c r="CJ1517"/>
      <c r="CK1517"/>
      <c r="CL1517"/>
      <c r="CM1517"/>
      <c r="CN1517"/>
      <c r="CO1517"/>
      <c r="CP1517"/>
      <c r="CQ1517"/>
      <c r="CR1517"/>
      <c r="CS1517"/>
    </row>
    <row r="1518" spans="2:97">
      <c r="B1518"/>
      <c r="C1518" s="1"/>
      <c r="D1518" s="1"/>
      <c r="E1518" s="1"/>
      <c r="F1518" s="1"/>
      <c r="G1518" s="1"/>
      <c r="H1518" s="1"/>
      <c r="I1518" s="1"/>
      <c r="J1518" s="1"/>
      <c r="K1518" s="1"/>
      <c r="L1518" s="1"/>
      <c r="M1518" s="1"/>
      <c r="N1518" s="1"/>
      <c r="O1518" s="1"/>
      <c r="P1518" s="1"/>
      <c r="Q1518" s="1"/>
      <c r="R1518"/>
      <c r="S1518" s="1"/>
      <c r="T1518" s="24"/>
      <c r="U1518"/>
      <c r="V1518" s="1"/>
      <c r="W1518" s="24"/>
      <c r="X1518"/>
      <c r="Y1518" s="1"/>
      <c r="Z1518" s="24"/>
      <c r="AA1518"/>
      <c r="AB1518" s="1"/>
      <c r="AC1518" s="24"/>
      <c r="AD1518"/>
      <c r="AE1518"/>
      <c r="AF1518"/>
      <c r="AG1518"/>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c r="BR1518"/>
      <c r="BS1518"/>
      <c r="BT1518"/>
      <c r="BU1518"/>
      <c r="BV1518"/>
      <c r="BW1518"/>
      <c r="BX1518"/>
      <c r="BY1518"/>
      <c r="BZ1518"/>
      <c r="CA1518"/>
      <c r="CB1518"/>
      <c r="CC1518"/>
      <c r="CD1518"/>
      <c r="CE1518"/>
      <c r="CF1518"/>
      <c r="CG1518"/>
      <c r="CH1518"/>
      <c r="CI1518"/>
      <c r="CJ1518"/>
      <c r="CK1518"/>
      <c r="CL1518"/>
      <c r="CM1518"/>
      <c r="CN1518"/>
      <c r="CO1518"/>
      <c r="CP1518"/>
      <c r="CQ1518"/>
      <c r="CR1518"/>
      <c r="CS1518"/>
    </row>
    <row r="1519" spans="2:97">
      <c r="B1519"/>
      <c r="C1519" s="1"/>
      <c r="D1519" s="1"/>
      <c r="E1519" s="1"/>
      <c r="F1519" s="1"/>
      <c r="G1519" s="1"/>
      <c r="H1519" s="1"/>
      <c r="I1519" s="1"/>
      <c r="J1519" s="1"/>
      <c r="K1519" s="1"/>
      <c r="L1519" s="1"/>
      <c r="M1519" s="1"/>
      <c r="N1519" s="1"/>
      <c r="O1519" s="1"/>
      <c r="P1519" s="1"/>
      <c r="Q1519" s="1"/>
      <c r="R1519"/>
      <c r="S1519" s="1"/>
      <c r="T1519" s="24"/>
      <c r="U1519"/>
      <c r="V1519" s="1"/>
      <c r="W1519" s="24"/>
      <c r="X1519"/>
      <c r="Y1519" s="1"/>
      <c r="Z1519" s="24"/>
      <c r="AA1519"/>
      <c r="AB1519" s="1"/>
      <c r="AC1519" s="24"/>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c r="CA1519"/>
      <c r="CB1519"/>
      <c r="CC1519"/>
      <c r="CD1519"/>
      <c r="CE1519"/>
      <c r="CF1519"/>
      <c r="CG1519"/>
      <c r="CH1519"/>
      <c r="CI1519"/>
      <c r="CJ1519"/>
      <c r="CK1519"/>
      <c r="CL1519"/>
      <c r="CM1519"/>
      <c r="CN1519"/>
      <c r="CO1519"/>
      <c r="CP1519"/>
      <c r="CQ1519"/>
      <c r="CR1519"/>
      <c r="CS1519"/>
    </row>
    <row r="1520" spans="2:97">
      <c r="B1520"/>
      <c r="C1520" s="1"/>
      <c r="D1520" s="1"/>
      <c r="E1520" s="1"/>
      <c r="F1520" s="1"/>
      <c r="G1520" s="1"/>
      <c r="H1520" s="1"/>
      <c r="I1520" s="1"/>
      <c r="J1520" s="1"/>
      <c r="K1520" s="1"/>
      <c r="L1520" s="1"/>
      <c r="M1520" s="1"/>
      <c r="N1520" s="1"/>
      <c r="O1520" s="1"/>
      <c r="P1520" s="1"/>
      <c r="Q1520" s="1"/>
      <c r="R1520"/>
      <c r="S1520" s="1"/>
      <c r="T1520" s="24"/>
      <c r="U1520"/>
      <c r="V1520" s="1"/>
      <c r="W1520" s="24"/>
      <c r="X1520"/>
      <c r="Y1520" s="1"/>
      <c r="Z1520" s="24"/>
      <c r="AA1520"/>
      <c r="AB1520" s="1"/>
      <c r="AC1520" s="24"/>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c r="CA1520"/>
      <c r="CB1520"/>
      <c r="CC1520"/>
      <c r="CD1520"/>
      <c r="CE1520"/>
      <c r="CF1520"/>
      <c r="CG1520"/>
      <c r="CH1520"/>
      <c r="CI1520"/>
      <c r="CJ1520"/>
      <c r="CK1520"/>
      <c r="CL1520"/>
      <c r="CM1520"/>
      <c r="CN1520"/>
      <c r="CO1520"/>
      <c r="CP1520"/>
      <c r="CQ1520"/>
      <c r="CR1520"/>
      <c r="CS1520"/>
    </row>
    <row r="1521" spans="2:97">
      <c r="B1521"/>
      <c r="C1521" s="1"/>
      <c r="D1521" s="1"/>
      <c r="E1521" s="1"/>
      <c r="F1521" s="1"/>
      <c r="G1521" s="1"/>
      <c r="H1521" s="1"/>
      <c r="I1521" s="1"/>
      <c r="J1521" s="1"/>
      <c r="K1521" s="1"/>
      <c r="L1521" s="1"/>
      <c r="M1521" s="1"/>
      <c r="N1521" s="1"/>
      <c r="O1521" s="1"/>
      <c r="P1521" s="1"/>
      <c r="Q1521" s="1"/>
      <c r="R1521"/>
      <c r="S1521" s="1"/>
      <c r="T1521" s="24"/>
      <c r="U1521"/>
      <c r="V1521" s="1"/>
      <c r="W1521" s="24"/>
      <c r="X1521"/>
      <c r="Y1521" s="1"/>
      <c r="Z1521" s="24"/>
      <c r="AA1521"/>
      <c r="AB1521" s="1"/>
      <c r="AC1521" s="24"/>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c r="CA1521"/>
      <c r="CB1521"/>
      <c r="CC1521"/>
      <c r="CD1521"/>
      <c r="CE1521"/>
      <c r="CF1521"/>
      <c r="CG1521"/>
      <c r="CH1521"/>
      <c r="CI1521"/>
      <c r="CJ1521"/>
      <c r="CK1521"/>
      <c r="CL1521"/>
      <c r="CM1521"/>
      <c r="CN1521"/>
      <c r="CO1521"/>
      <c r="CP1521"/>
      <c r="CQ1521"/>
      <c r="CR1521"/>
      <c r="CS1521"/>
    </row>
    <row r="1522" spans="2:97">
      <c r="B1522"/>
      <c r="C1522" s="1"/>
      <c r="D1522" s="1"/>
      <c r="E1522" s="1"/>
      <c r="F1522" s="1"/>
      <c r="G1522" s="1"/>
      <c r="H1522" s="1"/>
      <c r="I1522" s="1"/>
      <c r="J1522" s="1"/>
      <c r="K1522" s="1"/>
      <c r="L1522" s="1"/>
      <c r="M1522" s="1"/>
      <c r="N1522" s="1"/>
      <c r="O1522" s="1"/>
      <c r="P1522" s="1"/>
      <c r="Q1522" s="1"/>
      <c r="R1522"/>
      <c r="S1522" s="1"/>
      <c r="T1522" s="24"/>
      <c r="U1522"/>
      <c r="V1522" s="1"/>
      <c r="W1522" s="24"/>
      <c r="X1522"/>
      <c r="Y1522" s="1"/>
      <c r="Z1522" s="24"/>
      <c r="AA1522"/>
      <c r="AB1522" s="1"/>
      <c r="AC1522" s="24"/>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c r="CA1522"/>
      <c r="CB1522"/>
      <c r="CC1522"/>
      <c r="CD1522"/>
      <c r="CE1522"/>
      <c r="CF1522"/>
      <c r="CG1522"/>
      <c r="CH1522"/>
      <c r="CI1522"/>
      <c r="CJ1522"/>
      <c r="CK1522"/>
      <c r="CL1522"/>
      <c r="CM1522"/>
      <c r="CN1522"/>
      <c r="CO1522"/>
      <c r="CP1522"/>
      <c r="CQ1522"/>
      <c r="CR1522"/>
      <c r="CS1522"/>
    </row>
    <row r="1523" spans="2:97">
      <c r="B1523"/>
      <c r="C1523" s="1"/>
      <c r="D1523" s="1"/>
      <c r="E1523" s="1"/>
      <c r="F1523" s="1"/>
      <c r="G1523" s="1"/>
      <c r="H1523" s="1"/>
      <c r="I1523" s="1"/>
      <c r="J1523" s="1"/>
      <c r="K1523" s="1"/>
      <c r="L1523" s="1"/>
      <c r="M1523" s="1"/>
      <c r="N1523" s="1"/>
      <c r="O1523" s="1"/>
      <c r="P1523" s="1"/>
      <c r="Q1523" s="1"/>
      <c r="R1523"/>
      <c r="S1523" s="1"/>
      <c r="T1523" s="24"/>
      <c r="U1523"/>
      <c r="V1523" s="1"/>
      <c r="W1523" s="24"/>
      <c r="X1523"/>
      <c r="Y1523" s="1"/>
      <c r="Z1523" s="24"/>
      <c r="AA1523"/>
      <c r="AB1523" s="1"/>
      <c r="AC1523" s="24"/>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c r="CA1523"/>
      <c r="CB1523"/>
      <c r="CC1523"/>
      <c r="CD1523"/>
      <c r="CE1523"/>
      <c r="CF1523"/>
      <c r="CG1523"/>
      <c r="CH1523"/>
      <c r="CI1523"/>
      <c r="CJ1523"/>
      <c r="CK1523"/>
      <c r="CL1523"/>
      <c r="CM1523"/>
      <c r="CN1523"/>
      <c r="CO1523"/>
      <c r="CP1523"/>
      <c r="CQ1523"/>
      <c r="CR1523"/>
      <c r="CS1523"/>
    </row>
    <row r="1524" spans="2:97">
      <c r="B1524"/>
      <c r="C1524" s="1"/>
      <c r="D1524" s="1"/>
      <c r="E1524" s="1"/>
      <c r="F1524" s="1"/>
      <c r="G1524" s="1"/>
      <c r="H1524" s="1"/>
      <c r="I1524" s="1"/>
      <c r="J1524" s="1"/>
      <c r="K1524" s="1"/>
      <c r="L1524" s="1"/>
      <c r="M1524" s="1"/>
      <c r="N1524" s="1"/>
      <c r="O1524" s="1"/>
      <c r="P1524" s="1"/>
      <c r="Q1524" s="1"/>
      <c r="R1524"/>
      <c r="S1524" s="1"/>
      <c r="T1524" s="24"/>
      <c r="U1524"/>
      <c r="V1524" s="1"/>
      <c r="W1524" s="24"/>
      <c r="X1524"/>
      <c r="Y1524" s="1"/>
      <c r="Z1524" s="24"/>
      <c r="AA1524"/>
      <c r="AB1524" s="1"/>
      <c r="AC1524" s="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c r="CA1524"/>
      <c r="CB1524"/>
      <c r="CC1524"/>
      <c r="CD1524"/>
      <c r="CE1524"/>
      <c r="CF1524"/>
      <c r="CG1524"/>
      <c r="CH1524"/>
      <c r="CI1524"/>
      <c r="CJ1524"/>
      <c r="CK1524"/>
      <c r="CL1524"/>
      <c r="CM1524"/>
      <c r="CN1524"/>
      <c r="CO1524"/>
      <c r="CP1524"/>
      <c r="CQ1524"/>
      <c r="CR1524"/>
      <c r="CS1524"/>
    </row>
    <row r="1525" spans="2:97">
      <c r="B1525"/>
      <c r="C1525" s="1"/>
      <c r="D1525" s="1"/>
      <c r="E1525" s="1"/>
      <c r="F1525" s="1"/>
      <c r="G1525" s="1"/>
      <c r="H1525" s="1"/>
      <c r="I1525" s="1"/>
      <c r="J1525" s="1"/>
      <c r="K1525" s="1"/>
      <c r="L1525" s="1"/>
      <c r="M1525" s="1"/>
      <c r="N1525" s="1"/>
      <c r="O1525" s="1"/>
      <c r="P1525" s="1"/>
      <c r="Q1525" s="1"/>
      <c r="R1525"/>
      <c r="S1525" s="1"/>
      <c r="T1525" s="24"/>
      <c r="U1525"/>
      <c r="V1525" s="1"/>
      <c r="W1525" s="24"/>
      <c r="X1525"/>
      <c r="Y1525" s="1"/>
      <c r="Z1525" s="24"/>
      <c r="AA1525"/>
      <c r="AB1525" s="1"/>
      <c r="AC1525" s="24"/>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c r="CA1525"/>
      <c r="CB1525"/>
      <c r="CC1525"/>
      <c r="CD1525"/>
      <c r="CE1525"/>
      <c r="CF1525"/>
      <c r="CG1525"/>
      <c r="CH1525"/>
      <c r="CI1525"/>
      <c r="CJ1525"/>
      <c r="CK1525"/>
      <c r="CL1525"/>
      <c r="CM1525"/>
      <c r="CN1525"/>
      <c r="CO1525"/>
      <c r="CP1525"/>
      <c r="CQ1525"/>
      <c r="CR1525"/>
      <c r="CS1525"/>
    </row>
    <row r="1526" spans="2:97">
      <c r="B1526"/>
      <c r="C1526" s="1"/>
      <c r="D1526" s="1"/>
      <c r="E1526" s="1"/>
      <c r="F1526" s="1"/>
      <c r="G1526" s="1"/>
      <c r="H1526" s="1"/>
      <c r="I1526" s="1"/>
      <c r="J1526" s="1"/>
      <c r="K1526" s="1"/>
      <c r="L1526" s="1"/>
      <c r="M1526" s="1"/>
      <c r="N1526" s="1"/>
      <c r="O1526" s="1"/>
      <c r="P1526" s="1"/>
      <c r="Q1526" s="1"/>
      <c r="R1526"/>
      <c r="S1526" s="1"/>
      <c r="T1526" s="24"/>
      <c r="U1526"/>
      <c r="V1526" s="1"/>
      <c r="W1526" s="24"/>
      <c r="X1526"/>
      <c r="Y1526" s="1"/>
      <c r="Z1526" s="24"/>
      <c r="AA1526"/>
      <c r="AB1526" s="1"/>
      <c r="AC1526" s="24"/>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c r="CA1526"/>
      <c r="CB1526"/>
      <c r="CC1526"/>
      <c r="CD1526"/>
      <c r="CE1526"/>
      <c r="CF1526"/>
      <c r="CG1526"/>
      <c r="CH1526"/>
      <c r="CI1526"/>
      <c r="CJ1526"/>
      <c r="CK1526"/>
      <c r="CL1526"/>
      <c r="CM1526"/>
      <c r="CN1526"/>
      <c r="CO1526"/>
      <c r="CP1526"/>
      <c r="CQ1526"/>
      <c r="CR1526"/>
      <c r="CS1526"/>
    </row>
    <row r="1527" spans="2:97">
      <c r="B1527"/>
      <c r="C1527" s="1"/>
      <c r="D1527" s="1"/>
      <c r="E1527" s="1"/>
      <c r="F1527" s="1"/>
      <c r="G1527" s="1"/>
      <c r="H1527" s="1"/>
      <c r="I1527" s="1"/>
      <c r="J1527" s="1"/>
      <c r="K1527" s="1"/>
      <c r="L1527" s="1"/>
      <c r="M1527" s="1"/>
      <c r="N1527" s="1"/>
      <c r="O1527" s="1"/>
      <c r="P1527" s="1"/>
      <c r="Q1527" s="1"/>
      <c r="R1527"/>
      <c r="S1527" s="1"/>
      <c r="T1527" s="24"/>
      <c r="U1527"/>
      <c r="V1527" s="1"/>
      <c r="W1527" s="24"/>
      <c r="X1527"/>
      <c r="Y1527" s="1"/>
      <c r="Z1527" s="24"/>
      <c r="AA1527"/>
      <c r="AB1527" s="1"/>
      <c r="AC1527" s="24"/>
      <c r="AD1527"/>
      <c r="AE1527"/>
      <c r="AF1527"/>
      <c r="AG1527"/>
      <c r="AH1527"/>
      <c r="AI1527"/>
      <c r="AJ1527"/>
      <c r="AK1527"/>
      <c r="AL1527"/>
      <c r="AM1527"/>
      <c r="AN1527"/>
      <c r="AO1527"/>
      <c r="AP1527"/>
      <c r="AQ1527"/>
      <c r="AR1527"/>
      <c r="AS1527"/>
      <c r="AT1527"/>
      <c r="AU1527"/>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c r="CA1527"/>
      <c r="CB1527"/>
      <c r="CC1527"/>
      <c r="CD1527"/>
      <c r="CE1527"/>
      <c r="CF1527"/>
      <c r="CG1527"/>
      <c r="CH1527"/>
      <c r="CI1527"/>
      <c r="CJ1527"/>
      <c r="CK1527"/>
      <c r="CL1527"/>
      <c r="CM1527"/>
      <c r="CN1527"/>
      <c r="CO1527"/>
      <c r="CP1527"/>
      <c r="CQ1527"/>
      <c r="CR1527"/>
      <c r="CS1527"/>
    </row>
    <row r="1528" spans="2:97">
      <c r="B1528"/>
      <c r="C1528" s="1"/>
      <c r="D1528" s="1"/>
      <c r="E1528" s="1"/>
      <c r="F1528" s="1"/>
      <c r="G1528" s="1"/>
      <c r="H1528" s="1"/>
      <c r="I1528" s="1"/>
      <c r="J1528" s="1"/>
      <c r="K1528" s="1"/>
      <c r="L1528" s="1"/>
      <c r="M1528" s="1"/>
      <c r="N1528" s="1"/>
      <c r="O1528" s="1"/>
      <c r="P1528" s="1"/>
      <c r="Q1528" s="1"/>
      <c r="R1528"/>
      <c r="S1528" s="1"/>
      <c r="T1528" s="24"/>
      <c r="U1528"/>
      <c r="V1528" s="1"/>
      <c r="W1528" s="24"/>
      <c r="X1528"/>
      <c r="Y1528" s="1"/>
      <c r="Z1528" s="24"/>
      <c r="AA1528"/>
      <c r="AB1528" s="1"/>
      <c r="AC1528" s="24"/>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c r="CA1528"/>
      <c r="CB1528"/>
      <c r="CC1528"/>
      <c r="CD1528"/>
      <c r="CE1528"/>
      <c r="CF1528"/>
      <c r="CG1528"/>
      <c r="CH1528"/>
      <c r="CI1528"/>
      <c r="CJ1528"/>
      <c r="CK1528"/>
      <c r="CL1528"/>
      <c r="CM1528"/>
      <c r="CN1528"/>
      <c r="CO1528"/>
      <c r="CP1528"/>
      <c r="CQ1528"/>
      <c r="CR1528"/>
      <c r="CS1528"/>
    </row>
    <row r="1529" spans="2:97">
      <c r="B1529"/>
      <c r="C1529" s="1"/>
      <c r="D1529" s="1"/>
      <c r="E1529" s="1"/>
      <c r="F1529" s="1"/>
      <c r="G1529" s="1"/>
      <c r="H1529" s="1"/>
      <c r="I1529" s="1"/>
      <c r="J1529" s="1"/>
      <c r="K1529" s="1"/>
      <c r="L1529" s="1"/>
      <c r="M1529" s="1"/>
      <c r="N1529" s="1"/>
      <c r="O1529" s="1"/>
      <c r="P1529" s="1"/>
      <c r="Q1529" s="1"/>
      <c r="R1529"/>
      <c r="S1529" s="1"/>
      <c r="T1529" s="24"/>
      <c r="U1529"/>
      <c r="V1529" s="1"/>
      <c r="W1529" s="24"/>
      <c r="X1529"/>
      <c r="Y1529" s="1"/>
      <c r="Z1529" s="24"/>
      <c r="AA1529"/>
      <c r="AB1529" s="1"/>
      <c r="AC1529" s="24"/>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c r="CA1529"/>
      <c r="CB1529"/>
      <c r="CC1529"/>
      <c r="CD1529"/>
      <c r="CE1529"/>
      <c r="CF1529"/>
      <c r="CG1529"/>
      <c r="CH1529"/>
      <c r="CI1529"/>
      <c r="CJ1529"/>
      <c r="CK1529"/>
      <c r="CL1529"/>
      <c r="CM1529"/>
      <c r="CN1529"/>
      <c r="CO1529"/>
      <c r="CP1529"/>
      <c r="CQ1529"/>
      <c r="CR1529"/>
      <c r="CS1529"/>
    </row>
    <row r="1530" spans="2:97">
      <c r="B1530"/>
      <c r="C1530" s="1"/>
      <c r="D1530" s="1"/>
      <c r="E1530" s="1"/>
      <c r="F1530" s="1"/>
      <c r="G1530" s="1"/>
      <c r="H1530" s="1"/>
      <c r="I1530" s="1"/>
      <c r="J1530" s="1"/>
      <c r="K1530" s="1"/>
      <c r="L1530" s="1"/>
      <c r="M1530" s="1"/>
      <c r="N1530" s="1"/>
      <c r="O1530" s="1"/>
      <c r="P1530" s="1"/>
      <c r="Q1530" s="1"/>
      <c r="R1530"/>
      <c r="S1530" s="1"/>
      <c r="T1530" s="24"/>
      <c r="U1530"/>
      <c r="V1530" s="1"/>
      <c r="W1530" s="24"/>
      <c r="X1530"/>
      <c r="Y1530" s="1"/>
      <c r="Z1530" s="24"/>
      <c r="AA1530"/>
      <c r="AB1530" s="1"/>
      <c r="AC1530" s="24"/>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c r="BR1530"/>
      <c r="BS1530"/>
      <c r="BT1530"/>
      <c r="BU1530"/>
      <c r="BV1530"/>
      <c r="BW1530"/>
      <c r="BX1530"/>
      <c r="BY1530"/>
      <c r="BZ1530"/>
      <c r="CA1530"/>
      <c r="CB1530"/>
      <c r="CC1530"/>
      <c r="CD1530"/>
      <c r="CE1530"/>
      <c r="CF1530"/>
      <c r="CG1530"/>
      <c r="CH1530"/>
      <c r="CI1530"/>
      <c r="CJ1530"/>
      <c r="CK1530"/>
      <c r="CL1530"/>
      <c r="CM1530"/>
      <c r="CN1530"/>
      <c r="CO1530"/>
      <c r="CP1530"/>
      <c r="CQ1530"/>
      <c r="CR1530"/>
      <c r="CS1530"/>
    </row>
    <row r="1531" spans="2:97">
      <c r="B1531"/>
      <c r="C1531" s="1"/>
      <c r="D1531" s="1"/>
      <c r="E1531" s="1"/>
      <c r="F1531" s="1"/>
      <c r="G1531" s="1"/>
      <c r="H1531" s="1"/>
      <c r="I1531" s="1"/>
      <c r="J1531" s="1"/>
      <c r="K1531" s="1"/>
      <c r="L1531" s="1"/>
      <c r="M1531" s="1"/>
      <c r="N1531" s="1"/>
      <c r="O1531" s="1"/>
      <c r="P1531" s="1"/>
      <c r="Q1531" s="1"/>
      <c r="R1531"/>
      <c r="S1531" s="1"/>
      <c r="T1531" s="24"/>
      <c r="U1531"/>
      <c r="V1531" s="1"/>
      <c r="W1531" s="24"/>
      <c r="X1531"/>
      <c r="Y1531" s="1"/>
      <c r="Z1531" s="24"/>
      <c r="AA1531"/>
      <c r="AB1531" s="1"/>
      <c r="AC1531" s="24"/>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c r="CA1531"/>
      <c r="CB1531"/>
      <c r="CC1531"/>
      <c r="CD1531"/>
      <c r="CE1531"/>
      <c r="CF1531"/>
      <c r="CG1531"/>
      <c r="CH1531"/>
      <c r="CI1531"/>
      <c r="CJ1531"/>
      <c r="CK1531"/>
      <c r="CL1531"/>
      <c r="CM1531"/>
      <c r="CN1531"/>
      <c r="CO1531"/>
      <c r="CP1531"/>
      <c r="CQ1531"/>
      <c r="CR1531"/>
      <c r="CS1531"/>
    </row>
    <row r="1532" spans="2:97">
      <c r="B1532"/>
      <c r="C1532" s="1"/>
      <c r="D1532" s="1"/>
      <c r="E1532" s="1"/>
      <c r="F1532" s="1"/>
      <c r="G1532" s="1"/>
      <c r="H1532" s="1"/>
      <c r="I1532" s="1"/>
      <c r="J1532" s="1"/>
      <c r="K1532" s="1"/>
      <c r="L1532" s="1"/>
      <c r="M1532" s="1"/>
      <c r="N1532" s="1"/>
      <c r="O1532" s="1"/>
      <c r="P1532" s="1"/>
      <c r="Q1532" s="1"/>
      <c r="R1532"/>
      <c r="S1532" s="1"/>
      <c r="T1532" s="24"/>
      <c r="U1532"/>
      <c r="V1532" s="1"/>
      <c r="W1532" s="24"/>
      <c r="X1532"/>
      <c r="Y1532" s="1"/>
      <c r="Z1532" s="24"/>
      <c r="AA1532"/>
      <c r="AB1532" s="1"/>
      <c r="AC1532" s="24"/>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c r="CA1532"/>
      <c r="CB1532"/>
      <c r="CC1532"/>
      <c r="CD1532"/>
      <c r="CE1532"/>
      <c r="CF1532"/>
      <c r="CG1532"/>
      <c r="CH1532"/>
      <c r="CI1532"/>
      <c r="CJ1532"/>
      <c r="CK1532"/>
      <c r="CL1532"/>
      <c r="CM1532"/>
      <c r="CN1532"/>
      <c r="CO1532"/>
      <c r="CP1532"/>
      <c r="CQ1532"/>
      <c r="CR1532"/>
      <c r="CS1532"/>
    </row>
    <row r="1533" spans="2:97">
      <c r="B1533"/>
      <c r="C1533" s="1"/>
      <c r="D1533" s="1"/>
      <c r="E1533" s="1"/>
      <c r="F1533" s="1"/>
      <c r="G1533" s="1"/>
      <c r="H1533" s="1"/>
      <c r="I1533" s="1"/>
      <c r="J1533" s="1"/>
      <c r="K1533" s="1"/>
      <c r="L1533" s="1"/>
      <c r="M1533" s="1"/>
      <c r="N1533" s="1"/>
      <c r="O1533" s="1"/>
      <c r="P1533" s="1"/>
      <c r="Q1533" s="1"/>
      <c r="R1533"/>
      <c r="S1533" s="1"/>
      <c r="T1533" s="24"/>
      <c r="U1533"/>
      <c r="V1533" s="1"/>
      <c r="W1533" s="24"/>
      <c r="X1533"/>
      <c r="Y1533" s="1"/>
      <c r="Z1533" s="24"/>
      <c r="AA1533"/>
      <c r="AB1533" s="1"/>
      <c r="AC1533" s="24"/>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c r="CA1533"/>
      <c r="CB1533"/>
      <c r="CC1533"/>
      <c r="CD1533"/>
      <c r="CE1533"/>
      <c r="CF1533"/>
      <c r="CG1533"/>
      <c r="CH1533"/>
      <c r="CI1533"/>
      <c r="CJ1533"/>
      <c r="CK1533"/>
      <c r="CL1533"/>
      <c r="CM1533"/>
      <c r="CN1533"/>
      <c r="CO1533"/>
      <c r="CP1533"/>
      <c r="CQ1533"/>
      <c r="CR1533"/>
      <c r="CS1533"/>
    </row>
    <row r="1534" spans="2:97">
      <c r="B1534"/>
      <c r="C1534" s="1"/>
      <c r="D1534" s="1"/>
      <c r="E1534" s="1"/>
      <c r="F1534" s="1"/>
      <c r="G1534" s="1"/>
      <c r="H1534" s="1"/>
      <c r="I1534" s="1"/>
      <c r="J1534" s="1"/>
      <c r="K1534" s="1"/>
      <c r="L1534" s="1"/>
      <c r="M1534" s="1"/>
      <c r="N1534" s="1"/>
      <c r="O1534" s="1"/>
      <c r="P1534" s="1"/>
      <c r="Q1534" s="1"/>
      <c r="R1534"/>
      <c r="S1534" s="1"/>
      <c r="T1534" s="24"/>
      <c r="U1534"/>
      <c r="V1534" s="1"/>
      <c r="W1534" s="24"/>
      <c r="X1534"/>
      <c r="Y1534" s="1"/>
      <c r="Z1534" s="24"/>
      <c r="AA1534"/>
      <c r="AB1534" s="1"/>
      <c r="AC1534" s="2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c r="BR1534"/>
      <c r="BS1534"/>
      <c r="BT1534"/>
      <c r="BU1534"/>
      <c r="BV1534"/>
      <c r="BW1534"/>
      <c r="BX1534"/>
      <c r="BY1534"/>
      <c r="BZ1534"/>
      <c r="CA1534"/>
      <c r="CB1534"/>
      <c r="CC1534"/>
      <c r="CD1534"/>
      <c r="CE1534"/>
      <c r="CF1534"/>
      <c r="CG1534"/>
      <c r="CH1534"/>
      <c r="CI1534"/>
      <c r="CJ1534"/>
      <c r="CK1534"/>
      <c r="CL1534"/>
      <c r="CM1534"/>
      <c r="CN1534"/>
      <c r="CO1534"/>
      <c r="CP1534"/>
      <c r="CQ1534"/>
      <c r="CR1534"/>
      <c r="CS1534"/>
    </row>
    <row r="1535" spans="2:97">
      <c r="B1535"/>
      <c r="C1535" s="1"/>
      <c r="D1535" s="1"/>
      <c r="E1535" s="1"/>
      <c r="F1535" s="1"/>
      <c r="G1535" s="1"/>
      <c r="H1535" s="1"/>
      <c r="I1535" s="1"/>
      <c r="J1535" s="1"/>
      <c r="K1535" s="1"/>
      <c r="L1535" s="1"/>
      <c r="M1535" s="1"/>
      <c r="N1535" s="1"/>
      <c r="O1535" s="1"/>
      <c r="P1535" s="1"/>
      <c r="Q1535" s="1"/>
      <c r="R1535"/>
      <c r="S1535" s="1"/>
      <c r="T1535" s="24"/>
      <c r="U1535"/>
      <c r="V1535" s="1"/>
      <c r="W1535" s="24"/>
      <c r="X1535"/>
      <c r="Y1535" s="1"/>
      <c r="Z1535" s="24"/>
      <c r="AA1535"/>
      <c r="AB1535" s="1"/>
      <c r="AC1535" s="24"/>
      <c r="AD1535"/>
      <c r="AE1535"/>
      <c r="AF1535"/>
      <c r="AG1535"/>
      <c r="AH1535"/>
      <c r="AI1535"/>
      <c r="AJ1535"/>
      <c r="AK1535"/>
      <c r="AL1535"/>
      <c r="AM1535"/>
      <c r="AN1535"/>
      <c r="AO1535"/>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c r="CA1535"/>
      <c r="CB1535"/>
      <c r="CC1535"/>
      <c r="CD1535"/>
      <c r="CE1535"/>
      <c r="CF1535"/>
      <c r="CG1535"/>
      <c r="CH1535"/>
      <c r="CI1535"/>
      <c r="CJ1535"/>
      <c r="CK1535"/>
      <c r="CL1535"/>
      <c r="CM1535"/>
      <c r="CN1535"/>
      <c r="CO1535"/>
      <c r="CP1535"/>
      <c r="CQ1535"/>
      <c r="CR1535"/>
      <c r="CS1535"/>
    </row>
    <row r="1536" spans="2:97">
      <c r="B1536"/>
      <c r="C1536" s="1"/>
      <c r="D1536" s="1"/>
      <c r="E1536" s="1"/>
      <c r="F1536" s="1"/>
      <c r="G1536" s="1"/>
      <c r="H1536" s="1"/>
      <c r="I1536" s="1"/>
      <c r="J1536" s="1"/>
      <c r="K1536" s="1"/>
      <c r="L1536" s="1"/>
      <c r="M1536" s="1"/>
      <c r="N1536" s="1"/>
      <c r="O1536" s="1"/>
      <c r="P1536" s="1"/>
      <c r="Q1536" s="1"/>
      <c r="R1536"/>
      <c r="S1536" s="1"/>
      <c r="T1536" s="24"/>
      <c r="U1536"/>
      <c r="V1536" s="1"/>
      <c r="W1536" s="24"/>
      <c r="X1536"/>
      <c r="Y1536" s="1"/>
      <c r="Z1536" s="24"/>
      <c r="AA1536"/>
      <c r="AB1536" s="1"/>
      <c r="AC1536" s="24"/>
      <c r="AD1536"/>
      <c r="AE1536"/>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c r="BI1536"/>
      <c r="BJ1536"/>
      <c r="BK1536"/>
      <c r="BL1536"/>
      <c r="BM1536"/>
      <c r="BN1536"/>
      <c r="BO1536"/>
      <c r="BP1536"/>
      <c r="BQ1536"/>
      <c r="BR1536"/>
      <c r="BS1536"/>
      <c r="BT1536"/>
      <c r="BU1536"/>
      <c r="BV1536"/>
      <c r="BW1536"/>
      <c r="BX1536"/>
      <c r="BY1536"/>
      <c r="BZ1536"/>
      <c r="CA1536"/>
      <c r="CB1536"/>
      <c r="CC1536"/>
      <c r="CD1536"/>
      <c r="CE1536"/>
      <c r="CF1536"/>
      <c r="CG1536"/>
      <c r="CH1536"/>
      <c r="CI1536"/>
      <c r="CJ1536"/>
      <c r="CK1536"/>
      <c r="CL1536"/>
      <c r="CM1536"/>
      <c r="CN1536"/>
      <c r="CO1536"/>
      <c r="CP1536"/>
      <c r="CQ1536"/>
      <c r="CR1536"/>
      <c r="CS1536"/>
    </row>
    <row r="1537" spans="2:97">
      <c r="B1537"/>
      <c r="C1537" s="1"/>
      <c r="D1537" s="1"/>
      <c r="E1537" s="1"/>
      <c r="F1537" s="1"/>
      <c r="G1537" s="1"/>
      <c r="H1537" s="1"/>
      <c r="I1537" s="1"/>
      <c r="J1537" s="1"/>
      <c r="K1537" s="1"/>
      <c r="L1537" s="1"/>
      <c r="M1537" s="1"/>
      <c r="N1537" s="1"/>
      <c r="O1537" s="1"/>
      <c r="P1537" s="1"/>
      <c r="Q1537" s="1"/>
      <c r="R1537"/>
      <c r="S1537" s="1"/>
      <c r="T1537" s="24"/>
      <c r="U1537"/>
      <c r="V1537" s="1"/>
      <c r="W1537" s="24"/>
      <c r="X1537"/>
      <c r="Y1537" s="1"/>
      <c r="Z1537" s="24"/>
      <c r="AA1537"/>
      <c r="AB1537" s="1"/>
      <c r="AC1537" s="24"/>
      <c r="AD1537"/>
      <c r="AE1537"/>
      <c r="AF1537"/>
      <c r="AG1537"/>
      <c r="AH1537"/>
      <c r="AI1537"/>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c r="CA1537"/>
      <c r="CB1537"/>
      <c r="CC1537"/>
      <c r="CD1537"/>
      <c r="CE1537"/>
      <c r="CF1537"/>
      <c r="CG1537"/>
      <c r="CH1537"/>
      <c r="CI1537"/>
      <c r="CJ1537"/>
      <c r="CK1537"/>
      <c r="CL1537"/>
      <c r="CM1537"/>
      <c r="CN1537"/>
      <c r="CO1537"/>
      <c r="CP1537"/>
      <c r="CQ1537"/>
      <c r="CR1537"/>
      <c r="CS1537"/>
    </row>
    <row r="1538" spans="2:97">
      <c r="B1538"/>
      <c r="C1538" s="1"/>
      <c r="D1538" s="1"/>
      <c r="E1538" s="1"/>
      <c r="F1538" s="1"/>
      <c r="G1538" s="1"/>
      <c r="H1538" s="1"/>
      <c r="I1538" s="1"/>
      <c r="J1538" s="1"/>
      <c r="K1538" s="1"/>
      <c r="L1538" s="1"/>
      <c r="M1538" s="1"/>
      <c r="N1538" s="1"/>
      <c r="O1538" s="1"/>
      <c r="P1538" s="1"/>
      <c r="Q1538" s="1"/>
      <c r="R1538"/>
      <c r="S1538" s="1"/>
      <c r="T1538" s="24"/>
      <c r="U1538"/>
      <c r="V1538" s="1"/>
      <c r="W1538" s="24"/>
      <c r="X1538"/>
      <c r="Y1538" s="1"/>
      <c r="Z1538" s="24"/>
      <c r="AA1538"/>
      <c r="AB1538" s="1"/>
      <c r="AC1538" s="24"/>
      <c r="AD1538"/>
      <c r="AE1538"/>
      <c r="AF1538"/>
      <c r="AG1538"/>
      <c r="AH1538"/>
      <c r="AI1538"/>
      <c r="AJ1538"/>
      <c r="AK1538"/>
      <c r="AL1538"/>
      <c r="AM1538"/>
      <c r="AN1538"/>
      <c r="AO1538"/>
      <c r="AP1538"/>
      <c r="AQ1538"/>
      <c r="AR1538"/>
      <c r="AS1538"/>
      <c r="AT1538"/>
      <c r="AU1538"/>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c r="CA1538"/>
      <c r="CB1538"/>
      <c r="CC1538"/>
      <c r="CD1538"/>
      <c r="CE1538"/>
      <c r="CF1538"/>
      <c r="CG1538"/>
      <c r="CH1538"/>
      <c r="CI1538"/>
      <c r="CJ1538"/>
      <c r="CK1538"/>
      <c r="CL1538"/>
      <c r="CM1538"/>
      <c r="CN1538"/>
      <c r="CO1538"/>
      <c r="CP1538"/>
      <c r="CQ1538"/>
      <c r="CR1538"/>
      <c r="CS1538"/>
    </row>
    <row r="1539" spans="2:97">
      <c r="B1539"/>
      <c r="C1539" s="1"/>
      <c r="D1539" s="1"/>
      <c r="E1539" s="1"/>
      <c r="F1539" s="1"/>
      <c r="G1539" s="1"/>
      <c r="H1539" s="1"/>
      <c r="I1539" s="1"/>
      <c r="J1539" s="1"/>
      <c r="K1539" s="1"/>
      <c r="L1539" s="1"/>
      <c r="M1539" s="1"/>
      <c r="N1539" s="1"/>
      <c r="O1539" s="1"/>
      <c r="P1539" s="1"/>
      <c r="Q1539" s="1"/>
      <c r="R1539"/>
      <c r="S1539" s="1"/>
      <c r="T1539" s="24"/>
      <c r="U1539"/>
      <c r="V1539" s="1"/>
      <c r="W1539" s="24"/>
      <c r="X1539"/>
      <c r="Y1539" s="1"/>
      <c r="Z1539" s="24"/>
      <c r="AA1539"/>
      <c r="AB1539" s="1"/>
      <c r="AC1539" s="24"/>
      <c r="AD1539"/>
      <c r="AE1539"/>
      <c r="AF1539"/>
      <c r="AG1539"/>
      <c r="AH1539"/>
      <c r="AI1539"/>
      <c r="AJ1539"/>
      <c r="AK1539"/>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c r="BR1539"/>
      <c r="BS1539"/>
      <c r="BT1539"/>
      <c r="BU1539"/>
      <c r="BV1539"/>
      <c r="BW1539"/>
      <c r="BX1539"/>
      <c r="BY1539"/>
      <c r="BZ1539"/>
      <c r="CA1539"/>
      <c r="CB1539"/>
      <c r="CC1539"/>
      <c r="CD1539"/>
      <c r="CE1539"/>
      <c r="CF1539"/>
      <c r="CG1539"/>
      <c r="CH1539"/>
      <c r="CI1539"/>
      <c r="CJ1539"/>
      <c r="CK1539"/>
      <c r="CL1539"/>
      <c r="CM1539"/>
      <c r="CN1539"/>
      <c r="CO1539"/>
      <c r="CP1539"/>
      <c r="CQ1539"/>
      <c r="CR1539"/>
      <c r="CS1539"/>
    </row>
    <row r="1540" spans="2:97">
      <c r="B1540"/>
      <c r="C1540" s="1"/>
      <c r="D1540" s="1"/>
      <c r="E1540" s="1"/>
      <c r="F1540" s="1"/>
      <c r="G1540" s="1"/>
      <c r="H1540" s="1"/>
      <c r="I1540" s="1"/>
      <c r="J1540" s="1"/>
      <c r="K1540" s="1"/>
      <c r="L1540" s="1"/>
      <c r="M1540" s="1"/>
      <c r="N1540" s="1"/>
      <c r="O1540" s="1"/>
      <c r="P1540" s="1"/>
      <c r="Q1540" s="1"/>
      <c r="R1540"/>
      <c r="S1540" s="1"/>
      <c r="T1540" s="24"/>
      <c r="U1540"/>
      <c r="V1540" s="1"/>
      <c r="W1540" s="24"/>
      <c r="X1540"/>
      <c r="Y1540" s="1"/>
      <c r="Z1540" s="24"/>
      <c r="AA1540"/>
      <c r="AB1540" s="1"/>
      <c r="AC1540" s="24"/>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c r="CA1540"/>
      <c r="CB1540"/>
      <c r="CC1540"/>
      <c r="CD1540"/>
      <c r="CE1540"/>
      <c r="CF1540"/>
      <c r="CG1540"/>
      <c r="CH1540"/>
      <c r="CI1540"/>
      <c r="CJ1540"/>
      <c r="CK1540"/>
      <c r="CL1540"/>
      <c r="CM1540"/>
      <c r="CN1540"/>
      <c r="CO1540"/>
      <c r="CP1540"/>
      <c r="CQ1540"/>
      <c r="CR1540"/>
      <c r="CS1540"/>
    </row>
    <row r="1541" spans="2:97">
      <c r="B1541"/>
      <c r="C1541" s="1"/>
      <c r="D1541" s="1"/>
      <c r="E1541" s="1"/>
      <c r="F1541" s="1"/>
      <c r="G1541" s="1"/>
      <c r="H1541" s="1"/>
      <c r="I1541" s="1"/>
      <c r="J1541" s="1"/>
      <c r="K1541" s="1"/>
      <c r="L1541" s="1"/>
      <c r="M1541" s="1"/>
      <c r="N1541" s="1"/>
      <c r="O1541" s="1"/>
      <c r="P1541" s="1"/>
      <c r="Q1541" s="1"/>
      <c r="R1541"/>
      <c r="S1541" s="1"/>
      <c r="T1541" s="24"/>
      <c r="U1541"/>
      <c r="V1541" s="1"/>
      <c r="W1541" s="24"/>
      <c r="X1541"/>
      <c r="Y1541" s="1"/>
      <c r="Z1541" s="24"/>
      <c r="AA1541"/>
      <c r="AB1541" s="1"/>
      <c r="AC1541" s="24"/>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c r="BR1541"/>
      <c r="BS1541"/>
      <c r="BT1541"/>
      <c r="BU1541"/>
      <c r="BV1541"/>
      <c r="BW1541"/>
      <c r="BX1541"/>
      <c r="BY1541"/>
      <c r="BZ1541"/>
      <c r="CA1541"/>
      <c r="CB1541"/>
      <c r="CC1541"/>
      <c r="CD1541"/>
      <c r="CE1541"/>
      <c r="CF1541"/>
      <c r="CG1541"/>
      <c r="CH1541"/>
      <c r="CI1541"/>
      <c r="CJ1541"/>
      <c r="CK1541"/>
      <c r="CL1541"/>
      <c r="CM1541"/>
      <c r="CN1541"/>
      <c r="CO1541"/>
      <c r="CP1541"/>
      <c r="CQ1541"/>
      <c r="CR1541"/>
      <c r="CS1541"/>
    </row>
    <row r="1542" spans="2:97">
      <c r="B1542"/>
      <c r="C1542" s="1"/>
      <c r="D1542" s="1"/>
      <c r="E1542" s="1"/>
      <c r="F1542" s="1"/>
      <c r="G1542" s="1"/>
      <c r="H1542" s="1"/>
      <c r="I1542" s="1"/>
      <c r="J1542" s="1"/>
      <c r="K1542" s="1"/>
      <c r="L1542" s="1"/>
      <c r="M1542" s="1"/>
      <c r="N1542" s="1"/>
      <c r="O1542" s="1"/>
      <c r="P1542" s="1"/>
      <c r="Q1542" s="1"/>
      <c r="R1542"/>
      <c r="S1542" s="1"/>
      <c r="T1542" s="24"/>
      <c r="U1542"/>
      <c r="V1542" s="1"/>
      <c r="W1542" s="24"/>
      <c r="X1542"/>
      <c r="Y1542" s="1"/>
      <c r="Z1542" s="24"/>
      <c r="AA1542"/>
      <c r="AB1542" s="1"/>
      <c r="AC1542" s="24"/>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c r="BR1542"/>
      <c r="BS1542"/>
      <c r="BT1542"/>
      <c r="BU1542"/>
      <c r="BV1542"/>
      <c r="BW1542"/>
      <c r="BX1542"/>
      <c r="BY1542"/>
      <c r="BZ1542"/>
      <c r="CA1542"/>
      <c r="CB1542"/>
      <c r="CC1542"/>
      <c r="CD1542"/>
      <c r="CE1542"/>
      <c r="CF1542"/>
      <c r="CG1542"/>
      <c r="CH1542"/>
      <c r="CI1542"/>
      <c r="CJ1542"/>
      <c r="CK1542"/>
      <c r="CL1542"/>
      <c r="CM1542"/>
      <c r="CN1542"/>
      <c r="CO1542"/>
      <c r="CP1542"/>
      <c r="CQ1542"/>
      <c r="CR1542"/>
      <c r="CS1542"/>
    </row>
    <row r="1543" spans="2:97">
      <c r="B1543"/>
      <c r="C1543" s="1"/>
      <c r="D1543" s="1"/>
      <c r="E1543" s="1"/>
      <c r="F1543" s="1"/>
      <c r="G1543" s="1"/>
      <c r="H1543" s="1"/>
      <c r="I1543" s="1"/>
      <c r="J1543" s="1"/>
      <c r="K1543" s="1"/>
      <c r="L1543" s="1"/>
      <c r="M1543" s="1"/>
      <c r="N1543" s="1"/>
      <c r="O1543" s="1"/>
      <c r="P1543" s="1"/>
      <c r="Q1543" s="1"/>
      <c r="R1543"/>
      <c r="S1543" s="1"/>
      <c r="T1543" s="24"/>
      <c r="U1543"/>
      <c r="V1543" s="1"/>
      <c r="W1543" s="24"/>
      <c r="X1543"/>
      <c r="Y1543" s="1"/>
      <c r="Z1543" s="24"/>
      <c r="AA1543"/>
      <c r="AB1543" s="1"/>
      <c r="AC1543" s="24"/>
      <c r="AD1543"/>
      <c r="AE1543"/>
      <c r="AF1543"/>
      <c r="AG1543"/>
      <c r="AH1543"/>
      <c r="AI1543"/>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c r="BR1543"/>
      <c r="BS1543"/>
      <c r="BT1543"/>
      <c r="BU1543"/>
      <c r="BV1543"/>
      <c r="BW1543"/>
      <c r="BX1543"/>
      <c r="BY1543"/>
      <c r="BZ1543"/>
      <c r="CA1543"/>
      <c r="CB1543"/>
      <c r="CC1543"/>
      <c r="CD1543"/>
      <c r="CE1543"/>
      <c r="CF1543"/>
      <c r="CG1543"/>
      <c r="CH1543"/>
      <c r="CI1543"/>
      <c r="CJ1543"/>
      <c r="CK1543"/>
      <c r="CL1543"/>
      <c r="CM1543"/>
      <c r="CN1543"/>
      <c r="CO1543"/>
      <c r="CP1543"/>
      <c r="CQ1543"/>
      <c r="CR1543"/>
      <c r="CS1543"/>
    </row>
    <row r="1544" spans="2:97">
      <c r="B1544"/>
      <c r="C1544" s="1"/>
      <c r="D1544" s="1"/>
      <c r="E1544" s="1"/>
      <c r="F1544" s="1"/>
      <c r="G1544" s="1"/>
      <c r="H1544" s="1"/>
      <c r="I1544" s="1"/>
      <c r="J1544" s="1"/>
      <c r="K1544" s="1"/>
      <c r="L1544" s="1"/>
      <c r="M1544" s="1"/>
      <c r="N1544" s="1"/>
      <c r="O1544" s="1"/>
      <c r="P1544" s="1"/>
      <c r="Q1544" s="1"/>
      <c r="R1544"/>
      <c r="S1544" s="1"/>
      <c r="T1544" s="24"/>
      <c r="U1544"/>
      <c r="V1544" s="1"/>
      <c r="W1544" s="24"/>
      <c r="X1544"/>
      <c r="Y1544" s="1"/>
      <c r="Z1544" s="24"/>
      <c r="AA1544"/>
      <c r="AB1544" s="1"/>
      <c r="AC1544" s="2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c r="CA1544"/>
      <c r="CB1544"/>
      <c r="CC1544"/>
      <c r="CD1544"/>
      <c r="CE1544"/>
      <c r="CF1544"/>
      <c r="CG1544"/>
      <c r="CH1544"/>
      <c r="CI1544"/>
      <c r="CJ1544"/>
      <c r="CK1544"/>
      <c r="CL1544"/>
      <c r="CM1544"/>
      <c r="CN1544"/>
      <c r="CO1544"/>
      <c r="CP1544"/>
      <c r="CQ1544"/>
      <c r="CR1544"/>
      <c r="CS1544"/>
    </row>
    <row r="1545" spans="2:97">
      <c r="B1545"/>
      <c r="C1545" s="1"/>
      <c r="D1545" s="1"/>
      <c r="E1545" s="1"/>
      <c r="F1545" s="1"/>
      <c r="G1545" s="1"/>
      <c r="H1545" s="1"/>
      <c r="I1545" s="1"/>
      <c r="J1545" s="1"/>
      <c r="K1545" s="1"/>
      <c r="L1545" s="1"/>
      <c r="M1545" s="1"/>
      <c r="N1545" s="1"/>
      <c r="O1545" s="1"/>
      <c r="P1545" s="1"/>
      <c r="Q1545" s="1"/>
      <c r="R1545"/>
      <c r="S1545" s="1"/>
      <c r="T1545" s="24"/>
      <c r="U1545"/>
      <c r="V1545" s="1"/>
      <c r="W1545" s="24"/>
      <c r="X1545"/>
      <c r="Y1545" s="1"/>
      <c r="Z1545" s="24"/>
      <c r="AA1545"/>
      <c r="AB1545" s="1"/>
      <c r="AC1545" s="24"/>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c r="CA1545"/>
      <c r="CB1545"/>
      <c r="CC1545"/>
      <c r="CD1545"/>
      <c r="CE1545"/>
      <c r="CF1545"/>
      <c r="CG1545"/>
      <c r="CH1545"/>
      <c r="CI1545"/>
      <c r="CJ1545"/>
      <c r="CK1545"/>
      <c r="CL1545"/>
      <c r="CM1545"/>
      <c r="CN1545"/>
      <c r="CO1545"/>
      <c r="CP1545"/>
      <c r="CQ1545"/>
      <c r="CR1545"/>
      <c r="CS1545"/>
    </row>
    <row r="1546" spans="2:97">
      <c r="B1546"/>
      <c r="C1546" s="1"/>
      <c r="D1546" s="1"/>
      <c r="E1546" s="1"/>
      <c r="F1546" s="1"/>
      <c r="G1546" s="1"/>
      <c r="H1546" s="1"/>
      <c r="I1546" s="1"/>
      <c r="J1546" s="1"/>
      <c r="K1546" s="1"/>
      <c r="L1546" s="1"/>
      <c r="M1546" s="1"/>
      <c r="N1546" s="1"/>
      <c r="O1546" s="1"/>
      <c r="P1546" s="1"/>
      <c r="Q1546" s="1"/>
      <c r="R1546"/>
      <c r="S1546" s="1"/>
      <c r="T1546" s="24"/>
      <c r="U1546"/>
      <c r="V1546" s="1"/>
      <c r="W1546" s="24"/>
      <c r="X1546"/>
      <c r="Y1546" s="1"/>
      <c r="Z1546" s="24"/>
      <c r="AA1546"/>
      <c r="AB1546" s="1"/>
      <c r="AC1546" s="24"/>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c r="CA1546"/>
      <c r="CB1546"/>
      <c r="CC1546"/>
      <c r="CD1546"/>
      <c r="CE1546"/>
      <c r="CF1546"/>
      <c r="CG1546"/>
      <c r="CH1546"/>
      <c r="CI1546"/>
      <c r="CJ1546"/>
      <c r="CK1546"/>
      <c r="CL1546"/>
      <c r="CM1546"/>
      <c r="CN1546"/>
      <c r="CO1546"/>
      <c r="CP1546"/>
      <c r="CQ1546"/>
      <c r="CR1546"/>
      <c r="CS1546"/>
    </row>
    <row r="1547" spans="2:97">
      <c r="B1547"/>
      <c r="C1547" s="1"/>
      <c r="D1547" s="1"/>
      <c r="E1547" s="1"/>
      <c r="F1547" s="1"/>
      <c r="G1547" s="1"/>
      <c r="H1547" s="1"/>
      <c r="I1547" s="1"/>
      <c r="J1547" s="1"/>
      <c r="K1547" s="1"/>
      <c r="L1547" s="1"/>
      <c r="M1547" s="1"/>
      <c r="N1547" s="1"/>
      <c r="O1547" s="1"/>
      <c r="P1547" s="1"/>
      <c r="Q1547" s="1"/>
      <c r="R1547"/>
      <c r="S1547" s="1"/>
      <c r="T1547" s="24"/>
      <c r="U1547"/>
      <c r="V1547" s="1"/>
      <c r="W1547" s="24"/>
      <c r="X1547"/>
      <c r="Y1547" s="1"/>
      <c r="Z1547" s="24"/>
      <c r="AA1547"/>
      <c r="AB1547" s="1"/>
      <c r="AC1547" s="24"/>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c r="CA1547"/>
      <c r="CB1547"/>
      <c r="CC1547"/>
      <c r="CD1547"/>
      <c r="CE1547"/>
      <c r="CF1547"/>
      <c r="CG1547"/>
      <c r="CH1547"/>
      <c r="CI1547"/>
      <c r="CJ1547"/>
      <c r="CK1547"/>
      <c r="CL1547"/>
      <c r="CM1547"/>
      <c r="CN1547"/>
      <c r="CO1547"/>
      <c r="CP1547"/>
      <c r="CQ1547"/>
      <c r="CR1547"/>
      <c r="CS1547"/>
    </row>
    <row r="1548" spans="2:97">
      <c r="B1548"/>
      <c r="C1548" s="1"/>
      <c r="D1548" s="1"/>
      <c r="E1548" s="1"/>
      <c r="F1548" s="1"/>
      <c r="G1548" s="1"/>
      <c r="H1548" s="1"/>
      <c r="I1548" s="1"/>
      <c r="J1548" s="1"/>
      <c r="K1548" s="1"/>
      <c r="L1548" s="1"/>
      <c r="M1548" s="1"/>
      <c r="N1548" s="1"/>
      <c r="O1548" s="1"/>
      <c r="P1548" s="1"/>
      <c r="Q1548" s="1"/>
      <c r="R1548"/>
      <c r="S1548" s="1"/>
      <c r="T1548" s="24"/>
      <c r="U1548"/>
      <c r="V1548" s="1"/>
      <c r="W1548" s="24"/>
      <c r="X1548"/>
      <c r="Y1548" s="1"/>
      <c r="Z1548" s="24"/>
      <c r="AA1548"/>
      <c r="AB1548" s="1"/>
      <c r="AC1548" s="24"/>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c r="CA1548"/>
      <c r="CB1548"/>
      <c r="CC1548"/>
      <c r="CD1548"/>
      <c r="CE1548"/>
      <c r="CF1548"/>
      <c r="CG1548"/>
      <c r="CH1548"/>
      <c r="CI1548"/>
      <c r="CJ1548"/>
      <c r="CK1548"/>
      <c r="CL1548"/>
      <c r="CM1548"/>
      <c r="CN1548"/>
      <c r="CO1548"/>
      <c r="CP1548"/>
      <c r="CQ1548"/>
      <c r="CR1548"/>
      <c r="CS1548"/>
    </row>
    <row r="1549" spans="2:97">
      <c r="B1549"/>
      <c r="C1549" s="1"/>
      <c r="D1549" s="1"/>
      <c r="E1549" s="1"/>
      <c r="F1549" s="1"/>
      <c r="G1549" s="1"/>
      <c r="H1549" s="1"/>
      <c r="I1549" s="1"/>
      <c r="J1549" s="1"/>
      <c r="K1549" s="1"/>
      <c r="L1549" s="1"/>
      <c r="M1549" s="1"/>
      <c r="N1549" s="1"/>
      <c r="O1549" s="1"/>
      <c r="P1549" s="1"/>
      <c r="Q1549" s="1"/>
      <c r="R1549"/>
      <c r="S1549" s="1"/>
      <c r="T1549" s="24"/>
      <c r="U1549"/>
      <c r="V1549" s="1"/>
      <c r="W1549" s="24"/>
      <c r="X1549"/>
      <c r="Y1549" s="1"/>
      <c r="Z1549" s="24"/>
      <c r="AA1549"/>
      <c r="AB1549" s="1"/>
      <c r="AC1549" s="24"/>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c r="CA1549"/>
      <c r="CB1549"/>
      <c r="CC1549"/>
      <c r="CD1549"/>
      <c r="CE1549"/>
      <c r="CF1549"/>
      <c r="CG1549"/>
      <c r="CH1549"/>
      <c r="CI1549"/>
      <c r="CJ1549"/>
      <c r="CK1549"/>
      <c r="CL1549"/>
      <c r="CM1549"/>
      <c r="CN1549"/>
      <c r="CO1549"/>
      <c r="CP1549"/>
      <c r="CQ1549"/>
      <c r="CR1549"/>
      <c r="CS1549"/>
    </row>
    <row r="1550" spans="2:97">
      <c r="B1550"/>
      <c r="C1550" s="1"/>
      <c r="D1550" s="1"/>
      <c r="E1550" s="1"/>
      <c r="F1550" s="1"/>
      <c r="G1550" s="1"/>
      <c r="H1550" s="1"/>
      <c r="I1550" s="1"/>
      <c r="J1550" s="1"/>
      <c r="K1550" s="1"/>
      <c r="L1550" s="1"/>
      <c r="M1550" s="1"/>
      <c r="N1550" s="1"/>
      <c r="O1550" s="1"/>
      <c r="P1550" s="1"/>
      <c r="Q1550" s="1"/>
      <c r="R1550"/>
      <c r="S1550" s="1"/>
      <c r="T1550" s="24"/>
      <c r="U1550"/>
      <c r="V1550" s="1"/>
      <c r="W1550" s="24"/>
      <c r="X1550"/>
      <c r="Y1550" s="1"/>
      <c r="Z1550" s="24"/>
      <c r="AA1550"/>
      <c r="AB1550" s="1"/>
      <c r="AC1550" s="24"/>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c r="CA1550"/>
      <c r="CB1550"/>
      <c r="CC1550"/>
      <c r="CD1550"/>
      <c r="CE1550"/>
      <c r="CF1550"/>
      <c r="CG1550"/>
      <c r="CH1550"/>
      <c r="CI1550"/>
      <c r="CJ1550"/>
      <c r="CK1550"/>
      <c r="CL1550"/>
      <c r="CM1550"/>
      <c r="CN1550"/>
      <c r="CO1550"/>
      <c r="CP1550"/>
      <c r="CQ1550"/>
      <c r="CR1550"/>
      <c r="CS1550"/>
    </row>
    <row r="1551" spans="2:97">
      <c r="B1551"/>
      <c r="C1551" s="1"/>
      <c r="D1551" s="1"/>
      <c r="E1551" s="1"/>
      <c r="F1551" s="1"/>
      <c r="G1551" s="1"/>
      <c r="H1551" s="1"/>
      <c r="I1551" s="1"/>
      <c r="J1551" s="1"/>
      <c r="K1551" s="1"/>
      <c r="L1551" s="1"/>
      <c r="M1551" s="1"/>
      <c r="N1551" s="1"/>
      <c r="O1551" s="1"/>
      <c r="P1551" s="1"/>
      <c r="Q1551" s="1"/>
      <c r="R1551"/>
      <c r="S1551" s="1"/>
      <c r="T1551" s="24"/>
      <c r="U1551"/>
      <c r="V1551" s="1"/>
      <c r="W1551" s="24"/>
      <c r="X1551"/>
      <c r="Y1551" s="1"/>
      <c r="Z1551" s="24"/>
      <c r="AA1551"/>
      <c r="AB1551" s="1"/>
      <c r="AC1551" s="24"/>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c r="CA1551"/>
      <c r="CB1551"/>
      <c r="CC1551"/>
      <c r="CD1551"/>
      <c r="CE1551"/>
      <c r="CF1551"/>
      <c r="CG1551"/>
      <c r="CH1551"/>
      <c r="CI1551"/>
      <c r="CJ1551"/>
      <c r="CK1551"/>
      <c r="CL1551"/>
      <c r="CM1551"/>
      <c r="CN1551"/>
      <c r="CO1551"/>
      <c r="CP1551"/>
      <c r="CQ1551"/>
      <c r="CR1551"/>
      <c r="CS1551"/>
    </row>
    <row r="1552" spans="2:97">
      <c r="B1552"/>
      <c r="C1552" s="1"/>
      <c r="D1552" s="1"/>
      <c r="E1552" s="1"/>
      <c r="F1552" s="1"/>
      <c r="G1552" s="1"/>
      <c r="H1552" s="1"/>
      <c r="I1552" s="1"/>
      <c r="J1552" s="1"/>
      <c r="K1552" s="1"/>
      <c r="L1552" s="1"/>
      <c r="M1552" s="1"/>
      <c r="N1552" s="1"/>
      <c r="O1552" s="1"/>
      <c r="P1552" s="1"/>
      <c r="Q1552" s="1"/>
      <c r="R1552"/>
      <c r="S1552" s="1"/>
      <c r="T1552" s="24"/>
      <c r="U1552"/>
      <c r="V1552" s="1"/>
      <c r="W1552" s="24"/>
      <c r="X1552"/>
      <c r="Y1552" s="1"/>
      <c r="Z1552" s="24"/>
      <c r="AA1552"/>
      <c r="AB1552" s="1"/>
      <c r="AC1552" s="24"/>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c r="CA1552"/>
      <c r="CB1552"/>
      <c r="CC1552"/>
      <c r="CD1552"/>
      <c r="CE1552"/>
      <c r="CF1552"/>
      <c r="CG1552"/>
      <c r="CH1552"/>
      <c r="CI1552"/>
      <c r="CJ1552"/>
      <c r="CK1552"/>
      <c r="CL1552"/>
      <c r="CM1552"/>
      <c r="CN1552"/>
      <c r="CO1552"/>
      <c r="CP1552"/>
      <c r="CQ1552"/>
      <c r="CR1552"/>
      <c r="CS1552"/>
    </row>
    <row r="1553" spans="2:97">
      <c r="B1553"/>
      <c r="C1553" s="1"/>
      <c r="D1553" s="1"/>
      <c r="E1553" s="1"/>
      <c r="F1553" s="1"/>
      <c r="G1553" s="1"/>
      <c r="H1553" s="1"/>
      <c r="I1553" s="1"/>
      <c r="J1553" s="1"/>
      <c r="K1553" s="1"/>
      <c r="L1553" s="1"/>
      <c r="M1553" s="1"/>
      <c r="N1553" s="1"/>
      <c r="O1553" s="1"/>
      <c r="P1553" s="1"/>
      <c r="Q1553" s="1"/>
      <c r="R1553"/>
      <c r="S1553" s="1"/>
      <c r="T1553" s="24"/>
      <c r="U1553"/>
      <c r="V1553" s="1"/>
      <c r="W1553" s="24"/>
      <c r="X1553"/>
      <c r="Y1553" s="1"/>
      <c r="Z1553" s="24"/>
      <c r="AA1553"/>
      <c r="AB1553" s="1"/>
      <c r="AC1553" s="24"/>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c r="CA1553"/>
      <c r="CB1553"/>
      <c r="CC1553"/>
      <c r="CD1553"/>
      <c r="CE1553"/>
      <c r="CF1553"/>
      <c r="CG1553"/>
      <c r="CH1553"/>
      <c r="CI1553"/>
      <c r="CJ1553"/>
      <c r="CK1553"/>
      <c r="CL1553"/>
      <c r="CM1553"/>
      <c r="CN1553"/>
      <c r="CO1553"/>
      <c r="CP1553"/>
      <c r="CQ1553"/>
      <c r="CR1553"/>
      <c r="CS1553"/>
    </row>
    <row r="1554" spans="2:97">
      <c r="B1554"/>
      <c r="C1554" s="1"/>
      <c r="D1554" s="1"/>
      <c r="E1554" s="1"/>
      <c r="F1554" s="1"/>
      <c r="G1554" s="1"/>
      <c r="H1554" s="1"/>
      <c r="I1554" s="1"/>
      <c r="J1554" s="1"/>
      <c r="K1554" s="1"/>
      <c r="L1554" s="1"/>
      <c r="M1554" s="1"/>
      <c r="N1554" s="1"/>
      <c r="O1554" s="1"/>
      <c r="P1554" s="1"/>
      <c r="Q1554" s="1"/>
      <c r="R1554"/>
      <c r="S1554" s="1"/>
      <c r="T1554" s="24"/>
      <c r="U1554"/>
      <c r="V1554" s="1"/>
      <c r="W1554" s="24"/>
      <c r="X1554"/>
      <c r="Y1554" s="1"/>
      <c r="Z1554" s="24"/>
      <c r="AA1554"/>
      <c r="AB1554" s="1"/>
      <c r="AC1554" s="24"/>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c r="CA1554"/>
      <c r="CB1554"/>
      <c r="CC1554"/>
      <c r="CD1554"/>
      <c r="CE1554"/>
      <c r="CF1554"/>
      <c r="CG1554"/>
      <c r="CH1554"/>
      <c r="CI1554"/>
      <c r="CJ1554"/>
      <c r="CK1554"/>
      <c r="CL1554"/>
      <c r="CM1554"/>
      <c r="CN1554"/>
      <c r="CO1554"/>
      <c r="CP1554"/>
      <c r="CQ1554"/>
      <c r="CR1554"/>
      <c r="CS1554"/>
    </row>
    <row r="1555" spans="2:97">
      <c r="B1555"/>
      <c r="C1555" s="1"/>
      <c r="D1555" s="1"/>
      <c r="E1555" s="1"/>
      <c r="F1555" s="1"/>
      <c r="G1555" s="1"/>
      <c r="H1555" s="1"/>
      <c r="I1555" s="1"/>
      <c r="J1555" s="1"/>
      <c r="K1555" s="1"/>
      <c r="L1555" s="1"/>
      <c r="M1555" s="1"/>
      <c r="N1555" s="1"/>
      <c r="O1555" s="1"/>
      <c r="P1555" s="1"/>
      <c r="Q1555" s="1"/>
      <c r="R1555"/>
      <c r="S1555" s="1"/>
      <c r="T1555" s="24"/>
      <c r="U1555"/>
      <c r="V1555" s="1"/>
      <c r="W1555" s="24"/>
      <c r="X1555"/>
      <c r="Y1555" s="1"/>
      <c r="Z1555" s="24"/>
      <c r="AA1555"/>
      <c r="AB1555" s="1"/>
      <c r="AC1555" s="24"/>
      <c r="AD1555"/>
      <c r="AE1555"/>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c r="CA1555"/>
      <c r="CB1555"/>
      <c r="CC1555"/>
      <c r="CD1555"/>
      <c r="CE1555"/>
      <c r="CF1555"/>
      <c r="CG1555"/>
      <c r="CH1555"/>
      <c r="CI1555"/>
      <c r="CJ1555"/>
      <c r="CK1555"/>
      <c r="CL1555"/>
      <c r="CM1555"/>
      <c r="CN1555"/>
      <c r="CO1555"/>
      <c r="CP1555"/>
      <c r="CQ1555"/>
      <c r="CR1555"/>
      <c r="CS1555"/>
    </row>
    <row r="1556" spans="2:97">
      <c r="B1556"/>
      <c r="C1556" s="1"/>
      <c r="D1556" s="1"/>
      <c r="E1556" s="1"/>
      <c r="F1556" s="1"/>
      <c r="G1556" s="1"/>
      <c r="H1556" s="1"/>
      <c r="I1556" s="1"/>
      <c r="J1556" s="1"/>
      <c r="K1556" s="1"/>
      <c r="L1556" s="1"/>
      <c r="M1556" s="1"/>
      <c r="N1556" s="1"/>
      <c r="O1556" s="1"/>
      <c r="P1556" s="1"/>
      <c r="Q1556" s="1"/>
      <c r="R1556"/>
      <c r="S1556" s="1"/>
      <c r="T1556" s="24"/>
      <c r="U1556"/>
      <c r="V1556" s="1"/>
      <c r="W1556" s="24"/>
      <c r="X1556"/>
      <c r="Y1556" s="1"/>
      <c r="Z1556" s="24"/>
      <c r="AA1556"/>
      <c r="AB1556" s="1"/>
      <c r="AC1556" s="24"/>
      <c r="AD1556"/>
      <c r="AE1556"/>
      <c r="AF1556"/>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c r="CA1556"/>
      <c r="CB1556"/>
      <c r="CC1556"/>
      <c r="CD1556"/>
      <c r="CE1556"/>
      <c r="CF1556"/>
      <c r="CG1556"/>
      <c r="CH1556"/>
      <c r="CI1556"/>
      <c r="CJ1556"/>
      <c r="CK1556"/>
      <c r="CL1556"/>
      <c r="CM1556"/>
      <c r="CN1556"/>
      <c r="CO1556"/>
      <c r="CP1556"/>
      <c r="CQ1556"/>
      <c r="CR1556"/>
      <c r="CS1556"/>
    </row>
    <row r="1557" spans="2:97">
      <c r="B1557"/>
      <c r="C1557" s="1"/>
      <c r="D1557" s="1"/>
      <c r="E1557" s="1"/>
      <c r="F1557" s="1"/>
      <c r="G1557" s="1"/>
      <c r="H1557" s="1"/>
      <c r="I1557" s="1"/>
      <c r="J1557" s="1"/>
      <c r="K1557" s="1"/>
      <c r="L1557" s="1"/>
      <c r="M1557" s="1"/>
      <c r="N1557" s="1"/>
      <c r="O1557" s="1"/>
      <c r="P1557" s="1"/>
      <c r="Q1557" s="1"/>
      <c r="R1557"/>
      <c r="S1557" s="1"/>
      <c r="T1557" s="24"/>
      <c r="U1557"/>
      <c r="V1557" s="1"/>
      <c r="W1557" s="24"/>
      <c r="X1557"/>
      <c r="Y1557" s="1"/>
      <c r="Z1557" s="24"/>
      <c r="AA1557"/>
      <c r="AB1557" s="1"/>
      <c r="AC1557" s="24"/>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c r="CA1557"/>
      <c r="CB1557"/>
      <c r="CC1557"/>
      <c r="CD1557"/>
      <c r="CE1557"/>
      <c r="CF1557"/>
      <c r="CG1557"/>
      <c r="CH1557"/>
      <c r="CI1557"/>
      <c r="CJ1557"/>
      <c r="CK1557"/>
      <c r="CL1557"/>
      <c r="CM1557"/>
      <c r="CN1557"/>
      <c r="CO1557"/>
      <c r="CP1557"/>
      <c r="CQ1557"/>
      <c r="CR1557"/>
      <c r="CS1557"/>
    </row>
    <row r="1558" spans="2:97">
      <c r="B1558"/>
      <c r="C1558" s="1"/>
      <c r="D1558" s="1"/>
      <c r="E1558" s="1"/>
      <c r="F1558" s="1"/>
      <c r="G1558" s="1"/>
      <c r="H1558" s="1"/>
      <c r="I1558" s="1"/>
      <c r="J1558" s="1"/>
      <c r="K1558" s="1"/>
      <c r="L1558" s="1"/>
      <c r="M1558" s="1"/>
      <c r="N1558" s="1"/>
      <c r="O1558" s="1"/>
      <c r="P1558" s="1"/>
      <c r="Q1558" s="1"/>
      <c r="R1558"/>
      <c r="S1558" s="1"/>
      <c r="T1558" s="24"/>
      <c r="U1558"/>
      <c r="V1558" s="1"/>
      <c r="W1558" s="24"/>
      <c r="X1558"/>
      <c r="Y1558" s="1"/>
      <c r="Z1558" s="24"/>
      <c r="AA1558"/>
      <c r="AB1558" s="1"/>
      <c r="AC1558" s="24"/>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c r="CA1558"/>
      <c r="CB1558"/>
      <c r="CC1558"/>
      <c r="CD1558"/>
      <c r="CE1558"/>
      <c r="CF1558"/>
      <c r="CG1558"/>
      <c r="CH1558"/>
      <c r="CI1558"/>
      <c r="CJ1558"/>
      <c r="CK1558"/>
      <c r="CL1558"/>
      <c r="CM1558"/>
      <c r="CN1558"/>
      <c r="CO1558"/>
      <c r="CP1558"/>
      <c r="CQ1558"/>
      <c r="CR1558"/>
      <c r="CS1558"/>
    </row>
    <row r="1559" spans="2:97">
      <c r="B1559"/>
      <c r="C1559" s="1"/>
      <c r="D1559" s="1"/>
      <c r="E1559" s="1"/>
      <c r="F1559" s="1"/>
      <c r="G1559" s="1"/>
      <c r="H1559" s="1"/>
      <c r="I1559" s="1"/>
      <c r="J1559" s="1"/>
      <c r="K1559" s="1"/>
      <c r="L1559" s="1"/>
      <c r="M1559" s="1"/>
      <c r="N1559" s="1"/>
      <c r="O1559" s="1"/>
      <c r="P1559" s="1"/>
      <c r="Q1559" s="1"/>
      <c r="R1559"/>
      <c r="S1559" s="1"/>
      <c r="T1559" s="24"/>
      <c r="U1559"/>
      <c r="V1559" s="1"/>
      <c r="W1559" s="24"/>
      <c r="X1559"/>
      <c r="Y1559" s="1"/>
      <c r="Z1559" s="24"/>
      <c r="AA1559"/>
      <c r="AB1559" s="1"/>
      <c r="AC1559" s="24"/>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c r="CA1559"/>
      <c r="CB1559"/>
      <c r="CC1559"/>
      <c r="CD1559"/>
      <c r="CE1559"/>
      <c r="CF1559"/>
      <c r="CG1559"/>
      <c r="CH1559"/>
      <c r="CI1559"/>
      <c r="CJ1559"/>
      <c r="CK1559"/>
      <c r="CL1559"/>
      <c r="CM1559"/>
      <c r="CN1559"/>
      <c r="CO1559"/>
      <c r="CP1559"/>
      <c r="CQ1559"/>
      <c r="CR1559"/>
      <c r="CS1559"/>
    </row>
    <row r="1560" spans="2:97">
      <c r="B1560"/>
      <c r="C1560" s="1"/>
      <c r="D1560" s="1"/>
      <c r="E1560" s="1"/>
      <c r="F1560" s="1"/>
      <c r="G1560" s="1"/>
      <c r="H1560" s="1"/>
      <c r="I1560" s="1"/>
      <c r="J1560" s="1"/>
      <c r="K1560" s="1"/>
      <c r="L1560" s="1"/>
      <c r="M1560" s="1"/>
      <c r="N1560" s="1"/>
      <c r="O1560" s="1"/>
      <c r="P1560" s="1"/>
      <c r="Q1560" s="1"/>
      <c r="R1560"/>
      <c r="S1560" s="1"/>
      <c r="T1560" s="24"/>
      <c r="U1560"/>
      <c r="V1560" s="1"/>
      <c r="W1560" s="24"/>
      <c r="X1560"/>
      <c r="Y1560" s="1"/>
      <c r="Z1560" s="24"/>
      <c r="AA1560"/>
      <c r="AB1560" s="1"/>
      <c r="AC1560" s="24"/>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c r="CA1560"/>
      <c r="CB1560"/>
      <c r="CC1560"/>
      <c r="CD1560"/>
      <c r="CE1560"/>
      <c r="CF1560"/>
      <c r="CG1560"/>
      <c r="CH1560"/>
      <c r="CI1560"/>
      <c r="CJ1560"/>
      <c r="CK1560"/>
      <c r="CL1560"/>
      <c r="CM1560"/>
      <c r="CN1560"/>
      <c r="CO1560"/>
      <c r="CP1560"/>
      <c r="CQ1560"/>
      <c r="CR1560"/>
      <c r="CS1560"/>
    </row>
    <row r="1561" spans="2:97">
      <c r="B1561"/>
      <c r="C1561" s="1"/>
      <c r="D1561" s="1"/>
      <c r="E1561" s="1"/>
      <c r="F1561" s="1"/>
      <c r="G1561" s="1"/>
      <c r="H1561" s="1"/>
      <c r="I1561" s="1"/>
      <c r="J1561" s="1"/>
      <c r="K1561" s="1"/>
      <c r="L1561" s="1"/>
      <c r="M1561" s="1"/>
      <c r="N1561" s="1"/>
      <c r="O1561" s="1"/>
      <c r="P1561" s="1"/>
      <c r="Q1561" s="1"/>
      <c r="R1561"/>
      <c r="S1561" s="1"/>
      <c r="T1561" s="24"/>
      <c r="U1561"/>
      <c r="V1561" s="1"/>
      <c r="W1561" s="24"/>
      <c r="X1561"/>
      <c r="Y1561" s="1"/>
      <c r="Z1561" s="24"/>
      <c r="AA1561"/>
      <c r="AB1561" s="1"/>
      <c r="AC1561" s="24"/>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c r="CA1561"/>
      <c r="CB1561"/>
      <c r="CC1561"/>
      <c r="CD1561"/>
      <c r="CE1561"/>
      <c r="CF1561"/>
      <c r="CG1561"/>
      <c r="CH1561"/>
      <c r="CI1561"/>
      <c r="CJ1561"/>
      <c r="CK1561"/>
      <c r="CL1561"/>
      <c r="CM1561"/>
      <c r="CN1561"/>
      <c r="CO1561"/>
      <c r="CP1561"/>
      <c r="CQ1561"/>
      <c r="CR1561"/>
      <c r="CS1561"/>
    </row>
    <row r="1562" spans="2:97">
      <c r="B1562"/>
      <c r="C1562" s="1"/>
      <c r="D1562" s="1"/>
      <c r="E1562" s="1"/>
      <c r="F1562" s="1"/>
      <c r="G1562" s="1"/>
      <c r="H1562" s="1"/>
      <c r="I1562" s="1"/>
      <c r="J1562" s="1"/>
      <c r="K1562" s="1"/>
      <c r="L1562" s="1"/>
      <c r="M1562" s="1"/>
      <c r="N1562" s="1"/>
      <c r="O1562" s="1"/>
      <c r="P1562" s="1"/>
      <c r="Q1562" s="1"/>
      <c r="R1562"/>
      <c r="S1562" s="1"/>
      <c r="T1562" s="24"/>
      <c r="U1562"/>
      <c r="V1562" s="1"/>
      <c r="W1562" s="24"/>
      <c r="X1562"/>
      <c r="Y1562" s="1"/>
      <c r="Z1562" s="24"/>
      <c r="AA1562"/>
      <c r="AB1562" s="1"/>
      <c r="AC1562" s="24"/>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c r="CA1562"/>
      <c r="CB1562"/>
      <c r="CC1562"/>
      <c r="CD1562"/>
      <c r="CE1562"/>
      <c r="CF1562"/>
      <c r="CG1562"/>
      <c r="CH1562"/>
      <c r="CI1562"/>
      <c r="CJ1562"/>
      <c r="CK1562"/>
      <c r="CL1562"/>
      <c r="CM1562"/>
      <c r="CN1562"/>
      <c r="CO1562"/>
      <c r="CP1562"/>
      <c r="CQ1562"/>
      <c r="CR1562"/>
      <c r="CS1562"/>
    </row>
    <row r="1563" spans="2:97">
      <c r="B1563"/>
      <c r="C1563" s="1"/>
      <c r="D1563" s="1"/>
      <c r="E1563" s="1"/>
      <c r="F1563" s="1"/>
      <c r="G1563" s="1"/>
      <c r="H1563" s="1"/>
      <c r="I1563" s="1"/>
      <c r="J1563" s="1"/>
      <c r="K1563" s="1"/>
      <c r="L1563" s="1"/>
      <c r="M1563" s="1"/>
      <c r="N1563" s="1"/>
      <c r="O1563" s="1"/>
      <c r="P1563" s="1"/>
      <c r="Q1563" s="1"/>
      <c r="R1563"/>
      <c r="S1563" s="1"/>
      <c r="T1563" s="24"/>
      <c r="U1563"/>
      <c r="V1563" s="1"/>
      <c r="W1563" s="24"/>
      <c r="X1563"/>
      <c r="Y1563" s="1"/>
      <c r="Z1563" s="24"/>
      <c r="AA1563"/>
      <c r="AB1563" s="1"/>
      <c r="AC1563" s="24"/>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c r="CA1563"/>
      <c r="CB1563"/>
      <c r="CC1563"/>
      <c r="CD1563"/>
      <c r="CE1563"/>
      <c r="CF1563"/>
      <c r="CG1563"/>
      <c r="CH1563"/>
      <c r="CI1563"/>
      <c r="CJ1563"/>
      <c r="CK1563"/>
      <c r="CL1563"/>
      <c r="CM1563"/>
      <c r="CN1563"/>
      <c r="CO1563"/>
      <c r="CP1563"/>
      <c r="CQ1563"/>
      <c r="CR1563"/>
      <c r="CS1563"/>
    </row>
    <row r="1564" spans="2:97">
      <c r="B1564"/>
      <c r="C1564" s="1"/>
      <c r="D1564" s="1"/>
      <c r="E1564" s="1"/>
      <c r="F1564" s="1"/>
      <c r="G1564" s="1"/>
      <c r="H1564" s="1"/>
      <c r="I1564" s="1"/>
      <c r="J1564" s="1"/>
      <c r="K1564" s="1"/>
      <c r="L1564" s="1"/>
      <c r="M1564" s="1"/>
      <c r="N1564" s="1"/>
      <c r="O1564" s="1"/>
      <c r="P1564" s="1"/>
      <c r="Q1564" s="1"/>
      <c r="R1564"/>
      <c r="S1564" s="1"/>
      <c r="T1564" s="24"/>
      <c r="U1564"/>
      <c r="V1564" s="1"/>
      <c r="W1564" s="24"/>
      <c r="X1564"/>
      <c r="Y1564" s="1"/>
      <c r="Z1564" s="24"/>
      <c r="AA1564"/>
      <c r="AB1564" s="1"/>
      <c r="AC1564" s="2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c r="CK1564"/>
      <c r="CL1564"/>
      <c r="CM1564"/>
      <c r="CN1564"/>
      <c r="CO1564"/>
      <c r="CP1564"/>
      <c r="CQ1564"/>
      <c r="CR1564"/>
      <c r="CS1564"/>
    </row>
    <row r="1565" spans="2:97">
      <c r="B1565"/>
      <c r="C1565" s="1"/>
      <c r="D1565" s="1"/>
      <c r="E1565" s="1"/>
      <c r="F1565" s="1"/>
      <c r="G1565" s="1"/>
      <c r="H1565" s="1"/>
      <c r="I1565" s="1"/>
      <c r="J1565" s="1"/>
      <c r="K1565" s="1"/>
      <c r="L1565" s="1"/>
      <c r="M1565" s="1"/>
      <c r="N1565" s="1"/>
      <c r="O1565" s="1"/>
      <c r="P1565" s="1"/>
      <c r="Q1565" s="1"/>
      <c r="R1565"/>
      <c r="S1565" s="1"/>
      <c r="T1565" s="24"/>
      <c r="U1565"/>
      <c r="V1565" s="1"/>
      <c r="W1565" s="24"/>
      <c r="X1565"/>
      <c r="Y1565" s="1"/>
      <c r="Z1565" s="24"/>
      <c r="AA1565"/>
      <c r="AB1565" s="1"/>
      <c r="AC1565" s="24"/>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c r="CA1565"/>
      <c r="CB1565"/>
      <c r="CC1565"/>
      <c r="CD1565"/>
      <c r="CE1565"/>
      <c r="CF1565"/>
      <c r="CG1565"/>
      <c r="CH1565"/>
      <c r="CI1565"/>
      <c r="CJ1565"/>
      <c r="CK1565"/>
      <c r="CL1565"/>
      <c r="CM1565"/>
      <c r="CN1565"/>
      <c r="CO1565"/>
      <c r="CP1565"/>
      <c r="CQ1565"/>
      <c r="CR1565"/>
      <c r="CS1565"/>
    </row>
    <row r="1566" spans="2:97">
      <c r="B1566"/>
      <c r="C1566" s="1"/>
      <c r="D1566" s="1"/>
      <c r="E1566" s="1"/>
      <c r="F1566" s="1"/>
      <c r="G1566" s="1"/>
      <c r="H1566" s="1"/>
      <c r="I1566" s="1"/>
      <c r="J1566" s="1"/>
      <c r="K1566" s="1"/>
      <c r="L1566" s="1"/>
      <c r="M1566" s="1"/>
      <c r="N1566" s="1"/>
      <c r="O1566" s="1"/>
      <c r="P1566" s="1"/>
      <c r="Q1566" s="1"/>
      <c r="R1566"/>
      <c r="S1566" s="1"/>
      <c r="T1566" s="24"/>
      <c r="U1566"/>
      <c r="V1566" s="1"/>
      <c r="W1566" s="24"/>
      <c r="X1566"/>
      <c r="Y1566" s="1"/>
      <c r="Z1566" s="24"/>
      <c r="AA1566"/>
      <c r="AB1566" s="1"/>
      <c r="AC1566" s="24"/>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c r="CA1566"/>
      <c r="CB1566"/>
      <c r="CC1566"/>
      <c r="CD1566"/>
      <c r="CE1566"/>
      <c r="CF1566"/>
      <c r="CG1566"/>
      <c r="CH1566"/>
      <c r="CI1566"/>
      <c r="CJ1566"/>
      <c r="CK1566"/>
      <c r="CL1566"/>
      <c r="CM1566"/>
      <c r="CN1566"/>
      <c r="CO1566"/>
      <c r="CP1566"/>
      <c r="CQ1566"/>
      <c r="CR1566"/>
      <c r="CS1566"/>
    </row>
    <row r="1567" spans="2:97">
      <c r="B1567"/>
      <c r="C1567" s="1"/>
      <c r="D1567" s="1"/>
      <c r="E1567" s="1"/>
      <c r="F1567" s="1"/>
      <c r="G1567" s="1"/>
      <c r="H1567" s="1"/>
      <c r="I1567" s="1"/>
      <c r="J1567" s="1"/>
      <c r="K1567" s="1"/>
      <c r="L1567" s="1"/>
      <c r="M1567" s="1"/>
      <c r="N1567" s="1"/>
      <c r="O1567" s="1"/>
      <c r="P1567" s="1"/>
      <c r="Q1567" s="1"/>
      <c r="R1567"/>
      <c r="S1567" s="1"/>
      <c r="T1567" s="24"/>
      <c r="U1567"/>
      <c r="V1567" s="1"/>
      <c r="W1567" s="24"/>
      <c r="X1567"/>
      <c r="Y1567" s="1"/>
      <c r="Z1567" s="24"/>
      <c r="AA1567"/>
      <c r="AB1567" s="1"/>
      <c r="AC1567" s="24"/>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c r="CA1567"/>
      <c r="CB1567"/>
      <c r="CC1567"/>
      <c r="CD1567"/>
      <c r="CE1567"/>
      <c r="CF1567"/>
      <c r="CG1567"/>
      <c r="CH1567"/>
      <c r="CI1567"/>
      <c r="CJ1567"/>
      <c r="CK1567"/>
      <c r="CL1567"/>
      <c r="CM1567"/>
      <c r="CN1567"/>
      <c r="CO1567"/>
      <c r="CP1567"/>
      <c r="CQ1567"/>
      <c r="CR1567"/>
      <c r="CS1567"/>
    </row>
    <row r="1568" spans="2:97">
      <c r="B1568"/>
      <c r="C1568" s="1"/>
      <c r="D1568" s="1"/>
      <c r="E1568" s="1"/>
      <c r="F1568" s="1"/>
      <c r="G1568" s="1"/>
      <c r="H1568" s="1"/>
      <c r="I1568" s="1"/>
      <c r="J1568" s="1"/>
      <c r="K1568" s="1"/>
      <c r="L1568" s="1"/>
      <c r="M1568" s="1"/>
      <c r="N1568" s="1"/>
      <c r="O1568" s="1"/>
      <c r="P1568" s="1"/>
      <c r="Q1568" s="1"/>
      <c r="R1568"/>
      <c r="S1568" s="1"/>
      <c r="T1568" s="24"/>
      <c r="U1568"/>
      <c r="V1568" s="1"/>
      <c r="W1568" s="24"/>
      <c r="X1568"/>
      <c r="Y1568" s="1"/>
      <c r="Z1568" s="24"/>
      <c r="AA1568"/>
      <c r="AB1568" s="1"/>
      <c r="AC1568" s="24"/>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c r="CA1568"/>
      <c r="CB1568"/>
      <c r="CC1568"/>
      <c r="CD1568"/>
      <c r="CE1568"/>
      <c r="CF1568"/>
      <c r="CG1568"/>
      <c r="CH1568"/>
      <c r="CI1568"/>
      <c r="CJ1568"/>
      <c r="CK1568"/>
      <c r="CL1568"/>
      <c r="CM1568"/>
      <c r="CN1568"/>
      <c r="CO1568"/>
      <c r="CP1568"/>
      <c r="CQ1568"/>
      <c r="CR1568"/>
      <c r="CS1568"/>
    </row>
    <row r="1569" spans="2:97">
      <c r="B1569"/>
      <c r="C1569" s="1"/>
      <c r="D1569" s="1"/>
      <c r="E1569" s="1"/>
      <c r="F1569" s="1"/>
      <c r="G1569" s="1"/>
      <c r="H1569" s="1"/>
      <c r="I1569" s="1"/>
      <c r="J1569" s="1"/>
      <c r="K1569" s="1"/>
      <c r="L1569" s="1"/>
      <c r="M1569" s="1"/>
      <c r="N1569" s="1"/>
      <c r="O1569" s="1"/>
      <c r="P1569" s="1"/>
      <c r="Q1569" s="1"/>
      <c r="R1569"/>
      <c r="S1569" s="1"/>
      <c r="T1569" s="24"/>
      <c r="U1569"/>
      <c r="V1569" s="1"/>
      <c r="W1569" s="24"/>
      <c r="X1569"/>
      <c r="Y1569" s="1"/>
      <c r="Z1569" s="24"/>
      <c r="AA1569"/>
      <c r="AB1569" s="1"/>
      <c r="AC1569" s="24"/>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c r="CA1569"/>
      <c r="CB1569"/>
      <c r="CC1569"/>
      <c r="CD1569"/>
      <c r="CE1569"/>
      <c r="CF1569"/>
      <c r="CG1569"/>
      <c r="CH1569"/>
      <c r="CI1569"/>
      <c r="CJ1569"/>
      <c r="CK1569"/>
      <c r="CL1569"/>
      <c r="CM1569"/>
      <c r="CN1569"/>
      <c r="CO1569"/>
      <c r="CP1569"/>
      <c r="CQ1569"/>
      <c r="CR1569"/>
      <c r="CS1569"/>
    </row>
    <row r="1570" spans="2:97">
      <c r="B1570"/>
      <c r="C1570" s="1"/>
      <c r="D1570" s="1"/>
      <c r="E1570" s="1"/>
      <c r="F1570" s="1"/>
      <c r="G1570" s="1"/>
      <c r="H1570" s="1"/>
      <c r="I1570" s="1"/>
      <c r="J1570" s="1"/>
      <c r="K1570" s="1"/>
      <c r="L1570" s="1"/>
      <c r="M1570" s="1"/>
      <c r="N1570" s="1"/>
      <c r="O1570" s="1"/>
      <c r="P1570" s="1"/>
      <c r="Q1570" s="1"/>
      <c r="R1570"/>
      <c r="S1570" s="1"/>
      <c r="T1570" s="24"/>
      <c r="U1570"/>
      <c r="V1570" s="1"/>
      <c r="W1570" s="24"/>
      <c r="X1570"/>
      <c r="Y1570" s="1"/>
      <c r="Z1570" s="24"/>
      <c r="AA1570"/>
      <c r="AB1570" s="1"/>
      <c r="AC1570" s="24"/>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c r="CA1570"/>
      <c r="CB1570"/>
      <c r="CC1570"/>
      <c r="CD1570"/>
      <c r="CE1570"/>
      <c r="CF1570"/>
      <c r="CG1570"/>
      <c r="CH1570"/>
      <c r="CI1570"/>
      <c r="CJ1570"/>
      <c r="CK1570"/>
      <c r="CL1570"/>
      <c r="CM1570"/>
      <c r="CN1570"/>
      <c r="CO1570"/>
      <c r="CP1570"/>
      <c r="CQ1570"/>
      <c r="CR1570"/>
      <c r="CS1570"/>
    </row>
    <row r="1571" spans="2:97">
      <c r="B1571"/>
      <c r="C1571" s="1"/>
      <c r="D1571" s="1"/>
      <c r="E1571" s="1"/>
      <c r="F1571" s="1"/>
      <c r="G1571" s="1"/>
      <c r="H1571" s="1"/>
      <c r="I1571" s="1"/>
      <c r="J1571" s="1"/>
      <c r="K1571" s="1"/>
      <c r="L1571" s="1"/>
      <c r="M1571" s="1"/>
      <c r="N1571" s="1"/>
      <c r="O1571" s="1"/>
      <c r="P1571" s="1"/>
      <c r="Q1571" s="1"/>
      <c r="R1571"/>
      <c r="S1571" s="1"/>
      <c r="T1571" s="24"/>
      <c r="U1571"/>
      <c r="V1571" s="1"/>
      <c r="W1571" s="24"/>
      <c r="X1571"/>
      <c r="Y1571" s="1"/>
      <c r="Z1571" s="24"/>
      <c r="AA1571"/>
      <c r="AB1571" s="1"/>
      <c r="AC1571" s="24"/>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c r="CA1571"/>
      <c r="CB1571"/>
      <c r="CC1571"/>
      <c r="CD1571"/>
      <c r="CE1571"/>
      <c r="CF1571"/>
      <c r="CG1571"/>
      <c r="CH1571"/>
      <c r="CI1571"/>
      <c r="CJ1571"/>
      <c r="CK1571"/>
      <c r="CL1571"/>
      <c r="CM1571"/>
      <c r="CN1571"/>
      <c r="CO1571"/>
      <c r="CP1571"/>
      <c r="CQ1571"/>
      <c r="CR1571"/>
      <c r="CS1571"/>
    </row>
    <row r="1572" spans="2:97">
      <c r="B1572"/>
      <c r="C1572" s="1"/>
      <c r="D1572" s="1"/>
      <c r="E1572" s="1"/>
      <c r="F1572" s="1"/>
      <c r="G1572" s="1"/>
      <c r="H1572" s="1"/>
      <c r="I1572" s="1"/>
      <c r="J1572" s="1"/>
      <c r="K1572" s="1"/>
      <c r="L1572" s="1"/>
      <c r="M1572" s="1"/>
      <c r="N1572" s="1"/>
      <c r="O1572" s="1"/>
      <c r="P1572" s="1"/>
      <c r="Q1572" s="1"/>
      <c r="R1572"/>
      <c r="S1572" s="1"/>
      <c r="T1572" s="24"/>
      <c r="U1572"/>
      <c r="V1572" s="1"/>
      <c r="W1572" s="24"/>
      <c r="X1572"/>
      <c r="Y1572" s="1"/>
      <c r="Z1572" s="24"/>
      <c r="AA1572"/>
      <c r="AB1572" s="1"/>
      <c r="AC1572" s="24"/>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c r="CA1572"/>
      <c r="CB1572"/>
      <c r="CC1572"/>
      <c r="CD1572"/>
      <c r="CE1572"/>
      <c r="CF1572"/>
      <c r="CG1572"/>
      <c r="CH1572"/>
      <c r="CI1572"/>
      <c r="CJ1572"/>
      <c r="CK1572"/>
      <c r="CL1572"/>
      <c r="CM1572"/>
      <c r="CN1572"/>
      <c r="CO1572"/>
      <c r="CP1572"/>
      <c r="CQ1572"/>
      <c r="CR1572"/>
      <c r="CS1572"/>
    </row>
    <row r="1573" spans="2:97">
      <c r="B1573"/>
      <c r="C1573" s="1"/>
      <c r="D1573" s="1"/>
      <c r="E1573" s="1"/>
      <c r="F1573" s="1"/>
      <c r="G1573" s="1"/>
      <c r="H1573" s="1"/>
      <c r="I1573" s="1"/>
      <c r="J1573" s="1"/>
      <c r="K1573" s="1"/>
      <c r="L1573" s="1"/>
      <c r="M1573" s="1"/>
      <c r="N1573" s="1"/>
      <c r="O1573" s="1"/>
      <c r="P1573" s="1"/>
      <c r="Q1573" s="1"/>
      <c r="R1573"/>
      <c r="S1573" s="1"/>
      <c r="T1573" s="24"/>
      <c r="U1573"/>
      <c r="V1573" s="1"/>
      <c r="W1573" s="24"/>
      <c r="X1573"/>
      <c r="Y1573" s="1"/>
      <c r="Z1573" s="24"/>
      <c r="AA1573"/>
      <c r="AB1573" s="1"/>
      <c r="AC1573" s="24"/>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c r="CA1573"/>
      <c r="CB1573"/>
      <c r="CC1573"/>
      <c r="CD1573"/>
      <c r="CE1573"/>
      <c r="CF1573"/>
      <c r="CG1573"/>
      <c r="CH1573"/>
      <c r="CI1573"/>
      <c r="CJ1573"/>
      <c r="CK1573"/>
      <c r="CL1573"/>
      <c r="CM1573"/>
      <c r="CN1573"/>
      <c r="CO1573"/>
      <c r="CP1573"/>
      <c r="CQ1573"/>
      <c r="CR1573"/>
      <c r="CS1573"/>
    </row>
    <row r="1574" spans="2:97">
      <c r="B1574"/>
      <c r="C1574" s="1"/>
      <c r="D1574" s="1"/>
      <c r="E1574" s="1"/>
      <c r="F1574" s="1"/>
      <c r="G1574" s="1"/>
      <c r="H1574" s="1"/>
      <c r="I1574" s="1"/>
      <c r="J1574" s="1"/>
      <c r="K1574" s="1"/>
      <c r="L1574" s="1"/>
      <c r="M1574" s="1"/>
      <c r="N1574" s="1"/>
      <c r="O1574" s="1"/>
      <c r="P1574" s="1"/>
      <c r="Q1574" s="1"/>
      <c r="R1574"/>
      <c r="S1574" s="1"/>
      <c r="T1574" s="24"/>
      <c r="U1574"/>
      <c r="V1574" s="1"/>
      <c r="W1574" s="24"/>
      <c r="X1574"/>
      <c r="Y1574" s="1"/>
      <c r="Z1574" s="24"/>
      <c r="AA1574"/>
      <c r="AB1574" s="1"/>
      <c r="AC1574" s="24"/>
      <c r="AD1574"/>
      <c r="AE1574"/>
      <c r="AF1574"/>
      <c r="AG1574"/>
      <c r="AH1574"/>
      <c r="AI1574"/>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c r="CA1574"/>
      <c r="CB1574"/>
      <c r="CC1574"/>
      <c r="CD1574"/>
      <c r="CE1574"/>
      <c r="CF1574"/>
      <c r="CG1574"/>
      <c r="CH1574"/>
      <c r="CI1574"/>
      <c r="CJ1574"/>
      <c r="CK1574"/>
      <c r="CL1574"/>
      <c r="CM1574"/>
      <c r="CN1574"/>
      <c r="CO1574"/>
      <c r="CP1574"/>
      <c r="CQ1574"/>
      <c r="CR1574"/>
      <c r="CS1574"/>
    </row>
    <row r="1575" spans="2:97">
      <c r="B1575"/>
      <c r="C1575" s="1"/>
      <c r="D1575" s="1"/>
      <c r="E1575" s="1"/>
      <c r="F1575" s="1"/>
      <c r="G1575" s="1"/>
      <c r="H1575" s="1"/>
      <c r="I1575" s="1"/>
      <c r="J1575" s="1"/>
      <c r="K1575" s="1"/>
      <c r="L1575" s="1"/>
      <c r="M1575" s="1"/>
      <c r="N1575" s="1"/>
      <c r="O1575" s="1"/>
      <c r="P1575" s="1"/>
      <c r="Q1575" s="1"/>
      <c r="R1575"/>
      <c r="S1575" s="1"/>
      <c r="T1575" s="24"/>
      <c r="U1575"/>
      <c r="V1575" s="1"/>
      <c r="W1575" s="24"/>
      <c r="X1575"/>
      <c r="Y1575" s="1"/>
      <c r="Z1575" s="24"/>
      <c r="AA1575"/>
      <c r="AB1575" s="1"/>
      <c r="AC1575" s="24"/>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c r="CA1575"/>
      <c r="CB1575"/>
      <c r="CC1575"/>
      <c r="CD1575"/>
      <c r="CE1575"/>
      <c r="CF1575"/>
      <c r="CG1575"/>
      <c r="CH1575"/>
      <c r="CI1575"/>
      <c r="CJ1575"/>
      <c r="CK1575"/>
      <c r="CL1575"/>
      <c r="CM1575"/>
      <c r="CN1575"/>
      <c r="CO1575"/>
      <c r="CP1575"/>
      <c r="CQ1575"/>
      <c r="CR1575"/>
      <c r="CS1575"/>
    </row>
    <row r="1576" spans="2:97">
      <c r="B1576"/>
      <c r="C1576" s="1"/>
      <c r="D1576" s="1"/>
      <c r="E1576" s="1"/>
      <c r="F1576" s="1"/>
      <c r="G1576" s="1"/>
      <c r="H1576" s="1"/>
      <c r="I1576" s="1"/>
      <c r="J1576" s="1"/>
      <c r="K1576" s="1"/>
      <c r="L1576" s="1"/>
      <c r="M1576" s="1"/>
      <c r="N1576" s="1"/>
      <c r="O1576" s="1"/>
      <c r="P1576" s="1"/>
      <c r="Q1576" s="1"/>
      <c r="R1576"/>
      <c r="S1576" s="1"/>
      <c r="T1576" s="24"/>
      <c r="U1576"/>
      <c r="V1576" s="1"/>
      <c r="W1576" s="24"/>
      <c r="X1576"/>
      <c r="Y1576" s="1"/>
      <c r="Z1576" s="24"/>
      <c r="AA1576"/>
      <c r="AB1576" s="1"/>
      <c r="AC1576" s="24"/>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c r="CA1576"/>
      <c r="CB1576"/>
      <c r="CC1576"/>
      <c r="CD1576"/>
      <c r="CE1576"/>
      <c r="CF1576"/>
      <c r="CG1576"/>
      <c r="CH1576"/>
      <c r="CI1576"/>
      <c r="CJ1576"/>
      <c r="CK1576"/>
      <c r="CL1576"/>
      <c r="CM1576"/>
      <c r="CN1576"/>
      <c r="CO1576"/>
      <c r="CP1576"/>
      <c r="CQ1576"/>
      <c r="CR1576"/>
      <c r="CS1576"/>
    </row>
    <row r="1577" spans="2:97">
      <c r="B1577"/>
      <c r="C1577" s="1"/>
      <c r="D1577" s="1"/>
      <c r="E1577" s="1"/>
      <c r="F1577" s="1"/>
      <c r="G1577" s="1"/>
      <c r="H1577" s="1"/>
      <c r="I1577" s="1"/>
      <c r="J1577" s="1"/>
      <c r="K1577" s="1"/>
      <c r="L1577" s="1"/>
      <c r="M1577" s="1"/>
      <c r="N1577" s="1"/>
      <c r="O1577" s="1"/>
      <c r="P1577" s="1"/>
      <c r="Q1577" s="1"/>
      <c r="R1577"/>
      <c r="S1577" s="1"/>
      <c r="T1577" s="24"/>
      <c r="U1577"/>
      <c r="V1577" s="1"/>
      <c r="W1577" s="24"/>
      <c r="X1577"/>
      <c r="Y1577" s="1"/>
      <c r="Z1577" s="24"/>
      <c r="AA1577"/>
      <c r="AB1577" s="1"/>
      <c r="AC1577" s="24"/>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c r="CA1577"/>
      <c r="CB1577"/>
      <c r="CC1577"/>
      <c r="CD1577"/>
      <c r="CE1577"/>
      <c r="CF1577"/>
      <c r="CG1577"/>
      <c r="CH1577"/>
      <c r="CI1577"/>
      <c r="CJ1577"/>
      <c r="CK1577"/>
      <c r="CL1577"/>
      <c r="CM1577"/>
      <c r="CN1577"/>
      <c r="CO1577"/>
      <c r="CP1577"/>
      <c r="CQ1577"/>
      <c r="CR1577"/>
      <c r="CS1577"/>
    </row>
    <row r="1578" spans="2:97">
      <c r="B1578"/>
      <c r="C1578" s="1"/>
      <c r="D1578" s="1"/>
      <c r="E1578" s="1"/>
      <c r="F1578" s="1"/>
      <c r="G1578" s="1"/>
      <c r="H1578" s="1"/>
      <c r="I1578" s="1"/>
      <c r="J1578" s="1"/>
      <c r="K1578" s="1"/>
      <c r="L1578" s="1"/>
      <c r="M1578" s="1"/>
      <c r="N1578" s="1"/>
      <c r="O1578" s="1"/>
      <c r="P1578" s="1"/>
      <c r="Q1578" s="1"/>
      <c r="R1578"/>
      <c r="S1578" s="1"/>
      <c r="T1578" s="24"/>
      <c r="U1578"/>
      <c r="V1578" s="1"/>
      <c r="W1578" s="24"/>
      <c r="X1578"/>
      <c r="Y1578" s="1"/>
      <c r="Z1578" s="24"/>
      <c r="AA1578"/>
      <c r="AB1578" s="1"/>
      <c r="AC1578" s="24"/>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c r="CA1578"/>
      <c r="CB1578"/>
      <c r="CC1578"/>
      <c r="CD1578"/>
      <c r="CE1578"/>
      <c r="CF1578"/>
      <c r="CG1578"/>
      <c r="CH1578"/>
      <c r="CI1578"/>
      <c r="CJ1578"/>
      <c r="CK1578"/>
      <c r="CL1578"/>
      <c r="CM1578"/>
      <c r="CN1578"/>
      <c r="CO1578"/>
      <c r="CP1578"/>
      <c r="CQ1578"/>
      <c r="CR1578"/>
      <c r="CS1578"/>
    </row>
    <row r="1579" spans="2:97">
      <c r="B1579"/>
      <c r="C1579" s="1"/>
      <c r="D1579" s="1"/>
      <c r="E1579" s="1"/>
      <c r="F1579" s="1"/>
      <c r="G1579" s="1"/>
      <c r="H1579" s="1"/>
      <c r="I1579" s="1"/>
      <c r="J1579" s="1"/>
      <c r="K1579" s="1"/>
      <c r="L1579" s="1"/>
      <c r="M1579" s="1"/>
      <c r="N1579" s="1"/>
      <c r="O1579" s="1"/>
      <c r="P1579" s="1"/>
      <c r="Q1579" s="1"/>
      <c r="R1579"/>
      <c r="S1579" s="1"/>
      <c r="T1579" s="24"/>
      <c r="U1579"/>
      <c r="V1579" s="1"/>
      <c r="W1579" s="24"/>
      <c r="X1579"/>
      <c r="Y1579" s="1"/>
      <c r="Z1579" s="24"/>
      <c r="AA1579"/>
      <c r="AB1579" s="1"/>
      <c r="AC1579" s="24"/>
      <c r="AD1579"/>
      <c r="AE1579"/>
      <c r="AF1579"/>
      <c r="AG1579"/>
      <c r="AH1579"/>
      <c r="AI1579"/>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c r="CA1579"/>
      <c r="CB1579"/>
      <c r="CC1579"/>
      <c r="CD1579"/>
      <c r="CE1579"/>
      <c r="CF1579"/>
      <c r="CG1579"/>
      <c r="CH1579"/>
      <c r="CI1579"/>
      <c r="CJ1579"/>
      <c r="CK1579"/>
      <c r="CL1579"/>
      <c r="CM1579"/>
      <c r="CN1579"/>
      <c r="CO1579"/>
      <c r="CP1579"/>
      <c r="CQ1579"/>
      <c r="CR1579"/>
      <c r="CS1579"/>
    </row>
    <row r="1580" spans="2:97">
      <c r="B1580"/>
      <c r="C1580" s="1"/>
      <c r="D1580" s="1"/>
      <c r="E1580" s="1"/>
      <c r="F1580" s="1"/>
      <c r="G1580" s="1"/>
      <c r="H1580" s="1"/>
      <c r="I1580" s="1"/>
      <c r="J1580" s="1"/>
      <c r="K1580" s="1"/>
      <c r="L1580" s="1"/>
      <c r="M1580" s="1"/>
      <c r="N1580" s="1"/>
      <c r="O1580" s="1"/>
      <c r="P1580" s="1"/>
      <c r="Q1580" s="1"/>
      <c r="R1580"/>
      <c r="S1580" s="1"/>
      <c r="T1580" s="24"/>
      <c r="U1580"/>
      <c r="V1580" s="1"/>
      <c r="W1580" s="24"/>
      <c r="X1580"/>
      <c r="Y1580" s="1"/>
      <c r="Z1580" s="24"/>
      <c r="AA1580"/>
      <c r="AB1580" s="1"/>
      <c r="AC1580" s="24"/>
      <c r="AD1580"/>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c r="CA1580"/>
      <c r="CB1580"/>
      <c r="CC1580"/>
      <c r="CD1580"/>
      <c r="CE1580"/>
      <c r="CF1580"/>
      <c r="CG1580"/>
      <c r="CH1580"/>
      <c r="CI1580"/>
      <c r="CJ1580"/>
      <c r="CK1580"/>
      <c r="CL1580"/>
      <c r="CM1580"/>
      <c r="CN1580"/>
      <c r="CO1580"/>
      <c r="CP1580"/>
      <c r="CQ1580"/>
      <c r="CR1580"/>
      <c r="CS1580"/>
    </row>
    <row r="1581" spans="2:97">
      <c r="B1581"/>
      <c r="C1581" s="1"/>
      <c r="D1581" s="1"/>
      <c r="E1581" s="1"/>
      <c r="F1581" s="1"/>
      <c r="G1581" s="1"/>
      <c r="H1581" s="1"/>
      <c r="I1581" s="1"/>
      <c r="J1581" s="1"/>
      <c r="K1581" s="1"/>
      <c r="L1581" s="1"/>
      <c r="M1581" s="1"/>
      <c r="N1581" s="1"/>
      <c r="O1581" s="1"/>
      <c r="P1581" s="1"/>
      <c r="Q1581" s="1"/>
      <c r="R1581"/>
      <c r="S1581" s="1"/>
      <c r="T1581" s="24"/>
      <c r="U1581"/>
      <c r="V1581" s="1"/>
      <c r="W1581" s="24"/>
      <c r="X1581"/>
      <c r="Y1581" s="1"/>
      <c r="Z1581" s="24"/>
      <c r="AA1581"/>
      <c r="AB1581" s="1"/>
      <c r="AC1581" s="24"/>
      <c r="AD1581"/>
      <c r="AE1581"/>
      <c r="AF1581"/>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c r="CA1581"/>
      <c r="CB1581"/>
      <c r="CC1581"/>
      <c r="CD1581"/>
      <c r="CE1581"/>
      <c r="CF1581"/>
      <c r="CG1581"/>
      <c r="CH1581"/>
      <c r="CI1581"/>
      <c r="CJ1581"/>
      <c r="CK1581"/>
      <c r="CL1581"/>
      <c r="CM1581"/>
      <c r="CN1581"/>
      <c r="CO1581"/>
      <c r="CP1581"/>
      <c r="CQ1581"/>
      <c r="CR1581"/>
      <c r="CS1581"/>
    </row>
    <row r="1582" spans="2:97">
      <c r="B1582"/>
      <c r="C1582" s="1"/>
      <c r="D1582" s="1"/>
      <c r="E1582" s="1"/>
      <c r="F1582" s="1"/>
      <c r="G1582" s="1"/>
      <c r="H1582" s="1"/>
      <c r="I1582" s="1"/>
      <c r="J1582" s="1"/>
      <c r="K1582" s="1"/>
      <c r="L1582" s="1"/>
      <c r="M1582" s="1"/>
      <c r="N1582" s="1"/>
      <c r="O1582" s="1"/>
      <c r="P1582" s="1"/>
      <c r="Q1582" s="1"/>
      <c r="R1582"/>
      <c r="S1582" s="1"/>
      <c r="T1582" s="24"/>
      <c r="U1582"/>
      <c r="V1582" s="1"/>
      <c r="W1582" s="24"/>
      <c r="X1582"/>
      <c r="Y1582" s="1"/>
      <c r="Z1582" s="24"/>
      <c r="AA1582"/>
      <c r="AB1582" s="1"/>
      <c r="AC1582" s="24"/>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c r="CA1582"/>
      <c r="CB1582"/>
      <c r="CC1582"/>
      <c r="CD1582"/>
      <c r="CE1582"/>
      <c r="CF1582"/>
      <c r="CG1582"/>
      <c r="CH1582"/>
      <c r="CI1582"/>
      <c r="CJ1582"/>
      <c r="CK1582"/>
      <c r="CL1582"/>
      <c r="CM1582"/>
      <c r="CN1582"/>
      <c r="CO1582"/>
      <c r="CP1582"/>
      <c r="CQ1582"/>
      <c r="CR1582"/>
      <c r="CS1582"/>
    </row>
    <row r="1583" spans="2:97">
      <c r="B1583"/>
      <c r="C1583" s="1"/>
      <c r="D1583" s="1"/>
      <c r="E1583" s="1"/>
      <c r="F1583" s="1"/>
      <c r="G1583" s="1"/>
      <c r="H1583" s="1"/>
      <c r="I1583" s="1"/>
      <c r="J1583" s="1"/>
      <c r="K1583" s="1"/>
      <c r="L1583" s="1"/>
      <c r="M1583" s="1"/>
      <c r="N1583" s="1"/>
      <c r="O1583" s="1"/>
      <c r="P1583" s="1"/>
      <c r="Q1583" s="1"/>
      <c r="R1583"/>
      <c r="S1583" s="1"/>
      <c r="T1583" s="24"/>
      <c r="U1583"/>
      <c r="V1583" s="1"/>
      <c r="W1583" s="24"/>
      <c r="X1583"/>
      <c r="Y1583" s="1"/>
      <c r="Z1583" s="24"/>
      <c r="AA1583"/>
      <c r="AB1583" s="1"/>
      <c r="AC1583" s="24"/>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c r="CA1583"/>
      <c r="CB1583"/>
      <c r="CC1583"/>
      <c r="CD1583"/>
      <c r="CE1583"/>
      <c r="CF1583"/>
      <c r="CG1583"/>
      <c r="CH1583"/>
      <c r="CI1583"/>
      <c r="CJ1583"/>
      <c r="CK1583"/>
      <c r="CL1583"/>
      <c r="CM1583"/>
      <c r="CN1583"/>
      <c r="CO1583"/>
      <c r="CP1583"/>
      <c r="CQ1583"/>
      <c r="CR1583"/>
      <c r="CS1583"/>
    </row>
    <row r="1584" spans="2:97">
      <c r="B1584"/>
      <c r="C1584" s="1"/>
      <c r="D1584" s="1"/>
      <c r="E1584" s="1"/>
      <c r="F1584" s="1"/>
      <c r="G1584" s="1"/>
      <c r="H1584" s="1"/>
      <c r="I1584" s="1"/>
      <c r="J1584" s="1"/>
      <c r="K1584" s="1"/>
      <c r="L1584" s="1"/>
      <c r="M1584" s="1"/>
      <c r="N1584" s="1"/>
      <c r="O1584" s="1"/>
      <c r="P1584" s="1"/>
      <c r="Q1584" s="1"/>
      <c r="R1584"/>
      <c r="S1584" s="1"/>
      <c r="T1584" s="24"/>
      <c r="U1584"/>
      <c r="V1584" s="1"/>
      <c r="W1584" s="24"/>
      <c r="X1584"/>
      <c r="Y1584" s="1"/>
      <c r="Z1584" s="24"/>
      <c r="AA1584"/>
      <c r="AB1584" s="1"/>
      <c r="AC1584" s="2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c r="CA1584"/>
      <c r="CB1584"/>
      <c r="CC1584"/>
      <c r="CD1584"/>
      <c r="CE1584"/>
      <c r="CF1584"/>
      <c r="CG1584"/>
      <c r="CH1584"/>
      <c r="CI1584"/>
      <c r="CJ1584"/>
      <c r="CK1584"/>
      <c r="CL1584"/>
      <c r="CM1584"/>
      <c r="CN1584"/>
      <c r="CO1584"/>
      <c r="CP1584"/>
      <c r="CQ1584"/>
      <c r="CR1584"/>
      <c r="CS1584"/>
    </row>
    <row r="1585" spans="2:97">
      <c r="B1585"/>
      <c r="C1585" s="1"/>
      <c r="D1585" s="1"/>
      <c r="E1585" s="1"/>
      <c r="F1585" s="1"/>
      <c r="G1585" s="1"/>
      <c r="H1585" s="1"/>
      <c r="I1585" s="1"/>
      <c r="J1585" s="1"/>
      <c r="K1585" s="1"/>
      <c r="L1585" s="1"/>
      <c r="M1585" s="1"/>
      <c r="N1585" s="1"/>
      <c r="O1585" s="1"/>
      <c r="P1585" s="1"/>
      <c r="Q1585" s="1"/>
      <c r="R1585"/>
      <c r="S1585" s="1"/>
      <c r="T1585" s="24"/>
      <c r="U1585"/>
      <c r="V1585" s="1"/>
      <c r="W1585" s="24"/>
      <c r="X1585"/>
      <c r="Y1585" s="1"/>
      <c r="Z1585" s="24"/>
      <c r="AA1585"/>
      <c r="AB1585" s="1"/>
      <c r="AC1585" s="24"/>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c r="CA1585"/>
      <c r="CB1585"/>
      <c r="CC1585"/>
      <c r="CD1585"/>
      <c r="CE1585"/>
      <c r="CF1585"/>
      <c r="CG1585"/>
      <c r="CH1585"/>
      <c r="CI1585"/>
      <c r="CJ1585"/>
      <c r="CK1585"/>
      <c r="CL1585"/>
      <c r="CM1585"/>
      <c r="CN1585"/>
      <c r="CO1585"/>
      <c r="CP1585"/>
      <c r="CQ1585"/>
      <c r="CR1585"/>
      <c r="CS1585"/>
    </row>
    <row r="1586" spans="2:97">
      <c r="B1586"/>
      <c r="C1586" s="1"/>
      <c r="D1586" s="1"/>
      <c r="E1586" s="1"/>
      <c r="F1586" s="1"/>
      <c r="G1586" s="1"/>
      <c r="H1586" s="1"/>
      <c r="I1586" s="1"/>
      <c r="J1586" s="1"/>
      <c r="K1586" s="1"/>
      <c r="L1586" s="1"/>
      <c r="M1586" s="1"/>
      <c r="N1586" s="1"/>
      <c r="O1586" s="1"/>
      <c r="P1586" s="1"/>
      <c r="Q1586" s="1"/>
      <c r="R1586"/>
      <c r="S1586" s="1"/>
      <c r="T1586" s="24"/>
      <c r="U1586"/>
      <c r="V1586" s="1"/>
      <c r="W1586" s="24"/>
      <c r="X1586"/>
      <c r="Y1586" s="1"/>
      <c r="Z1586" s="24"/>
      <c r="AA1586"/>
      <c r="AB1586" s="1"/>
      <c r="AC1586" s="24"/>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c r="CA1586"/>
      <c r="CB1586"/>
      <c r="CC1586"/>
      <c r="CD1586"/>
      <c r="CE1586"/>
      <c r="CF1586"/>
      <c r="CG1586"/>
      <c r="CH1586"/>
      <c r="CI1586"/>
      <c r="CJ1586"/>
      <c r="CK1586"/>
      <c r="CL1586"/>
      <c r="CM1586"/>
      <c r="CN1586"/>
      <c r="CO1586"/>
      <c r="CP1586"/>
      <c r="CQ1586"/>
      <c r="CR1586"/>
      <c r="CS1586"/>
    </row>
    <row r="1587" spans="2:97">
      <c r="B1587"/>
      <c r="C1587" s="1"/>
      <c r="D1587" s="1"/>
      <c r="E1587" s="1"/>
      <c r="F1587" s="1"/>
      <c r="G1587" s="1"/>
      <c r="H1587" s="1"/>
      <c r="I1587" s="1"/>
      <c r="J1587" s="1"/>
      <c r="K1587" s="1"/>
      <c r="L1587" s="1"/>
      <c r="M1587" s="1"/>
      <c r="N1587" s="1"/>
      <c r="O1587" s="1"/>
      <c r="P1587" s="1"/>
      <c r="Q1587" s="1"/>
      <c r="R1587"/>
      <c r="S1587" s="1"/>
      <c r="T1587" s="24"/>
      <c r="U1587"/>
      <c r="V1587" s="1"/>
      <c r="W1587" s="24"/>
      <c r="X1587"/>
      <c r="Y1587" s="1"/>
      <c r="Z1587" s="24"/>
      <c r="AA1587"/>
      <c r="AB1587" s="1"/>
      <c r="AC1587" s="24"/>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c r="CA1587"/>
      <c r="CB1587"/>
      <c r="CC1587"/>
      <c r="CD1587"/>
      <c r="CE1587"/>
      <c r="CF1587"/>
      <c r="CG1587"/>
      <c r="CH1587"/>
      <c r="CI1587"/>
      <c r="CJ1587"/>
      <c r="CK1587"/>
      <c r="CL1587"/>
      <c r="CM1587"/>
      <c r="CN1587"/>
      <c r="CO1587"/>
      <c r="CP1587"/>
      <c r="CQ1587"/>
      <c r="CR1587"/>
      <c r="CS1587"/>
    </row>
    <row r="1588" spans="2:97">
      <c r="B1588"/>
      <c r="C1588" s="1"/>
      <c r="D1588" s="1"/>
      <c r="E1588" s="1"/>
      <c r="F1588" s="1"/>
      <c r="G1588" s="1"/>
      <c r="H1588" s="1"/>
      <c r="I1588" s="1"/>
      <c r="J1588" s="1"/>
      <c r="K1588" s="1"/>
      <c r="L1588" s="1"/>
      <c r="M1588" s="1"/>
      <c r="N1588" s="1"/>
      <c r="O1588" s="1"/>
      <c r="P1588" s="1"/>
      <c r="Q1588" s="1"/>
      <c r="R1588"/>
      <c r="S1588" s="1"/>
      <c r="T1588" s="24"/>
      <c r="U1588"/>
      <c r="V1588" s="1"/>
      <c r="W1588" s="24"/>
      <c r="X1588"/>
      <c r="Y1588" s="1"/>
      <c r="Z1588" s="24"/>
      <c r="AA1588"/>
      <c r="AB1588" s="1"/>
      <c r="AC1588" s="24"/>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c r="CA1588"/>
      <c r="CB1588"/>
      <c r="CC1588"/>
      <c r="CD1588"/>
      <c r="CE1588"/>
      <c r="CF1588"/>
      <c r="CG1588"/>
      <c r="CH1588"/>
      <c r="CI1588"/>
      <c r="CJ1588"/>
      <c r="CK1588"/>
      <c r="CL1588"/>
      <c r="CM1588"/>
      <c r="CN1588"/>
      <c r="CO1588"/>
      <c r="CP1588"/>
      <c r="CQ1588"/>
      <c r="CR1588"/>
      <c r="CS1588"/>
    </row>
    <row r="1589" spans="2:97">
      <c r="B1589"/>
      <c r="C1589" s="1"/>
      <c r="D1589" s="1"/>
      <c r="E1589" s="1"/>
      <c r="F1589" s="1"/>
      <c r="G1589" s="1"/>
      <c r="H1589" s="1"/>
      <c r="I1589" s="1"/>
      <c r="J1589" s="1"/>
      <c r="K1589" s="1"/>
      <c r="L1589" s="1"/>
      <c r="M1589" s="1"/>
      <c r="N1589" s="1"/>
      <c r="O1589" s="1"/>
      <c r="P1589" s="1"/>
      <c r="Q1589" s="1"/>
      <c r="R1589"/>
      <c r="S1589" s="1"/>
      <c r="T1589" s="24"/>
      <c r="U1589"/>
      <c r="V1589" s="1"/>
      <c r="W1589" s="24"/>
      <c r="X1589"/>
      <c r="Y1589" s="1"/>
      <c r="Z1589" s="24"/>
      <c r="AA1589"/>
      <c r="AB1589" s="1"/>
      <c r="AC1589" s="24"/>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c r="CA1589"/>
      <c r="CB1589"/>
      <c r="CC1589"/>
      <c r="CD1589"/>
      <c r="CE1589"/>
      <c r="CF1589"/>
      <c r="CG1589"/>
      <c r="CH1589"/>
      <c r="CI1589"/>
      <c r="CJ1589"/>
      <c r="CK1589"/>
      <c r="CL1589"/>
      <c r="CM1589"/>
      <c r="CN1589"/>
      <c r="CO1589"/>
      <c r="CP1589"/>
      <c r="CQ1589"/>
      <c r="CR1589"/>
      <c r="CS1589"/>
    </row>
    <row r="1590" spans="2:97">
      <c r="B1590"/>
      <c r="C1590" s="1"/>
      <c r="D1590" s="1"/>
      <c r="E1590" s="1"/>
      <c r="F1590" s="1"/>
      <c r="G1590" s="1"/>
      <c r="H1590" s="1"/>
      <c r="I1590" s="1"/>
      <c r="J1590" s="1"/>
      <c r="K1590" s="1"/>
      <c r="L1590" s="1"/>
      <c r="M1590" s="1"/>
      <c r="N1590" s="1"/>
      <c r="O1590" s="1"/>
      <c r="P1590" s="1"/>
      <c r="Q1590" s="1"/>
      <c r="R1590"/>
      <c r="S1590" s="1"/>
      <c r="T1590" s="24"/>
      <c r="U1590"/>
      <c r="V1590" s="1"/>
      <c r="W1590" s="24"/>
      <c r="X1590"/>
      <c r="Y1590" s="1"/>
      <c r="Z1590" s="24"/>
      <c r="AA1590"/>
      <c r="AB1590" s="1"/>
      <c r="AC1590" s="24"/>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c r="CA1590"/>
      <c r="CB1590"/>
      <c r="CC1590"/>
      <c r="CD1590"/>
      <c r="CE1590"/>
      <c r="CF1590"/>
      <c r="CG1590"/>
      <c r="CH1590"/>
      <c r="CI1590"/>
      <c r="CJ1590"/>
      <c r="CK1590"/>
      <c r="CL1590"/>
      <c r="CM1590"/>
      <c r="CN1590"/>
      <c r="CO1590"/>
      <c r="CP1590"/>
      <c r="CQ1590"/>
      <c r="CR1590"/>
      <c r="CS1590"/>
    </row>
    <row r="1591" spans="2:97">
      <c r="B1591"/>
      <c r="C1591" s="1"/>
      <c r="D1591" s="1"/>
      <c r="E1591" s="1"/>
      <c r="F1591" s="1"/>
      <c r="G1591" s="1"/>
      <c r="H1591" s="1"/>
      <c r="I1591" s="1"/>
      <c r="J1591" s="1"/>
      <c r="K1591" s="1"/>
      <c r="L1591" s="1"/>
      <c r="M1591" s="1"/>
      <c r="N1591" s="1"/>
      <c r="O1591" s="1"/>
      <c r="P1591" s="1"/>
      <c r="Q1591" s="1"/>
      <c r="R1591"/>
      <c r="S1591" s="1"/>
      <c r="T1591" s="24"/>
      <c r="U1591"/>
      <c r="V1591" s="1"/>
      <c r="W1591" s="24"/>
      <c r="X1591"/>
      <c r="Y1591" s="1"/>
      <c r="Z1591" s="24"/>
      <c r="AA1591"/>
      <c r="AB1591" s="1"/>
      <c r="AC1591" s="24"/>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c r="CA1591"/>
      <c r="CB1591"/>
      <c r="CC1591"/>
      <c r="CD1591"/>
      <c r="CE1591"/>
      <c r="CF1591"/>
      <c r="CG1591"/>
      <c r="CH1591"/>
      <c r="CI1591"/>
      <c r="CJ1591"/>
      <c r="CK1591"/>
      <c r="CL1591"/>
      <c r="CM1591"/>
      <c r="CN1591"/>
      <c r="CO1591"/>
      <c r="CP1591"/>
      <c r="CQ1591"/>
      <c r="CR1591"/>
      <c r="CS1591"/>
    </row>
    <row r="1592" spans="2:97">
      <c r="B1592"/>
      <c r="C1592" s="1"/>
      <c r="D1592" s="1"/>
      <c r="E1592" s="1"/>
      <c r="F1592" s="1"/>
      <c r="G1592" s="1"/>
      <c r="H1592" s="1"/>
      <c r="I1592" s="1"/>
      <c r="J1592" s="1"/>
      <c r="K1592" s="1"/>
      <c r="L1592" s="1"/>
      <c r="M1592" s="1"/>
      <c r="N1592" s="1"/>
      <c r="O1592" s="1"/>
      <c r="P1592" s="1"/>
      <c r="Q1592" s="1"/>
      <c r="R1592"/>
      <c r="S1592" s="1"/>
      <c r="T1592" s="24"/>
      <c r="U1592"/>
      <c r="V1592" s="1"/>
      <c r="W1592" s="24"/>
      <c r="X1592"/>
      <c r="Y1592" s="1"/>
      <c r="Z1592" s="24"/>
      <c r="AA1592"/>
      <c r="AB1592" s="1"/>
      <c r="AC1592" s="24"/>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c r="CA1592"/>
      <c r="CB1592"/>
      <c r="CC1592"/>
      <c r="CD1592"/>
      <c r="CE1592"/>
      <c r="CF1592"/>
      <c r="CG1592"/>
      <c r="CH1592"/>
      <c r="CI1592"/>
      <c r="CJ1592"/>
      <c r="CK1592"/>
      <c r="CL1592"/>
      <c r="CM1592"/>
      <c r="CN1592"/>
      <c r="CO1592"/>
      <c r="CP1592"/>
      <c r="CQ1592"/>
      <c r="CR1592"/>
      <c r="CS1592"/>
    </row>
    <row r="1593" spans="2:97">
      <c r="B1593"/>
      <c r="C1593" s="1"/>
      <c r="D1593" s="1"/>
      <c r="E1593" s="1"/>
      <c r="F1593" s="1"/>
      <c r="G1593" s="1"/>
      <c r="H1593" s="1"/>
      <c r="I1593" s="1"/>
      <c r="J1593" s="1"/>
      <c r="K1593" s="1"/>
      <c r="L1593" s="1"/>
      <c r="M1593" s="1"/>
      <c r="N1593" s="1"/>
      <c r="O1593" s="1"/>
      <c r="P1593" s="1"/>
      <c r="Q1593" s="1"/>
      <c r="R1593"/>
      <c r="S1593" s="1"/>
      <c r="T1593" s="24"/>
      <c r="U1593"/>
      <c r="V1593" s="1"/>
      <c r="W1593" s="24"/>
      <c r="X1593"/>
      <c r="Y1593" s="1"/>
      <c r="Z1593" s="24"/>
      <c r="AA1593"/>
      <c r="AB1593" s="1"/>
      <c r="AC1593" s="24"/>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c r="CA1593"/>
      <c r="CB1593"/>
      <c r="CC1593"/>
      <c r="CD1593"/>
      <c r="CE1593"/>
      <c r="CF1593"/>
      <c r="CG1593"/>
      <c r="CH1593"/>
      <c r="CI1593"/>
      <c r="CJ1593"/>
      <c r="CK1593"/>
      <c r="CL1593"/>
      <c r="CM1593"/>
      <c r="CN1593"/>
      <c r="CO1593"/>
      <c r="CP1593"/>
      <c r="CQ1593"/>
      <c r="CR1593"/>
      <c r="CS1593"/>
    </row>
    <row r="1594" spans="2:97">
      <c r="B1594"/>
      <c r="C1594" s="1"/>
      <c r="D1594" s="1"/>
      <c r="E1594" s="1"/>
      <c r="F1594" s="1"/>
      <c r="G1594" s="1"/>
      <c r="H1594" s="1"/>
      <c r="I1594" s="1"/>
      <c r="J1594" s="1"/>
      <c r="K1594" s="1"/>
      <c r="L1594" s="1"/>
      <c r="M1594" s="1"/>
      <c r="N1594" s="1"/>
      <c r="O1594" s="1"/>
      <c r="P1594" s="1"/>
      <c r="Q1594" s="1"/>
      <c r="R1594"/>
      <c r="S1594" s="1"/>
      <c r="T1594" s="24"/>
      <c r="U1594"/>
      <c r="V1594" s="1"/>
      <c r="W1594" s="24"/>
      <c r="X1594"/>
      <c r="Y1594" s="1"/>
      <c r="Z1594" s="24"/>
      <c r="AA1594"/>
      <c r="AB1594" s="1"/>
      <c r="AC1594" s="24"/>
      <c r="AD1594"/>
      <c r="AE1594"/>
      <c r="AF1594"/>
      <c r="AG1594"/>
      <c r="AH1594"/>
      <c r="AI1594"/>
      <c r="AJ1594"/>
      <c r="AK1594"/>
      <c r="AL1594"/>
      <c r="AM1594"/>
      <c r="AN1594"/>
      <c r="AO1594"/>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c r="CA1594"/>
      <c r="CB1594"/>
      <c r="CC1594"/>
      <c r="CD1594"/>
      <c r="CE1594"/>
      <c r="CF1594"/>
      <c r="CG1594"/>
      <c r="CH1594"/>
      <c r="CI1594"/>
      <c r="CJ1594"/>
      <c r="CK1594"/>
      <c r="CL1594"/>
      <c r="CM1594"/>
      <c r="CN1594"/>
      <c r="CO1594"/>
      <c r="CP1594"/>
      <c r="CQ1594"/>
      <c r="CR1594"/>
      <c r="CS1594"/>
    </row>
    <row r="1595" spans="2:97">
      <c r="B1595"/>
      <c r="C1595" s="1"/>
      <c r="D1595" s="1"/>
      <c r="E1595" s="1"/>
      <c r="F1595" s="1"/>
      <c r="G1595" s="1"/>
      <c r="H1595" s="1"/>
      <c r="I1595" s="1"/>
      <c r="J1595" s="1"/>
      <c r="K1595" s="1"/>
      <c r="L1595" s="1"/>
      <c r="M1595" s="1"/>
      <c r="N1595" s="1"/>
      <c r="O1595" s="1"/>
      <c r="P1595" s="1"/>
      <c r="Q1595" s="1"/>
      <c r="R1595"/>
      <c r="S1595" s="1"/>
      <c r="T1595" s="24"/>
      <c r="U1595"/>
      <c r="V1595" s="1"/>
      <c r="W1595" s="24"/>
      <c r="X1595"/>
      <c r="Y1595" s="1"/>
      <c r="Z1595" s="24"/>
      <c r="AA1595"/>
      <c r="AB1595" s="1"/>
      <c r="AC1595" s="24"/>
      <c r="AD1595"/>
      <c r="AE1595"/>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c r="CA1595"/>
      <c r="CB1595"/>
      <c r="CC1595"/>
      <c r="CD1595"/>
      <c r="CE1595"/>
      <c r="CF1595"/>
      <c r="CG1595"/>
      <c r="CH1595"/>
      <c r="CI1595"/>
      <c r="CJ1595"/>
      <c r="CK1595"/>
      <c r="CL1595"/>
      <c r="CM1595"/>
      <c r="CN1595"/>
      <c r="CO1595"/>
      <c r="CP1595"/>
      <c r="CQ1595"/>
      <c r="CR1595"/>
      <c r="CS1595"/>
    </row>
    <row r="1596" spans="2:97">
      <c r="B1596"/>
      <c r="C1596" s="1"/>
      <c r="D1596" s="1"/>
      <c r="E1596" s="1"/>
      <c r="F1596" s="1"/>
      <c r="G1596" s="1"/>
      <c r="H1596" s="1"/>
      <c r="I1596" s="1"/>
      <c r="J1596" s="1"/>
      <c r="K1596" s="1"/>
      <c r="L1596" s="1"/>
      <c r="M1596" s="1"/>
      <c r="N1596" s="1"/>
      <c r="O1596" s="1"/>
      <c r="P1596" s="1"/>
      <c r="Q1596" s="1"/>
      <c r="R1596"/>
      <c r="S1596" s="1"/>
      <c r="T1596" s="24"/>
      <c r="U1596"/>
      <c r="V1596" s="1"/>
      <c r="W1596" s="24"/>
      <c r="X1596"/>
      <c r="Y1596" s="1"/>
      <c r="Z1596" s="24"/>
      <c r="AA1596"/>
      <c r="AB1596" s="1"/>
      <c r="AC1596" s="24"/>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c r="CA1596"/>
      <c r="CB1596"/>
      <c r="CC1596"/>
      <c r="CD1596"/>
      <c r="CE1596"/>
      <c r="CF1596"/>
      <c r="CG1596"/>
      <c r="CH1596"/>
      <c r="CI1596"/>
      <c r="CJ1596"/>
      <c r="CK1596"/>
      <c r="CL1596"/>
      <c r="CM1596"/>
      <c r="CN1596"/>
      <c r="CO1596"/>
      <c r="CP1596"/>
      <c r="CQ1596"/>
      <c r="CR1596"/>
      <c r="CS1596"/>
    </row>
    <row r="1597" spans="2:97">
      <c r="B1597"/>
      <c r="C1597" s="1"/>
      <c r="D1597" s="1"/>
      <c r="E1597" s="1"/>
      <c r="F1597" s="1"/>
      <c r="G1597" s="1"/>
      <c r="H1597" s="1"/>
      <c r="I1597" s="1"/>
      <c r="J1597" s="1"/>
      <c r="K1597" s="1"/>
      <c r="L1597" s="1"/>
      <c r="M1597" s="1"/>
      <c r="N1597" s="1"/>
      <c r="O1597" s="1"/>
      <c r="P1597" s="1"/>
      <c r="Q1597" s="1"/>
      <c r="R1597"/>
      <c r="S1597" s="1"/>
      <c r="T1597" s="24"/>
      <c r="U1597"/>
      <c r="V1597" s="1"/>
      <c r="W1597" s="24"/>
      <c r="X1597"/>
      <c r="Y1597" s="1"/>
      <c r="Z1597" s="24"/>
      <c r="AA1597"/>
      <c r="AB1597" s="1"/>
      <c r="AC1597" s="24"/>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c r="CA1597"/>
      <c r="CB1597"/>
      <c r="CC1597"/>
      <c r="CD1597"/>
      <c r="CE1597"/>
      <c r="CF1597"/>
      <c r="CG1597"/>
      <c r="CH1597"/>
      <c r="CI1597"/>
      <c r="CJ1597"/>
      <c r="CK1597"/>
      <c r="CL1597"/>
      <c r="CM1597"/>
      <c r="CN1597"/>
      <c r="CO1597"/>
      <c r="CP1597"/>
      <c r="CQ1597"/>
      <c r="CR1597"/>
      <c r="CS1597"/>
    </row>
    <row r="1598" spans="2:97">
      <c r="B1598"/>
      <c r="C1598" s="1"/>
      <c r="D1598" s="1"/>
      <c r="E1598" s="1"/>
      <c r="F1598" s="1"/>
      <c r="G1598" s="1"/>
      <c r="H1598" s="1"/>
      <c r="I1598" s="1"/>
      <c r="J1598" s="1"/>
      <c r="K1598" s="1"/>
      <c r="L1598" s="1"/>
      <c r="M1598" s="1"/>
      <c r="N1598" s="1"/>
      <c r="O1598" s="1"/>
      <c r="P1598" s="1"/>
      <c r="Q1598" s="1"/>
      <c r="R1598"/>
      <c r="S1598" s="1"/>
      <c r="T1598" s="24"/>
      <c r="U1598"/>
      <c r="V1598" s="1"/>
      <c r="W1598" s="24"/>
      <c r="X1598"/>
      <c r="Y1598" s="1"/>
      <c r="Z1598" s="24"/>
      <c r="AA1598"/>
      <c r="AB1598" s="1"/>
      <c r="AC1598" s="24"/>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c r="CA1598"/>
      <c r="CB1598"/>
      <c r="CC1598"/>
      <c r="CD1598"/>
      <c r="CE1598"/>
      <c r="CF1598"/>
      <c r="CG1598"/>
      <c r="CH1598"/>
      <c r="CI1598"/>
      <c r="CJ1598"/>
      <c r="CK1598"/>
      <c r="CL1598"/>
      <c r="CM1598"/>
      <c r="CN1598"/>
      <c r="CO1598"/>
      <c r="CP1598"/>
      <c r="CQ1598"/>
      <c r="CR1598"/>
      <c r="CS1598"/>
    </row>
    <row r="1599" spans="2:97">
      <c r="B1599"/>
      <c r="C1599" s="1"/>
      <c r="D1599" s="1"/>
      <c r="E1599" s="1"/>
      <c r="F1599" s="1"/>
      <c r="G1599" s="1"/>
      <c r="H1599" s="1"/>
      <c r="I1599" s="1"/>
      <c r="J1599" s="1"/>
      <c r="K1599" s="1"/>
      <c r="L1599" s="1"/>
      <c r="M1599" s="1"/>
      <c r="N1599" s="1"/>
      <c r="O1599" s="1"/>
      <c r="P1599" s="1"/>
      <c r="Q1599" s="1"/>
      <c r="R1599"/>
      <c r="S1599" s="1"/>
      <c r="T1599" s="24"/>
      <c r="U1599"/>
      <c r="V1599" s="1"/>
      <c r="W1599" s="24"/>
      <c r="X1599"/>
      <c r="Y1599" s="1"/>
      <c r="Z1599" s="24"/>
      <c r="AA1599"/>
      <c r="AB1599" s="1"/>
      <c r="AC1599" s="24"/>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c r="CA1599"/>
      <c r="CB1599"/>
      <c r="CC1599"/>
      <c r="CD1599"/>
      <c r="CE1599"/>
      <c r="CF1599"/>
      <c r="CG1599"/>
      <c r="CH1599"/>
      <c r="CI1599"/>
      <c r="CJ1599"/>
      <c r="CK1599"/>
      <c r="CL1599"/>
      <c r="CM1599"/>
      <c r="CN1599"/>
      <c r="CO1599"/>
      <c r="CP1599"/>
      <c r="CQ1599"/>
      <c r="CR1599"/>
      <c r="CS1599"/>
    </row>
    <row r="1600" spans="2:97">
      <c r="B1600"/>
      <c r="C1600" s="1"/>
      <c r="D1600" s="1"/>
      <c r="E1600" s="1"/>
      <c r="F1600" s="1"/>
      <c r="G1600" s="1"/>
      <c r="H1600" s="1"/>
      <c r="I1600" s="1"/>
      <c r="J1600" s="1"/>
      <c r="K1600" s="1"/>
      <c r="L1600" s="1"/>
      <c r="M1600" s="1"/>
      <c r="N1600" s="1"/>
      <c r="O1600" s="1"/>
      <c r="P1600" s="1"/>
      <c r="Q1600" s="1"/>
      <c r="R1600"/>
      <c r="S1600" s="1"/>
      <c r="T1600" s="24"/>
      <c r="U1600"/>
      <c r="V1600" s="1"/>
      <c r="W1600" s="24"/>
      <c r="X1600"/>
      <c r="Y1600" s="1"/>
      <c r="Z1600" s="24"/>
      <c r="AA1600"/>
      <c r="AB1600" s="1"/>
      <c r="AC1600" s="24"/>
      <c r="AD1600"/>
      <c r="AE1600"/>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c r="CA1600"/>
      <c r="CB1600"/>
      <c r="CC1600"/>
      <c r="CD1600"/>
      <c r="CE1600"/>
      <c r="CF1600"/>
      <c r="CG1600"/>
      <c r="CH1600"/>
      <c r="CI1600"/>
      <c r="CJ1600"/>
      <c r="CK1600"/>
      <c r="CL1600"/>
      <c r="CM1600"/>
      <c r="CN1600"/>
      <c r="CO1600"/>
      <c r="CP1600"/>
      <c r="CQ1600"/>
      <c r="CR1600"/>
      <c r="CS1600"/>
    </row>
    <row r="1601" spans="2:97">
      <c r="B1601"/>
      <c r="C1601" s="1"/>
      <c r="D1601" s="1"/>
      <c r="E1601" s="1"/>
      <c r="F1601" s="1"/>
      <c r="G1601" s="1"/>
      <c r="H1601" s="1"/>
      <c r="I1601" s="1"/>
      <c r="J1601" s="1"/>
      <c r="K1601" s="1"/>
      <c r="L1601" s="1"/>
      <c r="M1601" s="1"/>
      <c r="N1601" s="1"/>
      <c r="O1601" s="1"/>
      <c r="P1601" s="1"/>
      <c r="Q1601" s="1"/>
      <c r="R1601"/>
      <c r="S1601" s="1"/>
      <c r="T1601" s="24"/>
      <c r="U1601"/>
      <c r="V1601" s="1"/>
      <c r="W1601" s="24"/>
      <c r="X1601"/>
      <c r="Y1601" s="1"/>
      <c r="Z1601" s="24"/>
      <c r="AA1601"/>
      <c r="AB1601" s="1"/>
      <c r="AC1601" s="24"/>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c r="CA1601"/>
      <c r="CB1601"/>
      <c r="CC1601"/>
      <c r="CD1601"/>
      <c r="CE1601"/>
      <c r="CF1601"/>
      <c r="CG1601"/>
      <c r="CH1601"/>
      <c r="CI1601"/>
      <c r="CJ1601"/>
      <c r="CK1601"/>
      <c r="CL1601"/>
      <c r="CM1601"/>
      <c r="CN1601"/>
      <c r="CO1601"/>
      <c r="CP1601"/>
      <c r="CQ1601"/>
      <c r="CR1601"/>
      <c r="CS1601"/>
    </row>
    <row r="1602" spans="2:97">
      <c r="B1602"/>
      <c r="C1602" s="1"/>
      <c r="D1602" s="1"/>
      <c r="E1602" s="1"/>
      <c r="F1602" s="1"/>
      <c r="G1602" s="1"/>
      <c r="H1602" s="1"/>
      <c r="I1602" s="1"/>
      <c r="J1602" s="1"/>
      <c r="K1602" s="1"/>
      <c r="L1602" s="1"/>
      <c r="M1602" s="1"/>
      <c r="N1602" s="1"/>
      <c r="O1602" s="1"/>
      <c r="P1602" s="1"/>
      <c r="Q1602" s="1"/>
      <c r="R1602"/>
      <c r="S1602" s="1"/>
      <c r="T1602" s="24"/>
      <c r="U1602"/>
      <c r="V1602" s="1"/>
      <c r="W1602" s="24"/>
      <c r="X1602"/>
      <c r="Y1602" s="1"/>
      <c r="Z1602" s="24"/>
      <c r="AA1602"/>
      <c r="AB1602" s="1"/>
      <c r="AC1602" s="24"/>
      <c r="AD1602"/>
      <c r="AE1602"/>
      <c r="AF1602"/>
      <c r="AG1602"/>
      <c r="AH1602"/>
      <c r="AI1602"/>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c r="CA1602"/>
      <c r="CB1602"/>
      <c r="CC1602"/>
      <c r="CD1602"/>
      <c r="CE1602"/>
      <c r="CF1602"/>
      <c r="CG1602"/>
      <c r="CH1602"/>
      <c r="CI1602"/>
      <c r="CJ1602"/>
      <c r="CK1602"/>
      <c r="CL1602"/>
      <c r="CM1602"/>
      <c r="CN1602"/>
      <c r="CO1602"/>
      <c r="CP1602"/>
      <c r="CQ1602"/>
      <c r="CR1602"/>
      <c r="CS1602"/>
    </row>
    <row r="1603" spans="2:97">
      <c r="B1603"/>
      <c r="C1603" s="1"/>
      <c r="D1603" s="1"/>
      <c r="E1603" s="1"/>
      <c r="F1603" s="1"/>
      <c r="G1603" s="1"/>
      <c r="H1603" s="1"/>
      <c r="I1603" s="1"/>
      <c r="J1603" s="1"/>
      <c r="K1603" s="1"/>
      <c r="L1603" s="1"/>
      <c r="M1603" s="1"/>
      <c r="N1603" s="1"/>
      <c r="O1603" s="1"/>
      <c r="P1603" s="1"/>
      <c r="Q1603" s="1"/>
      <c r="R1603"/>
      <c r="S1603" s="1"/>
      <c r="T1603" s="24"/>
      <c r="U1603"/>
      <c r="V1603" s="1"/>
      <c r="W1603" s="24"/>
      <c r="X1603"/>
      <c r="Y1603" s="1"/>
      <c r="Z1603" s="24"/>
      <c r="AA1603"/>
      <c r="AB1603" s="1"/>
      <c r="AC1603" s="24"/>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c r="CA1603"/>
      <c r="CB1603"/>
      <c r="CC1603"/>
      <c r="CD1603"/>
      <c r="CE1603"/>
      <c r="CF1603"/>
      <c r="CG1603"/>
      <c r="CH1603"/>
      <c r="CI1603"/>
      <c r="CJ1603"/>
      <c r="CK1603"/>
      <c r="CL1603"/>
      <c r="CM1603"/>
      <c r="CN1603"/>
      <c r="CO1603"/>
      <c r="CP1603"/>
      <c r="CQ1603"/>
      <c r="CR1603"/>
      <c r="CS1603"/>
    </row>
    <row r="1604" spans="2:97">
      <c r="B1604"/>
      <c r="C1604" s="1"/>
      <c r="D1604" s="1"/>
      <c r="E1604" s="1"/>
      <c r="F1604" s="1"/>
      <c r="G1604" s="1"/>
      <c r="H1604" s="1"/>
      <c r="I1604" s="1"/>
      <c r="J1604" s="1"/>
      <c r="K1604" s="1"/>
      <c r="L1604" s="1"/>
      <c r="M1604" s="1"/>
      <c r="N1604" s="1"/>
      <c r="O1604" s="1"/>
      <c r="P1604" s="1"/>
      <c r="Q1604" s="1"/>
      <c r="R1604"/>
      <c r="S1604" s="1"/>
      <c r="T1604" s="24"/>
      <c r="U1604"/>
      <c r="V1604" s="1"/>
      <c r="W1604" s="24"/>
      <c r="X1604"/>
      <c r="Y1604" s="1"/>
      <c r="Z1604" s="24"/>
      <c r="AA1604"/>
      <c r="AB1604" s="1"/>
      <c r="AC1604" s="2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c r="CA1604"/>
      <c r="CB1604"/>
      <c r="CC1604"/>
      <c r="CD1604"/>
      <c r="CE1604"/>
      <c r="CF1604"/>
      <c r="CG1604"/>
      <c r="CH1604"/>
      <c r="CI1604"/>
      <c r="CJ1604"/>
      <c r="CK1604"/>
      <c r="CL1604"/>
      <c r="CM1604"/>
      <c r="CN1604"/>
      <c r="CO1604"/>
      <c r="CP1604"/>
      <c r="CQ1604"/>
      <c r="CR1604"/>
      <c r="CS1604"/>
    </row>
    <row r="1605" spans="2:97">
      <c r="B1605"/>
      <c r="C1605" s="1"/>
      <c r="D1605" s="1"/>
      <c r="E1605" s="1"/>
      <c r="F1605" s="1"/>
      <c r="G1605" s="1"/>
      <c r="H1605" s="1"/>
      <c r="I1605" s="1"/>
      <c r="J1605" s="1"/>
      <c r="K1605" s="1"/>
      <c r="L1605" s="1"/>
      <c r="M1605" s="1"/>
      <c r="N1605" s="1"/>
      <c r="O1605" s="1"/>
      <c r="P1605" s="1"/>
      <c r="Q1605" s="1"/>
      <c r="R1605"/>
      <c r="S1605" s="1"/>
      <c r="T1605" s="24"/>
      <c r="U1605"/>
      <c r="V1605" s="1"/>
      <c r="W1605" s="24"/>
      <c r="X1605"/>
      <c r="Y1605" s="1"/>
      <c r="Z1605" s="24"/>
      <c r="AA1605"/>
      <c r="AB1605" s="1"/>
      <c r="AC1605" s="24"/>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c r="CA1605"/>
      <c r="CB1605"/>
      <c r="CC1605"/>
      <c r="CD1605"/>
      <c r="CE1605"/>
      <c r="CF1605"/>
      <c r="CG1605"/>
      <c r="CH1605"/>
      <c r="CI1605"/>
      <c r="CJ1605"/>
      <c r="CK1605"/>
      <c r="CL1605"/>
      <c r="CM1605"/>
      <c r="CN1605"/>
      <c r="CO1605"/>
      <c r="CP1605"/>
      <c r="CQ1605"/>
      <c r="CR1605"/>
      <c r="CS1605"/>
    </row>
    <row r="1606" spans="2:97">
      <c r="B1606"/>
      <c r="C1606" s="1"/>
      <c r="D1606" s="1"/>
      <c r="E1606" s="1"/>
      <c r="F1606" s="1"/>
      <c r="G1606" s="1"/>
      <c r="H1606" s="1"/>
      <c r="I1606" s="1"/>
      <c r="J1606" s="1"/>
      <c r="K1606" s="1"/>
      <c r="L1606" s="1"/>
      <c r="M1606" s="1"/>
      <c r="N1606" s="1"/>
      <c r="O1606" s="1"/>
      <c r="P1606" s="1"/>
      <c r="Q1606" s="1"/>
      <c r="R1606"/>
      <c r="S1606" s="1"/>
      <c r="T1606" s="24"/>
      <c r="U1606"/>
      <c r="V1606" s="1"/>
      <c r="W1606" s="24"/>
      <c r="X1606"/>
      <c r="Y1606" s="1"/>
      <c r="Z1606" s="24"/>
      <c r="AA1606"/>
      <c r="AB1606" s="1"/>
      <c r="AC1606" s="24"/>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c r="CA1606"/>
      <c r="CB1606"/>
      <c r="CC1606"/>
      <c r="CD1606"/>
      <c r="CE1606"/>
      <c r="CF1606"/>
      <c r="CG1606"/>
      <c r="CH1606"/>
      <c r="CI1606"/>
      <c r="CJ1606"/>
      <c r="CK1606"/>
      <c r="CL1606"/>
      <c r="CM1606"/>
      <c r="CN1606"/>
      <c r="CO1606"/>
      <c r="CP1606"/>
      <c r="CQ1606"/>
      <c r="CR1606"/>
      <c r="CS1606"/>
    </row>
    <row r="1607" spans="2:97">
      <c r="B1607"/>
      <c r="C1607" s="1"/>
      <c r="D1607" s="1"/>
      <c r="E1607" s="1"/>
      <c r="F1607" s="1"/>
      <c r="G1607" s="1"/>
      <c r="H1607" s="1"/>
      <c r="I1607" s="1"/>
      <c r="J1607" s="1"/>
      <c r="K1607" s="1"/>
      <c r="L1607" s="1"/>
      <c r="M1607" s="1"/>
      <c r="N1607" s="1"/>
      <c r="O1607" s="1"/>
      <c r="P1607" s="1"/>
      <c r="Q1607" s="1"/>
      <c r="R1607"/>
      <c r="S1607" s="1"/>
      <c r="T1607" s="24"/>
      <c r="U1607"/>
      <c r="V1607" s="1"/>
      <c r="W1607" s="24"/>
      <c r="X1607"/>
      <c r="Y1607" s="1"/>
      <c r="Z1607" s="24"/>
      <c r="AA1607"/>
      <c r="AB1607" s="1"/>
      <c r="AC1607" s="24"/>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c r="CA1607"/>
      <c r="CB1607"/>
      <c r="CC1607"/>
      <c r="CD1607"/>
      <c r="CE1607"/>
      <c r="CF1607"/>
      <c r="CG1607"/>
      <c r="CH1607"/>
      <c r="CI1607"/>
      <c r="CJ1607"/>
      <c r="CK1607"/>
      <c r="CL1607"/>
      <c r="CM1607"/>
      <c r="CN1607"/>
      <c r="CO1607"/>
      <c r="CP1607"/>
      <c r="CQ1607"/>
      <c r="CR1607"/>
      <c r="CS1607"/>
    </row>
    <row r="1608" spans="2:97">
      <c r="B1608"/>
      <c r="C1608" s="1"/>
      <c r="D1608" s="1"/>
      <c r="E1608" s="1"/>
      <c r="F1608" s="1"/>
      <c r="G1608" s="1"/>
      <c r="H1608" s="1"/>
      <c r="I1608" s="1"/>
      <c r="J1608" s="1"/>
      <c r="K1608" s="1"/>
      <c r="L1608" s="1"/>
      <c r="M1608" s="1"/>
      <c r="N1608" s="1"/>
      <c r="O1608" s="1"/>
      <c r="P1608" s="1"/>
      <c r="Q1608" s="1"/>
      <c r="R1608"/>
      <c r="S1608" s="1"/>
      <c r="T1608" s="24"/>
      <c r="U1608"/>
      <c r="V1608" s="1"/>
      <c r="W1608" s="24"/>
      <c r="X1608"/>
      <c r="Y1608" s="1"/>
      <c r="Z1608" s="24"/>
      <c r="AA1608"/>
      <c r="AB1608" s="1"/>
      <c r="AC1608" s="24"/>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c r="CA1608"/>
      <c r="CB1608"/>
      <c r="CC1608"/>
      <c r="CD1608"/>
      <c r="CE1608"/>
      <c r="CF1608"/>
      <c r="CG1608"/>
      <c r="CH1608"/>
      <c r="CI1608"/>
      <c r="CJ1608"/>
      <c r="CK1608"/>
      <c r="CL1608"/>
      <c r="CM1608"/>
      <c r="CN1608"/>
      <c r="CO1608"/>
      <c r="CP1608"/>
      <c r="CQ1608"/>
      <c r="CR1608"/>
      <c r="CS1608"/>
    </row>
    <row r="1609" spans="2:97">
      <c r="B1609"/>
      <c r="C1609" s="1"/>
      <c r="D1609" s="1"/>
      <c r="E1609" s="1"/>
      <c r="F1609" s="1"/>
      <c r="G1609" s="1"/>
      <c r="H1609" s="1"/>
      <c r="I1609" s="1"/>
      <c r="J1609" s="1"/>
      <c r="K1609" s="1"/>
      <c r="L1609" s="1"/>
      <c r="M1609" s="1"/>
      <c r="N1609" s="1"/>
      <c r="O1609" s="1"/>
      <c r="P1609" s="1"/>
      <c r="Q1609" s="1"/>
      <c r="R1609"/>
      <c r="S1609" s="1"/>
      <c r="T1609" s="24"/>
      <c r="U1609"/>
      <c r="V1609" s="1"/>
      <c r="W1609" s="24"/>
      <c r="X1609"/>
      <c r="Y1609" s="1"/>
      <c r="Z1609" s="24"/>
      <c r="AA1609"/>
      <c r="AB1609" s="1"/>
      <c r="AC1609" s="24"/>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c r="CA1609"/>
      <c r="CB1609"/>
      <c r="CC1609"/>
      <c r="CD1609"/>
      <c r="CE1609"/>
      <c r="CF1609"/>
      <c r="CG1609"/>
      <c r="CH1609"/>
      <c r="CI1609"/>
      <c r="CJ1609"/>
      <c r="CK1609"/>
      <c r="CL1609"/>
      <c r="CM1609"/>
      <c r="CN1609"/>
      <c r="CO1609"/>
      <c r="CP1609"/>
      <c r="CQ1609"/>
      <c r="CR1609"/>
      <c r="CS1609"/>
    </row>
    <row r="1610" spans="2:97">
      <c r="B1610"/>
      <c r="C1610" s="1"/>
      <c r="D1610" s="1"/>
      <c r="E1610" s="1"/>
      <c r="F1610" s="1"/>
      <c r="G1610" s="1"/>
      <c r="H1610" s="1"/>
      <c r="I1610" s="1"/>
      <c r="J1610" s="1"/>
      <c r="K1610" s="1"/>
      <c r="L1610" s="1"/>
      <c r="M1610" s="1"/>
      <c r="N1610" s="1"/>
      <c r="O1610" s="1"/>
      <c r="P1610" s="1"/>
      <c r="Q1610" s="1"/>
      <c r="R1610"/>
      <c r="S1610" s="1"/>
      <c r="T1610" s="24"/>
      <c r="U1610"/>
      <c r="V1610" s="1"/>
      <c r="W1610" s="24"/>
      <c r="X1610"/>
      <c r="Y1610" s="1"/>
      <c r="Z1610" s="24"/>
      <c r="AA1610"/>
      <c r="AB1610" s="1"/>
      <c r="AC1610" s="24"/>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c r="CA1610"/>
      <c r="CB1610"/>
      <c r="CC1610"/>
      <c r="CD1610"/>
      <c r="CE1610"/>
      <c r="CF1610"/>
      <c r="CG1610"/>
      <c r="CH1610"/>
      <c r="CI1610"/>
      <c r="CJ1610"/>
      <c r="CK1610"/>
      <c r="CL1610"/>
      <c r="CM1610"/>
      <c r="CN1610"/>
      <c r="CO1610"/>
      <c r="CP1610"/>
      <c r="CQ1610"/>
      <c r="CR1610"/>
      <c r="CS1610"/>
    </row>
    <row r="1611" spans="2:97">
      <c r="B1611"/>
      <c r="C1611" s="1"/>
      <c r="D1611" s="1"/>
      <c r="E1611" s="1"/>
      <c r="F1611" s="1"/>
      <c r="G1611" s="1"/>
      <c r="H1611" s="1"/>
      <c r="I1611" s="1"/>
      <c r="J1611" s="1"/>
      <c r="K1611" s="1"/>
      <c r="L1611" s="1"/>
      <c r="M1611" s="1"/>
      <c r="N1611" s="1"/>
      <c r="O1611" s="1"/>
      <c r="P1611" s="1"/>
      <c r="Q1611" s="1"/>
      <c r="R1611"/>
      <c r="S1611" s="1"/>
      <c r="T1611" s="24"/>
      <c r="U1611"/>
      <c r="V1611" s="1"/>
      <c r="W1611" s="24"/>
      <c r="X1611"/>
      <c r="Y1611" s="1"/>
      <c r="Z1611" s="24"/>
      <c r="AA1611"/>
      <c r="AB1611" s="1"/>
      <c r="AC1611" s="24"/>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c r="CA1611"/>
      <c r="CB1611"/>
      <c r="CC1611"/>
      <c r="CD1611"/>
      <c r="CE1611"/>
      <c r="CF1611"/>
      <c r="CG1611"/>
      <c r="CH1611"/>
      <c r="CI1611"/>
      <c r="CJ1611"/>
      <c r="CK1611"/>
      <c r="CL1611"/>
      <c r="CM1611"/>
      <c r="CN1611"/>
      <c r="CO1611"/>
      <c r="CP1611"/>
      <c r="CQ1611"/>
      <c r="CR1611"/>
      <c r="CS1611"/>
    </row>
    <row r="1612" spans="2:97">
      <c r="B1612"/>
      <c r="C1612" s="1"/>
      <c r="D1612" s="1"/>
      <c r="E1612" s="1"/>
      <c r="F1612" s="1"/>
      <c r="G1612" s="1"/>
      <c r="H1612" s="1"/>
      <c r="I1612" s="1"/>
      <c r="J1612" s="1"/>
      <c r="K1612" s="1"/>
      <c r="L1612" s="1"/>
      <c r="M1612" s="1"/>
      <c r="N1612" s="1"/>
      <c r="O1612" s="1"/>
      <c r="P1612" s="1"/>
      <c r="Q1612" s="1"/>
      <c r="R1612"/>
      <c r="S1612" s="1"/>
      <c r="T1612" s="24"/>
      <c r="U1612"/>
      <c r="V1612" s="1"/>
      <c r="W1612" s="24"/>
      <c r="X1612"/>
      <c r="Y1612" s="1"/>
      <c r="Z1612" s="24"/>
      <c r="AA1612"/>
      <c r="AB1612" s="1"/>
      <c r="AC1612" s="24"/>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c r="CA1612"/>
      <c r="CB1612"/>
      <c r="CC1612"/>
      <c r="CD1612"/>
      <c r="CE1612"/>
      <c r="CF1612"/>
      <c r="CG1612"/>
      <c r="CH1612"/>
      <c r="CI1612"/>
      <c r="CJ1612"/>
      <c r="CK1612"/>
      <c r="CL1612"/>
      <c r="CM1612"/>
      <c r="CN1612"/>
      <c r="CO1612"/>
      <c r="CP1612"/>
      <c r="CQ1612"/>
      <c r="CR1612"/>
      <c r="CS1612"/>
    </row>
    <row r="1613" spans="2:97">
      <c r="B1613"/>
      <c r="C1613" s="1"/>
      <c r="D1613" s="1"/>
      <c r="E1613" s="1"/>
      <c r="F1613" s="1"/>
      <c r="G1613" s="1"/>
      <c r="H1613" s="1"/>
      <c r="I1613" s="1"/>
      <c r="J1613" s="1"/>
      <c r="K1613" s="1"/>
      <c r="L1613" s="1"/>
      <c r="M1613" s="1"/>
      <c r="N1613" s="1"/>
      <c r="O1613" s="1"/>
      <c r="P1613" s="1"/>
      <c r="Q1613" s="1"/>
      <c r="R1613"/>
      <c r="S1613" s="1"/>
      <c r="T1613" s="24"/>
      <c r="U1613"/>
      <c r="V1613" s="1"/>
      <c r="W1613" s="24"/>
      <c r="X1613"/>
      <c r="Y1613" s="1"/>
      <c r="Z1613" s="24"/>
      <c r="AA1613"/>
      <c r="AB1613" s="1"/>
      <c r="AC1613" s="24"/>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c r="CA1613"/>
      <c r="CB1613"/>
      <c r="CC1613"/>
      <c r="CD1613"/>
      <c r="CE1613"/>
      <c r="CF1613"/>
      <c r="CG1613"/>
      <c r="CH1613"/>
      <c r="CI1613"/>
      <c r="CJ1613"/>
      <c r="CK1613"/>
      <c r="CL1613"/>
      <c r="CM1613"/>
      <c r="CN1613"/>
      <c r="CO1613"/>
      <c r="CP1613"/>
      <c r="CQ1613"/>
      <c r="CR1613"/>
      <c r="CS1613"/>
    </row>
    <row r="1614" spans="2:97">
      <c r="B1614"/>
      <c r="C1614" s="1"/>
      <c r="D1614" s="1"/>
      <c r="E1614" s="1"/>
      <c r="F1614" s="1"/>
      <c r="G1614" s="1"/>
      <c r="H1614" s="1"/>
      <c r="I1614" s="1"/>
      <c r="J1614" s="1"/>
      <c r="K1614" s="1"/>
      <c r="L1614" s="1"/>
      <c r="M1614" s="1"/>
      <c r="N1614" s="1"/>
      <c r="O1614" s="1"/>
      <c r="P1614" s="1"/>
      <c r="Q1614" s="1"/>
      <c r="R1614"/>
      <c r="S1614" s="1"/>
      <c r="T1614" s="24"/>
      <c r="U1614"/>
      <c r="V1614" s="1"/>
      <c r="W1614" s="24"/>
      <c r="X1614"/>
      <c r="Y1614" s="1"/>
      <c r="Z1614" s="24"/>
      <c r="AA1614"/>
      <c r="AB1614" s="1"/>
      <c r="AC1614" s="2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c r="CA1614"/>
      <c r="CB1614"/>
      <c r="CC1614"/>
      <c r="CD1614"/>
      <c r="CE1614"/>
      <c r="CF1614"/>
      <c r="CG1614"/>
      <c r="CH1614"/>
      <c r="CI1614"/>
      <c r="CJ1614"/>
      <c r="CK1614"/>
      <c r="CL1614"/>
      <c r="CM1614"/>
      <c r="CN1614"/>
      <c r="CO1614"/>
      <c r="CP1614"/>
      <c r="CQ1614"/>
      <c r="CR1614"/>
      <c r="CS1614"/>
    </row>
    <row r="1615" spans="2:97">
      <c r="B1615"/>
      <c r="C1615" s="1"/>
      <c r="D1615" s="1"/>
      <c r="E1615" s="1"/>
      <c r="F1615" s="1"/>
      <c r="G1615" s="1"/>
      <c r="H1615" s="1"/>
      <c r="I1615" s="1"/>
      <c r="J1615" s="1"/>
      <c r="K1615" s="1"/>
      <c r="L1615" s="1"/>
      <c r="M1615" s="1"/>
      <c r="N1615" s="1"/>
      <c r="O1615" s="1"/>
      <c r="P1615" s="1"/>
      <c r="Q1615" s="1"/>
      <c r="R1615"/>
      <c r="S1615" s="1"/>
      <c r="T1615" s="24"/>
      <c r="U1615"/>
      <c r="V1615" s="1"/>
      <c r="W1615" s="24"/>
      <c r="X1615"/>
      <c r="Y1615" s="1"/>
      <c r="Z1615" s="24"/>
      <c r="AA1615"/>
      <c r="AB1615" s="1"/>
      <c r="AC1615" s="24"/>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c r="CK1615"/>
      <c r="CL1615"/>
      <c r="CM1615"/>
      <c r="CN1615"/>
      <c r="CO1615"/>
      <c r="CP1615"/>
      <c r="CQ1615"/>
      <c r="CR1615"/>
      <c r="CS1615"/>
    </row>
    <row r="1616" spans="2:97">
      <c r="B1616"/>
      <c r="C1616" s="1"/>
      <c r="D1616" s="1"/>
      <c r="E1616" s="1"/>
      <c r="F1616" s="1"/>
      <c r="G1616" s="1"/>
      <c r="H1616" s="1"/>
      <c r="I1616" s="1"/>
      <c r="J1616" s="1"/>
      <c r="K1616" s="1"/>
      <c r="L1616" s="1"/>
      <c r="M1616" s="1"/>
      <c r="N1616" s="1"/>
      <c r="O1616" s="1"/>
      <c r="P1616" s="1"/>
      <c r="Q1616" s="1"/>
      <c r="R1616"/>
      <c r="S1616" s="1"/>
      <c r="T1616" s="24"/>
      <c r="U1616"/>
      <c r="V1616" s="1"/>
      <c r="W1616" s="24"/>
      <c r="X1616"/>
      <c r="Y1616" s="1"/>
      <c r="Z1616" s="24"/>
      <c r="AA1616"/>
      <c r="AB1616" s="1"/>
      <c r="AC1616" s="24"/>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c r="CA1616"/>
      <c r="CB1616"/>
      <c r="CC1616"/>
      <c r="CD1616"/>
      <c r="CE1616"/>
      <c r="CF1616"/>
      <c r="CG1616"/>
      <c r="CH1616"/>
      <c r="CI1616"/>
      <c r="CJ1616"/>
      <c r="CK1616"/>
      <c r="CL1616"/>
      <c r="CM1616"/>
      <c r="CN1616"/>
      <c r="CO1616"/>
      <c r="CP1616"/>
      <c r="CQ1616"/>
      <c r="CR1616"/>
      <c r="CS1616"/>
    </row>
    <row r="1617" spans="2:97">
      <c r="B1617"/>
      <c r="C1617" s="1"/>
      <c r="D1617" s="1"/>
      <c r="E1617" s="1"/>
      <c r="F1617" s="1"/>
      <c r="G1617" s="1"/>
      <c r="H1617" s="1"/>
      <c r="I1617" s="1"/>
      <c r="J1617" s="1"/>
      <c r="K1617" s="1"/>
      <c r="L1617" s="1"/>
      <c r="M1617" s="1"/>
      <c r="N1617" s="1"/>
      <c r="O1617" s="1"/>
      <c r="P1617" s="1"/>
      <c r="Q1617" s="1"/>
      <c r="R1617"/>
      <c r="S1617" s="1"/>
      <c r="T1617" s="24"/>
      <c r="U1617"/>
      <c r="V1617" s="1"/>
      <c r="W1617" s="24"/>
      <c r="X1617"/>
      <c r="Y1617" s="1"/>
      <c r="Z1617" s="24"/>
      <c r="AA1617"/>
      <c r="AB1617" s="1"/>
      <c r="AC1617" s="24"/>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c r="CA1617"/>
      <c r="CB1617"/>
      <c r="CC1617"/>
      <c r="CD1617"/>
      <c r="CE1617"/>
      <c r="CF1617"/>
      <c r="CG1617"/>
      <c r="CH1617"/>
      <c r="CI1617"/>
      <c r="CJ1617"/>
      <c r="CK1617"/>
      <c r="CL1617"/>
      <c r="CM1617"/>
      <c r="CN1617"/>
      <c r="CO1617"/>
      <c r="CP1617"/>
      <c r="CQ1617"/>
      <c r="CR1617"/>
      <c r="CS1617"/>
    </row>
    <row r="1618" spans="2:97">
      <c r="B1618"/>
      <c r="C1618" s="1"/>
      <c r="D1618" s="1"/>
      <c r="E1618" s="1"/>
      <c r="F1618" s="1"/>
      <c r="G1618" s="1"/>
      <c r="H1618" s="1"/>
      <c r="I1618" s="1"/>
      <c r="J1618" s="1"/>
      <c r="K1618" s="1"/>
      <c r="L1618" s="1"/>
      <c r="M1618" s="1"/>
      <c r="N1618" s="1"/>
      <c r="O1618" s="1"/>
      <c r="P1618" s="1"/>
      <c r="Q1618" s="1"/>
      <c r="R1618"/>
      <c r="S1618" s="1"/>
      <c r="T1618" s="24"/>
      <c r="U1618"/>
      <c r="V1618" s="1"/>
      <c r="W1618" s="24"/>
      <c r="X1618"/>
      <c r="Y1618" s="1"/>
      <c r="Z1618" s="24"/>
      <c r="AA1618"/>
      <c r="AB1618" s="1"/>
      <c r="AC1618" s="24"/>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c r="CA1618"/>
      <c r="CB1618"/>
      <c r="CC1618"/>
      <c r="CD1618"/>
      <c r="CE1618"/>
      <c r="CF1618"/>
      <c r="CG1618"/>
      <c r="CH1618"/>
      <c r="CI1618"/>
      <c r="CJ1618"/>
      <c r="CK1618"/>
      <c r="CL1618"/>
      <c r="CM1618"/>
      <c r="CN1618"/>
      <c r="CO1618"/>
      <c r="CP1618"/>
      <c r="CQ1618"/>
      <c r="CR1618"/>
      <c r="CS1618"/>
    </row>
    <row r="1619" spans="2:97">
      <c r="B1619"/>
      <c r="C1619" s="1"/>
      <c r="D1619" s="1"/>
      <c r="E1619" s="1"/>
      <c r="F1619" s="1"/>
      <c r="G1619" s="1"/>
      <c r="H1619" s="1"/>
      <c r="I1619" s="1"/>
      <c r="J1619" s="1"/>
      <c r="K1619" s="1"/>
      <c r="L1619" s="1"/>
      <c r="M1619" s="1"/>
      <c r="N1619" s="1"/>
      <c r="O1619" s="1"/>
      <c r="P1619" s="1"/>
      <c r="Q1619" s="1"/>
      <c r="R1619"/>
      <c r="S1619" s="1"/>
      <c r="T1619" s="24"/>
      <c r="U1619"/>
      <c r="V1619" s="1"/>
      <c r="W1619" s="24"/>
      <c r="X1619"/>
      <c r="Y1619" s="1"/>
      <c r="Z1619" s="24"/>
      <c r="AA1619"/>
      <c r="AB1619" s="1"/>
      <c r="AC1619" s="24"/>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c r="CA1619"/>
      <c r="CB1619"/>
      <c r="CC1619"/>
      <c r="CD1619"/>
      <c r="CE1619"/>
      <c r="CF1619"/>
      <c r="CG1619"/>
      <c r="CH1619"/>
      <c r="CI1619"/>
      <c r="CJ1619"/>
      <c r="CK1619"/>
      <c r="CL1619"/>
      <c r="CM1619"/>
      <c r="CN1619"/>
      <c r="CO1619"/>
      <c r="CP1619"/>
      <c r="CQ1619"/>
      <c r="CR1619"/>
      <c r="CS1619"/>
    </row>
    <row r="1620" spans="2:97">
      <c r="B1620"/>
      <c r="C1620" s="1"/>
      <c r="D1620" s="1"/>
      <c r="E1620" s="1"/>
      <c r="F1620" s="1"/>
      <c r="G1620" s="1"/>
      <c r="H1620" s="1"/>
      <c r="I1620" s="1"/>
      <c r="J1620" s="1"/>
      <c r="K1620" s="1"/>
      <c r="L1620" s="1"/>
      <c r="M1620" s="1"/>
      <c r="N1620" s="1"/>
      <c r="O1620" s="1"/>
      <c r="P1620" s="1"/>
      <c r="Q1620" s="1"/>
      <c r="R1620"/>
      <c r="S1620" s="1"/>
      <c r="T1620" s="24"/>
      <c r="U1620"/>
      <c r="V1620" s="1"/>
      <c r="W1620" s="24"/>
      <c r="X1620"/>
      <c r="Y1620" s="1"/>
      <c r="Z1620" s="24"/>
      <c r="AA1620"/>
      <c r="AB1620" s="1"/>
      <c r="AC1620" s="24"/>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c r="CA1620"/>
      <c r="CB1620"/>
      <c r="CC1620"/>
      <c r="CD1620"/>
      <c r="CE1620"/>
      <c r="CF1620"/>
      <c r="CG1620"/>
      <c r="CH1620"/>
      <c r="CI1620"/>
      <c r="CJ1620"/>
      <c r="CK1620"/>
      <c r="CL1620"/>
      <c r="CM1620"/>
      <c r="CN1620"/>
      <c r="CO1620"/>
      <c r="CP1620"/>
      <c r="CQ1620"/>
      <c r="CR1620"/>
      <c r="CS1620"/>
    </row>
    <row r="1621" spans="2:97">
      <c r="B1621"/>
      <c r="C1621" s="1"/>
      <c r="D1621" s="1"/>
      <c r="E1621" s="1"/>
      <c r="F1621" s="1"/>
      <c r="G1621" s="1"/>
      <c r="H1621" s="1"/>
      <c r="I1621" s="1"/>
      <c r="J1621" s="1"/>
      <c r="K1621" s="1"/>
      <c r="L1621" s="1"/>
      <c r="M1621" s="1"/>
      <c r="N1621" s="1"/>
      <c r="O1621" s="1"/>
      <c r="P1621" s="1"/>
      <c r="Q1621" s="1"/>
      <c r="R1621"/>
      <c r="S1621" s="1"/>
      <c r="T1621" s="24"/>
      <c r="U1621"/>
      <c r="V1621" s="1"/>
      <c r="W1621" s="24"/>
      <c r="X1621"/>
      <c r="Y1621" s="1"/>
      <c r="Z1621" s="24"/>
      <c r="AA1621"/>
      <c r="AB1621" s="1"/>
      <c r="AC1621" s="24"/>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c r="CA1621"/>
      <c r="CB1621"/>
      <c r="CC1621"/>
      <c r="CD1621"/>
      <c r="CE1621"/>
      <c r="CF1621"/>
      <c r="CG1621"/>
      <c r="CH1621"/>
      <c r="CI1621"/>
      <c r="CJ1621"/>
      <c r="CK1621"/>
      <c r="CL1621"/>
      <c r="CM1621"/>
      <c r="CN1621"/>
      <c r="CO1621"/>
      <c r="CP1621"/>
      <c r="CQ1621"/>
      <c r="CR1621"/>
      <c r="CS1621"/>
    </row>
    <row r="1622" spans="2:97">
      <c r="B1622"/>
      <c r="C1622" s="1"/>
      <c r="D1622" s="1"/>
      <c r="E1622" s="1"/>
      <c r="F1622" s="1"/>
      <c r="G1622" s="1"/>
      <c r="H1622" s="1"/>
      <c r="I1622" s="1"/>
      <c r="J1622" s="1"/>
      <c r="K1622" s="1"/>
      <c r="L1622" s="1"/>
      <c r="M1622" s="1"/>
      <c r="N1622" s="1"/>
      <c r="O1622" s="1"/>
      <c r="P1622" s="1"/>
      <c r="Q1622" s="1"/>
      <c r="R1622"/>
      <c r="S1622" s="1"/>
      <c r="T1622" s="24"/>
      <c r="U1622"/>
      <c r="V1622" s="1"/>
      <c r="W1622" s="24"/>
      <c r="X1622"/>
      <c r="Y1622" s="1"/>
      <c r="Z1622" s="24"/>
      <c r="AA1622"/>
      <c r="AB1622" s="1"/>
      <c r="AC1622" s="24"/>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c r="CA1622"/>
      <c r="CB1622"/>
      <c r="CC1622"/>
      <c r="CD1622"/>
      <c r="CE1622"/>
      <c r="CF1622"/>
      <c r="CG1622"/>
      <c r="CH1622"/>
      <c r="CI1622"/>
      <c r="CJ1622"/>
      <c r="CK1622"/>
      <c r="CL1622"/>
      <c r="CM1622"/>
      <c r="CN1622"/>
      <c r="CO1622"/>
      <c r="CP1622"/>
      <c r="CQ1622"/>
      <c r="CR1622"/>
      <c r="CS1622"/>
    </row>
    <row r="1623" spans="2:97">
      <c r="B1623"/>
      <c r="C1623" s="1"/>
      <c r="D1623" s="1"/>
      <c r="E1623" s="1"/>
      <c r="F1623" s="1"/>
      <c r="G1623" s="1"/>
      <c r="H1623" s="1"/>
      <c r="I1623" s="1"/>
      <c r="J1623" s="1"/>
      <c r="K1623" s="1"/>
      <c r="L1623" s="1"/>
      <c r="M1623" s="1"/>
      <c r="N1623" s="1"/>
      <c r="O1623" s="1"/>
      <c r="P1623" s="1"/>
      <c r="Q1623" s="1"/>
      <c r="R1623"/>
      <c r="S1623" s="1"/>
      <c r="T1623" s="24"/>
      <c r="U1623"/>
      <c r="V1623" s="1"/>
      <c r="W1623" s="24"/>
      <c r="X1623"/>
      <c r="Y1623" s="1"/>
      <c r="Z1623" s="24"/>
      <c r="AA1623"/>
      <c r="AB1623" s="1"/>
      <c r="AC1623" s="24"/>
      <c r="AD1623"/>
      <c r="AE1623"/>
      <c r="AF1623"/>
      <c r="AG1623"/>
      <c r="AH1623"/>
      <c r="AI1623"/>
      <c r="AJ1623"/>
      <c r="AK1623"/>
      <c r="AL1623"/>
      <c r="AM1623"/>
      <c r="AN1623"/>
      <c r="AO1623"/>
      <c r="AP1623"/>
      <c r="AQ1623"/>
      <c r="AR1623"/>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c r="CA1623"/>
      <c r="CB1623"/>
      <c r="CC1623"/>
      <c r="CD1623"/>
      <c r="CE1623"/>
      <c r="CF1623"/>
      <c r="CG1623"/>
      <c r="CH1623"/>
      <c r="CI1623"/>
      <c r="CJ1623"/>
      <c r="CK1623"/>
      <c r="CL1623"/>
      <c r="CM1623"/>
      <c r="CN1623"/>
      <c r="CO1623"/>
      <c r="CP1623"/>
      <c r="CQ1623"/>
      <c r="CR1623"/>
      <c r="CS1623"/>
    </row>
    <row r="1624" spans="2:97">
      <c r="B1624"/>
      <c r="C1624" s="1"/>
      <c r="D1624" s="1"/>
      <c r="E1624" s="1"/>
      <c r="F1624" s="1"/>
      <c r="G1624" s="1"/>
      <c r="H1624" s="1"/>
      <c r="I1624" s="1"/>
      <c r="J1624" s="1"/>
      <c r="K1624" s="1"/>
      <c r="L1624" s="1"/>
      <c r="M1624" s="1"/>
      <c r="N1624" s="1"/>
      <c r="O1624" s="1"/>
      <c r="P1624" s="1"/>
      <c r="Q1624" s="1"/>
      <c r="R1624"/>
      <c r="S1624" s="1"/>
      <c r="T1624" s="24"/>
      <c r="U1624"/>
      <c r="V1624" s="1"/>
      <c r="W1624" s="24"/>
      <c r="X1624"/>
      <c r="Y1624" s="1"/>
      <c r="Z1624" s="24"/>
      <c r="AA1624"/>
      <c r="AB1624" s="1"/>
      <c r="AC1624" s="24"/>
      <c r="AD1624"/>
      <c r="AE1624"/>
      <c r="AF1624"/>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c r="CA1624"/>
      <c r="CB1624"/>
      <c r="CC1624"/>
      <c r="CD1624"/>
      <c r="CE1624"/>
      <c r="CF1624"/>
      <c r="CG1624"/>
      <c r="CH1624"/>
      <c r="CI1624"/>
      <c r="CJ1624"/>
      <c r="CK1624"/>
      <c r="CL1624"/>
      <c r="CM1624"/>
      <c r="CN1624"/>
      <c r="CO1624"/>
      <c r="CP1624"/>
      <c r="CQ1624"/>
      <c r="CR1624"/>
      <c r="CS1624"/>
    </row>
    <row r="1625" spans="2:97">
      <c r="B1625"/>
      <c r="C1625" s="1"/>
      <c r="D1625" s="1"/>
      <c r="E1625" s="1"/>
      <c r="F1625" s="1"/>
      <c r="G1625" s="1"/>
      <c r="H1625" s="1"/>
      <c r="I1625" s="1"/>
      <c r="J1625" s="1"/>
      <c r="K1625" s="1"/>
      <c r="L1625" s="1"/>
      <c r="M1625" s="1"/>
      <c r="N1625" s="1"/>
      <c r="O1625" s="1"/>
      <c r="P1625" s="1"/>
      <c r="Q1625" s="1"/>
      <c r="R1625"/>
      <c r="S1625" s="1"/>
      <c r="T1625" s="24"/>
      <c r="U1625"/>
      <c r="V1625" s="1"/>
      <c r="W1625" s="24"/>
      <c r="X1625"/>
      <c r="Y1625" s="1"/>
      <c r="Z1625" s="24"/>
      <c r="AA1625"/>
      <c r="AB1625" s="1"/>
      <c r="AC1625" s="24"/>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c r="CA1625"/>
      <c r="CB1625"/>
      <c r="CC1625"/>
      <c r="CD1625"/>
      <c r="CE1625"/>
      <c r="CF1625"/>
      <c r="CG1625"/>
      <c r="CH1625"/>
      <c r="CI1625"/>
      <c r="CJ1625"/>
      <c r="CK1625"/>
      <c r="CL1625"/>
      <c r="CM1625"/>
      <c r="CN1625"/>
      <c r="CO1625"/>
      <c r="CP1625"/>
      <c r="CQ1625"/>
      <c r="CR1625"/>
      <c r="CS1625"/>
    </row>
    <row r="1626" spans="2:97">
      <c r="B1626"/>
      <c r="C1626" s="1"/>
      <c r="D1626" s="1"/>
      <c r="E1626" s="1"/>
      <c r="F1626" s="1"/>
      <c r="G1626" s="1"/>
      <c r="H1626" s="1"/>
      <c r="I1626" s="1"/>
      <c r="J1626" s="1"/>
      <c r="K1626" s="1"/>
      <c r="L1626" s="1"/>
      <c r="M1626" s="1"/>
      <c r="N1626" s="1"/>
      <c r="O1626" s="1"/>
      <c r="P1626" s="1"/>
      <c r="Q1626" s="1"/>
      <c r="R1626"/>
      <c r="S1626" s="1"/>
      <c r="T1626" s="24"/>
      <c r="U1626"/>
      <c r="V1626" s="1"/>
      <c r="W1626" s="24"/>
      <c r="X1626"/>
      <c r="Y1626" s="1"/>
      <c r="Z1626" s="24"/>
      <c r="AA1626"/>
      <c r="AB1626" s="1"/>
      <c r="AC1626" s="24"/>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c r="CA1626"/>
      <c r="CB1626"/>
      <c r="CC1626"/>
      <c r="CD1626"/>
      <c r="CE1626"/>
      <c r="CF1626"/>
      <c r="CG1626"/>
      <c r="CH1626"/>
      <c r="CI1626"/>
      <c r="CJ1626"/>
      <c r="CK1626"/>
      <c r="CL1626"/>
      <c r="CM1626"/>
      <c r="CN1626"/>
      <c r="CO1626"/>
      <c r="CP1626"/>
      <c r="CQ1626"/>
      <c r="CR1626"/>
      <c r="CS1626"/>
    </row>
    <row r="1627" spans="2:97">
      <c r="B1627"/>
      <c r="C1627" s="1"/>
      <c r="D1627" s="1"/>
      <c r="E1627" s="1"/>
      <c r="F1627" s="1"/>
      <c r="G1627" s="1"/>
      <c r="H1627" s="1"/>
      <c r="I1627" s="1"/>
      <c r="J1627" s="1"/>
      <c r="K1627" s="1"/>
      <c r="L1627" s="1"/>
      <c r="M1627" s="1"/>
      <c r="N1627" s="1"/>
      <c r="O1627" s="1"/>
      <c r="P1627" s="1"/>
      <c r="Q1627" s="1"/>
      <c r="R1627"/>
      <c r="S1627" s="1"/>
      <c r="T1627" s="24"/>
      <c r="U1627"/>
      <c r="V1627" s="1"/>
      <c r="W1627" s="24"/>
      <c r="X1627"/>
      <c r="Y1627" s="1"/>
      <c r="Z1627" s="24"/>
      <c r="AA1627"/>
      <c r="AB1627" s="1"/>
      <c r="AC1627" s="24"/>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c r="CA1627"/>
      <c r="CB1627"/>
      <c r="CC1627"/>
      <c r="CD1627"/>
      <c r="CE1627"/>
      <c r="CF1627"/>
      <c r="CG1627"/>
      <c r="CH1627"/>
      <c r="CI1627"/>
      <c r="CJ1627"/>
      <c r="CK1627"/>
      <c r="CL1627"/>
      <c r="CM1627"/>
      <c r="CN1627"/>
      <c r="CO1627"/>
      <c r="CP1627"/>
      <c r="CQ1627"/>
      <c r="CR1627"/>
      <c r="CS1627"/>
    </row>
    <row r="1628" spans="2:97">
      <c r="B1628"/>
      <c r="C1628" s="1"/>
      <c r="D1628" s="1"/>
      <c r="E1628" s="1"/>
      <c r="F1628" s="1"/>
      <c r="G1628" s="1"/>
      <c r="H1628" s="1"/>
      <c r="I1628" s="1"/>
      <c r="J1628" s="1"/>
      <c r="K1628" s="1"/>
      <c r="L1628" s="1"/>
      <c r="M1628" s="1"/>
      <c r="N1628" s="1"/>
      <c r="O1628" s="1"/>
      <c r="P1628" s="1"/>
      <c r="Q1628" s="1"/>
      <c r="R1628"/>
      <c r="S1628" s="1"/>
      <c r="T1628" s="24"/>
      <c r="U1628"/>
      <c r="V1628" s="1"/>
      <c r="W1628" s="24"/>
      <c r="X1628"/>
      <c r="Y1628" s="1"/>
      <c r="Z1628" s="24"/>
      <c r="AA1628"/>
      <c r="AB1628" s="1"/>
      <c r="AC1628" s="24"/>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c r="CA1628"/>
      <c r="CB1628"/>
      <c r="CC1628"/>
      <c r="CD1628"/>
      <c r="CE1628"/>
      <c r="CF1628"/>
      <c r="CG1628"/>
      <c r="CH1628"/>
      <c r="CI1628"/>
      <c r="CJ1628"/>
      <c r="CK1628"/>
      <c r="CL1628"/>
      <c r="CM1628"/>
      <c r="CN1628"/>
      <c r="CO1628"/>
      <c r="CP1628"/>
      <c r="CQ1628"/>
      <c r="CR1628"/>
      <c r="CS1628"/>
    </row>
    <row r="1629" spans="2:97">
      <c r="B1629"/>
      <c r="C1629" s="1"/>
      <c r="D1629" s="1"/>
      <c r="E1629" s="1"/>
      <c r="F1629" s="1"/>
      <c r="G1629" s="1"/>
      <c r="H1629" s="1"/>
      <c r="I1629" s="1"/>
      <c r="J1629" s="1"/>
      <c r="K1629" s="1"/>
      <c r="L1629" s="1"/>
      <c r="M1629" s="1"/>
      <c r="N1629" s="1"/>
      <c r="O1629" s="1"/>
      <c r="P1629" s="1"/>
      <c r="Q1629" s="1"/>
      <c r="R1629"/>
      <c r="S1629" s="1"/>
      <c r="T1629" s="24"/>
      <c r="U1629"/>
      <c r="V1629" s="1"/>
      <c r="W1629" s="24"/>
      <c r="X1629"/>
      <c r="Y1629" s="1"/>
      <c r="Z1629" s="24"/>
      <c r="AA1629"/>
      <c r="AB1629" s="1"/>
      <c r="AC1629" s="24"/>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c r="CA1629"/>
      <c r="CB1629"/>
      <c r="CC1629"/>
      <c r="CD1629"/>
      <c r="CE1629"/>
      <c r="CF1629"/>
      <c r="CG1629"/>
      <c r="CH1629"/>
      <c r="CI1629"/>
      <c r="CJ1629"/>
      <c r="CK1629"/>
      <c r="CL1629"/>
      <c r="CM1629"/>
      <c r="CN1629"/>
      <c r="CO1629"/>
      <c r="CP1629"/>
      <c r="CQ1629"/>
      <c r="CR1629"/>
      <c r="CS1629"/>
    </row>
    <row r="1630" spans="2:97">
      <c r="B1630"/>
      <c r="C1630" s="1"/>
      <c r="D1630" s="1"/>
      <c r="E1630" s="1"/>
      <c r="F1630" s="1"/>
      <c r="G1630" s="1"/>
      <c r="H1630" s="1"/>
      <c r="I1630" s="1"/>
      <c r="J1630" s="1"/>
      <c r="K1630" s="1"/>
      <c r="L1630" s="1"/>
      <c r="M1630" s="1"/>
      <c r="N1630" s="1"/>
      <c r="O1630" s="1"/>
      <c r="P1630" s="1"/>
      <c r="Q1630" s="1"/>
      <c r="R1630"/>
      <c r="S1630" s="1"/>
      <c r="T1630" s="24"/>
      <c r="U1630"/>
      <c r="V1630" s="1"/>
      <c r="W1630" s="24"/>
      <c r="X1630"/>
      <c r="Y1630" s="1"/>
      <c r="Z1630" s="24"/>
      <c r="AA1630"/>
      <c r="AB1630" s="1"/>
      <c r="AC1630" s="24"/>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c r="CA1630"/>
      <c r="CB1630"/>
      <c r="CC1630"/>
      <c r="CD1630"/>
      <c r="CE1630"/>
      <c r="CF1630"/>
      <c r="CG1630"/>
      <c r="CH1630"/>
      <c r="CI1630"/>
      <c r="CJ1630"/>
      <c r="CK1630"/>
      <c r="CL1630"/>
      <c r="CM1630"/>
      <c r="CN1630"/>
      <c r="CO1630"/>
      <c r="CP1630"/>
      <c r="CQ1630"/>
      <c r="CR1630"/>
      <c r="CS1630"/>
    </row>
    <row r="1631" spans="2:97">
      <c r="B1631"/>
      <c r="C1631" s="1"/>
      <c r="D1631" s="1"/>
      <c r="E1631" s="1"/>
      <c r="F1631" s="1"/>
      <c r="G1631" s="1"/>
      <c r="H1631" s="1"/>
      <c r="I1631" s="1"/>
      <c r="J1631" s="1"/>
      <c r="K1631" s="1"/>
      <c r="L1631" s="1"/>
      <c r="M1631" s="1"/>
      <c r="N1631" s="1"/>
      <c r="O1631" s="1"/>
      <c r="P1631" s="1"/>
      <c r="Q1631" s="1"/>
      <c r="R1631"/>
      <c r="S1631" s="1"/>
      <c r="T1631" s="24"/>
      <c r="U1631"/>
      <c r="V1631" s="1"/>
      <c r="W1631" s="24"/>
      <c r="X1631"/>
      <c r="Y1631" s="1"/>
      <c r="Z1631" s="24"/>
      <c r="AA1631"/>
      <c r="AB1631" s="1"/>
      <c r="AC1631" s="24"/>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c r="CA1631"/>
      <c r="CB1631"/>
      <c r="CC1631"/>
      <c r="CD1631"/>
      <c r="CE1631"/>
      <c r="CF1631"/>
      <c r="CG1631"/>
      <c r="CH1631"/>
      <c r="CI1631"/>
      <c r="CJ1631"/>
      <c r="CK1631"/>
      <c r="CL1631"/>
      <c r="CM1631"/>
      <c r="CN1631"/>
      <c r="CO1631"/>
      <c r="CP1631"/>
      <c r="CQ1631"/>
      <c r="CR1631"/>
      <c r="CS1631"/>
    </row>
    <row r="1632" spans="2:97">
      <c r="B1632"/>
      <c r="C1632" s="1"/>
      <c r="D1632" s="1"/>
      <c r="E1632" s="1"/>
      <c r="F1632" s="1"/>
      <c r="G1632" s="1"/>
      <c r="H1632" s="1"/>
      <c r="I1632" s="1"/>
      <c r="J1632" s="1"/>
      <c r="K1632" s="1"/>
      <c r="L1632" s="1"/>
      <c r="M1632" s="1"/>
      <c r="N1632" s="1"/>
      <c r="O1632" s="1"/>
      <c r="P1632" s="1"/>
      <c r="Q1632" s="1"/>
      <c r="R1632"/>
      <c r="S1632" s="1"/>
      <c r="T1632" s="24"/>
      <c r="U1632"/>
      <c r="V1632" s="1"/>
      <c r="W1632" s="24"/>
      <c r="X1632"/>
      <c r="Y1632" s="1"/>
      <c r="Z1632" s="24"/>
      <c r="AA1632"/>
      <c r="AB1632" s="1"/>
      <c r="AC1632" s="24"/>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c r="CA1632"/>
      <c r="CB1632"/>
      <c r="CC1632"/>
      <c r="CD1632"/>
      <c r="CE1632"/>
      <c r="CF1632"/>
      <c r="CG1632"/>
      <c r="CH1632"/>
      <c r="CI1632"/>
      <c r="CJ1632"/>
      <c r="CK1632"/>
      <c r="CL1632"/>
      <c r="CM1632"/>
      <c r="CN1632"/>
      <c r="CO1632"/>
      <c r="CP1632"/>
      <c r="CQ1632"/>
      <c r="CR1632"/>
      <c r="CS1632"/>
    </row>
    <row r="1633" spans="2:97">
      <c r="B1633"/>
      <c r="C1633" s="1"/>
      <c r="D1633" s="1"/>
      <c r="E1633" s="1"/>
      <c r="F1633" s="1"/>
      <c r="G1633" s="1"/>
      <c r="H1633" s="1"/>
      <c r="I1633" s="1"/>
      <c r="J1633" s="1"/>
      <c r="K1633" s="1"/>
      <c r="L1633" s="1"/>
      <c r="M1633" s="1"/>
      <c r="N1633" s="1"/>
      <c r="O1633" s="1"/>
      <c r="P1633" s="1"/>
      <c r="Q1633" s="1"/>
      <c r="R1633"/>
      <c r="S1633" s="1"/>
      <c r="T1633" s="24"/>
      <c r="U1633"/>
      <c r="V1633" s="1"/>
      <c r="W1633" s="24"/>
      <c r="X1633"/>
      <c r="Y1633" s="1"/>
      <c r="Z1633" s="24"/>
      <c r="AA1633"/>
      <c r="AB1633" s="1"/>
      <c r="AC1633" s="24"/>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c r="CA1633"/>
      <c r="CB1633"/>
      <c r="CC1633"/>
      <c r="CD1633"/>
      <c r="CE1633"/>
      <c r="CF1633"/>
      <c r="CG1633"/>
      <c r="CH1633"/>
      <c r="CI1633"/>
      <c r="CJ1633"/>
      <c r="CK1633"/>
      <c r="CL1633"/>
      <c r="CM1633"/>
      <c r="CN1633"/>
      <c r="CO1633"/>
      <c r="CP1633"/>
      <c r="CQ1633"/>
      <c r="CR1633"/>
      <c r="CS1633"/>
    </row>
    <row r="1634" spans="2:97">
      <c r="B1634"/>
      <c r="C1634" s="1"/>
      <c r="D1634" s="1"/>
      <c r="E1634" s="1"/>
      <c r="F1634" s="1"/>
      <c r="G1634" s="1"/>
      <c r="H1634" s="1"/>
      <c r="I1634" s="1"/>
      <c r="J1634" s="1"/>
      <c r="K1634" s="1"/>
      <c r="L1634" s="1"/>
      <c r="M1634" s="1"/>
      <c r="N1634" s="1"/>
      <c r="O1634" s="1"/>
      <c r="P1634" s="1"/>
      <c r="Q1634" s="1"/>
      <c r="R1634"/>
      <c r="S1634" s="1"/>
      <c r="T1634" s="24"/>
      <c r="U1634"/>
      <c r="V1634" s="1"/>
      <c r="W1634" s="24"/>
      <c r="X1634"/>
      <c r="Y1634" s="1"/>
      <c r="Z1634" s="24"/>
      <c r="AA1634"/>
      <c r="AB1634" s="1"/>
      <c r="AC1634" s="2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c r="CA1634"/>
      <c r="CB1634"/>
      <c r="CC1634"/>
      <c r="CD1634"/>
      <c r="CE1634"/>
      <c r="CF1634"/>
      <c r="CG1634"/>
      <c r="CH1634"/>
      <c r="CI1634"/>
      <c r="CJ1634"/>
      <c r="CK1634"/>
      <c r="CL1634"/>
      <c r="CM1634"/>
      <c r="CN1634"/>
      <c r="CO1634"/>
      <c r="CP1634"/>
      <c r="CQ1634"/>
      <c r="CR1634"/>
      <c r="CS1634"/>
    </row>
    <row r="1635" spans="2:97">
      <c r="B1635"/>
      <c r="C1635" s="1"/>
      <c r="D1635" s="1"/>
      <c r="E1635" s="1"/>
      <c r="F1635" s="1"/>
      <c r="G1635" s="1"/>
      <c r="H1635" s="1"/>
      <c r="I1635" s="1"/>
      <c r="J1635" s="1"/>
      <c r="K1635" s="1"/>
      <c r="L1635" s="1"/>
      <c r="M1635" s="1"/>
      <c r="N1635" s="1"/>
      <c r="O1635" s="1"/>
      <c r="P1635" s="1"/>
      <c r="Q1635" s="1"/>
      <c r="R1635"/>
      <c r="S1635" s="1"/>
      <c r="T1635" s="24"/>
      <c r="U1635"/>
      <c r="V1635" s="1"/>
      <c r="W1635" s="24"/>
      <c r="X1635"/>
      <c r="Y1635" s="1"/>
      <c r="Z1635" s="24"/>
      <c r="AA1635"/>
      <c r="AB1635" s="1"/>
      <c r="AC1635" s="24"/>
      <c r="AD1635"/>
      <c r="AE1635"/>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c r="CA1635"/>
      <c r="CB1635"/>
      <c r="CC1635"/>
      <c r="CD1635"/>
      <c r="CE1635"/>
      <c r="CF1635"/>
      <c r="CG1635"/>
      <c r="CH1635"/>
      <c r="CI1635"/>
      <c r="CJ1635"/>
      <c r="CK1635"/>
      <c r="CL1635"/>
      <c r="CM1635"/>
      <c r="CN1635"/>
      <c r="CO1635"/>
      <c r="CP1635"/>
      <c r="CQ1635"/>
      <c r="CR1635"/>
      <c r="CS1635"/>
    </row>
    <row r="1636" spans="2:97">
      <c r="B1636"/>
      <c r="C1636" s="1"/>
      <c r="D1636" s="1"/>
      <c r="E1636" s="1"/>
      <c r="F1636" s="1"/>
      <c r="G1636" s="1"/>
      <c r="H1636" s="1"/>
      <c r="I1636" s="1"/>
      <c r="J1636" s="1"/>
      <c r="K1636" s="1"/>
      <c r="L1636" s="1"/>
      <c r="M1636" s="1"/>
      <c r="N1636" s="1"/>
      <c r="O1636" s="1"/>
      <c r="P1636" s="1"/>
      <c r="Q1636" s="1"/>
      <c r="R1636"/>
      <c r="S1636" s="1"/>
      <c r="T1636" s="24"/>
      <c r="U1636"/>
      <c r="V1636" s="1"/>
      <c r="W1636" s="24"/>
      <c r="X1636"/>
      <c r="Y1636" s="1"/>
      <c r="Z1636" s="24"/>
      <c r="AA1636"/>
      <c r="AB1636" s="1"/>
      <c r="AC1636" s="24"/>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c r="CA1636"/>
      <c r="CB1636"/>
      <c r="CC1636"/>
      <c r="CD1636"/>
      <c r="CE1636"/>
      <c r="CF1636"/>
      <c r="CG1636"/>
      <c r="CH1636"/>
      <c r="CI1636"/>
      <c r="CJ1636"/>
      <c r="CK1636"/>
      <c r="CL1636"/>
      <c r="CM1636"/>
      <c r="CN1636"/>
      <c r="CO1636"/>
      <c r="CP1636"/>
      <c r="CQ1636"/>
      <c r="CR1636"/>
      <c r="CS1636"/>
    </row>
    <row r="1637" spans="2:97">
      <c r="B1637"/>
      <c r="C1637" s="1"/>
      <c r="D1637" s="1"/>
      <c r="E1637" s="1"/>
      <c r="F1637" s="1"/>
      <c r="G1637" s="1"/>
      <c r="H1637" s="1"/>
      <c r="I1637" s="1"/>
      <c r="J1637" s="1"/>
      <c r="K1637" s="1"/>
      <c r="L1637" s="1"/>
      <c r="M1637" s="1"/>
      <c r="N1637" s="1"/>
      <c r="O1637" s="1"/>
      <c r="P1637" s="1"/>
      <c r="Q1637" s="1"/>
      <c r="R1637"/>
      <c r="S1637" s="1"/>
      <c r="T1637" s="24"/>
      <c r="U1637"/>
      <c r="V1637" s="1"/>
      <c r="W1637" s="24"/>
      <c r="X1637"/>
      <c r="Y1637" s="1"/>
      <c r="Z1637" s="24"/>
      <c r="AA1637"/>
      <c r="AB1637" s="1"/>
      <c r="AC1637" s="24"/>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c r="CA1637"/>
      <c r="CB1637"/>
      <c r="CC1637"/>
      <c r="CD1637"/>
      <c r="CE1637"/>
      <c r="CF1637"/>
      <c r="CG1637"/>
      <c r="CH1637"/>
      <c r="CI1637"/>
      <c r="CJ1637"/>
      <c r="CK1637"/>
      <c r="CL1637"/>
      <c r="CM1637"/>
      <c r="CN1637"/>
      <c r="CO1637"/>
      <c r="CP1637"/>
      <c r="CQ1637"/>
      <c r="CR1637"/>
      <c r="CS1637"/>
    </row>
    <row r="1638" spans="2:97">
      <c r="B1638"/>
      <c r="C1638" s="1"/>
      <c r="D1638" s="1"/>
      <c r="E1638" s="1"/>
      <c r="F1638" s="1"/>
      <c r="G1638" s="1"/>
      <c r="H1638" s="1"/>
      <c r="I1638" s="1"/>
      <c r="J1638" s="1"/>
      <c r="K1638" s="1"/>
      <c r="L1638" s="1"/>
      <c r="M1638" s="1"/>
      <c r="N1638" s="1"/>
      <c r="O1638" s="1"/>
      <c r="P1638" s="1"/>
      <c r="Q1638" s="1"/>
      <c r="R1638"/>
      <c r="S1638" s="1"/>
      <c r="T1638" s="24"/>
      <c r="U1638"/>
      <c r="V1638" s="1"/>
      <c r="W1638" s="24"/>
      <c r="X1638"/>
      <c r="Y1638" s="1"/>
      <c r="Z1638" s="24"/>
      <c r="AA1638"/>
      <c r="AB1638" s="1"/>
      <c r="AC1638" s="24"/>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c r="CA1638"/>
      <c r="CB1638"/>
      <c r="CC1638"/>
      <c r="CD1638"/>
      <c r="CE1638"/>
      <c r="CF1638"/>
      <c r="CG1638"/>
      <c r="CH1638"/>
      <c r="CI1638"/>
      <c r="CJ1638"/>
      <c r="CK1638"/>
      <c r="CL1638"/>
      <c r="CM1638"/>
      <c r="CN1638"/>
      <c r="CO1638"/>
      <c r="CP1638"/>
      <c r="CQ1638"/>
      <c r="CR1638"/>
      <c r="CS1638"/>
    </row>
    <row r="1639" spans="2:97">
      <c r="B1639"/>
      <c r="C1639" s="1"/>
      <c r="D1639" s="1"/>
      <c r="E1639" s="1"/>
      <c r="F1639" s="1"/>
      <c r="G1639" s="1"/>
      <c r="H1639" s="1"/>
      <c r="I1639" s="1"/>
      <c r="J1639" s="1"/>
      <c r="K1639" s="1"/>
      <c r="L1639" s="1"/>
      <c r="M1639" s="1"/>
      <c r="N1639" s="1"/>
      <c r="O1639" s="1"/>
      <c r="P1639" s="1"/>
      <c r="Q1639" s="1"/>
      <c r="R1639"/>
      <c r="S1639" s="1"/>
      <c r="T1639" s="24"/>
      <c r="U1639"/>
      <c r="V1639" s="1"/>
      <c r="W1639" s="24"/>
      <c r="X1639"/>
      <c r="Y1639" s="1"/>
      <c r="Z1639" s="24"/>
      <c r="AA1639"/>
      <c r="AB1639" s="1"/>
      <c r="AC1639" s="24"/>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c r="CA1639"/>
      <c r="CB1639"/>
      <c r="CC1639"/>
      <c r="CD1639"/>
      <c r="CE1639"/>
      <c r="CF1639"/>
      <c r="CG1639"/>
      <c r="CH1639"/>
      <c r="CI1639"/>
      <c r="CJ1639"/>
      <c r="CK1639"/>
      <c r="CL1639"/>
      <c r="CM1639"/>
      <c r="CN1639"/>
      <c r="CO1639"/>
      <c r="CP1639"/>
      <c r="CQ1639"/>
      <c r="CR1639"/>
      <c r="CS1639"/>
    </row>
    <row r="1640" spans="2:97">
      <c r="B1640"/>
      <c r="C1640" s="1"/>
      <c r="D1640" s="1"/>
      <c r="E1640" s="1"/>
      <c r="F1640" s="1"/>
      <c r="G1640" s="1"/>
      <c r="H1640" s="1"/>
      <c r="I1640" s="1"/>
      <c r="J1640" s="1"/>
      <c r="K1640" s="1"/>
      <c r="L1640" s="1"/>
      <c r="M1640" s="1"/>
      <c r="N1640" s="1"/>
      <c r="O1640" s="1"/>
      <c r="P1640" s="1"/>
      <c r="Q1640" s="1"/>
      <c r="R1640"/>
      <c r="S1640" s="1"/>
      <c r="T1640" s="24"/>
      <c r="U1640"/>
      <c r="V1640" s="1"/>
      <c r="W1640" s="24"/>
      <c r="X1640"/>
      <c r="Y1640" s="1"/>
      <c r="Z1640" s="24"/>
      <c r="AA1640"/>
      <c r="AB1640" s="1"/>
      <c r="AC1640" s="24"/>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c r="CA1640"/>
      <c r="CB1640"/>
      <c r="CC1640"/>
      <c r="CD1640"/>
      <c r="CE1640"/>
      <c r="CF1640"/>
      <c r="CG1640"/>
      <c r="CH1640"/>
      <c r="CI1640"/>
      <c r="CJ1640"/>
      <c r="CK1640"/>
      <c r="CL1640"/>
      <c r="CM1640"/>
      <c r="CN1640"/>
      <c r="CO1640"/>
      <c r="CP1640"/>
      <c r="CQ1640"/>
      <c r="CR1640"/>
      <c r="CS1640"/>
    </row>
    <row r="1641" spans="2:97">
      <c r="B1641"/>
      <c r="C1641" s="1"/>
      <c r="D1641" s="1"/>
      <c r="E1641" s="1"/>
      <c r="F1641" s="1"/>
      <c r="G1641" s="1"/>
      <c r="H1641" s="1"/>
      <c r="I1641" s="1"/>
      <c r="J1641" s="1"/>
      <c r="K1641" s="1"/>
      <c r="L1641" s="1"/>
      <c r="M1641" s="1"/>
      <c r="N1641" s="1"/>
      <c r="O1641" s="1"/>
      <c r="P1641" s="1"/>
      <c r="Q1641" s="1"/>
      <c r="R1641"/>
      <c r="S1641" s="1"/>
      <c r="T1641" s="24"/>
      <c r="U1641"/>
      <c r="V1641" s="1"/>
      <c r="W1641" s="24"/>
      <c r="X1641"/>
      <c r="Y1641" s="1"/>
      <c r="Z1641" s="24"/>
      <c r="AA1641"/>
      <c r="AB1641" s="1"/>
      <c r="AC1641" s="24"/>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c r="BR1641"/>
      <c r="BS1641"/>
      <c r="BT1641"/>
      <c r="BU1641"/>
      <c r="BV1641"/>
      <c r="BW1641"/>
      <c r="BX1641"/>
      <c r="BY1641"/>
      <c r="BZ1641"/>
      <c r="CA1641"/>
      <c r="CB1641"/>
      <c r="CC1641"/>
      <c r="CD1641"/>
      <c r="CE1641"/>
      <c r="CF1641"/>
      <c r="CG1641"/>
      <c r="CH1641"/>
      <c r="CI1641"/>
      <c r="CJ1641"/>
      <c r="CK1641"/>
      <c r="CL1641"/>
      <c r="CM1641"/>
      <c r="CN1641"/>
      <c r="CO1641"/>
      <c r="CP1641"/>
      <c r="CQ1641"/>
      <c r="CR1641"/>
      <c r="CS1641"/>
    </row>
    <row r="1642" spans="2:97">
      <c r="B1642"/>
      <c r="C1642" s="1"/>
      <c r="D1642" s="1"/>
      <c r="E1642" s="1"/>
      <c r="F1642" s="1"/>
      <c r="G1642" s="1"/>
      <c r="H1642" s="1"/>
      <c r="I1642" s="1"/>
      <c r="J1642" s="1"/>
      <c r="K1642" s="1"/>
      <c r="L1642" s="1"/>
      <c r="M1642" s="1"/>
      <c r="N1642" s="1"/>
      <c r="O1642" s="1"/>
      <c r="P1642" s="1"/>
      <c r="Q1642" s="1"/>
      <c r="R1642"/>
      <c r="S1642" s="1"/>
      <c r="T1642" s="24"/>
      <c r="U1642"/>
      <c r="V1642" s="1"/>
      <c r="W1642" s="24"/>
      <c r="X1642"/>
      <c r="Y1642" s="1"/>
      <c r="Z1642" s="24"/>
      <c r="AA1642"/>
      <c r="AB1642" s="1"/>
      <c r="AC1642" s="24"/>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c r="CA1642"/>
      <c r="CB1642"/>
      <c r="CC1642"/>
      <c r="CD1642"/>
      <c r="CE1642"/>
      <c r="CF1642"/>
      <c r="CG1642"/>
      <c r="CH1642"/>
      <c r="CI1642"/>
      <c r="CJ1642"/>
      <c r="CK1642"/>
      <c r="CL1642"/>
      <c r="CM1642"/>
      <c r="CN1642"/>
      <c r="CO1642"/>
      <c r="CP1642"/>
      <c r="CQ1642"/>
      <c r="CR1642"/>
      <c r="CS1642"/>
    </row>
    <row r="1643" spans="2:97">
      <c r="B1643"/>
      <c r="C1643" s="1"/>
      <c r="D1643" s="1"/>
      <c r="E1643" s="1"/>
      <c r="F1643" s="1"/>
      <c r="G1643" s="1"/>
      <c r="H1643" s="1"/>
      <c r="I1643" s="1"/>
      <c r="J1643" s="1"/>
      <c r="K1643" s="1"/>
      <c r="L1643" s="1"/>
      <c r="M1643" s="1"/>
      <c r="N1643" s="1"/>
      <c r="O1643" s="1"/>
      <c r="P1643" s="1"/>
      <c r="Q1643" s="1"/>
      <c r="R1643"/>
      <c r="S1643" s="1"/>
      <c r="T1643" s="24"/>
      <c r="U1643"/>
      <c r="V1643" s="1"/>
      <c r="W1643" s="24"/>
      <c r="X1643"/>
      <c r="Y1643" s="1"/>
      <c r="Z1643" s="24"/>
      <c r="AA1643"/>
      <c r="AB1643" s="1"/>
      <c r="AC1643" s="24"/>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c r="CA1643"/>
      <c r="CB1643"/>
      <c r="CC1643"/>
      <c r="CD1643"/>
      <c r="CE1643"/>
      <c r="CF1643"/>
      <c r="CG1643"/>
      <c r="CH1643"/>
      <c r="CI1643"/>
      <c r="CJ1643"/>
      <c r="CK1643"/>
      <c r="CL1643"/>
      <c r="CM1643"/>
      <c r="CN1643"/>
      <c r="CO1643"/>
      <c r="CP1643"/>
      <c r="CQ1643"/>
      <c r="CR1643"/>
      <c r="CS1643"/>
    </row>
    <row r="1644" spans="2:97">
      <c r="B1644"/>
      <c r="C1644" s="1"/>
      <c r="D1644" s="1"/>
      <c r="E1644" s="1"/>
      <c r="F1644" s="1"/>
      <c r="G1644" s="1"/>
      <c r="H1644" s="1"/>
      <c r="I1644" s="1"/>
      <c r="J1644" s="1"/>
      <c r="K1644" s="1"/>
      <c r="L1644" s="1"/>
      <c r="M1644" s="1"/>
      <c r="N1644" s="1"/>
      <c r="O1644" s="1"/>
      <c r="P1644" s="1"/>
      <c r="Q1644" s="1"/>
      <c r="R1644"/>
      <c r="S1644" s="1"/>
      <c r="T1644" s="24"/>
      <c r="U1644"/>
      <c r="V1644" s="1"/>
      <c r="W1644" s="24"/>
      <c r="X1644"/>
      <c r="Y1644" s="1"/>
      <c r="Z1644" s="24"/>
      <c r="AA1644"/>
      <c r="AB1644" s="1"/>
      <c r="AC1644" s="24"/>
      <c r="AD1644"/>
      <c r="AE1644"/>
      <c r="AF1644"/>
      <c r="AG1644"/>
      <c r="AH1644"/>
      <c r="AI1644"/>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c r="CA1644"/>
      <c r="CB1644"/>
      <c r="CC1644"/>
      <c r="CD1644"/>
      <c r="CE1644"/>
      <c r="CF1644"/>
      <c r="CG1644"/>
      <c r="CH1644"/>
      <c r="CI1644"/>
      <c r="CJ1644"/>
      <c r="CK1644"/>
      <c r="CL1644"/>
      <c r="CM1644"/>
      <c r="CN1644"/>
      <c r="CO1644"/>
      <c r="CP1644"/>
      <c r="CQ1644"/>
      <c r="CR1644"/>
      <c r="CS1644"/>
    </row>
    <row r="1645" spans="2:97">
      <c r="B1645"/>
      <c r="C1645" s="1"/>
      <c r="D1645" s="1"/>
      <c r="E1645" s="1"/>
      <c r="F1645" s="1"/>
      <c r="G1645" s="1"/>
      <c r="H1645" s="1"/>
      <c r="I1645" s="1"/>
      <c r="J1645" s="1"/>
      <c r="K1645" s="1"/>
      <c r="L1645" s="1"/>
      <c r="M1645" s="1"/>
      <c r="N1645" s="1"/>
      <c r="O1645" s="1"/>
      <c r="P1645" s="1"/>
      <c r="Q1645" s="1"/>
      <c r="R1645"/>
      <c r="S1645" s="1"/>
      <c r="T1645" s="24"/>
      <c r="U1645"/>
      <c r="V1645" s="1"/>
      <c r="W1645" s="24"/>
      <c r="X1645"/>
      <c r="Y1645" s="1"/>
      <c r="Z1645" s="24"/>
      <c r="AA1645"/>
      <c r="AB1645" s="1"/>
      <c r="AC1645" s="24"/>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c r="BM1645"/>
      <c r="BN1645"/>
      <c r="BO1645"/>
      <c r="BP1645"/>
      <c r="BQ1645"/>
      <c r="BR1645"/>
      <c r="BS1645"/>
      <c r="BT1645"/>
      <c r="BU1645"/>
      <c r="BV1645"/>
      <c r="BW1645"/>
      <c r="BX1645"/>
      <c r="BY1645"/>
      <c r="BZ1645"/>
      <c r="CA1645"/>
      <c r="CB1645"/>
      <c r="CC1645"/>
      <c r="CD1645"/>
      <c r="CE1645"/>
      <c r="CF1645"/>
      <c r="CG1645"/>
      <c r="CH1645"/>
      <c r="CI1645"/>
      <c r="CJ1645"/>
      <c r="CK1645"/>
      <c r="CL1645"/>
      <c r="CM1645"/>
      <c r="CN1645"/>
      <c r="CO1645"/>
      <c r="CP1645"/>
      <c r="CQ1645"/>
      <c r="CR1645"/>
      <c r="CS1645"/>
    </row>
    <row r="1646" spans="2:97">
      <c r="B1646"/>
      <c r="C1646" s="1"/>
      <c r="D1646" s="1"/>
      <c r="E1646" s="1"/>
      <c r="F1646" s="1"/>
      <c r="G1646" s="1"/>
      <c r="H1646" s="1"/>
      <c r="I1646" s="1"/>
      <c r="J1646" s="1"/>
      <c r="K1646" s="1"/>
      <c r="L1646" s="1"/>
      <c r="M1646" s="1"/>
      <c r="N1646" s="1"/>
      <c r="O1646" s="1"/>
      <c r="P1646" s="1"/>
      <c r="Q1646" s="1"/>
      <c r="R1646"/>
      <c r="S1646" s="1"/>
      <c r="T1646" s="24"/>
      <c r="U1646"/>
      <c r="V1646" s="1"/>
      <c r="W1646" s="24"/>
      <c r="X1646"/>
      <c r="Y1646" s="1"/>
      <c r="Z1646" s="24"/>
      <c r="AA1646"/>
      <c r="AB1646" s="1"/>
      <c r="AC1646" s="24"/>
      <c r="AD1646"/>
      <c r="AE1646"/>
      <c r="AF1646"/>
      <c r="AG1646"/>
      <c r="AH1646"/>
      <c r="AI1646"/>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c r="CA1646"/>
      <c r="CB1646"/>
      <c r="CC1646"/>
      <c r="CD1646"/>
      <c r="CE1646"/>
      <c r="CF1646"/>
      <c r="CG1646"/>
      <c r="CH1646"/>
      <c r="CI1646"/>
      <c r="CJ1646"/>
      <c r="CK1646"/>
      <c r="CL1646"/>
      <c r="CM1646"/>
      <c r="CN1646"/>
      <c r="CO1646"/>
      <c r="CP1646"/>
      <c r="CQ1646"/>
      <c r="CR1646"/>
      <c r="CS1646"/>
    </row>
    <row r="1647" spans="2:97">
      <c r="B1647"/>
      <c r="C1647" s="1"/>
      <c r="D1647" s="1"/>
      <c r="E1647" s="1"/>
      <c r="F1647" s="1"/>
      <c r="G1647" s="1"/>
      <c r="H1647" s="1"/>
      <c r="I1647" s="1"/>
      <c r="J1647" s="1"/>
      <c r="K1647" s="1"/>
      <c r="L1647" s="1"/>
      <c r="M1647" s="1"/>
      <c r="N1647" s="1"/>
      <c r="O1647" s="1"/>
      <c r="P1647" s="1"/>
      <c r="Q1647" s="1"/>
      <c r="R1647"/>
      <c r="S1647" s="1"/>
      <c r="T1647" s="24"/>
      <c r="U1647"/>
      <c r="V1647" s="1"/>
      <c r="W1647" s="24"/>
      <c r="X1647"/>
      <c r="Y1647" s="1"/>
      <c r="Z1647" s="24"/>
      <c r="AA1647"/>
      <c r="AB1647" s="1"/>
      <c r="AC1647" s="24"/>
      <c r="AD1647"/>
      <c r="AE1647"/>
      <c r="AF1647"/>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c r="CA1647"/>
      <c r="CB1647"/>
      <c r="CC1647"/>
      <c r="CD1647"/>
      <c r="CE1647"/>
      <c r="CF1647"/>
      <c r="CG1647"/>
      <c r="CH1647"/>
      <c r="CI1647"/>
      <c r="CJ1647"/>
      <c r="CK1647"/>
      <c r="CL1647"/>
      <c r="CM1647"/>
      <c r="CN1647"/>
      <c r="CO1647"/>
      <c r="CP1647"/>
      <c r="CQ1647"/>
      <c r="CR1647"/>
      <c r="CS1647"/>
    </row>
    <row r="1648" spans="2:97">
      <c r="B1648"/>
      <c r="C1648" s="1"/>
      <c r="D1648" s="1"/>
      <c r="E1648" s="1"/>
      <c r="F1648" s="1"/>
      <c r="G1648" s="1"/>
      <c r="H1648" s="1"/>
      <c r="I1648" s="1"/>
      <c r="J1648" s="1"/>
      <c r="K1648" s="1"/>
      <c r="L1648" s="1"/>
      <c r="M1648" s="1"/>
      <c r="N1648" s="1"/>
      <c r="O1648" s="1"/>
      <c r="P1648" s="1"/>
      <c r="Q1648" s="1"/>
      <c r="R1648"/>
      <c r="S1648" s="1"/>
      <c r="T1648" s="24"/>
      <c r="U1648"/>
      <c r="V1648" s="1"/>
      <c r="W1648" s="24"/>
      <c r="X1648"/>
      <c r="Y1648" s="1"/>
      <c r="Z1648" s="24"/>
      <c r="AA1648"/>
      <c r="AB1648" s="1"/>
      <c r="AC1648" s="24"/>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c r="CA1648"/>
      <c r="CB1648"/>
      <c r="CC1648"/>
      <c r="CD1648"/>
      <c r="CE1648"/>
      <c r="CF1648"/>
      <c r="CG1648"/>
      <c r="CH1648"/>
      <c r="CI1648"/>
      <c r="CJ1648"/>
      <c r="CK1648"/>
      <c r="CL1648"/>
      <c r="CM1648"/>
      <c r="CN1648"/>
      <c r="CO1648"/>
      <c r="CP1648"/>
      <c r="CQ1648"/>
      <c r="CR1648"/>
      <c r="CS1648"/>
    </row>
    <row r="1649" spans="2:97">
      <c r="B1649"/>
      <c r="C1649" s="1"/>
      <c r="D1649" s="1"/>
      <c r="E1649" s="1"/>
      <c r="F1649" s="1"/>
      <c r="G1649" s="1"/>
      <c r="H1649" s="1"/>
      <c r="I1649" s="1"/>
      <c r="J1649" s="1"/>
      <c r="K1649" s="1"/>
      <c r="L1649" s="1"/>
      <c r="M1649" s="1"/>
      <c r="N1649" s="1"/>
      <c r="O1649" s="1"/>
      <c r="P1649" s="1"/>
      <c r="Q1649" s="1"/>
      <c r="R1649"/>
      <c r="S1649" s="1"/>
      <c r="T1649" s="24"/>
      <c r="U1649"/>
      <c r="V1649" s="1"/>
      <c r="W1649" s="24"/>
      <c r="X1649"/>
      <c r="Y1649" s="1"/>
      <c r="Z1649" s="24"/>
      <c r="AA1649"/>
      <c r="AB1649" s="1"/>
      <c r="AC1649" s="24"/>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c r="CA1649"/>
      <c r="CB1649"/>
      <c r="CC1649"/>
      <c r="CD1649"/>
      <c r="CE1649"/>
      <c r="CF1649"/>
      <c r="CG1649"/>
      <c r="CH1649"/>
      <c r="CI1649"/>
      <c r="CJ1649"/>
      <c r="CK1649"/>
      <c r="CL1649"/>
      <c r="CM1649"/>
      <c r="CN1649"/>
      <c r="CO1649"/>
      <c r="CP1649"/>
      <c r="CQ1649"/>
      <c r="CR1649"/>
      <c r="CS1649"/>
    </row>
    <row r="1650" spans="2:97">
      <c r="B1650"/>
      <c r="C1650" s="1"/>
      <c r="D1650" s="1"/>
      <c r="E1650" s="1"/>
      <c r="F1650" s="1"/>
      <c r="G1650" s="1"/>
      <c r="H1650" s="1"/>
      <c r="I1650" s="1"/>
      <c r="J1650" s="1"/>
      <c r="K1650" s="1"/>
      <c r="L1650" s="1"/>
      <c r="M1650" s="1"/>
      <c r="N1650" s="1"/>
      <c r="O1650" s="1"/>
      <c r="P1650" s="1"/>
      <c r="Q1650" s="1"/>
      <c r="R1650"/>
      <c r="S1650" s="1"/>
      <c r="T1650" s="24"/>
      <c r="U1650"/>
      <c r="V1650" s="1"/>
      <c r="W1650" s="24"/>
      <c r="X1650"/>
      <c r="Y1650" s="1"/>
      <c r="Z1650" s="24"/>
      <c r="AA1650"/>
      <c r="AB1650" s="1"/>
      <c r="AC1650" s="24"/>
      <c r="AD1650"/>
      <c r="AE1650"/>
      <c r="AF1650"/>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c r="CA1650"/>
      <c r="CB1650"/>
      <c r="CC1650"/>
      <c r="CD1650"/>
      <c r="CE1650"/>
      <c r="CF1650"/>
      <c r="CG1650"/>
      <c r="CH1650"/>
      <c r="CI1650"/>
      <c r="CJ1650"/>
      <c r="CK1650"/>
      <c r="CL1650"/>
      <c r="CM1650"/>
      <c r="CN1650"/>
      <c r="CO1650"/>
      <c r="CP1650"/>
      <c r="CQ1650"/>
      <c r="CR1650"/>
      <c r="CS1650"/>
    </row>
    <row r="1651" spans="2:97">
      <c r="B1651"/>
      <c r="C1651" s="1"/>
      <c r="D1651" s="1"/>
      <c r="E1651" s="1"/>
      <c r="F1651" s="1"/>
      <c r="G1651" s="1"/>
      <c r="H1651" s="1"/>
      <c r="I1651" s="1"/>
      <c r="J1651" s="1"/>
      <c r="K1651" s="1"/>
      <c r="L1651" s="1"/>
      <c r="M1651" s="1"/>
      <c r="N1651" s="1"/>
      <c r="O1651" s="1"/>
      <c r="P1651" s="1"/>
      <c r="Q1651" s="1"/>
      <c r="R1651"/>
      <c r="S1651" s="1"/>
      <c r="T1651" s="24"/>
      <c r="U1651"/>
      <c r="V1651" s="1"/>
      <c r="W1651" s="24"/>
      <c r="X1651"/>
      <c r="Y1651" s="1"/>
      <c r="Z1651" s="24"/>
      <c r="AA1651"/>
      <c r="AB1651" s="1"/>
      <c r="AC1651" s="24"/>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c r="CA1651"/>
      <c r="CB1651"/>
      <c r="CC1651"/>
      <c r="CD1651"/>
      <c r="CE1651"/>
      <c r="CF1651"/>
      <c r="CG1651"/>
      <c r="CH1651"/>
      <c r="CI1651"/>
      <c r="CJ1651"/>
      <c r="CK1651"/>
      <c r="CL1651"/>
      <c r="CM1651"/>
      <c r="CN1651"/>
      <c r="CO1651"/>
      <c r="CP1651"/>
      <c r="CQ1651"/>
      <c r="CR1651"/>
      <c r="CS1651"/>
    </row>
    <row r="1652" spans="2:97">
      <c r="B1652"/>
      <c r="C1652" s="1"/>
      <c r="D1652" s="1"/>
      <c r="E1652" s="1"/>
      <c r="F1652" s="1"/>
      <c r="G1652" s="1"/>
      <c r="H1652" s="1"/>
      <c r="I1652" s="1"/>
      <c r="J1652" s="1"/>
      <c r="K1652" s="1"/>
      <c r="L1652" s="1"/>
      <c r="M1652" s="1"/>
      <c r="N1652" s="1"/>
      <c r="O1652" s="1"/>
      <c r="P1652" s="1"/>
      <c r="Q1652" s="1"/>
      <c r="R1652"/>
      <c r="S1652" s="1"/>
      <c r="T1652" s="24"/>
      <c r="U1652"/>
      <c r="V1652" s="1"/>
      <c r="W1652" s="24"/>
      <c r="X1652"/>
      <c r="Y1652" s="1"/>
      <c r="Z1652" s="24"/>
      <c r="AA1652"/>
      <c r="AB1652" s="1"/>
      <c r="AC1652" s="24"/>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c r="CA1652"/>
      <c r="CB1652"/>
      <c r="CC1652"/>
      <c r="CD1652"/>
      <c r="CE1652"/>
      <c r="CF1652"/>
      <c r="CG1652"/>
      <c r="CH1652"/>
      <c r="CI1652"/>
      <c r="CJ1652"/>
      <c r="CK1652"/>
      <c r="CL1652"/>
      <c r="CM1652"/>
      <c r="CN1652"/>
      <c r="CO1652"/>
      <c r="CP1652"/>
      <c r="CQ1652"/>
      <c r="CR1652"/>
      <c r="CS1652"/>
    </row>
    <row r="1653" spans="2:97">
      <c r="B1653"/>
      <c r="C1653" s="1"/>
      <c r="D1653" s="1"/>
      <c r="E1653" s="1"/>
      <c r="F1653" s="1"/>
      <c r="G1653" s="1"/>
      <c r="H1653" s="1"/>
      <c r="I1653" s="1"/>
      <c r="J1653" s="1"/>
      <c r="K1653" s="1"/>
      <c r="L1653" s="1"/>
      <c r="M1653" s="1"/>
      <c r="N1653" s="1"/>
      <c r="O1653" s="1"/>
      <c r="P1653" s="1"/>
      <c r="Q1653" s="1"/>
      <c r="R1653"/>
      <c r="S1653" s="1"/>
      <c r="T1653" s="24"/>
      <c r="U1653"/>
      <c r="V1653" s="1"/>
      <c r="W1653" s="24"/>
      <c r="X1653"/>
      <c r="Y1653" s="1"/>
      <c r="Z1653" s="24"/>
      <c r="AA1653"/>
      <c r="AB1653" s="1"/>
      <c r="AC1653" s="24"/>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c r="CA1653"/>
      <c r="CB1653"/>
      <c r="CC1653"/>
      <c r="CD1653"/>
      <c r="CE1653"/>
      <c r="CF1653"/>
      <c r="CG1653"/>
      <c r="CH1653"/>
      <c r="CI1653"/>
      <c r="CJ1653"/>
      <c r="CK1653"/>
      <c r="CL1653"/>
      <c r="CM1653"/>
      <c r="CN1653"/>
      <c r="CO1653"/>
      <c r="CP1653"/>
      <c r="CQ1653"/>
      <c r="CR1653"/>
      <c r="CS1653"/>
    </row>
    <row r="1654" spans="2:97">
      <c r="B1654"/>
      <c r="C1654" s="1"/>
      <c r="D1654" s="1"/>
      <c r="E1654" s="1"/>
      <c r="F1654" s="1"/>
      <c r="G1654" s="1"/>
      <c r="H1654" s="1"/>
      <c r="I1654" s="1"/>
      <c r="J1654" s="1"/>
      <c r="K1654" s="1"/>
      <c r="L1654" s="1"/>
      <c r="M1654" s="1"/>
      <c r="N1654" s="1"/>
      <c r="O1654" s="1"/>
      <c r="P1654" s="1"/>
      <c r="Q1654" s="1"/>
      <c r="R1654"/>
      <c r="S1654" s="1"/>
      <c r="T1654" s="24"/>
      <c r="U1654"/>
      <c r="V1654" s="1"/>
      <c r="W1654" s="24"/>
      <c r="X1654"/>
      <c r="Y1654" s="1"/>
      <c r="Z1654" s="24"/>
      <c r="AA1654"/>
      <c r="AB1654" s="1"/>
      <c r="AC1654" s="2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c r="CA1654"/>
      <c r="CB1654"/>
      <c r="CC1654"/>
      <c r="CD1654"/>
      <c r="CE1654"/>
      <c r="CF1654"/>
      <c r="CG1654"/>
      <c r="CH1654"/>
      <c r="CI1654"/>
      <c r="CJ1654"/>
      <c r="CK1654"/>
      <c r="CL1654"/>
      <c r="CM1654"/>
      <c r="CN1654"/>
      <c r="CO1654"/>
      <c r="CP1654"/>
      <c r="CQ1654"/>
      <c r="CR1654"/>
      <c r="CS1654"/>
    </row>
    <row r="1655" spans="2:97">
      <c r="B1655"/>
      <c r="C1655" s="1"/>
      <c r="D1655" s="1"/>
      <c r="E1655" s="1"/>
      <c r="F1655" s="1"/>
      <c r="G1655" s="1"/>
      <c r="H1655" s="1"/>
      <c r="I1655" s="1"/>
      <c r="J1655" s="1"/>
      <c r="K1655" s="1"/>
      <c r="L1655" s="1"/>
      <c r="M1655" s="1"/>
      <c r="N1655" s="1"/>
      <c r="O1655" s="1"/>
      <c r="P1655" s="1"/>
      <c r="Q1655" s="1"/>
      <c r="R1655"/>
      <c r="S1655" s="1"/>
      <c r="T1655" s="24"/>
      <c r="U1655"/>
      <c r="V1655" s="1"/>
      <c r="W1655" s="24"/>
      <c r="X1655"/>
      <c r="Y1655" s="1"/>
      <c r="Z1655" s="24"/>
      <c r="AA1655"/>
      <c r="AB1655" s="1"/>
      <c r="AC1655" s="24"/>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c r="BR1655"/>
      <c r="BS1655"/>
      <c r="BT1655"/>
      <c r="BU1655"/>
      <c r="BV1655"/>
      <c r="BW1655"/>
      <c r="BX1655"/>
      <c r="BY1655"/>
      <c r="BZ1655"/>
      <c r="CA1655"/>
      <c r="CB1655"/>
      <c r="CC1655"/>
      <c r="CD1655"/>
      <c r="CE1655"/>
      <c r="CF1655"/>
      <c r="CG1655"/>
      <c r="CH1655"/>
      <c r="CI1655"/>
      <c r="CJ1655"/>
      <c r="CK1655"/>
      <c r="CL1655"/>
      <c r="CM1655"/>
      <c r="CN1655"/>
      <c r="CO1655"/>
      <c r="CP1655"/>
      <c r="CQ1655"/>
      <c r="CR1655"/>
      <c r="CS1655"/>
    </row>
    <row r="1656" spans="2:97">
      <c r="B1656"/>
      <c r="C1656" s="1"/>
      <c r="D1656" s="1"/>
      <c r="E1656" s="1"/>
      <c r="F1656" s="1"/>
      <c r="G1656" s="1"/>
      <c r="H1656" s="1"/>
      <c r="I1656" s="1"/>
      <c r="J1656" s="1"/>
      <c r="K1656" s="1"/>
      <c r="L1656" s="1"/>
      <c r="M1656" s="1"/>
      <c r="N1656" s="1"/>
      <c r="O1656" s="1"/>
      <c r="P1656" s="1"/>
      <c r="Q1656" s="1"/>
      <c r="R1656"/>
      <c r="S1656" s="1"/>
      <c r="T1656" s="24"/>
      <c r="U1656"/>
      <c r="V1656" s="1"/>
      <c r="W1656" s="24"/>
      <c r="X1656"/>
      <c r="Y1656" s="1"/>
      <c r="Z1656" s="24"/>
      <c r="AA1656"/>
      <c r="AB1656" s="1"/>
      <c r="AC1656" s="24"/>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c r="CA1656"/>
      <c r="CB1656"/>
      <c r="CC1656"/>
      <c r="CD1656"/>
      <c r="CE1656"/>
      <c r="CF1656"/>
      <c r="CG1656"/>
      <c r="CH1656"/>
      <c r="CI1656"/>
      <c r="CJ1656"/>
      <c r="CK1656"/>
      <c r="CL1656"/>
      <c r="CM1656"/>
      <c r="CN1656"/>
      <c r="CO1656"/>
      <c r="CP1656"/>
      <c r="CQ1656"/>
      <c r="CR1656"/>
      <c r="CS1656"/>
    </row>
    <row r="1657" spans="2:97">
      <c r="B1657"/>
      <c r="C1657" s="1"/>
      <c r="D1657" s="1"/>
      <c r="E1657" s="1"/>
      <c r="F1657" s="1"/>
      <c r="G1657" s="1"/>
      <c r="H1657" s="1"/>
      <c r="I1657" s="1"/>
      <c r="J1657" s="1"/>
      <c r="K1657" s="1"/>
      <c r="L1657" s="1"/>
      <c r="M1657" s="1"/>
      <c r="N1657" s="1"/>
      <c r="O1657" s="1"/>
      <c r="P1657" s="1"/>
      <c r="Q1657" s="1"/>
      <c r="R1657"/>
      <c r="S1657" s="1"/>
      <c r="T1657" s="24"/>
      <c r="U1657"/>
      <c r="V1657" s="1"/>
      <c r="W1657" s="24"/>
      <c r="X1657"/>
      <c r="Y1657" s="1"/>
      <c r="Z1657" s="24"/>
      <c r="AA1657"/>
      <c r="AB1657" s="1"/>
      <c r="AC1657" s="24"/>
      <c r="AD1657"/>
      <c r="AE1657"/>
      <c r="AF1657"/>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c r="CA1657"/>
      <c r="CB1657"/>
      <c r="CC1657"/>
      <c r="CD1657"/>
      <c r="CE1657"/>
      <c r="CF1657"/>
      <c r="CG1657"/>
      <c r="CH1657"/>
      <c r="CI1657"/>
      <c r="CJ1657"/>
      <c r="CK1657"/>
      <c r="CL1657"/>
      <c r="CM1657"/>
      <c r="CN1657"/>
      <c r="CO1657"/>
      <c r="CP1657"/>
      <c r="CQ1657"/>
      <c r="CR1657"/>
      <c r="CS1657"/>
    </row>
    <row r="1658" spans="2:97">
      <c r="B1658"/>
      <c r="C1658" s="1"/>
      <c r="D1658" s="1"/>
      <c r="E1658" s="1"/>
      <c r="F1658" s="1"/>
      <c r="G1658" s="1"/>
      <c r="H1658" s="1"/>
      <c r="I1658" s="1"/>
      <c r="J1658" s="1"/>
      <c r="K1658" s="1"/>
      <c r="L1658" s="1"/>
      <c r="M1658" s="1"/>
      <c r="N1658" s="1"/>
      <c r="O1658" s="1"/>
      <c r="P1658" s="1"/>
      <c r="Q1658" s="1"/>
      <c r="R1658"/>
      <c r="S1658" s="1"/>
      <c r="T1658" s="24"/>
      <c r="U1658"/>
      <c r="V1658" s="1"/>
      <c r="W1658" s="24"/>
      <c r="X1658"/>
      <c r="Y1658" s="1"/>
      <c r="Z1658" s="24"/>
      <c r="AA1658"/>
      <c r="AB1658" s="1"/>
      <c r="AC1658" s="24"/>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c r="CA1658"/>
      <c r="CB1658"/>
      <c r="CC1658"/>
      <c r="CD1658"/>
      <c r="CE1658"/>
      <c r="CF1658"/>
      <c r="CG1658"/>
      <c r="CH1658"/>
      <c r="CI1658"/>
      <c r="CJ1658"/>
      <c r="CK1658"/>
      <c r="CL1658"/>
      <c r="CM1658"/>
      <c r="CN1658"/>
      <c r="CO1658"/>
      <c r="CP1658"/>
      <c r="CQ1658"/>
      <c r="CR1658"/>
      <c r="CS1658"/>
    </row>
    <row r="1659" spans="2:97">
      <c r="B1659"/>
      <c r="C1659" s="1"/>
      <c r="D1659" s="1"/>
      <c r="E1659" s="1"/>
      <c r="F1659" s="1"/>
      <c r="G1659" s="1"/>
      <c r="H1659" s="1"/>
      <c r="I1659" s="1"/>
      <c r="J1659" s="1"/>
      <c r="K1659" s="1"/>
      <c r="L1659" s="1"/>
      <c r="M1659" s="1"/>
      <c r="N1659" s="1"/>
      <c r="O1659" s="1"/>
      <c r="P1659" s="1"/>
      <c r="Q1659" s="1"/>
      <c r="R1659"/>
      <c r="S1659" s="1"/>
      <c r="T1659" s="24"/>
      <c r="U1659"/>
      <c r="V1659" s="1"/>
      <c r="W1659" s="24"/>
      <c r="X1659"/>
      <c r="Y1659" s="1"/>
      <c r="Z1659" s="24"/>
      <c r="AA1659"/>
      <c r="AB1659" s="1"/>
      <c r="AC1659" s="24"/>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c r="CA1659"/>
      <c r="CB1659"/>
      <c r="CC1659"/>
      <c r="CD1659"/>
      <c r="CE1659"/>
      <c r="CF1659"/>
      <c r="CG1659"/>
      <c r="CH1659"/>
      <c r="CI1659"/>
      <c r="CJ1659"/>
      <c r="CK1659"/>
      <c r="CL1659"/>
      <c r="CM1659"/>
      <c r="CN1659"/>
      <c r="CO1659"/>
      <c r="CP1659"/>
      <c r="CQ1659"/>
      <c r="CR1659"/>
      <c r="CS1659"/>
    </row>
    <row r="1660" spans="2:97">
      <c r="B1660"/>
      <c r="C1660" s="1"/>
      <c r="D1660" s="1"/>
      <c r="E1660" s="1"/>
      <c r="F1660" s="1"/>
      <c r="G1660" s="1"/>
      <c r="H1660" s="1"/>
      <c r="I1660" s="1"/>
      <c r="J1660" s="1"/>
      <c r="K1660" s="1"/>
      <c r="L1660" s="1"/>
      <c r="M1660" s="1"/>
      <c r="N1660" s="1"/>
      <c r="O1660" s="1"/>
      <c r="P1660" s="1"/>
      <c r="Q1660" s="1"/>
      <c r="R1660"/>
      <c r="S1660" s="1"/>
      <c r="T1660" s="24"/>
      <c r="U1660"/>
      <c r="V1660" s="1"/>
      <c r="W1660" s="24"/>
      <c r="X1660"/>
      <c r="Y1660" s="1"/>
      <c r="Z1660" s="24"/>
      <c r="AA1660"/>
      <c r="AB1660" s="1"/>
      <c r="AC1660" s="24"/>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c r="CA1660"/>
      <c r="CB1660"/>
      <c r="CC1660"/>
      <c r="CD1660"/>
      <c r="CE1660"/>
      <c r="CF1660"/>
      <c r="CG1660"/>
      <c r="CH1660"/>
      <c r="CI1660"/>
      <c r="CJ1660"/>
      <c r="CK1660"/>
      <c r="CL1660"/>
      <c r="CM1660"/>
      <c r="CN1660"/>
      <c r="CO1660"/>
      <c r="CP1660"/>
      <c r="CQ1660"/>
      <c r="CR1660"/>
      <c r="CS1660"/>
    </row>
    <row r="1661" spans="2:97">
      <c r="B1661"/>
      <c r="C1661" s="1"/>
      <c r="D1661" s="1"/>
      <c r="E1661" s="1"/>
      <c r="F1661" s="1"/>
      <c r="G1661" s="1"/>
      <c r="H1661" s="1"/>
      <c r="I1661" s="1"/>
      <c r="J1661" s="1"/>
      <c r="K1661" s="1"/>
      <c r="L1661" s="1"/>
      <c r="M1661" s="1"/>
      <c r="N1661" s="1"/>
      <c r="O1661" s="1"/>
      <c r="P1661" s="1"/>
      <c r="Q1661" s="1"/>
      <c r="R1661"/>
      <c r="S1661" s="1"/>
      <c r="T1661" s="24"/>
      <c r="U1661"/>
      <c r="V1661" s="1"/>
      <c r="W1661" s="24"/>
      <c r="X1661"/>
      <c r="Y1661" s="1"/>
      <c r="Z1661" s="24"/>
      <c r="AA1661"/>
      <c r="AB1661" s="1"/>
      <c r="AC1661" s="24"/>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c r="BR1661"/>
      <c r="BS1661"/>
      <c r="BT1661"/>
      <c r="BU1661"/>
      <c r="BV1661"/>
      <c r="BW1661"/>
      <c r="BX1661"/>
      <c r="BY1661"/>
      <c r="BZ1661"/>
      <c r="CA1661"/>
      <c r="CB1661"/>
      <c r="CC1661"/>
      <c r="CD1661"/>
      <c r="CE1661"/>
      <c r="CF1661"/>
      <c r="CG1661"/>
      <c r="CH1661"/>
      <c r="CI1661"/>
      <c r="CJ1661"/>
      <c r="CK1661"/>
      <c r="CL1661"/>
      <c r="CM1661"/>
      <c r="CN1661"/>
      <c r="CO1661"/>
      <c r="CP1661"/>
      <c r="CQ1661"/>
      <c r="CR1661"/>
      <c r="CS1661"/>
    </row>
    <row r="1662" spans="2:97">
      <c r="B1662"/>
      <c r="C1662" s="1"/>
      <c r="D1662" s="1"/>
      <c r="E1662" s="1"/>
      <c r="F1662" s="1"/>
      <c r="G1662" s="1"/>
      <c r="H1662" s="1"/>
      <c r="I1662" s="1"/>
      <c r="J1662" s="1"/>
      <c r="K1662" s="1"/>
      <c r="L1662" s="1"/>
      <c r="M1662" s="1"/>
      <c r="N1662" s="1"/>
      <c r="O1662" s="1"/>
      <c r="P1662" s="1"/>
      <c r="Q1662" s="1"/>
      <c r="R1662"/>
      <c r="S1662" s="1"/>
      <c r="T1662" s="24"/>
      <c r="U1662"/>
      <c r="V1662" s="1"/>
      <c r="W1662" s="24"/>
      <c r="X1662"/>
      <c r="Y1662" s="1"/>
      <c r="Z1662" s="24"/>
      <c r="AA1662"/>
      <c r="AB1662" s="1"/>
      <c r="AC1662" s="24"/>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c r="CA1662"/>
      <c r="CB1662"/>
      <c r="CC1662"/>
      <c r="CD1662"/>
      <c r="CE1662"/>
      <c r="CF1662"/>
      <c r="CG1662"/>
      <c r="CH1662"/>
      <c r="CI1662"/>
      <c r="CJ1662"/>
      <c r="CK1662"/>
      <c r="CL1662"/>
      <c r="CM1662"/>
      <c r="CN1662"/>
      <c r="CO1662"/>
      <c r="CP1662"/>
      <c r="CQ1662"/>
      <c r="CR1662"/>
      <c r="CS1662"/>
    </row>
    <row r="1663" spans="2:97">
      <c r="B1663"/>
      <c r="C1663" s="1"/>
      <c r="D1663" s="1"/>
      <c r="E1663" s="1"/>
      <c r="F1663" s="1"/>
      <c r="G1663" s="1"/>
      <c r="H1663" s="1"/>
      <c r="I1663" s="1"/>
      <c r="J1663" s="1"/>
      <c r="K1663" s="1"/>
      <c r="L1663" s="1"/>
      <c r="M1663" s="1"/>
      <c r="N1663" s="1"/>
      <c r="O1663" s="1"/>
      <c r="P1663" s="1"/>
      <c r="Q1663" s="1"/>
      <c r="R1663"/>
      <c r="S1663" s="1"/>
      <c r="T1663" s="24"/>
      <c r="U1663"/>
      <c r="V1663" s="1"/>
      <c r="W1663" s="24"/>
      <c r="X1663"/>
      <c r="Y1663" s="1"/>
      <c r="Z1663" s="24"/>
      <c r="AA1663"/>
      <c r="AB1663" s="1"/>
      <c r="AC1663" s="24"/>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c r="CA1663"/>
      <c r="CB1663"/>
      <c r="CC1663"/>
      <c r="CD1663"/>
      <c r="CE1663"/>
      <c r="CF1663"/>
      <c r="CG1663"/>
      <c r="CH1663"/>
      <c r="CI1663"/>
      <c r="CJ1663"/>
      <c r="CK1663"/>
      <c r="CL1663"/>
      <c r="CM1663"/>
      <c r="CN1663"/>
      <c r="CO1663"/>
      <c r="CP1663"/>
      <c r="CQ1663"/>
      <c r="CR1663"/>
      <c r="CS1663"/>
    </row>
    <row r="1664" spans="2:97">
      <c r="B1664"/>
      <c r="C1664" s="1"/>
      <c r="D1664" s="1"/>
      <c r="E1664" s="1"/>
      <c r="F1664" s="1"/>
      <c r="G1664" s="1"/>
      <c r="H1664" s="1"/>
      <c r="I1664" s="1"/>
      <c r="J1664" s="1"/>
      <c r="K1664" s="1"/>
      <c r="L1664" s="1"/>
      <c r="M1664" s="1"/>
      <c r="N1664" s="1"/>
      <c r="O1664" s="1"/>
      <c r="P1664" s="1"/>
      <c r="Q1664" s="1"/>
      <c r="R1664"/>
      <c r="S1664" s="1"/>
      <c r="T1664" s="24"/>
      <c r="U1664"/>
      <c r="V1664" s="1"/>
      <c r="W1664" s="24"/>
      <c r="X1664"/>
      <c r="Y1664" s="1"/>
      <c r="Z1664" s="24"/>
      <c r="AA1664"/>
      <c r="AB1664" s="1"/>
      <c r="AC1664" s="2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c r="CA1664"/>
      <c r="CB1664"/>
      <c r="CC1664"/>
      <c r="CD1664"/>
      <c r="CE1664"/>
      <c r="CF1664"/>
      <c r="CG1664"/>
      <c r="CH1664"/>
      <c r="CI1664"/>
      <c r="CJ1664"/>
      <c r="CK1664"/>
      <c r="CL1664"/>
      <c r="CM1664"/>
      <c r="CN1664"/>
      <c r="CO1664"/>
      <c r="CP1664"/>
      <c r="CQ1664"/>
      <c r="CR1664"/>
      <c r="CS1664"/>
    </row>
    <row r="1665" spans="2:97">
      <c r="B1665"/>
      <c r="C1665" s="1"/>
      <c r="D1665" s="1"/>
      <c r="E1665" s="1"/>
      <c r="F1665" s="1"/>
      <c r="G1665" s="1"/>
      <c r="H1665" s="1"/>
      <c r="I1665" s="1"/>
      <c r="J1665" s="1"/>
      <c r="K1665" s="1"/>
      <c r="L1665" s="1"/>
      <c r="M1665" s="1"/>
      <c r="N1665" s="1"/>
      <c r="O1665" s="1"/>
      <c r="P1665" s="1"/>
      <c r="Q1665" s="1"/>
      <c r="R1665"/>
      <c r="S1665" s="1"/>
      <c r="T1665" s="24"/>
      <c r="U1665"/>
      <c r="V1665" s="1"/>
      <c r="W1665" s="24"/>
      <c r="X1665"/>
      <c r="Y1665" s="1"/>
      <c r="Z1665" s="24"/>
      <c r="AA1665"/>
      <c r="AB1665" s="1"/>
      <c r="AC1665" s="24"/>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c r="CA1665"/>
      <c r="CB1665"/>
      <c r="CC1665"/>
      <c r="CD1665"/>
      <c r="CE1665"/>
      <c r="CF1665"/>
      <c r="CG1665"/>
      <c r="CH1665"/>
      <c r="CI1665"/>
      <c r="CJ1665"/>
      <c r="CK1665"/>
      <c r="CL1665"/>
      <c r="CM1665"/>
      <c r="CN1665"/>
      <c r="CO1665"/>
      <c r="CP1665"/>
      <c r="CQ1665"/>
      <c r="CR1665"/>
      <c r="CS1665"/>
    </row>
    <row r="1666" spans="2:97">
      <c r="B1666"/>
      <c r="C1666" s="1"/>
      <c r="D1666" s="1"/>
      <c r="E1666" s="1"/>
      <c r="F1666" s="1"/>
      <c r="G1666" s="1"/>
      <c r="H1666" s="1"/>
      <c r="I1666" s="1"/>
      <c r="J1666" s="1"/>
      <c r="K1666" s="1"/>
      <c r="L1666" s="1"/>
      <c r="M1666" s="1"/>
      <c r="N1666" s="1"/>
      <c r="O1666" s="1"/>
      <c r="P1666" s="1"/>
      <c r="Q1666" s="1"/>
      <c r="R1666"/>
      <c r="S1666" s="1"/>
      <c r="T1666" s="24"/>
      <c r="U1666"/>
      <c r="V1666" s="1"/>
      <c r="W1666" s="24"/>
      <c r="X1666"/>
      <c r="Y1666" s="1"/>
      <c r="Z1666" s="24"/>
      <c r="AA1666"/>
      <c r="AB1666" s="1"/>
      <c r="AC1666" s="24"/>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c r="CK1666"/>
      <c r="CL1666"/>
      <c r="CM1666"/>
      <c r="CN1666"/>
      <c r="CO1666"/>
      <c r="CP1666"/>
      <c r="CQ1666"/>
      <c r="CR1666"/>
      <c r="CS1666"/>
    </row>
    <row r="1667" spans="2:97">
      <c r="B1667"/>
      <c r="C1667" s="1"/>
      <c r="D1667" s="1"/>
      <c r="E1667" s="1"/>
      <c r="F1667" s="1"/>
      <c r="G1667" s="1"/>
      <c r="H1667" s="1"/>
      <c r="I1667" s="1"/>
      <c r="J1667" s="1"/>
      <c r="K1667" s="1"/>
      <c r="L1667" s="1"/>
      <c r="M1667" s="1"/>
      <c r="N1667" s="1"/>
      <c r="O1667" s="1"/>
      <c r="P1667" s="1"/>
      <c r="Q1667" s="1"/>
      <c r="R1667"/>
      <c r="S1667" s="1"/>
      <c r="T1667" s="24"/>
      <c r="U1667"/>
      <c r="V1667" s="1"/>
      <c r="W1667" s="24"/>
      <c r="X1667"/>
      <c r="Y1667" s="1"/>
      <c r="Z1667" s="24"/>
      <c r="AA1667"/>
      <c r="AB1667" s="1"/>
      <c r="AC1667" s="24"/>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c r="CA1667"/>
      <c r="CB1667"/>
      <c r="CC1667"/>
      <c r="CD1667"/>
      <c r="CE1667"/>
      <c r="CF1667"/>
      <c r="CG1667"/>
      <c r="CH1667"/>
      <c r="CI1667"/>
      <c r="CJ1667"/>
      <c r="CK1667"/>
      <c r="CL1667"/>
      <c r="CM1667"/>
      <c r="CN1667"/>
      <c r="CO1667"/>
      <c r="CP1667"/>
      <c r="CQ1667"/>
      <c r="CR1667"/>
      <c r="CS1667"/>
    </row>
    <row r="1668" spans="2:97">
      <c r="B1668"/>
      <c r="C1668" s="1"/>
      <c r="D1668" s="1"/>
      <c r="E1668" s="1"/>
      <c r="F1668" s="1"/>
      <c r="G1668" s="1"/>
      <c r="H1668" s="1"/>
      <c r="I1668" s="1"/>
      <c r="J1668" s="1"/>
      <c r="K1668" s="1"/>
      <c r="L1668" s="1"/>
      <c r="M1668" s="1"/>
      <c r="N1668" s="1"/>
      <c r="O1668" s="1"/>
      <c r="P1668" s="1"/>
      <c r="Q1668" s="1"/>
      <c r="R1668"/>
      <c r="S1668" s="1"/>
      <c r="T1668" s="24"/>
      <c r="U1668"/>
      <c r="V1668" s="1"/>
      <c r="W1668" s="24"/>
      <c r="X1668"/>
      <c r="Y1668" s="1"/>
      <c r="Z1668" s="24"/>
      <c r="AA1668"/>
      <c r="AB1668" s="1"/>
      <c r="AC1668" s="24"/>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c r="CA1668"/>
      <c r="CB1668"/>
      <c r="CC1668"/>
      <c r="CD1668"/>
      <c r="CE1668"/>
      <c r="CF1668"/>
      <c r="CG1668"/>
      <c r="CH1668"/>
      <c r="CI1668"/>
      <c r="CJ1668"/>
      <c r="CK1668"/>
      <c r="CL1668"/>
      <c r="CM1668"/>
      <c r="CN1668"/>
      <c r="CO1668"/>
      <c r="CP1668"/>
      <c r="CQ1668"/>
      <c r="CR1668"/>
      <c r="CS1668"/>
    </row>
    <row r="1669" spans="2:97">
      <c r="B1669"/>
      <c r="C1669" s="1"/>
      <c r="D1669" s="1"/>
      <c r="E1669" s="1"/>
      <c r="F1669" s="1"/>
      <c r="G1669" s="1"/>
      <c r="H1669" s="1"/>
      <c r="I1669" s="1"/>
      <c r="J1669" s="1"/>
      <c r="K1669" s="1"/>
      <c r="L1669" s="1"/>
      <c r="M1669" s="1"/>
      <c r="N1669" s="1"/>
      <c r="O1669" s="1"/>
      <c r="P1669" s="1"/>
      <c r="Q1669" s="1"/>
      <c r="R1669"/>
      <c r="S1669" s="1"/>
      <c r="T1669" s="24"/>
      <c r="U1669"/>
      <c r="V1669" s="1"/>
      <c r="W1669" s="24"/>
      <c r="X1669"/>
      <c r="Y1669" s="1"/>
      <c r="Z1669" s="24"/>
      <c r="AA1669"/>
      <c r="AB1669" s="1"/>
      <c r="AC1669" s="24"/>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c r="CA1669"/>
      <c r="CB1669"/>
      <c r="CC1669"/>
      <c r="CD1669"/>
      <c r="CE1669"/>
      <c r="CF1669"/>
      <c r="CG1669"/>
      <c r="CH1669"/>
      <c r="CI1669"/>
      <c r="CJ1669"/>
      <c r="CK1669"/>
      <c r="CL1669"/>
      <c r="CM1669"/>
      <c r="CN1669"/>
      <c r="CO1669"/>
      <c r="CP1669"/>
      <c r="CQ1669"/>
      <c r="CR1669"/>
      <c r="CS1669"/>
    </row>
    <row r="1670" spans="2:97">
      <c r="B1670"/>
      <c r="C1670" s="1"/>
      <c r="D1670" s="1"/>
      <c r="E1670" s="1"/>
      <c r="F1670" s="1"/>
      <c r="G1670" s="1"/>
      <c r="H1670" s="1"/>
      <c r="I1670" s="1"/>
      <c r="J1670" s="1"/>
      <c r="K1670" s="1"/>
      <c r="L1670" s="1"/>
      <c r="M1670" s="1"/>
      <c r="N1670" s="1"/>
      <c r="O1670" s="1"/>
      <c r="P1670" s="1"/>
      <c r="Q1670" s="1"/>
      <c r="R1670"/>
      <c r="S1670" s="1"/>
      <c r="T1670" s="24"/>
      <c r="U1670"/>
      <c r="V1670" s="1"/>
      <c r="W1670" s="24"/>
      <c r="X1670"/>
      <c r="Y1670" s="1"/>
      <c r="Z1670" s="24"/>
      <c r="AA1670"/>
      <c r="AB1670" s="1"/>
      <c r="AC1670" s="24"/>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c r="CA1670"/>
      <c r="CB1670"/>
      <c r="CC1670"/>
      <c r="CD1670"/>
      <c r="CE1670"/>
      <c r="CF1670"/>
      <c r="CG1670"/>
      <c r="CH1670"/>
      <c r="CI1670"/>
      <c r="CJ1670"/>
      <c r="CK1670"/>
      <c r="CL1670"/>
      <c r="CM1670"/>
      <c r="CN1670"/>
      <c r="CO1670"/>
      <c r="CP1670"/>
      <c r="CQ1670"/>
      <c r="CR1670"/>
      <c r="CS1670"/>
    </row>
    <row r="1671" spans="2:97">
      <c r="B1671"/>
      <c r="C1671" s="1"/>
      <c r="D1671" s="1"/>
      <c r="E1671" s="1"/>
      <c r="F1671" s="1"/>
      <c r="G1671" s="1"/>
      <c r="H1671" s="1"/>
      <c r="I1671" s="1"/>
      <c r="J1671" s="1"/>
      <c r="K1671" s="1"/>
      <c r="L1671" s="1"/>
      <c r="M1671" s="1"/>
      <c r="N1671" s="1"/>
      <c r="O1671" s="1"/>
      <c r="P1671" s="1"/>
      <c r="Q1671" s="1"/>
      <c r="R1671"/>
      <c r="S1671" s="1"/>
      <c r="T1671" s="24"/>
      <c r="U1671"/>
      <c r="V1671" s="1"/>
      <c r="W1671" s="24"/>
      <c r="X1671"/>
      <c r="Y1671" s="1"/>
      <c r="Z1671" s="24"/>
      <c r="AA1671"/>
      <c r="AB1671" s="1"/>
      <c r="AC1671" s="24"/>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c r="CA1671"/>
      <c r="CB1671"/>
      <c r="CC1671"/>
      <c r="CD1671"/>
      <c r="CE1671"/>
      <c r="CF1671"/>
      <c r="CG1671"/>
      <c r="CH1671"/>
      <c r="CI1671"/>
      <c r="CJ1671"/>
      <c r="CK1671"/>
      <c r="CL1671"/>
      <c r="CM1671"/>
      <c r="CN1671"/>
      <c r="CO1671"/>
      <c r="CP1671"/>
      <c r="CQ1671"/>
      <c r="CR1671"/>
      <c r="CS1671"/>
    </row>
    <row r="1672" spans="2:97">
      <c r="B1672"/>
      <c r="C1672" s="1"/>
      <c r="D1672" s="1"/>
      <c r="E1672" s="1"/>
      <c r="F1672" s="1"/>
      <c r="G1672" s="1"/>
      <c r="H1672" s="1"/>
      <c r="I1672" s="1"/>
      <c r="J1672" s="1"/>
      <c r="K1672" s="1"/>
      <c r="L1672" s="1"/>
      <c r="M1672" s="1"/>
      <c r="N1672" s="1"/>
      <c r="O1672" s="1"/>
      <c r="P1672" s="1"/>
      <c r="Q1672" s="1"/>
      <c r="R1672"/>
      <c r="S1672" s="1"/>
      <c r="T1672" s="24"/>
      <c r="U1672"/>
      <c r="V1672" s="1"/>
      <c r="W1672" s="24"/>
      <c r="X1672"/>
      <c r="Y1672" s="1"/>
      <c r="Z1672" s="24"/>
      <c r="AA1672"/>
      <c r="AB1672" s="1"/>
      <c r="AC1672" s="24"/>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c r="CA1672"/>
      <c r="CB1672"/>
      <c r="CC1672"/>
      <c r="CD1672"/>
      <c r="CE1672"/>
      <c r="CF1672"/>
      <c r="CG1672"/>
      <c r="CH1672"/>
      <c r="CI1672"/>
      <c r="CJ1672"/>
      <c r="CK1672"/>
      <c r="CL1672"/>
      <c r="CM1672"/>
      <c r="CN1672"/>
      <c r="CO1672"/>
      <c r="CP1672"/>
      <c r="CQ1672"/>
      <c r="CR1672"/>
      <c r="CS1672"/>
    </row>
    <row r="1673" spans="2:97">
      <c r="B1673"/>
      <c r="C1673" s="1"/>
      <c r="D1673" s="1"/>
      <c r="E1673" s="1"/>
      <c r="F1673" s="1"/>
      <c r="G1673" s="1"/>
      <c r="H1673" s="1"/>
      <c r="I1673" s="1"/>
      <c r="J1673" s="1"/>
      <c r="K1673" s="1"/>
      <c r="L1673" s="1"/>
      <c r="M1673" s="1"/>
      <c r="N1673" s="1"/>
      <c r="O1673" s="1"/>
      <c r="P1673" s="1"/>
      <c r="Q1673" s="1"/>
      <c r="R1673"/>
      <c r="S1673" s="1"/>
      <c r="T1673" s="24"/>
      <c r="U1673"/>
      <c r="V1673" s="1"/>
      <c r="W1673" s="24"/>
      <c r="X1673"/>
      <c r="Y1673" s="1"/>
      <c r="Z1673" s="24"/>
      <c r="AA1673"/>
      <c r="AB1673" s="1"/>
      <c r="AC1673" s="24"/>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c r="CA1673"/>
      <c r="CB1673"/>
      <c r="CC1673"/>
      <c r="CD1673"/>
      <c r="CE1673"/>
      <c r="CF1673"/>
      <c r="CG1673"/>
      <c r="CH1673"/>
      <c r="CI1673"/>
      <c r="CJ1673"/>
      <c r="CK1673"/>
      <c r="CL1673"/>
      <c r="CM1673"/>
      <c r="CN1673"/>
      <c r="CO1673"/>
      <c r="CP1673"/>
      <c r="CQ1673"/>
      <c r="CR1673"/>
      <c r="CS1673"/>
    </row>
    <row r="1674" spans="2:97">
      <c r="B1674"/>
      <c r="C1674" s="1"/>
      <c r="D1674" s="1"/>
      <c r="E1674" s="1"/>
      <c r="F1674" s="1"/>
      <c r="G1674" s="1"/>
      <c r="H1674" s="1"/>
      <c r="I1674" s="1"/>
      <c r="J1674" s="1"/>
      <c r="K1674" s="1"/>
      <c r="L1674" s="1"/>
      <c r="M1674" s="1"/>
      <c r="N1674" s="1"/>
      <c r="O1674" s="1"/>
      <c r="P1674" s="1"/>
      <c r="Q1674" s="1"/>
      <c r="R1674"/>
      <c r="S1674" s="1"/>
      <c r="T1674" s="24"/>
      <c r="U1674"/>
      <c r="V1674" s="1"/>
      <c r="W1674" s="24"/>
      <c r="X1674"/>
      <c r="Y1674" s="1"/>
      <c r="Z1674" s="24"/>
      <c r="AA1674"/>
      <c r="AB1674" s="1"/>
      <c r="AC1674" s="2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c r="CA1674"/>
      <c r="CB1674"/>
      <c r="CC1674"/>
      <c r="CD1674"/>
      <c r="CE1674"/>
      <c r="CF1674"/>
      <c r="CG1674"/>
      <c r="CH1674"/>
      <c r="CI1674"/>
      <c r="CJ1674"/>
      <c r="CK1674"/>
      <c r="CL1674"/>
      <c r="CM1674"/>
      <c r="CN1674"/>
      <c r="CO1674"/>
      <c r="CP1674"/>
      <c r="CQ1674"/>
      <c r="CR1674"/>
      <c r="CS1674"/>
    </row>
    <row r="1675" spans="2:97">
      <c r="B1675"/>
      <c r="C1675" s="1"/>
      <c r="D1675" s="1"/>
      <c r="E1675" s="1"/>
      <c r="F1675" s="1"/>
      <c r="G1675" s="1"/>
      <c r="H1675" s="1"/>
      <c r="I1675" s="1"/>
      <c r="J1675" s="1"/>
      <c r="K1675" s="1"/>
      <c r="L1675" s="1"/>
      <c r="M1675" s="1"/>
      <c r="N1675" s="1"/>
      <c r="O1675" s="1"/>
      <c r="P1675" s="1"/>
      <c r="Q1675" s="1"/>
      <c r="R1675"/>
      <c r="S1675" s="1"/>
      <c r="T1675" s="24"/>
      <c r="U1675"/>
      <c r="V1675" s="1"/>
      <c r="W1675" s="24"/>
      <c r="X1675"/>
      <c r="Y1675" s="1"/>
      <c r="Z1675" s="24"/>
      <c r="AA1675"/>
      <c r="AB1675" s="1"/>
      <c r="AC1675" s="24"/>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c r="CA1675"/>
      <c r="CB1675"/>
      <c r="CC1675"/>
      <c r="CD1675"/>
      <c r="CE1675"/>
      <c r="CF1675"/>
      <c r="CG1675"/>
      <c r="CH1675"/>
      <c r="CI1675"/>
      <c r="CJ1675"/>
      <c r="CK1675"/>
      <c r="CL1675"/>
      <c r="CM1675"/>
      <c r="CN1675"/>
      <c r="CO1675"/>
      <c r="CP1675"/>
      <c r="CQ1675"/>
      <c r="CR1675"/>
      <c r="CS1675"/>
    </row>
    <row r="1676" spans="2:97">
      <c r="B1676"/>
      <c r="C1676" s="1"/>
      <c r="D1676" s="1"/>
      <c r="E1676" s="1"/>
      <c r="F1676" s="1"/>
      <c r="G1676" s="1"/>
      <c r="H1676" s="1"/>
      <c r="I1676" s="1"/>
      <c r="J1676" s="1"/>
      <c r="K1676" s="1"/>
      <c r="L1676" s="1"/>
      <c r="M1676" s="1"/>
      <c r="N1676" s="1"/>
      <c r="O1676" s="1"/>
      <c r="P1676" s="1"/>
      <c r="Q1676" s="1"/>
      <c r="R1676"/>
      <c r="S1676" s="1"/>
      <c r="T1676" s="24"/>
      <c r="U1676"/>
      <c r="V1676" s="1"/>
      <c r="W1676" s="24"/>
      <c r="X1676"/>
      <c r="Y1676" s="1"/>
      <c r="Z1676" s="24"/>
      <c r="AA1676"/>
      <c r="AB1676" s="1"/>
      <c r="AC1676" s="24"/>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c r="CA1676"/>
      <c r="CB1676"/>
      <c r="CC1676"/>
      <c r="CD1676"/>
      <c r="CE1676"/>
      <c r="CF1676"/>
      <c r="CG1676"/>
      <c r="CH1676"/>
      <c r="CI1676"/>
      <c r="CJ1676"/>
      <c r="CK1676"/>
      <c r="CL1676"/>
      <c r="CM1676"/>
      <c r="CN1676"/>
      <c r="CO1676"/>
      <c r="CP1676"/>
      <c r="CQ1676"/>
      <c r="CR1676"/>
      <c r="CS1676"/>
    </row>
    <row r="1677" spans="2:97">
      <c r="B1677"/>
      <c r="C1677" s="1"/>
      <c r="D1677" s="1"/>
      <c r="E1677" s="1"/>
      <c r="F1677" s="1"/>
      <c r="G1677" s="1"/>
      <c r="H1677" s="1"/>
      <c r="I1677" s="1"/>
      <c r="J1677" s="1"/>
      <c r="K1677" s="1"/>
      <c r="L1677" s="1"/>
      <c r="M1677" s="1"/>
      <c r="N1677" s="1"/>
      <c r="O1677" s="1"/>
      <c r="P1677" s="1"/>
      <c r="Q1677" s="1"/>
      <c r="R1677"/>
      <c r="S1677" s="1"/>
      <c r="T1677" s="24"/>
      <c r="U1677"/>
      <c r="V1677" s="1"/>
      <c r="W1677" s="24"/>
      <c r="X1677"/>
      <c r="Y1677" s="1"/>
      <c r="Z1677" s="24"/>
      <c r="AA1677"/>
      <c r="AB1677" s="1"/>
      <c r="AC1677" s="24"/>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c r="CA1677"/>
      <c r="CB1677"/>
      <c r="CC1677"/>
      <c r="CD1677"/>
      <c r="CE1677"/>
      <c r="CF1677"/>
      <c r="CG1677"/>
      <c r="CH1677"/>
      <c r="CI1677"/>
      <c r="CJ1677"/>
      <c r="CK1677"/>
      <c r="CL1677"/>
      <c r="CM1677"/>
      <c r="CN1677"/>
      <c r="CO1677"/>
      <c r="CP1677"/>
      <c r="CQ1677"/>
      <c r="CR1677"/>
      <c r="CS1677"/>
    </row>
    <row r="1678" spans="2:97">
      <c r="B1678"/>
      <c r="C1678" s="1"/>
      <c r="D1678" s="1"/>
      <c r="E1678" s="1"/>
      <c r="F1678" s="1"/>
      <c r="G1678" s="1"/>
      <c r="H1678" s="1"/>
      <c r="I1678" s="1"/>
      <c r="J1678" s="1"/>
      <c r="K1678" s="1"/>
      <c r="L1678" s="1"/>
      <c r="M1678" s="1"/>
      <c r="N1678" s="1"/>
      <c r="O1678" s="1"/>
      <c r="P1678" s="1"/>
      <c r="Q1678" s="1"/>
      <c r="R1678"/>
      <c r="S1678" s="1"/>
      <c r="T1678" s="24"/>
      <c r="U1678"/>
      <c r="V1678" s="1"/>
      <c r="W1678" s="24"/>
      <c r="X1678"/>
      <c r="Y1678" s="1"/>
      <c r="Z1678" s="24"/>
      <c r="AA1678"/>
      <c r="AB1678" s="1"/>
      <c r="AC1678" s="24"/>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c r="CA1678"/>
      <c r="CB1678"/>
      <c r="CC1678"/>
      <c r="CD1678"/>
      <c r="CE1678"/>
      <c r="CF1678"/>
      <c r="CG1678"/>
      <c r="CH1678"/>
      <c r="CI1678"/>
      <c r="CJ1678"/>
      <c r="CK1678"/>
      <c r="CL1678"/>
      <c r="CM1678"/>
      <c r="CN1678"/>
      <c r="CO1678"/>
      <c r="CP1678"/>
      <c r="CQ1678"/>
      <c r="CR1678"/>
      <c r="CS1678"/>
    </row>
    <row r="1679" spans="2:97">
      <c r="B1679"/>
      <c r="C1679" s="1"/>
      <c r="D1679" s="1"/>
      <c r="E1679" s="1"/>
      <c r="F1679" s="1"/>
      <c r="G1679" s="1"/>
      <c r="H1679" s="1"/>
      <c r="I1679" s="1"/>
      <c r="J1679" s="1"/>
      <c r="K1679" s="1"/>
      <c r="L1679" s="1"/>
      <c r="M1679" s="1"/>
      <c r="N1679" s="1"/>
      <c r="O1679" s="1"/>
      <c r="P1679" s="1"/>
      <c r="Q1679" s="1"/>
      <c r="R1679"/>
      <c r="S1679" s="1"/>
      <c r="T1679" s="24"/>
      <c r="U1679"/>
      <c r="V1679" s="1"/>
      <c r="W1679" s="24"/>
      <c r="X1679"/>
      <c r="Y1679" s="1"/>
      <c r="Z1679" s="24"/>
      <c r="AA1679"/>
      <c r="AB1679" s="1"/>
      <c r="AC1679" s="24"/>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c r="CA1679"/>
      <c r="CB1679"/>
      <c r="CC1679"/>
      <c r="CD1679"/>
      <c r="CE1679"/>
      <c r="CF1679"/>
      <c r="CG1679"/>
      <c r="CH1679"/>
      <c r="CI1679"/>
      <c r="CJ1679"/>
      <c r="CK1679"/>
      <c r="CL1679"/>
      <c r="CM1679"/>
      <c r="CN1679"/>
      <c r="CO1679"/>
      <c r="CP1679"/>
      <c r="CQ1679"/>
      <c r="CR1679"/>
      <c r="CS1679"/>
    </row>
    <row r="1680" spans="2:97">
      <c r="B1680"/>
      <c r="C1680" s="1"/>
      <c r="D1680" s="1"/>
      <c r="E1680" s="1"/>
      <c r="F1680" s="1"/>
      <c r="G1680" s="1"/>
      <c r="H1680" s="1"/>
      <c r="I1680" s="1"/>
      <c r="J1680" s="1"/>
      <c r="K1680" s="1"/>
      <c r="L1680" s="1"/>
      <c r="M1680" s="1"/>
      <c r="N1680" s="1"/>
      <c r="O1680" s="1"/>
      <c r="P1680" s="1"/>
      <c r="Q1680" s="1"/>
      <c r="R1680"/>
      <c r="S1680" s="1"/>
      <c r="T1680" s="24"/>
      <c r="U1680"/>
      <c r="V1680" s="1"/>
      <c r="W1680" s="24"/>
      <c r="X1680"/>
      <c r="Y1680" s="1"/>
      <c r="Z1680" s="24"/>
      <c r="AA1680"/>
      <c r="AB1680" s="1"/>
      <c r="AC1680" s="24"/>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c r="CA1680"/>
      <c r="CB1680"/>
      <c r="CC1680"/>
      <c r="CD1680"/>
      <c r="CE1680"/>
      <c r="CF1680"/>
      <c r="CG1680"/>
      <c r="CH1680"/>
      <c r="CI1680"/>
      <c r="CJ1680"/>
      <c r="CK1680"/>
      <c r="CL1680"/>
      <c r="CM1680"/>
      <c r="CN1680"/>
      <c r="CO1680"/>
      <c r="CP1680"/>
      <c r="CQ1680"/>
      <c r="CR1680"/>
      <c r="CS1680"/>
    </row>
    <row r="1681" spans="2:97">
      <c r="B1681"/>
      <c r="C1681" s="1"/>
      <c r="D1681" s="1"/>
      <c r="E1681" s="1"/>
      <c r="F1681" s="1"/>
      <c r="G1681" s="1"/>
      <c r="H1681" s="1"/>
      <c r="I1681" s="1"/>
      <c r="J1681" s="1"/>
      <c r="K1681" s="1"/>
      <c r="L1681" s="1"/>
      <c r="M1681" s="1"/>
      <c r="N1681" s="1"/>
      <c r="O1681" s="1"/>
      <c r="P1681" s="1"/>
      <c r="Q1681" s="1"/>
      <c r="R1681"/>
      <c r="S1681" s="1"/>
      <c r="T1681" s="24"/>
      <c r="U1681"/>
      <c r="V1681" s="1"/>
      <c r="W1681" s="24"/>
      <c r="X1681"/>
      <c r="Y1681" s="1"/>
      <c r="Z1681" s="24"/>
      <c r="AA1681"/>
      <c r="AB1681" s="1"/>
      <c r="AC1681" s="24"/>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c r="CA1681"/>
      <c r="CB1681"/>
      <c r="CC1681"/>
      <c r="CD1681"/>
      <c r="CE1681"/>
      <c r="CF1681"/>
      <c r="CG1681"/>
      <c r="CH1681"/>
      <c r="CI1681"/>
      <c r="CJ1681"/>
      <c r="CK1681"/>
      <c r="CL1681"/>
      <c r="CM1681"/>
      <c r="CN1681"/>
      <c r="CO1681"/>
      <c r="CP1681"/>
      <c r="CQ1681"/>
      <c r="CR1681"/>
      <c r="CS1681"/>
    </row>
    <row r="1682" spans="2:97">
      <c r="B1682"/>
      <c r="C1682" s="1"/>
      <c r="D1682" s="1"/>
      <c r="E1682" s="1"/>
      <c r="F1682" s="1"/>
      <c r="G1682" s="1"/>
      <c r="H1682" s="1"/>
      <c r="I1682" s="1"/>
      <c r="J1682" s="1"/>
      <c r="K1682" s="1"/>
      <c r="L1682" s="1"/>
      <c r="M1682" s="1"/>
      <c r="N1682" s="1"/>
      <c r="O1682" s="1"/>
      <c r="P1682" s="1"/>
      <c r="Q1682" s="1"/>
      <c r="R1682"/>
      <c r="S1682" s="1"/>
      <c r="T1682" s="24"/>
      <c r="U1682"/>
      <c r="V1682" s="1"/>
      <c r="W1682" s="24"/>
      <c r="X1682"/>
      <c r="Y1682" s="1"/>
      <c r="Z1682" s="24"/>
      <c r="AA1682"/>
      <c r="AB1682" s="1"/>
      <c r="AC1682" s="24"/>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c r="CA1682"/>
      <c r="CB1682"/>
      <c r="CC1682"/>
      <c r="CD1682"/>
      <c r="CE1682"/>
      <c r="CF1682"/>
      <c r="CG1682"/>
      <c r="CH1682"/>
      <c r="CI1682"/>
      <c r="CJ1682"/>
      <c r="CK1682"/>
      <c r="CL1682"/>
      <c r="CM1682"/>
      <c r="CN1682"/>
      <c r="CO1682"/>
      <c r="CP1682"/>
      <c r="CQ1682"/>
      <c r="CR1682"/>
      <c r="CS1682"/>
    </row>
    <row r="1683" spans="2:97">
      <c r="B1683"/>
      <c r="C1683" s="1"/>
      <c r="D1683" s="1"/>
      <c r="E1683" s="1"/>
      <c r="F1683" s="1"/>
      <c r="G1683" s="1"/>
      <c r="H1683" s="1"/>
      <c r="I1683" s="1"/>
      <c r="J1683" s="1"/>
      <c r="K1683" s="1"/>
      <c r="L1683" s="1"/>
      <c r="M1683" s="1"/>
      <c r="N1683" s="1"/>
      <c r="O1683" s="1"/>
      <c r="P1683" s="1"/>
      <c r="Q1683" s="1"/>
      <c r="R1683"/>
      <c r="S1683" s="1"/>
      <c r="T1683" s="24"/>
      <c r="U1683"/>
      <c r="V1683" s="1"/>
      <c r="W1683" s="24"/>
      <c r="X1683"/>
      <c r="Y1683" s="1"/>
      <c r="Z1683" s="24"/>
      <c r="AA1683"/>
      <c r="AB1683" s="1"/>
      <c r="AC1683" s="24"/>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c r="CA1683"/>
      <c r="CB1683"/>
      <c r="CC1683"/>
      <c r="CD1683"/>
      <c r="CE1683"/>
      <c r="CF1683"/>
      <c r="CG1683"/>
      <c r="CH1683"/>
      <c r="CI1683"/>
      <c r="CJ1683"/>
      <c r="CK1683"/>
      <c r="CL1683"/>
      <c r="CM1683"/>
      <c r="CN1683"/>
      <c r="CO1683"/>
      <c r="CP1683"/>
      <c r="CQ1683"/>
      <c r="CR1683"/>
      <c r="CS1683"/>
    </row>
    <row r="1684" spans="2:97">
      <c r="B1684"/>
      <c r="C1684" s="1"/>
      <c r="D1684" s="1"/>
      <c r="E1684" s="1"/>
      <c r="F1684" s="1"/>
      <c r="G1684" s="1"/>
      <c r="H1684" s="1"/>
      <c r="I1684" s="1"/>
      <c r="J1684" s="1"/>
      <c r="K1684" s="1"/>
      <c r="L1684" s="1"/>
      <c r="M1684" s="1"/>
      <c r="N1684" s="1"/>
      <c r="O1684" s="1"/>
      <c r="P1684" s="1"/>
      <c r="Q1684" s="1"/>
      <c r="R1684"/>
      <c r="S1684" s="1"/>
      <c r="T1684" s="24"/>
      <c r="U1684"/>
      <c r="V1684" s="1"/>
      <c r="W1684" s="24"/>
      <c r="X1684"/>
      <c r="Y1684" s="1"/>
      <c r="Z1684" s="24"/>
      <c r="AA1684"/>
      <c r="AB1684" s="1"/>
      <c r="AC1684" s="2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c r="CA1684"/>
      <c r="CB1684"/>
      <c r="CC1684"/>
      <c r="CD1684"/>
      <c r="CE1684"/>
      <c r="CF1684"/>
      <c r="CG1684"/>
      <c r="CH1684"/>
      <c r="CI1684"/>
      <c r="CJ1684"/>
      <c r="CK1684"/>
      <c r="CL1684"/>
      <c r="CM1684"/>
      <c r="CN1684"/>
      <c r="CO1684"/>
      <c r="CP1684"/>
      <c r="CQ1684"/>
      <c r="CR1684"/>
      <c r="CS1684"/>
    </row>
    <row r="1685" spans="2:97">
      <c r="B1685"/>
      <c r="C1685" s="1"/>
      <c r="D1685" s="1"/>
      <c r="E1685" s="1"/>
      <c r="F1685" s="1"/>
      <c r="G1685" s="1"/>
      <c r="H1685" s="1"/>
      <c r="I1685" s="1"/>
      <c r="J1685" s="1"/>
      <c r="K1685" s="1"/>
      <c r="L1685" s="1"/>
      <c r="M1685" s="1"/>
      <c r="N1685" s="1"/>
      <c r="O1685" s="1"/>
      <c r="P1685" s="1"/>
      <c r="Q1685" s="1"/>
      <c r="R1685"/>
      <c r="S1685" s="1"/>
      <c r="T1685" s="24"/>
      <c r="U1685"/>
      <c r="V1685" s="1"/>
      <c r="W1685" s="24"/>
      <c r="X1685"/>
      <c r="Y1685" s="1"/>
      <c r="Z1685" s="24"/>
      <c r="AA1685"/>
      <c r="AB1685" s="1"/>
      <c r="AC1685" s="24"/>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c r="CA1685"/>
      <c r="CB1685"/>
      <c r="CC1685"/>
      <c r="CD1685"/>
      <c r="CE1685"/>
      <c r="CF1685"/>
      <c r="CG1685"/>
      <c r="CH1685"/>
      <c r="CI1685"/>
      <c r="CJ1685"/>
      <c r="CK1685"/>
      <c r="CL1685"/>
      <c r="CM1685"/>
      <c r="CN1685"/>
      <c r="CO1685"/>
      <c r="CP1685"/>
      <c r="CQ1685"/>
      <c r="CR1685"/>
      <c r="CS1685"/>
    </row>
    <row r="1686" spans="2:97">
      <c r="B1686"/>
      <c r="C1686" s="1"/>
      <c r="D1686" s="1"/>
      <c r="E1686" s="1"/>
      <c r="F1686" s="1"/>
      <c r="G1686" s="1"/>
      <c r="H1686" s="1"/>
      <c r="I1686" s="1"/>
      <c r="J1686" s="1"/>
      <c r="K1686" s="1"/>
      <c r="L1686" s="1"/>
      <c r="M1686" s="1"/>
      <c r="N1686" s="1"/>
      <c r="O1686" s="1"/>
      <c r="P1686" s="1"/>
      <c r="Q1686" s="1"/>
      <c r="R1686"/>
      <c r="S1686" s="1"/>
      <c r="T1686" s="24"/>
      <c r="U1686"/>
      <c r="V1686" s="1"/>
      <c r="W1686" s="24"/>
      <c r="X1686"/>
      <c r="Y1686" s="1"/>
      <c r="Z1686" s="24"/>
      <c r="AA1686"/>
      <c r="AB1686" s="1"/>
      <c r="AC1686" s="24"/>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c r="CA1686"/>
      <c r="CB1686"/>
      <c r="CC1686"/>
      <c r="CD1686"/>
      <c r="CE1686"/>
      <c r="CF1686"/>
      <c r="CG1686"/>
      <c r="CH1686"/>
      <c r="CI1686"/>
      <c r="CJ1686"/>
      <c r="CK1686"/>
      <c r="CL1686"/>
      <c r="CM1686"/>
      <c r="CN1686"/>
      <c r="CO1686"/>
      <c r="CP1686"/>
      <c r="CQ1686"/>
      <c r="CR1686"/>
      <c r="CS1686"/>
    </row>
    <row r="1687" spans="2:97">
      <c r="B1687"/>
      <c r="C1687" s="1"/>
      <c r="D1687" s="1"/>
      <c r="E1687" s="1"/>
      <c r="F1687" s="1"/>
      <c r="G1687" s="1"/>
      <c r="H1687" s="1"/>
      <c r="I1687" s="1"/>
      <c r="J1687" s="1"/>
      <c r="K1687" s="1"/>
      <c r="L1687" s="1"/>
      <c r="M1687" s="1"/>
      <c r="N1687" s="1"/>
      <c r="O1687" s="1"/>
      <c r="P1687" s="1"/>
      <c r="Q1687" s="1"/>
      <c r="R1687"/>
      <c r="S1687" s="1"/>
      <c r="T1687" s="24"/>
      <c r="U1687"/>
      <c r="V1687" s="1"/>
      <c r="W1687" s="24"/>
      <c r="X1687"/>
      <c r="Y1687" s="1"/>
      <c r="Z1687" s="24"/>
      <c r="AA1687"/>
      <c r="AB1687" s="1"/>
      <c r="AC1687" s="24"/>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c r="CA1687"/>
      <c r="CB1687"/>
      <c r="CC1687"/>
      <c r="CD1687"/>
      <c r="CE1687"/>
      <c r="CF1687"/>
      <c r="CG1687"/>
      <c r="CH1687"/>
      <c r="CI1687"/>
      <c r="CJ1687"/>
      <c r="CK1687"/>
      <c r="CL1687"/>
      <c r="CM1687"/>
      <c r="CN1687"/>
      <c r="CO1687"/>
      <c r="CP1687"/>
      <c r="CQ1687"/>
      <c r="CR1687"/>
      <c r="CS1687"/>
    </row>
    <row r="1688" spans="2:97">
      <c r="B1688"/>
      <c r="C1688" s="1"/>
      <c r="D1688" s="1"/>
      <c r="E1688" s="1"/>
      <c r="F1688" s="1"/>
      <c r="G1688" s="1"/>
      <c r="H1688" s="1"/>
      <c r="I1688" s="1"/>
      <c r="J1688" s="1"/>
      <c r="K1688" s="1"/>
      <c r="L1688" s="1"/>
      <c r="M1688" s="1"/>
      <c r="N1688" s="1"/>
      <c r="O1688" s="1"/>
      <c r="P1688" s="1"/>
      <c r="Q1688" s="1"/>
      <c r="R1688"/>
      <c r="S1688" s="1"/>
      <c r="T1688" s="24"/>
      <c r="U1688"/>
      <c r="V1688" s="1"/>
      <c r="W1688" s="24"/>
      <c r="X1688"/>
      <c r="Y1688" s="1"/>
      <c r="Z1688" s="24"/>
      <c r="AA1688"/>
      <c r="AB1688" s="1"/>
      <c r="AC1688" s="24"/>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c r="CA1688"/>
      <c r="CB1688"/>
      <c r="CC1688"/>
      <c r="CD1688"/>
      <c r="CE1688"/>
      <c r="CF1688"/>
      <c r="CG1688"/>
      <c r="CH1688"/>
      <c r="CI1688"/>
      <c r="CJ1688"/>
      <c r="CK1688"/>
      <c r="CL1688"/>
      <c r="CM1688"/>
      <c r="CN1688"/>
      <c r="CO1688"/>
      <c r="CP1688"/>
      <c r="CQ1688"/>
      <c r="CR1688"/>
      <c r="CS1688"/>
    </row>
    <row r="1689" spans="2:97">
      <c r="B1689"/>
      <c r="C1689" s="1"/>
      <c r="D1689" s="1"/>
      <c r="E1689" s="1"/>
      <c r="F1689" s="1"/>
      <c r="G1689" s="1"/>
      <c r="H1689" s="1"/>
      <c r="I1689" s="1"/>
      <c r="J1689" s="1"/>
      <c r="K1689" s="1"/>
      <c r="L1689" s="1"/>
      <c r="M1689" s="1"/>
      <c r="N1689" s="1"/>
      <c r="O1689" s="1"/>
      <c r="P1689" s="1"/>
      <c r="Q1689" s="1"/>
      <c r="R1689"/>
      <c r="S1689" s="1"/>
      <c r="T1689" s="24"/>
      <c r="U1689"/>
      <c r="V1689" s="1"/>
      <c r="W1689" s="24"/>
      <c r="X1689"/>
      <c r="Y1689" s="1"/>
      <c r="Z1689" s="24"/>
      <c r="AA1689"/>
      <c r="AB1689" s="1"/>
      <c r="AC1689" s="24"/>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c r="CA1689"/>
      <c r="CB1689"/>
      <c r="CC1689"/>
      <c r="CD1689"/>
      <c r="CE1689"/>
      <c r="CF1689"/>
      <c r="CG1689"/>
      <c r="CH1689"/>
      <c r="CI1689"/>
      <c r="CJ1689"/>
      <c r="CK1689"/>
      <c r="CL1689"/>
      <c r="CM1689"/>
      <c r="CN1689"/>
      <c r="CO1689"/>
      <c r="CP1689"/>
      <c r="CQ1689"/>
      <c r="CR1689"/>
      <c r="CS1689"/>
    </row>
    <row r="1690" spans="2:97">
      <c r="B1690"/>
      <c r="C1690" s="1"/>
      <c r="D1690" s="1"/>
      <c r="E1690" s="1"/>
      <c r="F1690" s="1"/>
      <c r="G1690" s="1"/>
      <c r="H1690" s="1"/>
      <c r="I1690" s="1"/>
      <c r="J1690" s="1"/>
      <c r="K1690" s="1"/>
      <c r="L1690" s="1"/>
      <c r="M1690" s="1"/>
      <c r="N1690" s="1"/>
      <c r="O1690" s="1"/>
      <c r="P1690" s="1"/>
      <c r="Q1690" s="1"/>
      <c r="R1690"/>
      <c r="S1690" s="1"/>
      <c r="T1690" s="24"/>
      <c r="U1690"/>
      <c r="V1690" s="1"/>
      <c r="W1690" s="24"/>
      <c r="X1690"/>
      <c r="Y1690" s="1"/>
      <c r="Z1690" s="24"/>
      <c r="AA1690"/>
      <c r="AB1690" s="1"/>
      <c r="AC1690" s="24"/>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c r="CA1690"/>
      <c r="CB1690"/>
      <c r="CC1690"/>
      <c r="CD1690"/>
      <c r="CE1690"/>
      <c r="CF1690"/>
      <c r="CG1690"/>
      <c r="CH1690"/>
      <c r="CI1690"/>
      <c r="CJ1690"/>
      <c r="CK1690"/>
      <c r="CL1690"/>
      <c r="CM1690"/>
      <c r="CN1690"/>
      <c r="CO1690"/>
      <c r="CP1690"/>
      <c r="CQ1690"/>
      <c r="CR1690"/>
      <c r="CS1690"/>
    </row>
    <row r="1691" spans="2:97">
      <c r="B1691"/>
      <c r="C1691" s="1"/>
      <c r="D1691" s="1"/>
      <c r="E1691" s="1"/>
      <c r="F1691" s="1"/>
      <c r="G1691" s="1"/>
      <c r="H1691" s="1"/>
      <c r="I1691" s="1"/>
      <c r="J1691" s="1"/>
      <c r="K1691" s="1"/>
      <c r="L1691" s="1"/>
      <c r="M1691" s="1"/>
      <c r="N1691" s="1"/>
      <c r="O1691" s="1"/>
      <c r="P1691" s="1"/>
      <c r="Q1691" s="1"/>
      <c r="R1691"/>
      <c r="S1691" s="1"/>
      <c r="T1691" s="24"/>
      <c r="U1691"/>
      <c r="V1691" s="1"/>
      <c r="W1691" s="24"/>
      <c r="X1691"/>
      <c r="Y1691" s="1"/>
      <c r="Z1691" s="24"/>
      <c r="AA1691"/>
      <c r="AB1691" s="1"/>
      <c r="AC1691" s="24"/>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c r="CA1691"/>
      <c r="CB1691"/>
      <c r="CC1691"/>
      <c r="CD1691"/>
      <c r="CE1691"/>
      <c r="CF1691"/>
      <c r="CG1691"/>
      <c r="CH1691"/>
      <c r="CI1691"/>
      <c r="CJ1691"/>
      <c r="CK1691"/>
      <c r="CL1691"/>
      <c r="CM1691"/>
      <c r="CN1691"/>
      <c r="CO1691"/>
      <c r="CP1691"/>
      <c r="CQ1691"/>
      <c r="CR1691"/>
      <c r="CS1691"/>
    </row>
    <row r="1692" spans="2:97">
      <c r="B1692"/>
      <c r="C1692" s="1"/>
      <c r="D1692" s="1"/>
      <c r="E1692" s="1"/>
      <c r="F1692" s="1"/>
      <c r="G1692" s="1"/>
      <c r="H1692" s="1"/>
      <c r="I1692" s="1"/>
      <c r="J1692" s="1"/>
      <c r="K1692" s="1"/>
      <c r="L1692" s="1"/>
      <c r="M1692" s="1"/>
      <c r="N1692" s="1"/>
      <c r="O1692" s="1"/>
      <c r="P1692" s="1"/>
      <c r="Q1692" s="1"/>
      <c r="R1692"/>
      <c r="S1692" s="1"/>
      <c r="T1692" s="24"/>
      <c r="U1692"/>
      <c r="V1692" s="1"/>
      <c r="W1692" s="24"/>
      <c r="X1692"/>
      <c r="Y1692" s="1"/>
      <c r="Z1692" s="24"/>
      <c r="AA1692"/>
      <c r="AB1692" s="1"/>
      <c r="AC1692" s="24"/>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c r="CA1692"/>
      <c r="CB1692"/>
      <c r="CC1692"/>
      <c r="CD1692"/>
      <c r="CE1692"/>
      <c r="CF1692"/>
      <c r="CG1692"/>
      <c r="CH1692"/>
      <c r="CI1692"/>
      <c r="CJ1692"/>
      <c r="CK1692"/>
      <c r="CL1692"/>
      <c r="CM1692"/>
      <c r="CN1692"/>
      <c r="CO1692"/>
      <c r="CP1692"/>
      <c r="CQ1692"/>
      <c r="CR1692"/>
      <c r="CS1692"/>
    </row>
    <row r="1693" spans="2:97">
      <c r="B1693"/>
      <c r="C1693" s="1"/>
      <c r="D1693" s="1"/>
      <c r="E1693" s="1"/>
      <c r="F1693" s="1"/>
      <c r="G1693" s="1"/>
      <c r="H1693" s="1"/>
      <c r="I1693" s="1"/>
      <c r="J1693" s="1"/>
      <c r="K1693" s="1"/>
      <c r="L1693" s="1"/>
      <c r="M1693" s="1"/>
      <c r="N1693" s="1"/>
      <c r="O1693" s="1"/>
      <c r="P1693" s="1"/>
      <c r="Q1693" s="1"/>
      <c r="R1693"/>
      <c r="S1693" s="1"/>
      <c r="T1693" s="24"/>
      <c r="U1693"/>
      <c r="V1693" s="1"/>
      <c r="W1693" s="24"/>
      <c r="X1693"/>
      <c r="Y1693" s="1"/>
      <c r="Z1693" s="24"/>
      <c r="AA1693"/>
      <c r="AB1693" s="1"/>
      <c r="AC1693" s="24"/>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c r="CA1693"/>
      <c r="CB1693"/>
      <c r="CC1693"/>
      <c r="CD1693"/>
      <c r="CE1693"/>
      <c r="CF1693"/>
      <c r="CG1693"/>
      <c r="CH1693"/>
      <c r="CI1693"/>
      <c r="CJ1693"/>
      <c r="CK1693"/>
      <c r="CL1693"/>
      <c r="CM1693"/>
      <c r="CN1693"/>
      <c r="CO1693"/>
      <c r="CP1693"/>
      <c r="CQ1693"/>
      <c r="CR1693"/>
      <c r="CS1693"/>
    </row>
    <row r="1694" spans="2:97">
      <c r="B1694"/>
      <c r="C1694" s="1"/>
      <c r="D1694" s="1"/>
      <c r="E1694" s="1"/>
      <c r="F1694" s="1"/>
      <c r="G1694" s="1"/>
      <c r="H1694" s="1"/>
      <c r="I1694" s="1"/>
      <c r="J1694" s="1"/>
      <c r="K1694" s="1"/>
      <c r="L1694" s="1"/>
      <c r="M1694" s="1"/>
      <c r="N1694" s="1"/>
      <c r="O1694" s="1"/>
      <c r="P1694" s="1"/>
      <c r="Q1694" s="1"/>
      <c r="R1694"/>
      <c r="S1694" s="1"/>
      <c r="T1694" s="24"/>
      <c r="U1694"/>
      <c r="V1694" s="1"/>
      <c r="W1694" s="24"/>
      <c r="X1694"/>
      <c r="Y1694" s="1"/>
      <c r="Z1694" s="24"/>
      <c r="AA1694"/>
      <c r="AB1694" s="1"/>
      <c r="AC1694" s="2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c r="CA1694"/>
      <c r="CB1694"/>
      <c r="CC1694"/>
      <c r="CD1694"/>
      <c r="CE1694"/>
      <c r="CF1694"/>
      <c r="CG1694"/>
      <c r="CH1694"/>
      <c r="CI1694"/>
      <c r="CJ1694"/>
      <c r="CK1694"/>
      <c r="CL1694"/>
      <c r="CM1694"/>
      <c r="CN1694"/>
      <c r="CO1694"/>
      <c r="CP1694"/>
      <c r="CQ1694"/>
      <c r="CR1694"/>
      <c r="CS1694"/>
    </row>
    <row r="1695" spans="2:97">
      <c r="B1695"/>
      <c r="C1695" s="1"/>
      <c r="D1695" s="1"/>
      <c r="E1695" s="1"/>
      <c r="F1695" s="1"/>
      <c r="G1695" s="1"/>
      <c r="H1695" s="1"/>
      <c r="I1695" s="1"/>
      <c r="J1695" s="1"/>
      <c r="K1695" s="1"/>
      <c r="L1695" s="1"/>
      <c r="M1695" s="1"/>
      <c r="N1695" s="1"/>
      <c r="O1695" s="1"/>
      <c r="P1695" s="1"/>
      <c r="Q1695" s="1"/>
      <c r="R1695"/>
      <c r="S1695" s="1"/>
      <c r="T1695" s="24"/>
      <c r="U1695"/>
      <c r="V1695" s="1"/>
      <c r="W1695" s="24"/>
      <c r="X1695"/>
      <c r="Y1695" s="1"/>
      <c r="Z1695" s="24"/>
      <c r="AA1695"/>
      <c r="AB1695" s="1"/>
      <c r="AC1695" s="24"/>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c r="CA1695"/>
      <c r="CB1695"/>
      <c r="CC1695"/>
      <c r="CD1695"/>
      <c r="CE1695"/>
      <c r="CF1695"/>
      <c r="CG1695"/>
      <c r="CH1695"/>
      <c r="CI1695"/>
      <c r="CJ1695"/>
      <c r="CK1695"/>
      <c r="CL1695"/>
      <c r="CM1695"/>
      <c r="CN1695"/>
      <c r="CO1695"/>
      <c r="CP1695"/>
      <c r="CQ1695"/>
      <c r="CR1695"/>
      <c r="CS1695"/>
    </row>
    <row r="1696" spans="2:97">
      <c r="B1696"/>
      <c r="C1696" s="1"/>
      <c r="D1696" s="1"/>
      <c r="E1696" s="1"/>
      <c r="F1696" s="1"/>
      <c r="G1696" s="1"/>
      <c r="H1696" s="1"/>
      <c r="I1696" s="1"/>
      <c r="J1696" s="1"/>
      <c r="K1696" s="1"/>
      <c r="L1696" s="1"/>
      <c r="M1696" s="1"/>
      <c r="N1696" s="1"/>
      <c r="O1696" s="1"/>
      <c r="P1696" s="1"/>
      <c r="Q1696" s="1"/>
      <c r="R1696"/>
      <c r="S1696" s="1"/>
      <c r="T1696" s="24"/>
      <c r="U1696"/>
      <c r="V1696" s="1"/>
      <c r="W1696" s="24"/>
      <c r="X1696"/>
      <c r="Y1696" s="1"/>
      <c r="Z1696" s="24"/>
      <c r="AA1696"/>
      <c r="AB1696" s="1"/>
      <c r="AC1696" s="24"/>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c r="CA1696"/>
      <c r="CB1696"/>
      <c r="CC1696"/>
      <c r="CD1696"/>
      <c r="CE1696"/>
      <c r="CF1696"/>
      <c r="CG1696"/>
      <c r="CH1696"/>
      <c r="CI1696"/>
      <c r="CJ1696"/>
      <c r="CK1696"/>
      <c r="CL1696"/>
      <c r="CM1696"/>
      <c r="CN1696"/>
      <c r="CO1696"/>
      <c r="CP1696"/>
      <c r="CQ1696"/>
      <c r="CR1696"/>
      <c r="CS1696"/>
    </row>
    <row r="1697" spans="2:97">
      <c r="B1697"/>
      <c r="C1697" s="1"/>
      <c r="D1697" s="1"/>
      <c r="E1697" s="1"/>
      <c r="F1697" s="1"/>
      <c r="G1697" s="1"/>
      <c r="H1697" s="1"/>
      <c r="I1697" s="1"/>
      <c r="J1697" s="1"/>
      <c r="K1697" s="1"/>
      <c r="L1697" s="1"/>
      <c r="M1697" s="1"/>
      <c r="N1697" s="1"/>
      <c r="O1697" s="1"/>
      <c r="P1697" s="1"/>
      <c r="Q1697" s="1"/>
      <c r="R1697"/>
      <c r="S1697" s="1"/>
      <c r="T1697" s="24"/>
      <c r="U1697"/>
      <c r="V1697" s="1"/>
      <c r="W1697" s="24"/>
      <c r="X1697"/>
      <c r="Y1697" s="1"/>
      <c r="Z1697" s="24"/>
      <c r="AA1697"/>
      <c r="AB1697" s="1"/>
      <c r="AC1697" s="24"/>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c r="CA1697"/>
      <c r="CB1697"/>
      <c r="CC1697"/>
      <c r="CD1697"/>
      <c r="CE1697"/>
      <c r="CF1697"/>
      <c r="CG1697"/>
      <c r="CH1697"/>
      <c r="CI1697"/>
      <c r="CJ1697"/>
      <c r="CK1697"/>
      <c r="CL1697"/>
      <c r="CM1697"/>
      <c r="CN1697"/>
      <c r="CO1697"/>
      <c r="CP1697"/>
      <c r="CQ1697"/>
      <c r="CR1697"/>
      <c r="CS1697"/>
    </row>
    <row r="1698" spans="2:97">
      <c r="B1698"/>
      <c r="C1698" s="1"/>
      <c r="D1698" s="1"/>
      <c r="E1698" s="1"/>
      <c r="F1698" s="1"/>
      <c r="G1698" s="1"/>
      <c r="H1698" s="1"/>
      <c r="I1698" s="1"/>
      <c r="J1698" s="1"/>
      <c r="K1698" s="1"/>
      <c r="L1698" s="1"/>
      <c r="M1698" s="1"/>
      <c r="N1698" s="1"/>
      <c r="O1698" s="1"/>
      <c r="P1698" s="1"/>
      <c r="Q1698" s="1"/>
      <c r="R1698"/>
      <c r="S1698" s="1"/>
      <c r="T1698" s="24"/>
      <c r="U1698"/>
      <c r="V1698" s="1"/>
      <c r="W1698" s="24"/>
      <c r="X1698"/>
      <c r="Y1698" s="1"/>
      <c r="Z1698" s="24"/>
      <c r="AA1698"/>
      <c r="AB1698" s="1"/>
      <c r="AC1698" s="24"/>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c r="CA1698"/>
      <c r="CB1698"/>
      <c r="CC1698"/>
      <c r="CD1698"/>
      <c r="CE1698"/>
      <c r="CF1698"/>
      <c r="CG1698"/>
      <c r="CH1698"/>
      <c r="CI1698"/>
      <c r="CJ1698"/>
      <c r="CK1698"/>
      <c r="CL1698"/>
      <c r="CM1698"/>
      <c r="CN1698"/>
      <c r="CO1698"/>
      <c r="CP1698"/>
      <c r="CQ1698"/>
      <c r="CR1698"/>
      <c r="CS1698"/>
    </row>
    <row r="1699" spans="2:97">
      <c r="B1699"/>
      <c r="C1699" s="1"/>
      <c r="D1699" s="1"/>
      <c r="E1699" s="1"/>
      <c r="F1699" s="1"/>
      <c r="G1699" s="1"/>
      <c r="H1699" s="1"/>
      <c r="I1699" s="1"/>
      <c r="J1699" s="1"/>
      <c r="K1699" s="1"/>
      <c r="L1699" s="1"/>
      <c r="M1699" s="1"/>
      <c r="N1699" s="1"/>
      <c r="O1699" s="1"/>
      <c r="P1699" s="1"/>
      <c r="Q1699" s="1"/>
      <c r="R1699"/>
      <c r="S1699" s="1"/>
      <c r="T1699" s="24"/>
      <c r="U1699"/>
      <c r="V1699" s="1"/>
      <c r="W1699" s="24"/>
      <c r="X1699"/>
      <c r="Y1699" s="1"/>
      <c r="Z1699" s="24"/>
      <c r="AA1699"/>
      <c r="AB1699" s="1"/>
      <c r="AC1699" s="24"/>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c r="CA1699"/>
      <c r="CB1699"/>
      <c r="CC1699"/>
      <c r="CD1699"/>
      <c r="CE1699"/>
      <c r="CF1699"/>
      <c r="CG1699"/>
      <c r="CH1699"/>
      <c r="CI1699"/>
      <c r="CJ1699"/>
      <c r="CK1699"/>
      <c r="CL1699"/>
      <c r="CM1699"/>
      <c r="CN1699"/>
      <c r="CO1699"/>
      <c r="CP1699"/>
      <c r="CQ1699"/>
      <c r="CR1699"/>
      <c r="CS1699"/>
    </row>
    <row r="1700" spans="2:97">
      <c r="B1700"/>
      <c r="C1700" s="1"/>
      <c r="D1700" s="1"/>
      <c r="E1700" s="1"/>
      <c r="F1700" s="1"/>
      <c r="G1700" s="1"/>
      <c r="H1700" s="1"/>
      <c r="I1700" s="1"/>
      <c r="J1700" s="1"/>
      <c r="K1700" s="1"/>
      <c r="L1700" s="1"/>
      <c r="M1700" s="1"/>
      <c r="N1700" s="1"/>
      <c r="O1700" s="1"/>
      <c r="P1700" s="1"/>
      <c r="Q1700" s="1"/>
      <c r="R1700"/>
      <c r="S1700" s="1"/>
      <c r="T1700" s="24"/>
      <c r="U1700"/>
      <c r="V1700" s="1"/>
      <c r="W1700" s="24"/>
      <c r="X1700"/>
      <c r="Y1700" s="1"/>
      <c r="Z1700" s="24"/>
      <c r="AA1700"/>
      <c r="AB1700" s="1"/>
      <c r="AC1700" s="24"/>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c r="CA1700"/>
      <c r="CB1700"/>
      <c r="CC1700"/>
      <c r="CD1700"/>
      <c r="CE1700"/>
      <c r="CF1700"/>
      <c r="CG1700"/>
      <c r="CH1700"/>
      <c r="CI1700"/>
      <c r="CJ1700"/>
      <c r="CK1700"/>
      <c r="CL1700"/>
      <c r="CM1700"/>
      <c r="CN1700"/>
      <c r="CO1700"/>
      <c r="CP1700"/>
      <c r="CQ1700"/>
      <c r="CR1700"/>
      <c r="CS1700"/>
    </row>
    <row r="1701" spans="2:97">
      <c r="B1701"/>
      <c r="C1701" s="1"/>
      <c r="D1701" s="1"/>
      <c r="E1701" s="1"/>
      <c r="F1701" s="1"/>
      <c r="G1701" s="1"/>
      <c r="H1701" s="1"/>
      <c r="I1701" s="1"/>
      <c r="J1701" s="1"/>
      <c r="K1701" s="1"/>
      <c r="L1701" s="1"/>
      <c r="M1701" s="1"/>
      <c r="N1701" s="1"/>
      <c r="O1701" s="1"/>
      <c r="P1701" s="1"/>
      <c r="Q1701" s="1"/>
      <c r="R1701"/>
      <c r="S1701" s="1"/>
      <c r="T1701" s="24"/>
      <c r="U1701"/>
      <c r="V1701" s="1"/>
      <c r="W1701" s="24"/>
      <c r="X1701"/>
      <c r="Y1701" s="1"/>
      <c r="Z1701" s="24"/>
      <c r="AA1701"/>
      <c r="AB1701" s="1"/>
      <c r="AC1701" s="24"/>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c r="CA1701"/>
      <c r="CB1701"/>
      <c r="CC1701"/>
      <c r="CD1701"/>
      <c r="CE1701"/>
      <c r="CF1701"/>
      <c r="CG1701"/>
      <c r="CH1701"/>
      <c r="CI1701"/>
      <c r="CJ1701"/>
      <c r="CK1701"/>
      <c r="CL1701"/>
      <c r="CM1701"/>
      <c r="CN1701"/>
      <c r="CO1701"/>
      <c r="CP1701"/>
      <c r="CQ1701"/>
      <c r="CR1701"/>
      <c r="CS1701"/>
    </row>
    <row r="1702" spans="2:97">
      <c r="B1702"/>
      <c r="C1702" s="1"/>
      <c r="D1702" s="1"/>
      <c r="E1702" s="1"/>
      <c r="F1702" s="1"/>
      <c r="G1702" s="1"/>
      <c r="H1702" s="1"/>
      <c r="I1702" s="1"/>
      <c r="J1702" s="1"/>
      <c r="K1702" s="1"/>
      <c r="L1702" s="1"/>
      <c r="M1702" s="1"/>
      <c r="N1702" s="1"/>
      <c r="O1702" s="1"/>
      <c r="P1702" s="1"/>
      <c r="Q1702" s="1"/>
      <c r="R1702"/>
      <c r="S1702" s="1"/>
      <c r="T1702" s="24"/>
      <c r="U1702"/>
      <c r="V1702" s="1"/>
      <c r="W1702" s="24"/>
      <c r="X1702"/>
      <c r="Y1702" s="1"/>
      <c r="Z1702" s="24"/>
      <c r="AA1702"/>
      <c r="AB1702" s="1"/>
      <c r="AC1702" s="24"/>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c r="BR1702"/>
      <c r="BS1702"/>
      <c r="BT1702"/>
      <c r="BU1702"/>
      <c r="BV1702"/>
      <c r="BW1702"/>
      <c r="BX1702"/>
      <c r="BY1702"/>
      <c r="BZ1702"/>
      <c r="CA1702"/>
      <c r="CB1702"/>
      <c r="CC1702"/>
      <c r="CD1702"/>
      <c r="CE1702"/>
      <c r="CF1702"/>
      <c r="CG1702"/>
      <c r="CH1702"/>
      <c r="CI1702"/>
      <c r="CJ1702"/>
      <c r="CK1702"/>
      <c r="CL1702"/>
      <c r="CM1702"/>
      <c r="CN1702"/>
      <c r="CO1702"/>
      <c r="CP1702"/>
      <c r="CQ1702"/>
      <c r="CR1702"/>
      <c r="CS1702"/>
    </row>
    <row r="1703" spans="2:97">
      <c r="B1703"/>
      <c r="C1703" s="1"/>
      <c r="D1703" s="1"/>
      <c r="E1703" s="1"/>
      <c r="F1703" s="1"/>
      <c r="G1703" s="1"/>
      <c r="H1703" s="1"/>
      <c r="I1703" s="1"/>
      <c r="J1703" s="1"/>
      <c r="K1703" s="1"/>
      <c r="L1703" s="1"/>
      <c r="M1703" s="1"/>
      <c r="N1703" s="1"/>
      <c r="O1703" s="1"/>
      <c r="P1703" s="1"/>
      <c r="Q1703" s="1"/>
      <c r="R1703"/>
      <c r="S1703" s="1"/>
      <c r="T1703" s="24"/>
      <c r="U1703"/>
      <c r="V1703" s="1"/>
      <c r="W1703" s="24"/>
      <c r="X1703"/>
      <c r="Y1703" s="1"/>
      <c r="Z1703" s="24"/>
      <c r="AA1703"/>
      <c r="AB1703" s="1"/>
      <c r="AC1703" s="24"/>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c r="CA1703"/>
      <c r="CB1703"/>
      <c r="CC1703"/>
      <c r="CD1703"/>
      <c r="CE1703"/>
      <c r="CF1703"/>
      <c r="CG1703"/>
      <c r="CH1703"/>
      <c r="CI1703"/>
      <c r="CJ1703"/>
      <c r="CK1703"/>
      <c r="CL1703"/>
      <c r="CM1703"/>
      <c r="CN1703"/>
      <c r="CO1703"/>
      <c r="CP1703"/>
      <c r="CQ1703"/>
      <c r="CR1703"/>
      <c r="CS1703"/>
    </row>
    <row r="1704" spans="2:97">
      <c r="B1704"/>
      <c r="C1704" s="1"/>
      <c r="D1704" s="1"/>
      <c r="E1704" s="1"/>
      <c r="F1704" s="1"/>
      <c r="G1704" s="1"/>
      <c r="H1704" s="1"/>
      <c r="I1704" s="1"/>
      <c r="J1704" s="1"/>
      <c r="K1704" s="1"/>
      <c r="L1704" s="1"/>
      <c r="M1704" s="1"/>
      <c r="N1704" s="1"/>
      <c r="O1704" s="1"/>
      <c r="P1704" s="1"/>
      <c r="Q1704" s="1"/>
      <c r="R1704"/>
      <c r="S1704" s="1"/>
      <c r="T1704" s="24"/>
      <c r="U1704"/>
      <c r="V1704" s="1"/>
      <c r="W1704" s="24"/>
      <c r="X1704"/>
      <c r="Y1704" s="1"/>
      <c r="Z1704" s="24"/>
      <c r="AA1704"/>
      <c r="AB1704" s="1"/>
      <c r="AC1704" s="2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c r="CA1704"/>
      <c r="CB1704"/>
      <c r="CC1704"/>
      <c r="CD1704"/>
      <c r="CE1704"/>
      <c r="CF1704"/>
      <c r="CG1704"/>
      <c r="CH1704"/>
      <c r="CI1704"/>
      <c r="CJ1704"/>
      <c r="CK1704"/>
      <c r="CL1704"/>
      <c r="CM1704"/>
      <c r="CN1704"/>
      <c r="CO1704"/>
      <c r="CP1704"/>
      <c r="CQ1704"/>
      <c r="CR1704"/>
      <c r="CS1704"/>
    </row>
    <row r="1705" spans="2:97">
      <c r="B1705"/>
      <c r="C1705" s="1"/>
      <c r="D1705" s="1"/>
      <c r="E1705" s="1"/>
      <c r="F1705" s="1"/>
      <c r="G1705" s="1"/>
      <c r="H1705" s="1"/>
      <c r="I1705" s="1"/>
      <c r="J1705" s="1"/>
      <c r="K1705" s="1"/>
      <c r="L1705" s="1"/>
      <c r="M1705" s="1"/>
      <c r="N1705" s="1"/>
      <c r="O1705" s="1"/>
      <c r="P1705" s="1"/>
      <c r="Q1705" s="1"/>
      <c r="R1705"/>
      <c r="S1705" s="1"/>
      <c r="T1705" s="24"/>
      <c r="U1705"/>
      <c r="V1705" s="1"/>
      <c r="W1705" s="24"/>
      <c r="X1705"/>
      <c r="Y1705" s="1"/>
      <c r="Z1705" s="24"/>
      <c r="AA1705"/>
      <c r="AB1705" s="1"/>
      <c r="AC1705" s="24"/>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c r="CA1705"/>
      <c r="CB1705"/>
      <c r="CC1705"/>
      <c r="CD1705"/>
      <c r="CE1705"/>
      <c r="CF1705"/>
      <c r="CG1705"/>
      <c r="CH1705"/>
      <c r="CI1705"/>
      <c r="CJ1705"/>
      <c r="CK1705"/>
      <c r="CL1705"/>
      <c r="CM1705"/>
      <c r="CN1705"/>
      <c r="CO1705"/>
      <c r="CP1705"/>
      <c r="CQ1705"/>
      <c r="CR1705"/>
      <c r="CS1705"/>
    </row>
    <row r="1706" spans="2:97">
      <c r="B1706"/>
      <c r="C1706" s="1"/>
      <c r="D1706" s="1"/>
      <c r="E1706" s="1"/>
      <c r="F1706" s="1"/>
      <c r="G1706" s="1"/>
      <c r="H1706" s="1"/>
      <c r="I1706" s="1"/>
      <c r="J1706" s="1"/>
      <c r="K1706" s="1"/>
      <c r="L1706" s="1"/>
      <c r="M1706" s="1"/>
      <c r="N1706" s="1"/>
      <c r="O1706" s="1"/>
      <c r="P1706" s="1"/>
      <c r="Q1706" s="1"/>
      <c r="R1706"/>
      <c r="S1706" s="1"/>
      <c r="T1706" s="24"/>
      <c r="U1706"/>
      <c r="V1706" s="1"/>
      <c r="W1706" s="24"/>
      <c r="X1706"/>
      <c r="Y1706" s="1"/>
      <c r="Z1706" s="24"/>
      <c r="AA1706"/>
      <c r="AB1706" s="1"/>
      <c r="AC1706" s="24"/>
      <c r="AD1706"/>
      <c r="AE1706"/>
      <c r="AF1706"/>
      <c r="AG1706"/>
      <c r="AH1706"/>
      <c r="AI1706"/>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c r="BR1706"/>
      <c r="BS1706"/>
      <c r="BT1706"/>
      <c r="BU1706"/>
      <c r="BV1706"/>
      <c r="BW1706"/>
      <c r="BX1706"/>
      <c r="BY1706"/>
      <c r="BZ1706"/>
      <c r="CA1706"/>
      <c r="CB1706"/>
      <c r="CC1706"/>
      <c r="CD1706"/>
      <c r="CE1706"/>
      <c r="CF1706"/>
      <c r="CG1706"/>
      <c r="CH1706"/>
      <c r="CI1706"/>
      <c r="CJ1706"/>
      <c r="CK1706"/>
      <c r="CL1706"/>
      <c r="CM1706"/>
      <c r="CN1706"/>
      <c r="CO1706"/>
      <c r="CP1706"/>
      <c r="CQ1706"/>
      <c r="CR1706"/>
      <c r="CS1706"/>
    </row>
    <row r="1707" spans="2:97">
      <c r="B1707"/>
      <c r="C1707" s="1"/>
      <c r="D1707" s="1"/>
      <c r="E1707" s="1"/>
      <c r="F1707" s="1"/>
      <c r="G1707" s="1"/>
      <c r="H1707" s="1"/>
      <c r="I1707" s="1"/>
      <c r="J1707" s="1"/>
      <c r="K1707" s="1"/>
      <c r="L1707" s="1"/>
      <c r="M1707" s="1"/>
      <c r="N1707" s="1"/>
      <c r="O1707" s="1"/>
      <c r="P1707" s="1"/>
      <c r="Q1707" s="1"/>
      <c r="R1707"/>
      <c r="S1707" s="1"/>
      <c r="T1707" s="24"/>
      <c r="U1707"/>
      <c r="V1707" s="1"/>
      <c r="W1707" s="24"/>
      <c r="X1707"/>
      <c r="Y1707" s="1"/>
      <c r="Z1707" s="24"/>
      <c r="AA1707"/>
      <c r="AB1707" s="1"/>
      <c r="AC1707" s="24"/>
      <c r="AD1707"/>
      <c r="AE1707"/>
      <c r="AF1707"/>
      <c r="AG1707"/>
      <c r="AH1707"/>
      <c r="AI1707"/>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c r="CA1707"/>
      <c r="CB1707"/>
      <c r="CC1707"/>
      <c r="CD1707"/>
      <c r="CE1707"/>
      <c r="CF1707"/>
      <c r="CG1707"/>
      <c r="CH1707"/>
      <c r="CI1707"/>
      <c r="CJ1707"/>
      <c r="CK1707"/>
      <c r="CL1707"/>
      <c r="CM1707"/>
      <c r="CN1707"/>
      <c r="CO1707"/>
      <c r="CP1707"/>
      <c r="CQ1707"/>
      <c r="CR1707"/>
      <c r="CS1707"/>
    </row>
    <row r="1708" spans="2:97">
      <c r="B1708"/>
      <c r="C1708" s="1"/>
      <c r="D1708" s="1"/>
      <c r="E1708" s="1"/>
      <c r="F1708" s="1"/>
      <c r="G1708" s="1"/>
      <c r="H1708" s="1"/>
      <c r="I1708" s="1"/>
      <c r="J1708" s="1"/>
      <c r="K1708" s="1"/>
      <c r="L1708" s="1"/>
      <c r="M1708" s="1"/>
      <c r="N1708" s="1"/>
      <c r="O1708" s="1"/>
      <c r="P1708" s="1"/>
      <c r="Q1708" s="1"/>
      <c r="R1708"/>
      <c r="S1708" s="1"/>
      <c r="T1708" s="24"/>
      <c r="U1708"/>
      <c r="V1708" s="1"/>
      <c r="W1708" s="24"/>
      <c r="X1708"/>
      <c r="Y1708" s="1"/>
      <c r="Z1708" s="24"/>
      <c r="AA1708"/>
      <c r="AB1708" s="1"/>
      <c r="AC1708" s="24"/>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c r="CA1708"/>
      <c r="CB1708"/>
      <c r="CC1708"/>
      <c r="CD1708"/>
      <c r="CE1708"/>
      <c r="CF1708"/>
      <c r="CG1708"/>
      <c r="CH1708"/>
      <c r="CI1708"/>
      <c r="CJ1708"/>
      <c r="CK1708"/>
      <c r="CL1708"/>
      <c r="CM1708"/>
      <c r="CN1708"/>
      <c r="CO1708"/>
      <c r="CP1708"/>
      <c r="CQ1708"/>
      <c r="CR1708"/>
      <c r="CS1708"/>
    </row>
    <row r="1709" spans="2:97">
      <c r="B1709"/>
      <c r="C1709" s="1"/>
      <c r="D1709" s="1"/>
      <c r="E1709" s="1"/>
      <c r="F1709" s="1"/>
      <c r="G1709" s="1"/>
      <c r="H1709" s="1"/>
      <c r="I1709" s="1"/>
      <c r="J1709" s="1"/>
      <c r="K1709" s="1"/>
      <c r="L1709" s="1"/>
      <c r="M1709" s="1"/>
      <c r="N1709" s="1"/>
      <c r="O1709" s="1"/>
      <c r="P1709" s="1"/>
      <c r="Q1709" s="1"/>
      <c r="R1709"/>
      <c r="S1709" s="1"/>
      <c r="T1709" s="24"/>
      <c r="U1709"/>
      <c r="V1709" s="1"/>
      <c r="W1709" s="24"/>
      <c r="X1709"/>
      <c r="Y1709" s="1"/>
      <c r="Z1709" s="24"/>
      <c r="AA1709"/>
      <c r="AB1709" s="1"/>
      <c r="AC1709" s="24"/>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c r="CA1709"/>
      <c r="CB1709"/>
      <c r="CC1709"/>
      <c r="CD1709"/>
      <c r="CE1709"/>
      <c r="CF1709"/>
      <c r="CG1709"/>
      <c r="CH1709"/>
      <c r="CI1709"/>
      <c r="CJ1709"/>
      <c r="CK1709"/>
      <c r="CL1709"/>
      <c r="CM1709"/>
      <c r="CN1709"/>
      <c r="CO1709"/>
      <c r="CP1709"/>
      <c r="CQ1709"/>
      <c r="CR1709"/>
      <c r="CS1709"/>
    </row>
    <row r="1710" spans="2:97">
      <c r="B1710"/>
      <c r="C1710" s="1"/>
      <c r="D1710" s="1"/>
      <c r="E1710" s="1"/>
      <c r="F1710" s="1"/>
      <c r="G1710" s="1"/>
      <c r="H1710" s="1"/>
      <c r="I1710" s="1"/>
      <c r="J1710" s="1"/>
      <c r="K1710" s="1"/>
      <c r="L1710" s="1"/>
      <c r="M1710" s="1"/>
      <c r="N1710" s="1"/>
      <c r="O1710" s="1"/>
      <c r="P1710" s="1"/>
      <c r="Q1710" s="1"/>
      <c r="R1710"/>
      <c r="S1710" s="1"/>
      <c r="T1710" s="24"/>
      <c r="U1710"/>
      <c r="V1710" s="1"/>
      <c r="W1710" s="24"/>
      <c r="X1710"/>
      <c r="Y1710" s="1"/>
      <c r="Z1710" s="24"/>
      <c r="AA1710"/>
      <c r="AB1710" s="1"/>
      <c r="AC1710" s="24"/>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c r="CA1710"/>
      <c r="CB1710"/>
      <c r="CC1710"/>
      <c r="CD1710"/>
      <c r="CE1710"/>
      <c r="CF1710"/>
      <c r="CG1710"/>
      <c r="CH1710"/>
      <c r="CI1710"/>
      <c r="CJ1710"/>
      <c r="CK1710"/>
      <c r="CL1710"/>
      <c r="CM1710"/>
      <c r="CN1710"/>
      <c r="CO1710"/>
      <c r="CP1710"/>
      <c r="CQ1710"/>
      <c r="CR1710"/>
      <c r="CS1710"/>
    </row>
    <row r="1711" spans="2:97">
      <c r="B1711"/>
      <c r="C1711" s="1"/>
      <c r="D1711" s="1"/>
      <c r="E1711" s="1"/>
      <c r="F1711" s="1"/>
      <c r="G1711" s="1"/>
      <c r="H1711" s="1"/>
      <c r="I1711" s="1"/>
      <c r="J1711" s="1"/>
      <c r="K1711" s="1"/>
      <c r="L1711" s="1"/>
      <c r="M1711" s="1"/>
      <c r="N1711" s="1"/>
      <c r="O1711" s="1"/>
      <c r="P1711" s="1"/>
      <c r="Q1711" s="1"/>
      <c r="R1711"/>
      <c r="S1711" s="1"/>
      <c r="T1711" s="24"/>
      <c r="U1711"/>
      <c r="V1711" s="1"/>
      <c r="W1711" s="24"/>
      <c r="X1711"/>
      <c r="Y1711" s="1"/>
      <c r="Z1711" s="24"/>
      <c r="AA1711"/>
      <c r="AB1711" s="1"/>
      <c r="AC1711" s="24"/>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c r="CA1711"/>
      <c r="CB1711"/>
      <c r="CC1711"/>
      <c r="CD1711"/>
      <c r="CE1711"/>
      <c r="CF1711"/>
      <c r="CG1711"/>
      <c r="CH1711"/>
      <c r="CI1711"/>
      <c r="CJ1711"/>
      <c r="CK1711"/>
      <c r="CL1711"/>
      <c r="CM1711"/>
      <c r="CN1711"/>
      <c r="CO1711"/>
      <c r="CP1711"/>
      <c r="CQ1711"/>
      <c r="CR1711"/>
      <c r="CS1711"/>
    </row>
    <row r="1712" spans="2:97">
      <c r="B1712"/>
      <c r="C1712" s="1"/>
      <c r="D1712" s="1"/>
      <c r="E1712" s="1"/>
      <c r="F1712" s="1"/>
      <c r="G1712" s="1"/>
      <c r="H1712" s="1"/>
      <c r="I1712" s="1"/>
      <c r="J1712" s="1"/>
      <c r="K1712" s="1"/>
      <c r="L1712" s="1"/>
      <c r="M1712" s="1"/>
      <c r="N1712" s="1"/>
      <c r="O1712" s="1"/>
      <c r="P1712" s="1"/>
      <c r="Q1712" s="1"/>
      <c r="R1712"/>
      <c r="S1712" s="1"/>
      <c r="T1712" s="24"/>
      <c r="U1712"/>
      <c r="V1712" s="1"/>
      <c r="W1712" s="24"/>
      <c r="X1712"/>
      <c r="Y1712" s="1"/>
      <c r="Z1712" s="24"/>
      <c r="AA1712"/>
      <c r="AB1712" s="1"/>
      <c r="AC1712" s="24"/>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c r="CA1712"/>
      <c r="CB1712"/>
      <c r="CC1712"/>
      <c r="CD1712"/>
      <c r="CE1712"/>
      <c r="CF1712"/>
      <c r="CG1712"/>
      <c r="CH1712"/>
      <c r="CI1712"/>
      <c r="CJ1712"/>
      <c r="CK1712"/>
      <c r="CL1712"/>
      <c r="CM1712"/>
      <c r="CN1712"/>
      <c r="CO1712"/>
      <c r="CP1712"/>
      <c r="CQ1712"/>
      <c r="CR1712"/>
      <c r="CS1712"/>
    </row>
    <row r="1713" spans="2:97">
      <c r="B1713"/>
      <c r="C1713" s="1"/>
      <c r="D1713" s="1"/>
      <c r="E1713" s="1"/>
      <c r="F1713" s="1"/>
      <c r="G1713" s="1"/>
      <c r="H1713" s="1"/>
      <c r="I1713" s="1"/>
      <c r="J1713" s="1"/>
      <c r="K1713" s="1"/>
      <c r="L1713" s="1"/>
      <c r="M1713" s="1"/>
      <c r="N1713" s="1"/>
      <c r="O1713" s="1"/>
      <c r="P1713" s="1"/>
      <c r="Q1713" s="1"/>
      <c r="R1713"/>
      <c r="S1713" s="1"/>
      <c r="T1713" s="24"/>
      <c r="U1713"/>
      <c r="V1713" s="1"/>
      <c r="W1713" s="24"/>
      <c r="X1713"/>
      <c r="Y1713" s="1"/>
      <c r="Z1713" s="24"/>
      <c r="AA1713"/>
      <c r="AB1713" s="1"/>
      <c r="AC1713" s="24"/>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c r="BR1713"/>
      <c r="BS1713"/>
      <c r="BT1713"/>
      <c r="BU1713"/>
      <c r="BV1713"/>
      <c r="BW1713"/>
      <c r="BX1713"/>
      <c r="BY1713"/>
      <c r="BZ1713"/>
      <c r="CA1713"/>
      <c r="CB1713"/>
      <c r="CC1713"/>
      <c r="CD1713"/>
      <c r="CE1713"/>
      <c r="CF1713"/>
      <c r="CG1713"/>
      <c r="CH1713"/>
      <c r="CI1713"/>
      <c r="CJ1713"/>
      <c r="CK1713"/>
      <c r="CL1713"/>
      <c r="CM1713"/>
      <c r="CN1713"/>
      <c r="CO1713"/>
      <c r="CP1713"/>
      <c r="CQ1713"/>
      <c r="CR1713"/>
      <c r="CS1713"/>
    </row>
    <row r="1714" spans="2:97">
      <c r="B1714"/>
      <c r="C1714" s="1"/>
      <c r="D1714" s="1"/>
      <c r="E1714" s="1"/>
      <c r="F1714" s="1"/>
      <c r="G1714" s="1"/>
      <c r="H1714" s="1"/>
      <c r="I1714" s="1"/>
      <c r="J1714" s="1"/>
      <c r="K1714" s="1"/>
      <c r="L1714" s="1"/>
      <c r="M1714" s="1"/>
      <c r="N1714" s="1"/>
      <c r="O1714" s="1"/>
      <c r="P1714" s="1"/>
      <c r="Q1714" s="1"/>
      <c r="R1714"/>
      <c r="S1714" s="1"/>
      <c r="T1714" s="24"/>
      <c r="U1714"/>
      <c r="V1714" s="1"/>
      <c r="W1714" s="24"/>
      <c r="X1714"/>
      <c r="Y1714" s="1"/>
      <c r="Z1714" s="24"/>
      <c r="AA1714"/>
      <c r="AB1714" s="1"/>
      <c r="AC1714" s="24"/>
      <c r="AD1714"/>
      <c r="AE1714"/>
      <c r="AF1714"/>
      <c r="AG1714"/>
      <c r="AH1714"/>
      <c r="AI1714"/>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c r="CA1714"/>
      <c r="CB1714"/>
      <c r="CC1714"/>
      <c r="CD1714"/>
      <c r="CE1714"/>
      <c r="CF1714"/>
      <c r="CG1714"/>
      <c r="CH1714"/>
      <c r="CI1714"/>
      <c r="CJ1714"/>
      <c r="CK1714"/>
      <c r="CL1714"/>
      <c r="CM1714"/>
      <c r="CN1714"/>
      <c r="CO1714"/>
      <c r="CP1714"/>
      <c r="CQ1714"/>
      <c r="CR1714"/>
      <c r="CS1714"/>
    </row>
    <row r="1715" spans="2:97">
      <c r="B1715"/>
      <c r="C1715" s="1"/>
      <c r="D1715" s="1"/>
      <c r="E1715" s="1"/>
      <c r="F1715" s="1"/>
      <c r="G1715" s="1"/>
      <c r="H1715" s="1"/>
      <c r="I1715" s="1"/>
      <c r="J1715" s="1"/>
      <c r="K1715" s="1"/>
      <c r="L1715" s="1"/>
      <c r="M1715" s="1"/>
      <c r="N1715" s="1"/>
      <c r="O1715" s="1"/>
      <c r="P1715" s="1"/>
      <c r="Q1715" s="1"/>
      <c r="R1715"/>
      <c r="S1715" s="1"/>
      <c r="T1715" s="24"/>
      <c r="U1715"/>
      <c r="V1715" s="1"/>
      <c r="W1715" s="24"/>
      <c r="X1715"/>
      <c r="Y1715" s="1"/>
      <c r="Z1715" s="24"/>
      <c r="AA1715"/>
      <c r="AB1715" s="1"/>
      <c r="AC1715" s="24"/>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c r="CA1715"/>
      <c r="CB1715"/>
      <c r="CC1715"/>
      <c r="CD1715"/>
      <c r="CE1715"/>
      <c r="CF1715"/>
      <c r="CG1715"/>
      <c r="CH1715"/>
      <c r="CI1715"/>
      <c r="CJ1715"/>
      <c r="CK1715"/>
      <c r="CL1715"/>
      <c r="CM1715"/>
      <c r="CN1715"/>
      <c r="CO1715"/>
      <c r="CP1715"/>
      <c r="CQ1715"/>
      <c r="CR1715"/>
      <c r="CS1715"/>
    </row>
    <row r="1716" spans="2:97">
      <c r="B1716"/>
      <c r="C1716" s="1"/>
      <c r="D1716" s="1"/>
      <c r="E1716" s="1"/>
      <c r="F1716" s="1"/>
      <c r="G1716" s="1"/>
      <c r="H1716" s="1"/>
      <c r="I1716" s="1"/>
      <c r="J1716" s="1"/>
      <c r="K1716" s="1"/>
      <c r="L1716" s="1"/>
      <c r="M1716" s="1"/>
      <c r="N1716" s="1"/>
      <c r="O1716" s="1"/>
      <c r="P1716" s="1"/>
      <c r="Q1716" s="1"/>
      <c r="R1716"/>
      <c r="S1716" s="1"/>
      <c r="T1716" s="24"/>
      <c r="U1716"/>
      <c r="V1716" s="1"/>
      <c r="W1716" s="24"/>
      <c r="X1716"/>
      <c r="Y1716" s="1"/>
      <c r="Z1716" s="24"/>
      <c r="AA1716"/>
      <c r="AB1716" s="1"/>
      <c r="AC1716" s="24"/>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c r="CA1716"/>
      <c r="CB1716"/>
      <c r="CC1716"/>
      <c r="CD1716"/>
      <c r="CE1716"/>
      <c r="CF1716"/>
      <c r="CG1716"/>
      <c r="CH1716"/>
      <c r="CI1716"/>
      <c r="CJ1716"/>
      <c r="CK1716"/>
      <c r="CL1716"/>
      <c r="CM1716"/>
      <c r="CN1716"/>
      <c r="CO1716"/>
      <c r="CP1716"/>
      <c r="CQ1716"/>
      <c r="CR1716"/>
      <c r="CS1716"/>
    </row>
    <row r="1717" spans="2:97">
      <c r="B1717"/>
      <c r="C1717" s="1"/>
      <c r="D1717" s="1"/>
      <c r="E1717" s="1"/>
      <c r="F1717" s="1"/>
      <c r="G1717" s="1"/>
      <c r="H1717" s="1"/>
      <c r="I1717" s="1"/>
      <c r="J1717" s="1"/>
      <c r="K1717" s="1"/>
      <c r="L1717" s="1"/>
      <c r="M1717" s="1"/>
      <c r="N1717" s="1"/>
      <c r="O1717" s="1"/>
      <c r="P1717" s="1"/>
      <c r="Q1717" s="1"/>
      <c r="R1717"/>
      <c r="S1717" s="1"/>
      <c r="T1717" s="24"/>
      <c r="U1717"/>
      <c r="V1717" s="1"/>
      <c r="W1717" s="24"/>
      <c r="X1717"/>
      <c r="Y1717" s="1"/>
      <c r="Z1717" s="24"/>
      <c r="AA1717"/>
      <c r="AB1717" s="1"/>
      <c r="AC1717" s="24"/>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c r="CK1717"/>
      <c r="CL1717"/>
      <c r="CM1717"/>
      <c r="CN1717"/>
      <c r="CO1717"/>
      <c r="CP1717"/>
      <c r="CQ1717"/>
      <c r="CR1717"/>
      <c r="CS1717"/>
    </row>
    <row r="1718" spans="2:97">
      <c r="B1718"/>
      <c r="C1718" s="1"/>
      <c r="D1718" s="1"/>
      <c r="E1718" s="1"/>
      <c r="F1718" s="1"/>
      <c r="G1718" s="1"/>
      <c r="H1718" s="1"/>
      <c r="I1718" s="1"/>
      <c r="J1718" s="1"/>
      <c r="K1718" s="1"/>
      <c r="L1718" s="1"/>
      <c r="M1718" s="1"/>
      <c r="N1718" s="1"/>
      <c r="O1718" s="1"/>
      <c r="P1718" s="1"/>
      <c r="Q1718" s="1"/>
      <c r="R1718"/>
      <c r="S1718" s="1"/>
      <c r="T1718" s="24"/>
      <c r="U1718"/>
      <c r="V1718" s="1"/>
      <c r="W1718" s="24"/>
      <c r="X1718"/>
      <c r="Y1718" s="1"/>
      <c r="Z1718" s="24"/>
      <c r="AA1718"/>
      <c r="AB1718" s="1"/>
      <c r="AC1718" s="24"/>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c r="BR1718"/>
      <c r="BS1718"/>
      <c r="BT1718"/>
      <c r="BU1718"/>
      <c r="BV1718"/>
      <c r="BW1718"/>
      <c r="BX1718"/>
      <c r="BY1718"/>
      <c r="BZ1718"/>
      <c r="CA1718"/>
      <c r="CB1718"/>
      <c r="CC1718"/>
      <c r="CD1718"/>
      <c r="CE1718"/>
      <c r="CF1718"/>
      <c r="CG1718"/>
      <c r="CH1718"/>
      <c r="CI1718"/>
      <c r="CJ1718"/>
      <c r="CK1718"/>
      <c r="CL1718"/>
      <c r="CM1718"/>
      <c r="CN1718"/>
      <c r="CO1718"/>
      <c r="CP1718"/>
      <c r="CQ1718"/>
      <c r="CR1718"/>
      <c r="CS1718"/>
    </row>
    <row r="1719" spans="2:97">
      <c r="B1719"/>
      <c r="C1719" s="1"/>
      <c r="D1719" s="1"/>
      <c r="E1719" s="1"/>
      <c r="F1719" s="1"/>
      <c r="G1719" s="1"/>
      <c r="H1719" s="1"/>
      <c r="I1719" s="1"/>
      <c r="J1719" s="1"/>
      <c r="K1719" s="1"/>
      <c r="L1719" s="1"/>
      <c r="M1719" s="1"/>
      <c r="N1719" s="1"/>
      <c r="O1719" s="1"/>
      <c r="P1719" s="1"/>
      <c r="Q1719" s="1"/>
      <c r="R1719"/>
      <c r="S1719" s="1"/>
      <c r="T1719" s="24"/>
      <c r="U1719"/>
      <c r="V1719" s="1"/>
      <c r="W1719" s="24"/>
      <c r="X1719"/>
      <c r="Y1719" s="1"/>
      <c r="Z1719" s="24"/>
      <c r="AA1719"/>
      <c r="AB1719" s="1"/>
      <c r="AC1719" s="24"/>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c r="CA1719"/>
      <c r="CB1719"/>
      <c r="CC1719"/>
      <c r="CD1719"/>
      <c r="CE1719"/>
      <c r="CF1719"/>
      <c r="CG1719"/>
      <c r="CH1719"/>
      <c r="CI1719"/>
      <c r="CJ1719"/>
      <c r="CK1719"/>
      <c r="CL1719"/>
      <c r="CM1719"/>
      <c r="CN1719"/>
      <c r="CO1719"/>
      <c r="CP1719"/>
      <c r="CQ1719"/>
      <c r="CR1719"/>
      <c r="CS1719"/>
    </row>
    <row r="1720" spans="2:97">
      <c r="B1720"/>
      <c r="C1720" s="1"/>
      <c r="D1720" s="1"/>
      <c r="E1720" s="1"/>
      <c r="F1720" s="1"/>
      <c r="G1720" s="1"/>
      <c r="H1720" s="1"/>
      <c r="I1720" s="1"/>
      <c r="J1720" s="1"/>
      <c r="K1720" s="1"/>
      <c r="L1720" s="1"/>
      <c r="M1720" s="1"/>
      <c r="N1720" s="1"/>
      <c r="O1720" s="1"/>
      <c r="P1720" s="1"/>
      <c r="Q1720" s="1"/>
      <c r="R1720"/>
      <c r="S1720" s="1"/>
      <c r="T1720" s="24"/>
      <c r="U1720"/>
      <c r="V1720" s="1"/>
      <c r="W1720" s="24"/>
      <c r="X1720"/>
      <c r="Y1720" s="1"/>
      <c r="Z1720" s="24"/>
      <c r="AA1720"/>
      <c r="AB1720" s="1"/>
      <c r="AC1720" s="24"/>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c r="CA1720"/>
      <c r="CB1720"/>
      <c r="CC1720"/>
      <c r="CD1720"/>
      <c r="CE1720"/>
      <c r="CF1720"/>
      <c r="CG1720"/>
      <c r="CH1720"/>
      <c r="CI1720"/>
      <c r="CJ1720"/>
      <c r="CK1720"/>
      <c r="CL1720"/>
      <c r="CM1720"/>
      <c r="CN1720"/>
      <c r="CO1720"/>
      <c r="CP1720"/>
      <c r="CQ1720"/>
      <c r="CR1720"/>
      <c r="CS1720"/>
    </row>
    <row r="1721" spans="2:97">
      <c r="B1721"/>
      <c r="C1721" s="1"/>
      <c r="D1721" s="1"/>
      <c r="E1721" s="1"/>
      <c r="F1721" s="1"/>
      <c r="G1721" s="1"/>
      <c r="H1721" s="1"/>
      <c r="I1721" s="1"/>
      <c r="J1721" s="1"/>
      <c r="K1721" s="1"/>
      <c r="L1721" s="1"/>
      <c r="M1721" s="1"/>
      <c r="N1721" s="1"/>
      <c r="O1721" s="1"/>
      <c r="P1721" s="1"/>
      <c r="Q1721" s="1"/>
      <c r="R1721"/>
      <c r="S1721" s="1"/>
      <c r="T1721" s="24"/>
      <c r="U1721"/>
      <c r="V1721" s="1"/>
      <c r="W1721" s="24"/>
      <c r="X1721"/>
      <c r="Y1721" s="1"/>
      <c r="Z1721" s="24"/>
      <c r="AA1721"/>
      <c r="AB1721" s="1"/>
      <c r="AC1721" s="24"/>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c r="CA1721"/>
      <c r="CB1721"/>
      <c r="CC1721"/>
      <c r="CD1721"/>
      <c r="CE1721"/>
      <c r="CF1721"/>
      <c r="CG1721"/>
      <c r="CH1721"/>
      <c r="CI1721"/>
      <c r="CJ1721"/>
      <c r="CK1721"/>
      <c r="CL1721"/>
      <c r="CM1721"/>
      <c r="CN1721"/>
      <c r="CO1721"/>
      <c r="CP1721"/>
      <c r="CQ1721"/>
      <c r="CR1721"/>
      <c r="CS1721"/>
    </row>
    <row r="1722" spans="2:97">
      <c r="B1722"/>
      <c r="C1722" s="1"/>
      <c r="D1722" s="1"/>
      <c r="E1722" s="1"/>
      <c r="F1722" s="1"/>
      <c r="G1722" s="1"/>
      <c r="H1722" s="1"/>
      <c r="I1722" s="1"/>
      <c r="J1722" s="1"/>
      <c r="K1722" s="1"/>
      <c r="L1722" s="1"/>
      <c r="M1722" s="1"/>
      <c r="N1722" s="1"/>
      <c r="O1722" s="1"/>
      <c r="P1722" s="1"/>
      <c r="Q1722" s="1"/>
      <c r="R1722"/>
      <c r="S1722" s="1"/>
      <c r="T1722" s="24"/>
      <c r="U1722"/>
      <c r="V1722" s="1"/>
      <c r="W1722" s="24"/>
      <c r="X1722"/>
      <c r="Y1722" s="1"/>
      <c r="Z1722" s="24"/>
      <c r="AA1722"/>
      <c r="AB1722" s="1"/>
      <c r="AC1722" s="24"/>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c r="BR1722"/>
      <c r="BS1722"/>
      <c r="BT1722"/>
      <c r="BU1722"/>
      <c r="BV1722"/>
      <c r="BW1722"/>
      <c r="BX1722"/>
      <c r="BY1722"/>
      <c r="BZ1722"/>
      <c r="CA1722"/>
      <c r="CB1722"/>
      <c r="CC1722"/>
      <c r="CD1722"/>
      <c r="CE1722"/>
      <c r="CF1722"/>
      <c r="CG1722"/>
      <c r="CH1722"/>
      <c r="CI1722"/>
      <c r="CJ1722"/>
      <c r="CK1722"/>
      <c r="CL1722"/>
      <c r="CM1722"/>
      <c r="CN1722"/>
      <c r="CO1722"/>
      <c r="CP1722"/>
      <c r="CQ1722"/>
      <c r="CR1722"/>
      <c r="CS1722"/>
    </row>
    <row r="1723" spans="2:97">
      <c r="B1723"/>
      <c r="C1723" s="1"/>
      <c r="D1723" s="1"/>
      <c r="E1723" s="1"/>
      <c r="F1723" s="1"/>
      <c r="G1723" s="1"/>
      <c r="H1723" s="1"/>
      <c r="I1723" s="1"/>
      <c r="J1723" s="1"/>
      <c r="K1723" s="1"/>
      <c r="L1723" s="1"/>
      <c r="M1723" s="1"/>
      <c r="N1723" s="1"/>
      <c r="O1723" s="1"/>
      <c r="P1723" s="1"/>
      <c r="Q1723" s="1"/>
      <c r="R1723"/>
      <c r="S1723" s="1"/>
      <c r="T1723" s="24"/>
      <c r="U1723"/>
      <c r="V1723" s="1"/>
      <c r="W1723" s="24"/>
      <c r="X1723"/>
      <c r="Y1723" s="1"/>
      <c r="Z1723" s="24"/>
      <c r="AA1723"/>
      <c r="AB1723" s="1"/>
      <c r="AC1723" s="24"/>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c r="CA1723"/>
      <c r="CB1723"/>
      <c r="CC1723"/>
      <c r="CD1723"/>
      <c r="CE1723"/>
      <c r="CF1723"/>
      <c r="CG1723"/>
      <c r="CH1723"/>
      <c r="CI1723"/>
      <c r="CJ1723"/>
      <c r="CK1723"/>
      <c r="CL1723"/>
      <c r="CM1723"/>
      <c r="CN1723"/>
      <c r="CO1723"/>
      <c r="CP1723"/>
      <c r="CQ1723"/>
      <c r="CR1723"/>
      <c r="CS1723"/>
    </row>
    <row r="1724" spans="2:97">
      <c r="B1724"/>
      <c r="C1724" s="1"/>
      <c r="D1724" s="1"/>
      <c r="E1724" s="1"/>
      <c r="F1724" s="1"/>
      <c r="G1724" s="1"/>
      <c r="H1724" s="1"/>
      <c r="I1724" s="1"/>
      <c r="J1724" s="1"/>
      <c r="K1724" s="1"/>
      <c r="L1724" s="1"/>
      <c r="M1724" s="1"/>
      <c r="N1724" s="1"/>
      <c r="O1724" s="1"/>
      <c r="P1724" s="1"/>
      <c r="Q1724" s="1"/>
      <c r="R1724"/>
      <c r="S1724" s="1"/>
      <c r="T1724" s="24"/>
      <c r="U1724"/>
      <c r="V1724" s="1"/>
      <c r="W1724" s="24"/>
      <c r="X1724"/>
      <c r="Y1724" s="1"/>
      <c r="Z1724" s="24"/>
      <c r="AA1724"/>
      <c r="AB1724" s="1"/>
      <c r="AC1724" s="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c r="CA1724"/>
      <c r="CB1724"/>
      <c r="CC1724"/>
      <c r="CD1724"/>
      <c r="CE1724"/>
      <c r="CF1724"/>
      <c r="CG1724"/>
      <c r="CH1724"/>
      <c r="CI1724"/>
      <c r="CJ1724"/>
      <c r="CK1724"/>
      <c r="CL1724"/>
      <c r="CM1724"/>
      <c r="CN1724"/>
      <c r="CO1724"/>
      <c r="CP1724"/>
      <c r="CQ1724"/>
      <c r="CR1724"/>
      <c r="CS1724"/>
    </row>
    <row r="1725" spans="2:97">
      <c r="B1725"/>
      <c r="C1725" s="1"/>
      <c r="D1725" s="1"/>
      <c r="E1725" s="1"/>
      <c r="F1725" s="1"/>
      <c r="G1725" s="1"/>
      <c r="H1725" s="1"/>
      <c r="I1725" s="1"/>
      <c r="J1725" s="1"/>
      <c r="K1725" s="1"/>
      <c r="L1725" s="1"/>
      <c r="M1725" s="1"/>
      <c r="N1725" s="1"/>
      <c r="O1725" s="1"/>
      <c r="P1725" s="1"/>
      <c r="Q1725" s="1"/>
      <c r="R1725"/>
      <c r="S1725" s="1"/>
      <c r="T1725" s="24"/>
      <c r="U1725"/>
      <c r="V1725" s="1"/>
      <c r="W1725" s="24"/>
      <c r="X1725"/>
      <c r="Y1725" s="1"/>
      <c r="Z1725" s="24"/>
      <c r="AA1725"/>
      <c r="AB1725" s="1"/>
      <c r="AC1725" s="24"/>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c r="CA1725"/>
      <c r="CB1725"/>
      <c r="CC1725"/>
      <c r="CD1725"/>
      <c r="CE1725"/>
      <c r="CF1725"/>
      <c r="CG1725"/>
      <c r="CH1725"/>
      <c r="CI1725"/>
      <c r="CJ1725"/>
      <c r="CK1725"/>
      <c r="CL1725"/>
      <c r="CM1725"/>
      <c r="CN1725"/>
      <c r="CO1725"/>
      <c r="CP1725"/>
      <c r="CQ1725"/>
      <c r="CR1725"/>
      <c r="CS1725"/>
    </row>
    <row r="1726" spans="2:97">
      <c r="B1726"/>
      <c r="C1726" s="1"/>
      <c r="D1726" s="1"/>
      <c r="E1726" s="1"/>
      <c r="F1726" s="1"/>
      <c r="G1726" s="1"/>
      <c r="H1726" s="1"/>
      <c r="I1726" s="1"/>
      <c r="J1726" s="1"/>
      <c r="K1726" s="1"/>
      <c r="L1726" s="1"/>
      <c r="M1726" s="1"/>
      <c r="N1726" s="1"/>
      <c r="O1726" s="1"/>
      <c r="P1726" s="1"/>
      <c r="Q1726" s="1"/>
      <c r="R1726"/>
      <c r="S1726" s="1"/>
      <c r="T1726" s="24"/>
      <c r="U1726"/>
      <c r="V1726" s="1"/>
      <c r="W1726" s="24"/>
      <c r="X1726"/>
      <c r="Y1726" s="1"/>
      <c r="Z1726" s="24"/>
      <c r="AA1726"/>
      <c r="AB1726" s="1"/>
      <c r="AC1726" s="24"/>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c r="CA1726"/>
      <c r="CB1726"/>
      <c r="CC1726"/>
      <c r="CD1726"/>
      <c r="CE1726"/>
      <c r="CF1726"/>
      <c r="CG1726"/>
      <c r="CH1726"/>
      <c r="CI1726"/>
      <c r="CJ1726"/>
      <c r="CK1726"/>
      <c r="CL1726"/>
      <c r="CM1726"/>
      <c r="CN1726"/>
      <c r="CO1726"/>
      <c r="CP1726"/>
      <c r="CQ1726"/>
      <c r="CR1726"/>
      <c r="CS1726"/>
    </row>
    <row r="1727" spans="2:97">
      <c r="B1727"/>
      <c r="C1727" s="1"/>
      <c r="D1727" s="1"/>
      <c r="E1727" s="1"/>
      <c r="F1727" s="1"/>
      <c r="G1727" s="1"/>
      <c r="H1727" s="1"/>
      <c r="I1727" s="1"/>
      <c r="J1727" s="1"/>
      <c r="K1727" s="1"/>
      <c r="L1727" s="1"/>
      <c r="M1727" s="1"/>
      <c r="N1727" s="1"/>
      <c r="O1727" s="1"/>
      <c r="P1727" s="1"/>
      <c r="Q1727" s="1"/>
      <c r="R1727"/>
      <c r="S1727" s="1"/>
      <c r="T1727" s="24"/>
      <c r="U1727"/>
      <c r="V1727" s="1"/>
      <c r="W1727" s="24"/>
      <c r="X1727"/>
      <c r="Y1727" s="1"/>
      <c r="Z1727" s="24"/>
      <c r="AA1727"/>
      <c r="AB1727" s="1"/>
      <c r="AC1727" s="24"/>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c r="CA1727"/>
      <c r="CB1727"/>
      <c r="CC1727"/>
      <c r="CD1727"/>
      <c r="CE1727"/>
      <c r="CF1727"/>
      <c r="CG1727"/>
      <c r="CH1727"/>
      <c r="CI1727"/>
      <c r="CJ1727"/>
      <c r="CK1727"/>
      <c r="CL1727"/>
      <c r="CM1727"/>
      <c r="CN1727"/>
      <c r="CO1727"/>
      <c r="CP1727"/>
      <c r="CQ1727"/>
      <c r="CR1727"/>
      <c r="CS1727"/>
    </row>
    <row r="1728" spans="2:97">
      <c r="B1728"/>
      <c r="C1728" s="1"/>
      <c r="D1728" s="1"/>
      <c r="E1728" s="1"/>
      <c r="F1728" s="1"/>
      <c r="G1728" s="1"/>
      <c r="H1728" s="1"/>
      <c r="I1728" s="1"/>
      <c r="J1728" s="1"/>
      <c r="K1728" s="1"/>
      <c r="L1728" s="1"/>
      <c r="M1728" s="1"/>
      <c r="N1728" s="1"/>
      <c r="O1728" s="1"/>
      <c r="P1728" s="1"/>
      <c r="Q1728" s="1"/>
      <c r="R1728"/>
      <c r="S1728" s="1"/>
      <c r="T1728" s="24"/>
      <c r="U1728"/>
      <c r="V1728" s="1"/>
      <c r="W1728" s="24"/>
      <c r="X1728"/>
      <c r="Y1728" s="1"/>
      <c r="Z1728" s="24"/>
      <c r="AA1728"/>
      <c r="AB1728" s="1"/>
      <c r="AC1728" s="24"/>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c r="CA1728"/>
      <c r="CB1728"/>
      <c r="CC1728"/>
      <c r="CD1728"/>
      <c r="CE1728"/>
      <c r="CF1728"/>
      <c r="CG1728"/>
      <c r="CH1728"/>
      <c r="CI1728"/>
      <c r="CJ1728"/>
      <c r="CK1728"/>
      <c r="CL1728"/>
      <c r="CM1728"/>
      <c r="CN1728"/>
      <c r="CO1728"/>
      <c r="CP1728"/>
      <c r="CQ1728"/>
      <c r="CR1728"/>
      <c r="CS1728"/>
    </row>
    <row r="1729" spans="2:97">
      <c r="B1729"/>
      <c r="C1729" s="1"/>
      <c r="D1729" s="1"/>
      <c r="E1729" s="1"/>
      <c r="F1729" s="1"/>
      <c r="G1729" s="1"/>
      <c r="H1729" s="1"/>
      <c r="I1729" s="1"/>
      <c r="J1729" s="1"/>
      <c r="K1729" s="1"/>
      <c r="L1729" s="1"/>
      <c r="M1729" s="1"/>
      <c r="N1729" s="1"/>
      <c r="O1729" s="1"/>
      <c r="P1729" s="1"/>
      <c r="Q1729" s="1"/>
      <c r="R1729"/>
      <c r="S1729" s="1"/>
      <c r="T1729" s="24"/>
      <c r="U1729"/>
      <c r="V1729" s="1"/>
      <c r="W1729" s="24"/>
      <c r="X1729"/>
      <c r="Y1729" s="1"/>
      <c r="Z1729" s="24"/>
      <c r="AA1729"/>
      <c r="AB1729" s="1"/>
      <c r="AC1729" s="24"/>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c r="CA1729"/>
      <c r="CB1729"/>
      <c r="CC1729"/>
      <c r="CD1729"/>
      <c r="CE1729"/>
      <c r="CF1729"/>
      <c r="CG1729"/>
      <c r="CH1729"/>
      <c r="CI1729"/>
      <c r="CJ1729"/>
      <c r="CK1729"/>
      <c r="CL1729"/>
      <c r="CM1729"/>
      <c r="CN1729"/>
      <c r="CO1729"/>
      <c r="CP1729"/>
      <c r="CQ1729"/>
      <c r="CR1729"/>
      <c r="CS1729"/>
    </row>
    <row r="1730" spans="2:97">
      <c r="B1730"/>
      <c r="C1730" s="1"/>
      <c r="D1730" s="1"/>
      <c r="E1730" s="1"/>
      <c r="F1730" s="1"/>
      <c r="G1730" s="1"/>
      <c r="H1730" s="1"/>
      <c r="I1730" s="1"/>
      <c r="J1730" s="1"/>
      <c r="K1730" s="1"/>
      <c r="L1730" s="1"/>
      <c r="M1730" s="1"/>
      <c r="N1730" s="1"/>
      <c r="O1730" s="1"/>
      <c r="P1730" s="1"/>
      <c r="Q1730" s="1"/>
      <c r="R1730"/>
      <c r="S1730" s="1"/>
      <c r="T1730" s="24"/>
      <c r="U1730"/>
      <c r="V1730" s="1"/>
      <c r="W1730" s="24"/>
      <c r="X1730"/>
      <c r="Y1730" s="1"/>
      <c r="Z1730" s="24"/>
      <c r="AA1730"/>
      <c r="AB1730" s="1"/>
      <c r="AC1730" s="24"/>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c r="CA1730"/>
      <c r="CB1730"/>
      <c r="CC1730"/>
      <c r="CD1730"/>
      <c r="CE1730"/>
      <c r="CF1730"/>
      <c r="CG1730"/>
      <c r="CH1730"/>
      <c r="CI1730"/>
      <c r="CJ1730"/>
      <c r="CK1730"/>
      <c r="CL1730"/>
      <c r="CM1730"/>
      <c r="CN1730"/>
      <c r="CO1730"/>
      <c r="CP1730"/>
      <c r="CQ1730"/>
      <c r="CR1730"/>
      <c r="CS1730"/>
    </row>
    <row r="1731" spans="2:97">
      <c r="B1731"/>
      <c r="C1731" s="1"/>
      <c r="D1731" s="1"/>
      <c r="E1731" s="1"/>
      <c r="F1731" s="1"/>
      <c r="G1731" s="1"/>
      <c r="H1731" s="1"/>
      <c r="I1731" s="1"/>
      <c r="J1731" s="1"/>
      <c r="K1731" s="1"/>
      <c r="L1731" s="1"/>
      <c r="M1731" s="1"/>
      <c r="N1731" s="1"/>
      <c r="O1731" s="1"/>
      <c r="P1731" s="1"/>
      <c r="Q1731" s="1"/>
      <c r="R1731"/>
      <c r="S1731" s="1"/>
      <c r="T1731" s="24"/>
      <c r="U1731"/>
      <c r="V1731" s="1"/>
      <c r="W1731" s="24"/>
      <c r="X1731"/>
      <c r="Y1731" s="1"/>
      <c r="Z1731" s="24"/>
      <c r="AA1731"/>
      <c r="AB1731" s="1"/>
      <c r="AC1731" s="24"/>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c r="CA1731"/>
      <c r="CB1731"/>
      <c r="CC1731"/>
      <c r="CD1731"/>
      <c r="CE1731"/>
      <c r="CF1731"/>
      <c r="CG1731"/>
      <c r="CH1731"/>
      <c r="CI1731"/>
      <c r="CJ1731"/>
      <c r="CK1731"/>
      <c r="CL1731"/>
      <c r="CM1731"/>
      <c r="CN1731"/>
      <c r="CO1731"/>
      <c r="CP1731"/>
      <c r="CQ1731"/>
      <c r="CR1731"/>
      <c r="CS1731"/>
    </row>
    <row r="1732" spans="2:97">
      <c r="B1732"/>
      <c r="C1732" s="1"/>
      <c r="D1732" s="1"/>
      <c r="E1732" s="1"/>
      <c r="F1732" s="1"/>
      <c r="G1732" s="1"/>
      <c r="H1732" s="1"/>
      <c r="I1732" s="1"/>
      <c r="J1732" s="1"/>
      <c r="K1732" s="1"/>
      <c r="L1732" s="1"/>
      <c r="M1732" s="1"/>
      <c r="N1732" s="1"/>
      <c r="O1732" s="1"/>
      <c r="P1732" s="1"/>
      <c r="Q1732" s="1"/>
      <c r="R1732"/>
      <c r="S1732" s="1"/>
      <c r="T1732" s="24"/>
      <c r="U1732"/>
      <c r="V1732" s="1"/>
      <c r="W1732" s="24"/>
      <c r="X1732"/>
      <c r="Y1732" s="1"/>
      <c r="Z1732" s="24"/>
      <c r="AA1732"/>
      <c r="AB1732" s="1"/>
      <c r="AC1732" s="24"/>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c r="CA1732"/>
      <c r="CB1732"/>
      <c r="CC1732"/>
      <c r="CD1732"/>
      <c r="CE1732"/>
      <c r="CF1732"/>
      <c r="CG1732"/>
      <c r="CH1732"/>
      <c r="CI1732"/>
      <c r="CJ1732"/>
      <c r="CK1732"/>
      <c r="CL1732"/>
      <c r="CM1732"/>
      <c r="CN1732"/>
      <c r="CO1732"/>
      <c r="CP1732"/>
      <c r="CQ1732"/>
      <c r="CR1732"/>
      <c r="CS1732"/>
    </row>
    <row r="1733" spans="2:97">
      <c r="B1733"/>
      <c r="C1733" s="1"/>
      <c r="D1733" s="1"/>
      <c r="E1733" s="1"/>
      <c r="F1733" s="1"/>
      <c r="G1733" s="1"/>
      <c r="H1733" s="1"/>
      <c r="I1733" s="1"/>
      <c r="J1733" s="1"/>
      <c r="K1733" s="1"/>
      <c r="L1733" s="1"/>
      <c r="M1733" s="1"/>
      <c r="N1733" s="1"/>
      <c r="O1733" s="1"/>
      <c r="P1733" s="1"/>
      <c r="Q1733" s="1"/>
      <c r="R1733"/>
      <c r="S1733" s="1"/>
      <c r="T1733" s="24"/>
      <c r="U1733"/>
      <c r="V1733" s="1"/>
      <c r="W1733" s="24"/>
      <c r="X1733"/>
      <c r="Y1733" s="1"/>
      <c r="Z1733" s="24"/>
      <c r="AA1733"/>
      <c r="AB1733" s="1"/>
      <c r="AC1733" s="24"/>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c r="CA1733"/>
      <c r="CB1733"/>
      <c r="CC1733"/>
      <c r="CD1733"/>
      <c r="CE1733"/>
      <c r="CF1733"/>
      <c r="CG1733"/>
      <c r="CH1733"/>
      <c r="CI1733"/>
      <c r="CJ1733"/>
      <c r="CK1733"/>
      <c r="CL1733"/>
      <c r="CM1733"/>
      <c r="CN1733"/>
      <c r="CO1733"/>
      <c r="CP1733"/>
      <c r="CQ1733"/>
      <c r="CR1733"/>
      <c r="CS1733"/>
    </row>
    <row r="1734" spans="2:97">
      <c r="B1734"/>
      <c r="C1734" s="1"/>
      <c r="D1734" s="1"/>
      <c r="E1734" s="1"/>
      <c r="F1734" s="1"/>
      <c r="G1734" s="1"/>
      <c r="H1734" s="1"/>
      <c r="I1734" s="1"/>
      <c r="J1734" s="1"/>
      <c r="K1734" s="1"/>
      <c r="L1734" s="1"/>
      <c r="M1734" s="1"/>
      <c r="N1734" s="1"/>
      <c r="O1734" s="1"/>
      <c r="P1734" s="1"/>
      <c r="Q1734" s="1"/>
      <c r="R1734"/>
      <c r="S1734" s="1"/>
      <c r="T1734" s="24"/>
      <c r="U1734"/>
      <c r="V1734" s="1"/>
      <c r="W1734" s="24"/>
      <c r="X1734"/>
      <c r="Y1734" s="1"/>
      <c r="Z1734" s="24"/>
      <c r="AA1734"/>
      <c r="AB1734" s="1"/>
      <c r="AC1734" s="2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c r="CA1734"/>
      <c r="CB1734"/>
      <c r="CC1734"/>
      <c r="CD1734"/>
      <c r="CE1734"/>
      <c r="CF1734"/>
      <c r="CG1734"/>
      <c r="CH1734"/>
      <c r="CI1734"/>
      <c r="CJ1734"/>
      <c r="CK1734"/>
      <c r="CL1734"/>
      <c r="CM1734"/>
      <c r="CN1734"/>
      <c r="CO1734"/>
      <c r="CP1734"/>
      <c r="CQ1734"/>
      <c r="CR1734"/>
      <c r="CS1734"/>
    </row>
    <row r="1735" spans="2:97">
      <c r="B1735"/>
      <c r="C1735" s="1"/>
      <c r="D1735" s="1"/>
      <c r="E1735" s="1"/>
      <c r="F1735" s="1"/>
      <c r="G1735" s="1"/>
      <c r="H1735" s="1"/>
      <c r="I1735" s="1"/>
      <c r="J1735" s="1"/>
      <c r="K1735" s="1"/>
      <c r="L1735" s="1"/>
      <c r="M1735" s="1"/>
      <c r="N1735" s="1"/>
      <c r="O1735" s="1"/>
      <c r="P1735" s="1"/>
      <c r="Q1735" s="1"/>
      <c r="R1735"/>
      <c r="S1735" s="1"/>
      <c r="T1735" s="24"/>
      <c r="U1735"/>
      <c r="V1735" s="1"/>
      <c r="W1735" s="24"/>
      <c r="X1735"/>
      <c r="Y1735" s="1"/>
      <c r="Z1735" s="24"/>
      <c r="AA1735"/>
      <c r="AB1735" s="1"/>
      <c r="AC1735" s="24"/>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c r="CA1735"/>
      <c r="CB1735"/>
      <c r="CC1735"/>
      <c r="CD1735"/>
      <c r="CE1735"/>
      <c r="CF1735"/>
      <c r="CG1735"/>
      <c r="CH1735"/>
      <c r="CI1735"/>
      <c r="CJ1735"/>
      <c r="CK1735"/>
      <c r="CL1735"/>
      <c r="CM1735"/>
      <c r="CN1735"/>
      <c r="CO1735"/>
      <c r="CP1735"/>
      <c r="CQ1735"/>
      <c r="CR1735"/>
      <c r="CS1735"/>
    </row>
    <row r="1736" spans="2:97">
      <c r="B1736"/>
      <c r="C1736" s="1"/>
      <c r="D1736" s="1"/>
      <c r="E1736" s="1"/>
      <c r="F1736" s="1"/>
      <c r="G1736" s="1"/>
      <c r="H1736" s="1"/>
      <c r="I1736" s="1"/>
      <c r="J1736" s="1"/>
      <c r="K1736" s="1"/>
      <c r="L1736" s="1"/>
      <c r="M1736" s="1"/>
      <c r="N1736" s="1"/>
      <c r="O1736" s="1"/>
      <c r="P1736" s="1"/>
      <c r="Q1736" s="1"/>
      <c r="R1736"/>
      <c r="S1736" s="1"/>
      <c r="T1736" s="24"/>
      <c r="U1736"/>
      <c r="V1736" s="1"/>
      <c r="W1736" s="24"/>
      <c r="X1736"/>
      <c r="Y1736" s="1"/>
      <c r="Z1736" s="24"/>
      <c r="AA1736"/>
      <c r="AB1736" s="1"/>
      <c r="AC1736" s="24"/>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c r="CA1736"/>
      <c r="CB1736"/>
      <c r="CC1736"/>
      <c r="CD1736"/>
      <c r="CE1736"/>
      <c r="CF1736"/>
      <c r="CG1736"/>
      <c r="CH1736"/>
      <c r="CI1736"/>
      <c r="CJ1736"/>
      <c r="CK1736"/>
      <c r="CL1736"/>
      <c r="CM1736"/>
      <c r="CN1736"/>
      <c r="CO1736"/>
      <c r="CP1736"/>
      <c r="CQ1736"/>
      <c r="CR1736"/>
      <c r="CS1736"/>
    </row>
    <row r="1737" spans="2:97">
      <c r="B1737"/>
      <c r="C1737" s="1"/>
      <c r="D1737" s="1"/>
      <c r="E1737" s="1"/>
      <c r="F1737" s="1"/>
      <c r="G1737" s="1"/>
      <c r="H1737" s="1"/>
      <c r="I1737" s="1"/>
      <c r="J1737" s="1"/>
      <c r="K1737" s="1"/>
      <c r="L1737" s="1"/>
      <c r="M1737" s="1"/>
      <c r="N1737" s="1"/>
      <c r="O1737" s="1"/>
      <c r="P1737" s="1"/>
      <c r="Q1737" s="1"/>
      <c r="R1737"/>
      <c r="S1737" s="1"/>
      <c r="T1737" s="24"/>
      <c r="U1737"/>
      <c r="V1737" s="1"/>
      <c r="W1737" s="24"/>
      <c r="X1737"/>
      <c r="Y1737" s="1"/>
      <c r="Z1737" s="24"/>
      <c r="AA1737"/>
      <c r="AB1737" s="1"/>
      <c r="AC1737" s="24"/>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c r="CA1737"/>
      <c r="CB1737"/>
      <c r="CC1737"/>
      <c r="CD1737"/>
      <c r="CE1737"/>
      <c r="CF1737"/>
      <c r="CG1737"/>
      <c r="CH1737"/>
      <c r="CI1737"/>
      <c r="CJ1737"/>
      <c r="CK1737"/>
      <c r="CL1737"/>
      <c r="CM1737"/>
      <c r="CN1737"/>
      <c r="CO1737"/>
      <c r="CP1737"/>
      <c r="CQ1737"/>
      <c r="CR1737"/>
      <c r="CS1737"/>
    </row>
    <row r="1738" spans="2:97">
      <c r="B1738"/>
      <c r="C1738" s="1"/>
      <c r="D1738" s="1"/>
      <c r="E1738" s="1"/>
      <c r="F1738" s="1"/>
      <c r="G1738" s="1"/>
      <c r="H1738" s="1"/>
      <c r="I1738" s="1"/>
      <c r="J1738" s="1"/>
      <c r="K1738" s="1"/>
      <c r="L1738" s="1"/>
      <c r="M1738" s="1"/>
      <c r="N1738" s="1"/>
      <c r="O1738" s="1"/>
      <c r="P1738" s="1"/>
      <c r="Q1738" s="1"/>
      <c r="R1738"/>
      <c r="S1738" s="1"/>
      <c r="T1738" s="24"/>
      <c r="U1738"/>
      <c r="V1738" s="1"/>
      <c r="W1738" s="24"/>
      <c r="X1738"/>
      <c r="Y1738" s="1"/>
      <c r="Z1738" s="24"/>
      <c r="AA1738"/>
      <c r="AB1738" s="1"/>
      <c r="AC1738" s="24"/>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c r="BR1738"/>
      <c r="BS1738"/>
      <c r="BT1738"/>
      <c r="BU1738"/>
      <c r="BV1738"/>
      <c r="BW1738"/>
      <c r="BX1738"/>
      <c r="BY1738"/>
      <c r="BZ1738"/>
      <c r="CA1738"/>
      <c r="CB1738"/>
      <c r="CC1738"/>
      <c r="CD1738"/>
      <c r="CE1738"/>
      <c r="CF1738"/>
      <c r="CG1738"/>
      <c r="CH1738"/>
      <c r="CI1738"/>
      <c r="CJ1738"/>
      <c r="CK1738"/>
      <c r="CL1738"/>
      <c r="CM1738"/>
      <c r="CN1738"/>
      <c r="CO1738"/>
      <c r="CP1738"/>
      <c r="CQ1738"/>
      <c r="CR1738"/>
      <c r="CS1738"/>
    </row>
    <row r="1739" spans="2:97">
      <c r="B1739"/>
      <c r="C1739" s="1"/>
      <c r="D1739" s="1"/>
      <c r="E1739" s="1"/>
      <c r="F1739" s="1"/>
      <c r="G1739" s="1"/>
      <c r="H1739" s="1"/>
      <c r="I1739" s="1"/>
      <c r="J1739" s="1"/>
      <c r="K1739" s="1"/>
      <c r="L1739" s="1"/>
      <c r="M1739" s="1"/>
      <c r="N1739" s="1"/>
      <c r="O1739" s="1"/>
      <c r="P1739" s="1"/>
      <c r="Q1739" s="1"/>
      <c r="R1739"/>
      <c r="S1739" s="1"/>
      <c r="T1739" s="24"/>
      <c r="U1739"/>
      <c r="V1739" s="1"/>
      <c r="W1739" s="24"/>
      <c r="X1739"/>
      <c r="Y1739" s="1"/>
      <c r="Z1739" s="24"/>
      <c r="AA1739"/>
      <c r="AB1739" s="1"/>
      <c r="AC1739" s="24"/>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c r="BR1739"/>
      <c r="BS1739"/>
      <c r="BT1739"/>
      <c r="BU1739"/>
      <c r="BV1739"/>
      <c r="BW1739"/>
      <c r="BX1739"/>
      <c r="BY1739"/>
      <c r="BZ1739"/>
      <c r="CA1739"/>
      <c r="CB1739"/>
      <c r="CC1739"/>
      <c r="CD1739"/>
      <c r="CE1739"/>
      <c r="CF1739"/>
      <c r="CG1739"/>
      <c r="CH1739"/>
      <c r="CI1739"/>
      <c r="CJ1739"/>
      <c r="CK1739"/>
      <c r="CL1739"/>
      <c r="CM1739"/>
      <c r="CN1739"/>
      <c r="CO1739"/>
      <c r="CP1739"/>
      <c r="CQ1739"/>
      <c r="CR1739"/>
      <c r="CS1739"/>
    </row>
    <row r="1740" spans="2:97">
      <c r="B1740"/>
      <c r="C1740" s="1"/>
      <c r="D1740" s="1"/>
      <c r="E1740" s="1"/>
      <c r="F1740" s="1"/>
      <c r="G1740" s="1"/>
      <c r="H1740" s="1"/>
      <c r="I1740" s="1"/>
      <c r="J1740" s="1"/>
      <c r="K1740" s="1"/>
      <c r="L1740" s="1"/>
      <c r="M1740" s="1"/>
      <c r="N1740" s="1"/>
      <c r="O1740" s="1"/>
      <c r="P1740" s="1"/>
      <c r="Q1740" s="1"/>
      <c r="R1740"/>
      <c r="S1740" s="1"/>
      <c r="T1740" s="24"/>
      <c r="U1740"/>
      <c r="V1740" s="1"/>
      <c r="W1740" s="24"/>
      <c r="X1740"/>
      <c r="Y1740" s="1"/>
      <c r="Z1740" s="24"/>
      <c r="AA1740"/>
      <c r="AB1740" s="1"/>
      <c r="AC1740" s="24"/>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c r="BR1740"/>
      <c r="BS1740"/>
      <c r="BT1740"/>
      <c r="BU1740"/>
      <c r="BV1740"/>
      <c r="BW1740"/>
      <c r="BX1740"/>
      <c r="BY1740"/>
      <c r="BZ1740"/>
      <c r="CA1740"/>
      <c r="CB1740"/>
      <c r="CC1740"/>
      <c r="CD1740"/>
      <c r="CE1740"/>
      <c r="CF1740"/>
      <c r="CG1740"/>
      <c r="CH1740"/>
      <c r="CI1740"/>
      <c r="CJ1740"/>
      <c r="CK1740"/>
      <c r="CL1740"/>
      <c r="CM1740"/>
      <c r="CN1740"/>
      <c r="CO1740"/>
      <c r="CP1740"/>
      <c r="CQ1740"/>
      <c r="CR1740"/>
      <c r="CS1740"/>
    </row>
    <row r="1741" spans="2:97">
      <c r="B1741"/>
      <c r="C1741" s="1"/>
      <c r="D1741" s="1"/>
      <c r="E1741" s="1"/>
      <c r="F1741" s="1"/>
      <c r="G1741" s="1"/>
      <c r="H1741" s="1"/>
      <c r="I1741" s="1"/>
      <c r="J1741" s="1"/>
      <c r="K1741" s="1"/>
      <c r="L1741" s="1"/>
      <c r="M1741" s="1"/>
      <c r="N1741" s="1"/>
      <c r="O1741" s="1"/>
      <c r="P1741" s="1"/>
      <c r="Q1741" s="1"/>
      <c r="R1741"/>
      <c r="S1741" s="1"/>
      <c r="T1741" s="24"/>
      <c r="U1741"/>
      <c r="V1741" s="1"/>
      <c r="W1741" s="24"/>
      <c r="X1741"/>
      <c r="Y1741" s="1"/>
      <c r="Z1741" s="24"/>
      <c r="AA1741"/>
      <c r="AB1741" s="1"/>
      <c r="AC1741" s="24"/>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c r="BR1741"/>
      <c r="BS1741"/>
      <c r="BT1741"/>
      <c r="BU1741"/>
      <c r="BV1741"/>
      <c r="BW1741"/>
      <c r="BX1741"/>
      <c r="BY1741"/>
      <c r="BZ1741"/>
      <c r="CA1741"/>
      <c r="CB1741"/>
      <c r="CC1741"/>
      <c r="CD1741"/>
      <c r="CE1741"/>
      <c r="CF1741"/>
      <c r="CG1741"/>
      <c r="CH1741"/>
      <c r="CI1741"/>
      <c r="CJ1741"/>
      <c r="CK1741"/>
      <c r="CL1741"/>
      <c r="CM1741"/>
      <c r="CN1741"/>
      <c r="CO1741"/>
      <c r="CP1741"/>
      <c r="CQ1741"/>
      <c r="CR1741"/>
      <c r="CS1741"/>
    </row>
    <row r="1742" spans="2:97">
      <c r="B1742"/>
      <c r="C1742" s="1"/>
      <c r="D1742" s="1"/>
      <c r="E1742" s="1"/>
      <c r="F1742" s="1"/>
      <c r="G1742" s="1"/>
      <c r="H1742" s="1"/>
      <c r="I1742" s="1"/>
      <c r="J1742" s="1"/>
      <c r="K1742" s="1"/>
      <c r="L1742" s="1"/>
      <c r="M1742" s="1"/>
      <c r="N1742" s="1"/>
      <c r="O1742" s="1"/>
      <c r="P1742" s="1"/>
      <c r="Q1742" s="1"/>
      <c r="R1742"/>
      <c r="S1742" s="1"/>
      <c r="T1742" s="24"/>
      <c r="U1742"/>
      <c r="V1742" s="1"/>
      <c r="W1742" s="24"/>
      <c r="X1742"/>
      <c r="Y1742" s="1"/>
      <c r="Z1742" s="24"/>
      <c r="AA1742"/>
      <c r="AB1742" s="1"/>
      <c r="AC1742" s="24"/>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c r="BR1742"/>
      <c r="BS1742"/>
      <c r="BT1742"/>
      <c r="BU1742"/>
      <c r="BV1742"/>
      <c r="BW1742"/>
      <c r="BX1742"/>
      <c r="BY1742"/>
      <c r="BZ1742"/>
      <c r="CA1742"/>
      <c r="CB1742"/>
      <c r="CC1742"/>
      <c r="CD1742"/>
      <c r="CE1742"/>
      <c r="CF1742"/>
      <c r="CG1742"/>
      <c r="CH1742"/>
      <c r="CI1742"/>
      <c r="CJ1742"/>
      <c r="CK1742"/>
      <c r="CL1742"/>
      <c r="CM1742"/>
      <c r="CN1742"/>
      <c r="CO1742"/>
      <c r="CP1742"/>
      <c r="CQ1742"/>
      <c r="CR1742"/>
      <c r="CS1742"/>
    </row>
    <row r="1743" spans="2:97">
      <c r="B1743"/>
      <c r="C1743" s="1"/>
      <c r="D1743" s="1"/>
      <c r="E1743" s="1"/>
      <c r="F1743" s="1"/>
      <c r="G1743" s="1"/>
      <c r="H1743" s="1"/>
      <c r="I1743" s="1"/>
      <c r="J1743" s="1"/>
      <c r="K1743" s="1"/>
      <c r="L1743" s="1"/>
      <c r="M1743" s="1"/>
      <c r="N1743" s="1"/>
      <c r="O1743" s="1"/>
      <c r="P1743" s="1"/>
      <c r="Q1743" s="1"/>
      <c r="R1743"/>
      <c r="S1743" s="1"/>
      <c r="T1743" s="24"/>
      <c r="U1743"/>
      <c r="V1743" s="1"/>
      <c r="W1743" s="24"/>
      <c r="X1743"/>
      <c r="Y1743" s="1"/>
      <c r="Z1743" s="24"/>
      <c r="AA1743"/>
      <c r="AB1743" s="1"/>
      <c r="AC1743" s="24"/>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c r="BR1743"/>
      <c r="BS1743"/>
      <c r="BT1743"/>
      <c r="BU1743"/>
      <c r="BV1743"/>
      <c r="BW1743"/>
      <c r="BX1743"/>
      <c r="BY1743"/>
      <c r="BZ1743"/>
      <c r="CA1743"/>
      <c r="CB1743"/>
      <c r="CC1743"/>
      <c r="CD1743"/>
      <c r="CE1743"/>
      <c r="CF1743"/>
      <c r="CG1743"/>
      <c r="CH1743"/>
      <c r="CI1743"/>
      <c r="CJ1743"/>
      <c r="CK1743"/>
      <c r="CL1743"/>
      <c r="CM1743"/>
      <c r="CN1743"/>
      <c r="CO1743"/>
      <c r="CP1743"/>
      <c r="CQ1743"/>
      <c r="CR1743"/>
      <c r="CS1743"/>
    </row>
    <row r="1744" spans="2:97">
      <c r="B1744"/>
      <c r="C1744" s="1"/>
      <c r="D1744" s="1"/>
      <c r="E1744" s="1"/>
      <c r="F1744" s="1"/>
      <c r="G1744" s="1"/>
      <c r="H1744" s="1"/>
      <c r="I1744" s="1"/>
      <c r="J1744" s="1"/>
      <c r="K1744" s="1"/>
      <c r="L1744" s="1"/>
      <c r="M1744" s="1"/>
      <c r="N1744" s="1"/>
      <c r="O1744" s="1"/>
      <c r="P1744" s="1"/>
      <c r="Q1744" s="1"/>
      <c r="R1744"/>
      <c r="S1744" s="1"/>
      <c r="T1744" s="24"/>
      <c r="U1744"/>
      <c r="V1744" s="1"/>
      <c r="W1744" s="24"/>
      <c r="X1744"/>
      <c r="Y1744" s="1"/>
      <c r="Z1744" s="24"/>
      <c r="AA1744"/>
      <c r="AB1744" s="1"/>
      <c r="AC1744" s="2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c r="CA1744"/>
      <c r="CB1744"/>
      <c r="CC1744"/>
      <c r="CD1744"/>
      <c r="CE1744"/>
      <c r="CF1744"/>
      <c r="CG1744"/>
      <c r="CH1744"/>
      <c r="CI1744"/>
      <c r="CJ1744"/>
      <c r="CK1744"/>
      <c r="CL1744"/>
      <c r="CM1744"/>
      <c r="CN1744"/>
      <c r="CO1744"/>
      <c r="CP1744"/>
      <c r="CQ1744"/>
      <c r="CR1744"/>
      <c r="CS1744"/>
    </row>
    <row r="1745" spans="2:97">
      <c r="B1745"/>
      <c r="C1745" s="1"/>
      <c r="D1745" s="1"/>
      <c r="E1745" s="1"/>
      <c r="F1745" s="1"/>
      <c r="G1745" s="1"/>
      <c r="H1745" s="1"/>
      <c r="I1745" s="1"/>
      <c r="J1745" s="1"/>
      <c r="K1745" s="1"/>
      <c r="L1745" s="1"/>
      <c r="M1745" s="1"/>
      <c r="N1745" s="1"/>
      <c r="O1745" s="1"/>
      <c r="P1745" s="1"/>
      <c r="Q1745" s="1"/>
      <c r="R1745"/>
      <c r="S1745" s="1"/>
      <c r="T1745" s="24"/>
      <c r="U1745"/>
      <c r="V1745" s="1"/>
      <c r="W1745" s="24"/>
      <c r="X1745"/>
      <c r="Y1745" s="1"/>
      <c r="Z1745" s="24"/>
      <c r="AA1745"/>
      <c r="AB1745" s="1"/>
      <c r="AC1745" s="24"/>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c r="BR1745"/>
      <c r="BS1745"/>
      <c r="BT1745"/>
      <c r="BU1745"/>
      <c r="BV1745"/>
      <c r="BW1745"/>
      <c r="BX1745"/>
      <c r="BY1745"/>
      <c r="BZ1745"/>
      <c r="CA1745"/>
      <c r="CB1745"/>
      <c r="CC1745"/>
      <c r="CD1745"/>
      <c r="CE1745"/>
      <c r="CF1745"/>
      <c r="CG1745"/>
      <c r="CH1745"/>
      <c r="CI1745"/>
      <c r="CJ1745"/>
      <c r="CK1745"/>
      <c r="CL1745"/>
      <c r="CM1745"/>
      <c r="CN1745"/>
      <c r="CO1745"/>
      <c r="CP1745"/>
      <c r="CQ1745"/>
      <c r="CR1745"/>
      <c r="CS1745"/>
    </row>
    <row r="1746" spans="2:97">
      <c r="B1746"/>
      <c r="C1746" s="1"/>
      <c r="D1746" s="1"/>
      <c r="E1746" s="1"/>
      <c r="F1746" s="1"/>
      <c r="G1746" s="1"/>
      <c r="H1746" s="1"/>
      <c r="I1746" s="1"/>
      <c r="J1746" s="1"/>
      <c r="K1746" s="1"/>
      <c r="L1746" s="1"/>
      <c r="M1746" s="1"/>
      <c r="N1746" s="1"/>
      <c r="O1746" s="1"/>
      <c r="P1746" s="1"/>
      <c r="Q1746" s="1"/>
      <c r="R1746"/>
      <c r="S1746" s="1"/>
      <c r="T1746" s="24"/>
      <c r="U1746"/>
      <c r="V1746" s="1"/>
      <c r="W1746" s="24"/>
      <c r="X1746"/>
      <c r="Y1746" s="1"/>
      <c r="Z1746" s="24"/>
      <c r="AA1746"/>
      <c r="AB1746" s="1"/>
      <c r="AC1746" s="24"/>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c r="BR1746"/>
      <c r="BS1746"/>
      <c r="BT1746"/>
      <c r="BU1746"/>
      <c r="BV1746"/>
      <c r="BW1746"/>
      <c r="BX1746"/>
      <c r="BY1746"/>
      <c r="BZ1746"/>
      <c r="CA1746"/>
      <c r="CB1746"/>
      <c r="CC1746"/>
      <c r="CD1746"/>
      <c r="CE1746"/>
      <c r="CF1746"/>
      <c r="CG1746"/>
      <c r="CH1746"/>
      <c r="CI1746"/>
      <c r="CJ1746"/>
      <c r="CK1746"/>
      <c r="CL1746"/>
      <c r="CM1746"/>
      <c r="CN1746"/>
      <c r="CO1746"/>
      <c r="CP1746"/>
      <c r="CQ1746"/>
      <c r="CR1746"/>
      <c r="CS1746"/>
    </row>
    <row r="1747" spans="2:97">
      <c r="B1747"/>
      <c r="C1747" s="1"/>
      <c r="D1747" s="1"/>
      <c r="E1747" s="1"/>
      <c r="F1747" s="1"/>
      <c r="G1747" s="1"/>
      <c r="H1747" s="1"/>
      <c r="I1747" s="1"/>
      <c r="J1747" s="1"/>
      <c r="K1747" s="1"/>
      <c r="L1747" s="1"/>
      <c r="M1747" s="1"/>
      <c r="N1747" s="1"/>
      <c r="O1747" s="1"/>
      <c r="P1747" s="1"/>
      <c r="Q1747" s="1"/>
      <c r="R1747"/>
      <c r="S1747" s="1"/>
      <c r="T1747" s="24"/>
      <c r="U1747"/>
      <c r="V1747" s="1"/>
      <c r="W1747" s="24"/>
      <c r="X1747"/>
      <c r="Y1747" s="1"/>
      <c r="Z1747" s="24"/>
      <c r="AA1747"/>
      <c r="AB1747" s="1"/>
      <c r="AC1747" s="24"/>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c r="BR1747"/>
      <c r="BS1747"/>
      <c r="BT1747"/>
      <c r="BU1747"/>
      <c r="BV1747"/>
      <c r="BW1747"/>
      <c r="BX1747"/>
      <c r="BY1747"/>
      <c r="BZ1747"/>
      <c r="CA1747"/>
      <c r="CB1747"/>
      <c r="CC1747"/>
      <c r="CD1747"/>
      <c r="CE1747"/>
      <c r="CF1747"/>
      <c r="CG1747"/>
      <c r="CH1747"/>
      <c r="CI1747"/>
      <c r="CJ1747"/>
      <c r="CK1747"/>
      <c r="CL1747"/>
      <c r="CM1747"/>
      <c r="CN1747"/>
      <c r="CO1747"/>
      <c r="CP1747"/>
      <c r="CQ1747"/>
      <c r="CR1747"/>
      <c r="CS1747"/>
    </row>
    <row r="1748" spans="2:97">
      <c r="B1748"/>
      <c r="C1748" s="1"/>
      <c r="D1748" s="1"/>
      <c r="E1748" s="1"/>
      <c r="F1748" s="1"/>
      <c r="G1748" s="1"/>
      <c r="H1748" s="1"/>
      <c r="I1748" s="1"/>
      <c r="J1748" s="1"/>
      <c r="K1748" s="1"/>
      <c r="L1748" s="1"/>
      <c r="M1748" s="1"/>
      <c r="N1748" s="1"/>
      <c r="O1748" s="1"/>
      <c r="P1748" s="1"/>
      <c r="Q1748" s="1"/>
      <c r="R1748"/>
      <c r="S1748" s="1"/>
      <c r="T1748" s="24"/>
      <c r="U1748"/>
      <c r="V1748" s="1"/>
      <c r="W1748" s="24"/>
      <c r="X1748"/>
      <c r="Y1748" s="1"/>
      <c r="Z1748" s="24"/>
      <c r="AA1748"/>
      <c r="AB1748" s="1"/>
      <c r="AC1748" s="24"/>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c r="BR1748"/>
      <c r="BS1748"/>
      <c r="BT1748"/>
      <c r="BU1748"/>
      <c r="BV1748"/>
      <c r="BW1748"/>
      <c r="BX1748"/>
      <c r="BY1748"/>
      <c r="BZ1748"/>
      <c r="CA1748"/>
      <c r="CB1748"/>
      <c r="CC1748"/>
      <c r="CD1748"/>
      <c r="CE1748"/>
      <c r="CF1748"/>
      <c r="CG1748"/>
      <c r="CH1748"/>
      <c r="CI1748"/>
      <c r="CJ1748"/>
      <c r="CK1748"/>
      <c r="CL1748"/>
      <c r="CM1748"/>
      <c r="CN1748"/>
      <c r="CO1748"/>
      <c r="CP1748"/>
      <c r="CQ1748"/>
      <c r="CR1748"/>
      <c r="CS1748"/>
    </row>
    <row r="1749" spans="2:97">
      <c r="B1749"/>
      <c r="C1749" s="1"/>
      <c r="D1749" s="1"/>
      <c r="E1749" s="1"/>
      <c r="F1749" s="1"/>
      <c r="G1749" s="1"/>
      <c r="H1749" s="1"/>
      <c r="I1749" s="1"/>
      <c r="J1749" s="1"/>
      <c r="K1749" s="1"/>
      <c r="L1749" s="1"/>
      <c r="M1749" s="1"/>
      <c r="N1749" s="1"/>
      <c r="O1749" s="1"/>
      <c r="P1749" s="1"/>
      <c r="Q1749" s="1"/>
      <c r="R1749"/>
      <c r="S1749" s="1"/>
      <c r="T1749" s="24"/>
      <c r="U1749"/>
      <c r="V1749" s="1"/>
      <c r="W1749" s="24"/>
      <c r="X1749"/>
      <c r="Y1749" s="1"/>
      <c r="Z1749" s="24"/>
      <c r="AA1749"/>
      <c r="AB1749" s="1"/>
      <c r="AC1749" s="24"/>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c r="BR1749"/>
      <c r="BS1749"/>
      <c r="BT1749"/>
      <c r="BU1749"/>
      <c r="BV1749"/>
      <c r="BW1749"/>
      <c r="BX1749"/>
      <c r="BY1749"/>
      <c r="BZ1749"/>
      <c r="CA1749"/>
      <c r="CB1749"/>
      <c r="CC1749"/>
      <c r="CD1749"/>
      <c r="CE1749"/>
      <c r="CF1749"/>
      <c r="CG1749"/>
      <c r="CH1749"/>
      <c r="CI1749"/>
      <c r="CJ1749"/>
      <c r="CK1749"/>
      <c r="CL1749"/>
      <c r="CM1749"/>
      <c r="CN1749"/>
      <c r="CO1749"/>
      <c r="CP1749"/>
      <c r="CQ1749"/>
      <c r="CR1749"/>
      <c r="CS1749"/>
    </row>
    <row r="1750" spans="2:97">
      <c r="B1750"/>
      <c r="C1750" s="1"/>
      <c r="D1750" s="1"/>
      <c r="E1750" s="1"/>
      <c r="F1750" s="1"/>
      <c r="G1750" s="1"/>
      <c r="H1750" s="1"/>
      <c r="I1750" s="1"/>
      <c r="J1750" s="1"/>
      <c r="K1750" s="1"/>
      <c r="L1750" s="1"/>
      <c r="M1750" s="1"/>
      <c r="N1750" s="1"/>
      <c r="O1750" s="1"/>
      <c r="P1750" s="1"/>
      <c r="Q1750" s="1"/>
      <c r="R1750"/>
      <c r="S1750" s="1"/>
      <c r="T1750" s="24"/>
      <c r="U1750"/>
      <c r="V1750" s="1"/>
      <c r="W1750" s="24"/>
      <c r="X1750"/>
      <c r="Y1750" s="1"/>
      <c r="Z1750" s="24"/>
      <c r="AA1750"/>
      <c r="AB1750" s="1"/>
      <c r="AC1750" s="24"/>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c r="BR1750"/>
      <c r="BS1750"/>
      <c r="BT1750"/>
      <c r="BU1750"/>
      <c r="BV1750"/>
      <c r="BW1750"/>
      <c r="BX1750"/>
      <c r="BY1750"/>
      <c r="BZ1750"/>
      <c r="CA1750"/>
      <c r="CB1750"/>
      <c r="CC1750"/>
      <c r="CD1750"/>
      <c r="CE1750"/>
      <c r="CF1750"/>
      <c r="CG1750"/>
      <c r="CH1750"/>
      <c r="CI1750"/>
      <c r="CJ1750"/>
      <c r="CK1750"/>
      <c r="CL1750"/>
      <c r="CM1750"/>
      <c r="CN1750"/>
      <c r="CO1750"/>
      <c r="CP1750"/>
      <c r="CQ1750"/>
      <c r="CR1750"/>
      <c r="CS1750"/>
    </row>
    <row r="1751" spans="2:97">
      <c r="B1751"/>
      <c r="C1751" s="1"/>
      <c r="D1751" s="1"/>
      <c r="E1751" s="1"/>
      <c r="F1751" s="1"/>
      <c r="G1751" s="1"/>
      <c r="H1751" s="1"/>
      <c r="I1751" s="1"/>
      <c r="J1751" s="1"/>
      <c r="K1751" s="1"/>
      <c r="L1751" s="1"/>
      <c r="M1751" s="1"/>
      <c r="N1751" s="1"/>
      <c r="O1751" s="1"/>
      <c r="P1751" s="1"/>
      <c r="Q1751" s="1"/>
      <c r="R1751"/>
      <c r="S1751" s="1"/>
      <c r="T1751" s="24"/>
      <c r="U1751"/>
      <c r="V1751" s="1"/>
      <c r="W1751" s="24"/>
      <c r="X1751"/>
      <c r="Y1751" s="1"/>
      <c r="Z1751" s="24"/>
      <c r="AA1751"/>
      <c r="AB1751" s="1"/>
      <c r="AC1751" s="24"/>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c r="BR1751"/>
      <c r="BS1751"/>
      <c r="BT1751"/>
      <c r="BU1751"/>
      <c r="BV1751"/>
      <c r="BW1751"/>
      <c r="BX1751"/>
      <c r="BY1751"/>
      <c r="BZ1751"/>
      <c r="CA1751"/>
      <c r="CB1751"/>
      <c r="CC1751"/>
      <c r="CD1751"/>
      <c r="CE1751"/>
      <c r="CF1751"/>
      <c r="CG1751"/>
      <c r="CH1751"/>
      <c r="CI1751"/>
      <c r="CJ1751"/>
      <c r="CK1751"/>
      <c r="CL1751"/>
      <c r="CM1751"/>
      <c r="CN1751"/>
      <c r="CO1751"/>
      <c r="CP1751"/>
      <c r="CQ1751"/>
      <c r="CR1751"/>
      <c r="CS1751"/>
    </row>
    <row r="1752" spans="2:97">
      <c r="B1752"/>
      <c r="C1752" s="1"/>
      <c r="D1752" s="1"/>
      <c r="E1752" s="1"/>
      <c r="F1752" s="1"/>
      <c r="G1752" s="1"/>
      <c r="H1752" s="1"/>
      <c r="I1752" s="1"/>
      <c r="J1752" s="1"/>
      <c r="K1752" s="1"/>
      <c r="L1752" s="1"/>
      <c r="M1752" s="1"/>
      <c r="N1752" s="1"/>
      <c r="O1752" s="1"/>
      <c r="P1752" s="1"/>
      <c r="Q1752" s="1"/>
      <c r="R1752"/>
      <c r="S1752" s="1"/>
      <c r="T1752" s="24"/>
      <c r="U1752"/>
      <c r="V1752" s="1"/>
      <c r="W1752" s="24"/>
      <c r="X1752"/>
      <c r="Y1752" s="1"/>
      <c r="Z1752" s="24"/>
      <c r="AA1752"/>
      <c r="AB1752" s="1"/>
      <c r="AC1752" s="24"/>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c r="BR1752"/>
      <c r="BS1752"/>
      <c r="BT1752"/>
      <c r="BU1752"/>
      <c r="BV1752"/>
      <c r="BW1752"/>
      <c r="BX1752"/>
      <c r="BY1752"/>
      <c r="BZ1752"/>
      <c r="CA1752"/>
      <c r="CB1752"/>
      <c r="CC1752"/>
      <c r="CD1752"/>
      <c r="CE1752"/>
      <c r="CF1752"/>
      <c r="CG1752"/>
      <c r="CH1752"/>
      <c r="CI1752"/>
      <c r="CJ1752"/>
      <c r="CK1752"/>
      <c r="CL1752"/>
      <c r="CM1752"/>
      <c r="CN1752"/>
      <c r="CO1752"/>
      <c r="CP1752"/>
      <c r="CQ1752"/>
      <c r="CR1752"/>
      <c r="CS1752"/>
    </row>
    <row r="1753" spans="2:97">
      <c r="B1753"/>
      <c r="C1753" s="1"/>
      <c r="D1753" s="1"/>
      <c r="E1753" s="1"/>
      <c r="F1753" s="1"/>
      <c r="G1753" s="1"/>
      <c r="H1753" s="1"/>
      <c r="I1753" s="1"/>
      <c r="J1753" s="1"/>
      <c r="K1753" s="1"/>
      <c r="L1753" s="1"/>
      <c r="M1753" s="1"/>
      <c r="N1753" s="1"/>
      <c r="O1753" s="1"/>
      <c r="P1753" s="1"/>
      <c r="Q1753" s="1"/>
      <c r="R1753"/>
      <c r="S1753" s="1"/>
      <c r="T1753" s="24"/>
      <c r="U1753"/>
      <c r="V1753" s="1"/>
      <c r="W1753" s="24"/>
      <c r="X1753"/>
      <c r="Y1753" s="1"/>
      <c r="Z1753" s="24"/>
      <c r="AA1753"/>
      <c r="AB1753" s="1"/>
      <c r="AC1753" s="24"/>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c r="BR1753"/>
      <c r="BS1753"/>
      <c r="BT1753"/>
      <c r="BU1753"/>
      <c r="BV1753"/>
      <c r="BW1753"/>
      <c r="BX1753"/>
      <c r="BY1753"/>
      <c r="BZ1753"/>
      <c r="CA1753"/>
      <c r="CB1753"/>
      <c r="CC1753"/>
      <c r="CD1753"/>
      <c r="CE1753"/>
      <c r="CF1753"/>
      <c r="CG1753"/>
      <c r="CH1753"/>
      <c r="CI1753"/>
      <c r="CJ1753"/>
      <c r="CK1753"/>
      <c r="CL1753"/>
      <c r="CM1753"/>
      <c r="CN1753"/>
      <c r="CO1753"/>
      <c r="CP1753"/>
      <c r="CQ1753"/>
      <c r="CR1753"/>
      <c r="CS1753"/>
    </row>
    <row r="1754" spans="2:97">
      <c r="B1754"/>
      <c r="C1754" s="1"/>
      <c r="D1754" s="1"/>
      <c r="E1754" s="1"/>
      <c r="F1754" s="1"/>
      <c r="G1754" s="1"/>
      <c r="H1754" s="1"/>
      <c r="I1754" s="1"/>
      <c r="J1754" s="1"/>
      <c r="K1754" s="1"/>
      <c r="L1754" s="1"/>
      <c r="M1754" s="1"/>
      <c r="N1754" s="1"/>
      <c r="O1754" s="1"/>
      <c r="P1754" s="1"/>
      <c r="Q1754" s="1"/>
      <c r="R1754"/>
      <c r="S1754" s="1"/>
      <c r="T1754" s="24"/>
      <c r="U1754"/>
      <c r="V1754" s="1"/>
      <c r="W1754" s="24"/>
      <c r="X1754"/>
      <c r="Y1754" s="1"/>
      <c r="Z1754" s="24"/>
      <c r="AA1754"/>
      <c r="AB1754" s="1"/>
      <c r="AC1754" s="2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c r="BR1754"/>
      <c r="BS1754"/>
      <c r="BT1754"/>
      <c r="BU1754"/>
      <c r="BV1754"/>
      <c r="BW1754"/>
      <c r="BX1754"/>
      <c r="BY1754"/>
      <c r="BZ1754"/>
      <c r="CA1754"/>
      <c r="CB1754"/>
      <c r="CC1754"/>
      <c r="CD1754"/>
      <c r="CE1754"/>
      <c r="CF1754"/>
      <c r="CG1754"/>
      <c r="CH1754"/>
      <c r="CI1754"/>
      <c r="CJ1754"/>
      <c r="CK1754"/>
      <c r="CL1754"/>
      <c r="CM1754"/>
      <c r="CN1754"/>
      <c r="CO1754"/>
      <c r="CP1754"/>
      <c r="CQ1754"/>
      <c r="CR1754"/>
      <c r="CS1754"/>
    </row>
    <row r="1755" spans="2:97">
      <c r="B1755"/>
      <c r="C1755" s="1"/>
      <c r="D1755" s="1"/>
      <c r="E1755" s="1"/>
      <c r="F1755" s="1"/>
      <c r="G1755" s="1"/>
      <c r="H1755" s="1"/>
      <c r="I1755" s="1"/>
      <c r="J1755" s="1"/>
      <c r="K1755" s="1"/>
      <c r="L1755" s="1"/>
      <c r="M1755" s="1"/>
      <c r="N1755" s="1"/>
      <c r="O1755" s="1"/>
      <c r="P1755" s="1"/>
      <c r="Q1755" s="1"/>
      <c r="R1755"/>
      <c r="S1755" s="1"/>
      <c r="T1755" s="24"/>
      <c r="U1755"/>
      <c r="V1755" s="1"/>
      <c r="W1755" s="24"/>
      <c r="X1755"/>
      <c r="Y1755" s="1"/>
      <c r="Z1755" s="24"/>
      <c r="AA1755"/>
      <c r="AB1755" s="1"/>
      <c r="AC1755" s="24"/>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c r="BR1755"/>
      <c r="BS1755"/>
      <c r="BT1755"/>
      <c r="BU1755"/>
      <c r="BV1755"/>
      <c r="BW1755"/>
      <c r="BX1755"/>
      <c r="BY1755"/>
      <c r="BZ1755"/>
      <c r="CA1755"/>
      <c r="CB1755"/>
      <c r="CC1755"/>
      <c r="CD1755"/>
      <c r="CE1755"/>
      <c r="CF1755"/>
      <c r="CG1755"/>
      <c r="CH1755"/>
      <c r="CI1755"/>
      <c r="CJ1755"/>
      <c r="CK1755"/>
      <c r="CL1755"/>
      <c r="CM1755"/>
      <c r="CN1755"/>
      <c r="CO1755"/>
      <c r="CP1755"/>
      <c r="CQ1755"/>
      <c r="CR1755"/>
      <c r="CS1755"/>
    </row>
    <row r="1756" spans="2:97">
      <c r="B1756"/>
      <c r="C1756" s="1"/>
      <c r="D1756" s="1"/>
      <c r="E1756" s="1"/>
      <c r="F1756" s="1"/>
      <c r="G1756" s="1"/>
      <c r="H1756" s="1"/>
      <c r="I1756" s="1"/>
      <c r="J1756" s="1"/>
      <c r="K1756" s="1"/>
      <c r="L1756" s="1"/>
      <c r="M1756" s="1"/>
      <c r="N1756" s="1"/>
      <c r="O1756" s="1"/>
      <c r="P1756" s="1"/>
      <c r="Q1756" s="1"/>
      <c r="R1756"/>
      <c r="S1756" s="1"/>
      <c r="T1756" s="24"/>
      <c r="U1756"/>
      <c r="V1756" s="1"/>
      <c r="W1756" s="24"/>
      <c r="X1756"/>
      <c r="Y1756" s="1"/>
      <c r="Z1756" s="24"/>
      <c r="AA1756"/>
      <c r="AB1756" s="1"/>
      <c r="AC1756" s="24"/>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c r="BR1756"/>
      <c r="BS1756"/>
      <c r="BT1756"/>
      <c r="BU1756"/>
      <c r="BV1756"/>
      <c r="BW1756"/>
      <c r="BX1756"/>
      <c r="BY1756"/>
      <c r="BZ1756"/>
      <c r="CA1756"/>
      <c r="CB1756"/>
      <c r="CC1756"/>
      <c r="CD1756"/>
      <c r="CE1756"/>
      <c r="CF1756"/>
      <c r="CG1756"/>
      <c r="CH1756"/>
      <c r="CI1756"/>
      <c r="CJ1756"/>
      <c r="CK1756"/>
      <c r="CL1756"/>
      <c r="CM1756"/>
      <c r="CN1756"/>
      <c r="CO1756"/>
      <c r="CP1756"/>
      <c r="CQ1756"/>
      <c r="CR1756"/>
      <c r="CS1756"/>
    </row>
    <row r="1757" spans="2:97">
      <c r="B1757"/>
      <c r="C1757" s="1"/>
      <c r="D1757" s="1"/>
      <c r="E1757" s="1"/>
      <c r="F1757" s="1"/>
      <c r="G1757" s="1"/>
      <c r="H1757" s="1"/>
      <c r="I1757" s="1"/>
      <c r="J1757" s="1"/>
      <c r="K1757" s="1"/>
      <c r="L1757" s="1"/>
      <c r="M1757" s="1"/>
      <c r="N1757" s="1"/>
      <c r="O1757" s="1"/>
      <c r="P1757" s="1"/>
      <c r="Q1757" s="1"/>
      <c r="R1757"/>
      <c r="S1757" s="1"/>
      <c r="T1757" s="24"/>
      <c r="U1757"/>
      <c r="V1757" s="1"/>
      <c r="W1757" s="24"/>
      <c r="X1757"/>
      <c r="Y1757" s="1"/>
      <c r="Z1757" s="24"/>
      <c r="AA1757"/>
      <c r="AB1757" s="1"/>
      <c r="AC1757" s="24"/>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c r="BR1757"/>
      <c r="BS1757"/>
      <c r="BT1757"/>
      <c r="BU1757"/>
      <c r="BV1757"/>
      <c r="BW1757"/>
      <c r="BX1757"/>
      <c r="BY1757"/>
      <c r="BZ1757"/>
      <c r="CA1757"/>
      <c r="CB1757"/>
      <c r="CC1757"/>
      <c r="CD1757"/>
      <c r="CE1757"/>
      <c r="CF1757"/>
      <c r="CG1757"/>
      <c r="CH1757"/>
      <c r="CI1757"/>
      <c r="CJ1757"/>
      <c r="CK1757"/>
      <c r="CL1757"/>
      <c r="CM1757"/>
      <c r="CN1757"/>
      <c r="CO1757"/>
      <c r="CP1757"/>
      <c r="CQ1757"/>
      <c r="CR1757"/>
      <c r="CS1757"/>
    </row>
    <row r="1758" spans="2:97">
      <c r="B1758"/>
      <c r="C1758" s="1"/>
      <c r="D1758" s="1"/>
      <c r="E1758" s="1"/>
      <c r="F1758" s="1"/>
      <c r="G1758" s="1"/>
      <c r="H1758" s="1"/>
      <c r="I1758" s="1"/>
      <c r="J1758" s="1"/>
      <c r="K1758" s="1"/>
      <c r="L1758" s="1"/>
      <c r="M1758" s="1"/>
      <c r="N1758" s="1"/>
      <c r="O1758" s="1"/>
      <c r="P1758" s="1"/>
      <c r="Q1758" s="1"/>
      <c r="R1758"/>
      <c r="S1758" s="1"/>
      <c r="T1758" s="24"/>
      <c r="U1758"/>
      <c r="V1758" s="1"/>
      <c r="W1758" s="24"/>
      <c r="X1758"/>
      <c r="Y1758" s="1"/>
      <c r="Z1758" s="24"/>
      <c r="AA1758"/>
      <c r="AB1758" s="1"/>
      <c r="AC1758" s="24"/>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c r="BR1758"/>
      <c r="BS1758"/>
      <c r="BT1758"/>
      <c r="BU1758"/>
      <c r="BV1758"/>
      <c r="BW1758"/>
      <c r="BX1758"/>
      <c r="BY1758"/>
      <c r="BZ1758"/>
      <c r="CA1758"/>
      <c r="CB1758"/>
      <c r="CC1758"/>
      <c r="CD1758"/>
      <c r="CE1758"/>
      <c r="CF1758"/>
      <c r="CG1758"/>
      <c r="CH1758"/>
      <c r="CI1758"/>
      <c r="CJ1758"/>
      <c r="CK1758"/>
      <c r="CL1758"/>
      <c r="CM1758"/>
      <c r="CN1758"/>
      <c r="CO1758"/>
      <c r="CP1758"/>
      <c r="CQ1758"/>
      <c r="CR1758"/>
      <c r="CS1758"/>
    </row>
    <row r="1759" spans="2:97">
      <c r="B1759"/>
      <c r="C1759" s="1"/>
      <c r="D1759" s="1"/>
      <c r="E1759" s="1"/>
      <c r="F1759" s="1"/>
      <c r="G1759" s="1"/>
      <c r="H1759" s="1"/>
      <c r="I1759" s="1"/>
      <c r="J1759" s="1"/>
      <c r="K1759" s="1"/>
      <c r="L1759" s="1"/>
      <c r="M1759" s="1"/>
      <c r="N1759" s="1"/>
      <c r="O1759" s="1"/>
      <c r="P1759" s="1"/>
      <c r="Q1759" s="1"/>
      <c r="R1759"/>
      <c r="S1759" s="1"/>
      <c r="T1759" s="24"/>
      <c r="U1759"/>
      <c r="V1759" s="1"/>
      <c r="W1759" s="24"/>
      <c r="X1759"/>
      <c r="Y1759" s="1"/>
      <c r="Z1759" s="24"/>
      <c r="AA1759"/>
      <c r="AB1759" s="1"/>
      <c r="AC1759" s="24"/>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c r="BR1759"/>
      <c r="BS1759"/>
      <c r="BT1759"/>
      <c r="BU1759"/>
      <c r="BV1759"/>
      <c r="BW1759"/>
      <c r="BX1759"/>
      <c r="BY1759"/>
      <c r="BZ1759"/>
      <c r="CA1759"/>
      <c r="CB1759"/>
      <c r="CC1759"/>
      <c r="CD1759"/>
      <c r="CE1759"/>
      <c r="CF1759"/>
      <c r="CG1759"/>
      <c r="CH1759"/>
      <c r="CI1759"/>
      <c r="CJ1759"/>
      <c r="CK1759"/>
      <c r="CL1759"/>
      <c r="CM1759"/>
      <c r="CN1759"/>
      <c r="CO1759"/>
      <c r="CP1759"/>
      <c r="CQ1759"/>
      <c r="CR1759"/>
      <c r="CS1759"/>
    </row>
    <row r="1760" spans="2:97">
      <c r="B1760"/>
      <c r="C1760" s="1"/>
      <c r="D1760" s="1"/>
      <c r="E1760" s="1"/>
      <c r="F1760" s="1"/>
      <c r="G1760" s="1"/>
      <c r="H1760" s="1"/>
      <c r="I1760" s="1"/>
      <c r="J1760" s="1"/>
      <c r="K1760" s="1"/>
      <c r="L1760" s="1"/>
      <c r="M1760" s="1"/>
      <c r="N1760" s="1"/>
      <c r="O1760" s="1"/>
      <c r="P1760" s="1"/>
      <c r="Q1760" s="1"/>
      <c r="R1760"/>
      <c r="S1760" s="1"/>
      <c r="T1760" s="24"/>
      <c r="U1760"/>
      <c r="V1760" s="1"/>
      <c r="W1760" s="24"/>
      <c r="X1760"/>
      <c r="Y1760" s="1"/>
      <c r="Z1760" s="24"/>
      <c r="AA1760"/>
      <c r="AB1760" s="1"/>
      <c r="AC1760" s="24"/>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c r="BR1760"/>
      <c r="BS1760"/>
      <c r="BT1760"/>
      <c r="BU1760"/>
      <c r="BV1760"/>
      <c r="BW1760"/>
      <c r="BX1760"/>
      <c r="BY1760"/>
      <c r="BZ1760"/>
      <c r="CA1760"/>
      <c r="CB1760"/>
      <c r="CC1760"/>
      <c r="CD1760"/>
      <c r="CE1760"/>
      <c r="CF1760"/>
      <c r="CG1760"/>
      <c r="CH1760"/>
      <c r="CI1760"/>
      <c r="CJ1760"/>
      <c r="CK1760"/>
      <c r="CL1760"/>
      <c r="CM1760"/>
      <c r="CN1760"/>
      <c r="CO1760"/>
      <c r="CP1760"/>
      <c r="CQ1760"/>
      <c r="CR1760"/>
      <c r="CS1760"/>
    </row>
    <row r="1761" spans="2:97">
      <c r="B1761"/>
      <c r="C1761" s="1"/>
      <c r="D1761" s="1"/>
      <c r="E1761" s="1"/>
      <c r="F1761" s="1"/>
      <c r="G1761" s="1"/>
      <c r="H1761" s="1"/>
      <c r="I1761" s="1"/>
      <c r="J1761" s="1"/>
      <c r="K1761" s="1"/>
      <c r="L1761" s="1"/>
      <c r="M1761" s="1"/>
      <c r="N1761" s="1"/>
      <c r="O1761" s="1"/>
      <c r="P1761" s="1"/>
      <c r="Q1761" s="1"/>
      <c r="R1761"/>
      <c r="S1761" s="1"/>
      <c r="T1761" s="24"/>
      <c r="U1761"/>
      <c r="V1761" s="1"/>
      <c r="W1761" s="24"/>
      <c r="X1761"/>
      <c r="Y1761" s="1"/>
      <c r="Z1761" s="24"/>
      <c r="AA1761"/>
      <c r="AB1761" s="1"/>
      <c r="AC1761" s="24"/>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c r="CA1761"/>
      <c r="CB1761"/>
      <c r="CC1761"/>
      <c r="CD1761"/>
      <c r="CE1761"/>
      <c r="CF1761"/>
      <c r="CG1761"/>
      <c r="CH1761"/>
      <c r="CI1761"/>
      <c r="CJ1761"/>
      <c r="CK1761"/>
      <c r="CL1761"/>
      <c r="CM1761"/>
      <c r="CN1761"/>
      <c r="CO1761"/>
      <c r="CP1761"/>
      <c r="CQ1761"/>
      <c r="CR1761"/>
      <c r="CS1761"/>
    </row>
    <row r="1762" spans="2:97">
      <c r="B1762"/>
      <c r="C1762" s="1"/>
      <c r="D1762" s="1"/>
      <c r="E1762" s="1"/>
      <c r="F1762" s="1"/>
      <c r="G1762" s="1"/>
      <c r="H1762" s="1"/>
      <c r="I1762" s="1"/>
      <c r="J1762" s="1"/>
      <c r="K1762" s="1"/>
      <c r="L1762" s="1"/>
      <c r="M1762" s="1"/>
      <c r="N1762" s="1"/>
      <c r="O1762" s="1"/>
      <c r="P1762" s="1"/>
      <c r="Q1762" s="1"/>
      <c r="R1762"/>
      <c r="S1762" s="1"/>
      <c r="T1762" s="24"/>
      <c r="U1762"/>
      <c r="V1762" s="1"/>
      <c r="W1762" s="24"/>
      <c r="X1762"/>
      <c r="Y1762" s="1"/>
      <c r="Z1762" s="24"/>
      <c r="AA1762"/>
      <c r="AB1762" s="1"/>
      <c r="AC1762" s="24"/>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c r="CA1762"/>
      <c r="CB1762"/>
      <c r="CC1762"/>
      <c r="CD1762"/>
      <c r="CE1762"/>
      <c r="CF1762"/>
      <c r="CG1762"/>
      <c r="CH1762"/>
      <c r="CI1762"/>
      <c r="CJ1762"/>
      <c r="CK1762"/>
      <c r="CL1762"/>
      <c r="CM1762"/>
      <c r="CN1762"/>
      <c r="CO1762"/>
      <c r="CP1762"/>
      <c r="CQ1762"/>
      <c r="CR1762"/>
      <c r="CS1762"/>
    </row>
    <row r="1763" spans="2:97">
      <c r="B1763"/>
      <c r="C1763" s="1"/>
      <c r="D1763" s="1"/>
      <c r="E1763" s="1"/>
      <c r="F1763" s="1"/>
      <c r="G1763" s="1"/>
      <c r="H1763" s="1"/>
      <c r="I1763" s="1"/>
      <c r="J1763" s="1"/>
      <c r="K1763" s="1"/>
      <c r="L1763" s="1"/>
      <c r="M1763" s="1"/>
      <c r="N1763" s="1"/>
      <c r="O1763" s="1"/>
      <c r="P1763" s="1"/>
      <c r="Q1763" s="1"/>
      <c r="R1763"/>
      <c r="S1763" s="1"/>
      <c r="T1763" s="24"/>
      <c r="U1763"/>
      <c r="V1763" s="1"/>
      <c r="W1763" s="24"/>
      <c r="X1763"/>
      <c r="Y1763" s="1"/>
      <c r="Z1763" s="24"/>
      <c r="AA1763"/>
      <c r="AB1763" s="1"/>
      <c r="AC1763" s="24"/>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c r="CA1763"/>
      <c r="CB1763"/>
      <c r="CC1763"/>
      <c r="CD1763"/>
      <c r="CE1763"/>
      <c r="CF1763"/>
      <c r="CG1763"/>
      <c r="CH1763"/>
      <c r="CI1763"/>
      <c r="CJ1763"/>
      <c r="CK1763"/>
      <c r="CL1763"/>
      <c r="CM1763"/>
      <c r="CN1763"/>
      <c r="CO1763"/>
      <c r="CP1763"/>
      <c r="CQ1763"/>
      <c r="CR1763"/>
      <c r="CS1763"/>
    </row>
    <row r="1764" spans="2:97">
      <c r="B1764"/>
      <c r="C1764" s="1"/>
      <c r="D1764" s="1"/>
      <c r="E1764" s="1"/>
      <c r="F1764" s="1"/>
      <c r="G1764" s="1"/>
      <c r="H1764" s="1"/>
      <c r="I1764" s="1"/>
      <c r="J1764" s="1"/>
      <c r="K1764" s="1"/>
      <c r="L1764" s="1"/>
      <c r="M1764" s="1"/>
      <c r="N1764" s="1"/>
      <c r="O1764" s="1"/>
      <c r="P1764" s="1"/>
      <c r="Q1764" s="1"/>
      <c r="R1764"/>
      <c r="S1764" s="1"/>
      <c r="T1764" s="24"/>
      <c r="U1764"/>
      <c r="V1764" s="1"/>
      <c r="W1764" s="24"/>
      <c r="X1764"/>
      <c r="Y1764" s="1"/>
      <c r="Z1764" s="24"/>
      <c r="AA1764"/>
      <c r="AB1764" s="1"/>
      <c r="AC1764" s="2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c r="BR1764"/>
      <c r="BS1764"/>
      <c r="BT1764"/>
      <c r="BU1764"/>
      <c r="BV1764"/>
      <c r="BW1764"/>
      <c r="BX1764"/>
      <c r="BY1764"/>
      <c r="BZ1764"/>
      <c r="CA1764"/>
      <c r="CB1764"/>
      <c r="CC1764"/>
      <c r="CD1764"/>
      <c r="CE1764"/>
      <c r="CF1764"/>
      <c r="CG1764"/>
      <c r="CH1764"/>
      <c r="CI1764"/>
      <c r="CJ1764"/>
      <c r="CK1764"/>
      <c r="CL1764"/>
      <c r="CM1764"/>
      <c r="CN1764"/>
      <c r="CO1764"/>
      <c r="CP1764"/>
      <c r="CQ1764"/>
      <c r="CR1764"/>
      <c r="CS1764"/>
    </row>
    <row r="1765" spans="2:97">
      <c r="B1765"/>
      <c r="C1765" s="1"/>
      <c r="D1765" s="1"/>
      <c r="E1765" s="1"/>
      <c r="F1765" s="1"/>
      <c r="G1765" s="1"/>
      <c r="H1765" s="1"/>
      <c r="I1765" s="1"/>
      <c r="J1765" s="1"/>
      <c r="K1765" s="1"/>
      <c r="L1765" s="1"/>
      <c r="M1765" s="1"/>
      <c r="N1765" s="1"/>
      <c r="O1765" s="1"/>
      <c r="P1765" s="1"/>
      <c r="Q1765" s="1"/>
      <c r="R1765"/>
      <c r="S1765" s="1"/>
      <c r="T1765" s="24"/>
      <c r="U1765"/>
      <c r="V1765" s="1"/>
      <c r="W1765" s="24"/>
      <c r="X1765"/>
      <c r="Y1765" s="1"/>
      <c r="Z1765" s="24"/>
      <c r="AA1765"/>
      <c r="AB1765" s="1"/>
      <c r="AC1765" s="24"/>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c r="CA1765"/>
      <c r="CB1765"/>
      <c r="CC1765"/>
      <c r="CD1765"/>
      <c r="CE1765"/>
      <c r="CF1765"/>
      <c r="CG1765"/>
      <c r="CH1765"/>
      <c r="CI1765"/>
      <c r="CJ1765"/>
      <c r="CK1765"/>
      <c r="CL1765"/>
      <c r="CM1765"/>
      <c r="CN1765"/>
      <c r="CO1765"/>
      <c r="CP1765"/>
      <c r="CQ1765"/>
      <c r="CR1765"/>
      <c r="CS1765"/>
    </row>
    <row r="1766" spans="2:97">
      <c r="B1766"/>
      <c r="C1766" s="1"/>
      <c r="D1766" s="1"/>
      <c r="E1766" s="1"/>
      <c r="F1766" s="1"/>
      <c r="G1766" s="1"/>
      <c r="H1766" s="1"/>
      <c r="I1766" s="1"/>
      <c r="J1766" s="1"/>
      <c r="K1766" s="1"/>
      <c r="L1766" s="1"/>
      <c r="M1766" s="1"/>
      <c r="N1766" s="1"/>
      <c r="O1766" s="1"/>
      <c r="P1766" s="1"/>
      <c r="Q1766" s="1"/>
      <c r="R1766"/>
      <c r="S1766" s="1"/>
      <c r="T1766" s="24"/>
      <c r="U1766"/>
      <c r="V1766" s="1"/>
      <c r="W1766" s="24"/>
      <c r="X1766"/>
      <c r="Y1766" s="1"/>
      <c r="Z1766" s="24"/>
      <c r="AA1766"/>
      <c r="AB1766" s="1"/>
      <c r="AC1766" s="24"/>
      <c r="AD1766"/>
      <c r="AE1766"/>
      <c r="AF1766"/>
      <c r="AG1766"/>
      <c r="AH1766"/>
      <c r="AI1766"/>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c r="CA1766"/>
      <c r="CB1766"/>
      <c r="CC1766"/>
      <c r="CD1766"/>
      <c r="CE1766"/>
      <c r="CF1766"/>
      <c r="CG1766"/>
      <c r="CH1766"/>
      <c r="CI1766"/>
      <c r="CJ1766"/>
      <c r="CK1766"/>
      <c r="CL1766"/>
      <c r="CM1766"/>
      <c r="CN1766"/>
      <c r="CO1766"/>
      <c r="CP1766"/>
      <c r="CQ1766"/>
      <c r="CR1766"/>
      <c r="CS1766"/>
    </row>
    <row r="1767" spans="2:97">
      <c r="B1767"/>
      <c r="C1767" s="1"/>
      <c r="D1767" s="1"/>
      <c r="E1767" s="1"/>
      <c r="F1767" s="1"/>
      <c r="G1767" s="1"/>
      <c r="H1767" s="1"/>
      <c r="I1767" s="1"/>
      <c r="J1767" s="1"/>
      <c r="K1767" s="1"/>
      <c r="L1767" s="1"/>
      <c r="M1767" s="1"/>
      <c r="N1767" s="1"/>
      <c r="O1767" s="1"/>
      <c r="P1767" s="1"/>
      <c r="Q1767" s="1"/>
      <c r="R1767"/>
      <c r="S1767" s="1"/>
      <c r="T1767" s="24"/>
      <c r="U1767"/>
      <c r="V1767" s="1"/>
      <c r="W1767" s="24"/>
      <c r="X1767"/>
      <c r="Y1767" s="1"/>
      <c r="Z1767" s="24"/>
      <c r="AA1767"/>
      <c r="AB1767" s="1"/>
      <c r="AC1767" s="24"/>
      <c r="AD1767"/>
      <c r="AE1767"/>
      <c r="AF1767"/>
      <c r="AG1767"/>
      <c r="AH1767"/>
      <c r="AI1767"/>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c r="BR1767"/>
      <c r="BS1767"/>
      <c r="BT1767"/>
      <c r="BU1767"/>
      <c r="BV1767"/>
      <c r="BW1767"/>
      <c r="BX1767"/>
      <c r="BY1767"/>
      <c r="BZ1767"/>
      <c r="CA1767"/>
      <c r="CB1767"/>
      <c r="CC1767"/>
      <c r="CD1767"/>
      <c r="CE1767"/>
      <c r="CF1767"/>
      <c r="CG1767"/>
      <c r="CH1767"/>
      <c r="CI1767"/>
      <c r="CJ1767"/>
      <c r="CK1767"/>
      <c r="CL1767"/>
      <c r="CM1767"/>
      <c r="CN1767"/>
      <c r="CO1767"/>
      <c r="CP1767"/>
      <c r="CQ1767"/>
      <c r="CR1767"/>
      <c r="CS1767"/>
    </row>
    <row r="1768" spans="2:97">
      <c r="B1768"/>
      <c r="C1768" s="1"/>
      <c r="D1768" s="1"/>
      <c r="E1768" s="1"/>
      <c r="F1768" s="1"/>
      <c r="G1768" s="1"/>
      <c r="H1768" s="1"/>
      <c r="I1768" s="1"/>
      <c r="J1768" s="1"/>
      <c r="K1768" s="1"/>
      <c r="L1768" s="1"/>
      <c r="M1768" s="1"/>
      <c r="N1768" s="1"/>
      <c r="O1768" s="1"/>
      <c r="P1768" s="1"/>
      <c r="Q1768" s="1"/>
      <c r="R1768"/>
      <c r="S1768" s="1"/>
      <c r="T1768" s="24"/>
      <c r="U1768"/>
      <c r="V1768" s="1"/>
      <c r="W1768" s="24"/>
      <c r="X1768"/>
      <c r="Y1768" s="1"/>
      <c r="Z1768" s="24"/>
      <c r="AA1768"/>
      <c r="AB1768" s="1"/>
      <c r="AC1768" s="24"/>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c r="CG1768"/>
      <c r="CH1768"/>
      <c r="CI1768"/>
      <c r="CJ1768"/>
      <c r="CK1768"/>
      <c r="CL1768"/>
      <c r="CM1768"/>
      <c r="CN1768"/>
      <c r="CO1768"/>
      <c r="CP1768"/>
      <c r="CQ1768"/>
      <c r="CR1768"/>
      <c r="CS1768"/>
    </row>
    <row r="1769" spans="2:97">
      <c r="B1769"/>
      <c r="C1769" s="1"/>
      <c r="D1769" s="1"/>
      <c r="E1769" s="1"/>
      <c r="F1769" s="1"/>
      <c r="G1769" s="1"/>
      <c r="H1769" s="1"/>
      <c r="I1769" s="1"/>
      <c r="J1769" s="1"/>
      <c r="K1769" s="1"/>
      <c r="L1769" s="1"/>
      <c r="M1769" s="1"/>
      <c r="N1769" s="1"/>
      <c r="O1769" s="1"/>
      <c r="P1769" s="1"/>
      <c r="Q1769" s="1"/>
      <c r="R1769"/>
      <c r="S1769" s="1"/>
      <c r="T1769" s="24"/>
      <c r="U1769"/>
      <c r="V1769" s="1"/>
      <c r="W1769" s="24"/>
      <c r="X1769"/>
      <c r="Y1769" s="1"/>
      <c r="Z1769" s="24"/>
      <c r="AA1769"/>
      <c r="AB1769" s="1"/>
      <c r="AC1769" s="24"/>
      <c r="AD1769"/>
      <c r="AE1769"/>
      <c r="AF1769"/>
      <c r="AG1769"/>
      <c r="AH1769"/>
      <c r="AI1769"/>
      <c r="AJ1769"/>
      <c r="AK1769"/>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c r="CA1769"/>
      <c r="CB1769"/>
      <c r="CC1769"/>
      <c r="CD1769"/>
      <c r="CE1769"/>
      <c r="CF1769"/>
      <c r="CG1769"/>
      <c r="CH1769"/>
      <c r="CI1769"/>
      <c r="CJ1769"/>
      <c r="CK1769"/>
      <c r="CL1769"/>
      <c r="CM1769"/>
      <c r="CN1769"/>
      <c r="CO1769"/>
      <c r="CP1769"/>
      <c r="CQ1769"/>
      <c r="CR1769"/>
      <c r="CS1769"/>
    </row>
    <row r="1770" spans="2:97">
      <c r="B1770"/>
      <c r="C1770" s="1"/>
      <c r="D1770" s="1"/>
      <c r="E1770" s="1"/>
      <c r="F1770" s="1"/>
      <c r="G1770" s="1"/>
      <c r="H1770" s="1"/>
      <c r="I1770" s="1"/>
      <c r="J1770" s="1"/>
      <c r="K1770" s="1"/>
      <c r="L1770" s="1"/>
      <c r="M1770" s="1"/>
      <c r="N1770" s="1"/>
      <c r="O1770" s="1"/>
      <c r="P1770" s="1"/>
      <c r="Q1770" s="1"/>
      <c r="R1770"/>
      <c r="S1770" s="1"/>
      <c r="T1770" s="24"/>
      <c r="U1770"/>
      <c r="V1770" s="1"/>
      <c r="W1770" s="24"/>
      <c r="X1770"/>
      <c r="Y1770" s="1"/>
      <c r="Z1770" s="24"/>
      <c r="AA1770"/>
      <c r="AB1770" s="1"/>
      <c r="AC1770" s="24"/>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c r="CA1770"/>
      <c r="CB1770"/>
      <c r="CC1770"/>
      <c r="CD1770"/>
      <c r="CE1770"/>
      <c r="CF1770"/>
      <c r="CG1770"/>
      <c r="CH1770"/>
      <c r="CI1770"/>
      <c r="CJ1770"/>
      <c r="CK1770"/>
      <c r="CL1770"/>
      <c r="CM1770"/>
      <c r="CN1770"/>
      <c r="CO1770"/>
      <c r="CP1770"/>
      <c r="CQ1770"/>
      <c r="CR1770"/>
      <c r="CS1770"/>
    </row>
    <row r="1771" spans="2:97">
      <c r="B1771"/>
      <c r="C1771" s="1"/>
      <c r="D1771" s="1"/>
      <c r="E1771" s="1"/>
      <c r="F1771" s="1"/>
      <c r="G1771" s="1"/>
      <c r="H1771" s="1"/>
      <c r="I1771" s="1"/>
      <c r="J1771" s="1"/>
      <c r="K1771" s="1"/>
      <c r="L1771" s="1"/>
      <c r="M1771" s="1"/>
      <c r="N1771" s="1"/>
      <c r="O1771" s="1"/>
      <c r="P1771" s="1"/>
      <c r="Q1771" s="1"/>
      <c r="R1771"/>
      <c r="S1771" s="1"/>
      <c r="T1771" s="24"/>
      <c r="U1771"/>
      <c r="V1771" s="1"/>
      <c r="W1771" s="24"/>
      <c r="X1771"/>
      <c r="Y1771" s="1"/>
      <c r="Z1771" s="24"/>
      <c r="AA1771"/>
      <c r="AB1771" s="1"/>
      <c r="AC1771" s="24"/>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c r="BR1771"/>
      <c r="BS1771"/>
      <c r="BT1771"/>
      <c r="BU1771"/>
      <c r="BV1771"/>
      <c r="BW1771"/>
      <c r="BX1771"/>
      <c r="BY1771"/>
      <c r="BZ1771"/>
      <c r="CA1771"/>
      <c r="CB1771"/>
      <c r="CC1771"/>
      <c r="CD1771"/>
      <c r="CE1771"/>
      <c r="CF1771"/>
      <c r="CG1771"/>
      <c r="CH1771"/>
      <c r="CI1771"/>
      <c r="CJ1771"/>
      <c r="CK1771"/>
      <c r="CL1771"/>
      <c r="CM1771"/>
      <c r="CN1771"/>
      <c r="CO1771"/>
      <c r="CP1771"/>
      <c r="CQ1771"/>
      <c r="CR1771"/>
      <c r="CS1771"/>
    </row>
    <row r="1772" spans="2:97">
      <c r="B1772"/>
      <c r="C1772" s="1"/>
      <c r="D1772" s="1"/>
      <c r="E1772" s="1"/>
      <c r="F1772" s="1"/>
      <c r="G1772" s="1"/>
      <c r="H1772" s="1"/>
      <c r="I1772" s="1"/>
      <c r="J1772" s="1"/>
      <c r="K1772" s="1"/>
      <c r="L1772" s="1"/>
      <c r="M1772" s="1"/>
      <c r="N1772" s="1"/>
      <c r="O1772" s="1"/>
      <c r="P1772" s="1"/>
      <c r="Q1772" s="1"/>
      <c r="R1772"/>
      <c r="S1772" s="1"/>
      <c r="T1772" s="24"/>
      <c r="U1772"/>
      <c r="V1772" s="1"/>
      <c r="W1772" s="24"/>
      <c r="X1772"/>
      <c r="Y1772" s="1"/>
      <c r="Z1772" s="24"/>
      <c r="AA1772"/>
      <c r="AB1772" s="1"/>
      <c r="AC1772" s="24"/>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c r="CA1772"/>
      <c r="CB1772"/>
      <c r="CC1772"/>
      <c r="CD1772"/>
      <c r="CE1772"/>
      <c r="CF1772"/>
      <c r="CG1772"/>
      <c r="CH1772"/>
      <c r="CI1772"/>
      <c r="CJ1772"/>
      <c r="CK1772"/>
      <c r="CL1772"/>
      <c r="CM1772"/>
      <c r="CN1772"/>
      <c r="CO1772"/>
      <c r="CP1772"/>
      <c r="CQ1772"/>
      <c r="CR1772"/>
      <c r="CS1772"/>
    </row>
    <row r="1773" spans="2:97">
      <c r="B1773"/>
      <c r="C1773" s="1"/>
      <c r="D1773" s="1"/>
      <c r="E1773" s="1"/>
      <c r="F1773" s="1"/>
      <c r="G1773" s="1"/>
      <c r="H1773" s="1"/>
      <c r="I1773" s="1"/>
      <c r="J1773" s="1"/>
      <c r="K1773" s="1"/>
      <c r="L1773" s="1"/>
      <c r="M1773" s="1"/>
      <c r="N1773" s="1"/>
      <c r="O1773" s="1"/>
      <c r="P1773" s="1"/>
      <c r="Q1773" s="1"/>
      <c r="R1773"/>
      <c r="S1773" s="1"/>
      <c r="T1773" s="24"/>
      <c r="U1773"/>
      <c r="V1773" s="1"/>
      <c r="W1773" s="24"/>
      <c r="X1773"/>
      <c r="Y1773" s="1"/>
      <c r="Z1773" s="24"/>
      <c r="AA1773"/>
      <c r="AB1773" s="1"/>
      <c r="AC1773" s="24"/>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c r="CA1773"/>
      <c r="CB1773"/>
      <c r="CC1773"/>
      <c r="CD1773"/>
      <c r="CE1773"/>
      <c r="CF1773"/>
      <c r="CG1773"/>
      <c r="CH1773"/>
      <c r="CI1773"/>
      <c r="CJ1773"/>
      <c r="CK1773"/>
      <c r="CL1773"/>
      <c r="CM1773"/>
      <c r="CN1773"/>
      <c r="CO1773"/>
      <c r="CP1773"/>
      <c r="CQ1773"/>
      <c r="CR1773"/>
      <c r="CS1773"/>
    </row>
    <row r="1774" spans="2:97">
      <c r="B1774"/>
      <c r="C1774" s="1"/>
      <c r="D1774" s="1"/>
      <c r="E1774" s="1"/>
      <c r="F1774" s="1"/>
      <c r="G1774" s="1"/>
      <c r="H1774" s="1"/>
      <c r="I1774" s="1"/>
      <c r="J1774" s="1"/>
      <c r="K1774" s="1"/>
      <c r="L1774" s="1"/>
      <c r="M1774" s="1"/>
      <c r="N1774" s="1"/>
      <c r="O1774" s="1"/>
      <c r="P1774" s="1"/>
      <c r="Q1774" s="1"/>
      <c r="R1774"/>
      <c r="S1774" s="1"/>
      <c r="T1774" s="24"/>
      <c r="U1774"/>
      <c r="V1774" s="1"/>
      <c r="W1774" s="24"/>
      <c r="X1774"/>
      <c r="Y1774" s="1"/>
      <c r="Z1774" s="24"/>
      <c r="AA1774"/>
      <c r="AB1774" s="1"/>
      <c r="AC1774" s="2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c r="CA1774"/>
      <c r="CB1774"/>
      <c r="CC1774"/>
      <c r="CD1774"/>
      <c r="CE1774"/>
      <c r="CF1774"/>
      <c r="CG1774"/>
      <c r="CH1774"/>
      <c r="CI1774"/>
      <c r="CJ1774"/>
      <c r="CK1774"/>
      <c r="CL1774"/>
      <c r="CM1774"/>
      <c r="CN1774"/>
      <c r="CO1774"/>
      <c r="CP1774"/>
      <c r="CQ1774"/>
      <c r="CR1774"/>
      <c r="CS1774"/>
    </row>
    <row r="1775" spans="2:97">
      <c r="B1775"/>
      <c r="C1775" s="1"/>
      <c r="D1775" s="1"/>
      <c r="E1775" s="1"/>
      <c r="F1775" s="1"/>
      <c r="G1775" s="1"/>
      <c r="H1775" s="1"/>
      <c r="I1775" s="1"/>
      <c r="J1775" s="1"/>
      <c r="K1775" s="1"/>
      <c r="L1775" s="1"/>
      <c r="M1775" s="1"/>
      <c r="N1775" s="1"/>
      <c r="O1775" s="1"/>
      <c r="P1775" s="1"/>
      <c r="Q1775" s="1"/>
      <c r="R1775"/>
      <c r="S1775" s="1"/>
      <c r="T1775" s="24"/>
      <c r="U1775"/>
      <c r="V1775" s="1"/>
      <c r="W1775" s="24"/>
      <c r="X1775"/>
      <c r="Y1775" s="1"/>
      <c r="Z1775" s="24"/>
      <c r="AA1775"/>
      <c r="AB1775" s="1"/>
      <c r="AC1775" s="24"/>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c r="BR1775"/>
      <c r="BS1775"/>
      <c r="BT1775"/>
      <c r="BU1775"/>
      <c r="BV1775"/>
      <c r="BW1775"/>
      <c r="BX1775"/>
      <c r="BY1775"/>
      <c r="BZ1775"/>
      <c r="CA1775"/>
      <c r="CB1775"/>
      <c r="CC1775"/>
      <c r="CD1775"/>
      <c r="CE1775"/>
      <c r="CF1775"/>
      <c r="CG1775"/>
      <c r="CH1775"/>
      <c r="CI1775"/>
      <c r="CJ1775"/>
      <c r="CK1775"/>
      <c r="CL1775"/>
      <c r="CM1775"/>
      <c r="CN1775"/>
      <c r="CO1775"/>
      <c r="CP1775"/>
      <c r="CQ1775"/>
      <c r="CR1775"/>
      <c r="CS1775"/>
    </row>
    <row r="1776" spans="2:97">
      <c r="B1776"/>
      <c r="C1776" s="1"/>
      <c r="D1776" s="1"/>
      <c r="E1776" s="1"/>
      <c r="F1776" s="1"/>
      <c r="G1776" s="1"/>
      <c r="H1776" s="1"/>
      <c r="I1776" s="1"/>
      <c r="J1776" s="1"/>
      <c r="K1776" s="1"/>
      <c r="L1776" s="1"/>
      <c r="M1776" s="1"/>
      <c r="N1776" s="1"/>
      <c r="O1776" s="1"/>
      <c r="P1776" s="1"/>
      <c r="Q1776" s="1"/>
      <c r="R1776"/>
      <c r="S1776" s="1"/>
      <c r="T1776" s="24"/>
      <c r="U1776"/>
      <c r="V1776" s="1"/>
      <c r="W1776" s="24"/>
      <c r="X1776"/>
      <c r="Y1776" s="1"/>
      <c r="Z1776" s="24"/>
      <c r="AA1776"/>
      <c r="AB1776" s="1"/>
      <c r="AC1776" s="24"/>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c r="BR1776"/>
      <c r="BS1776"/>
      <c r="BT1776"/>
      <c r="BU1776"/>
      <c r="BV1776"/>
      <c r="BW1776"/>
      <c r="BX1776"/>
      <c r="BY1776"/>
      <c r="BZ1776"/>
      <c r="CA1776"/>
      <c r="CB1776"/>
      <c r="CC1776"/>
      <c r="CD1776"/>
      <c r="CE1776"/>
      <c r="CF1776"/>
      <c r="CG1776"/>
      <c r="CH1776"/>
      <c r="CI1776"/>
      <c r="CJ1776"/>
      <c r="CK1776"/>
      <c r="CL1776"/>
      <c r="CM1776"/>
      <c r="CN1776"/>
      <c r="CO1776"/>
      <c r="CP1776"/>
      <c r="CQ1776"/>
      <c r="CR1776"/>
      <c r="CS1776"/>
    </row>
    <row r="1777" spans="2:97">
      <c r="B1777"/>
      <c r="C1777" s="1"/>
      <c r="D1777" s="1"/>
      <c r="E1777" s="1"/>
      <c r="F1777" s="1"/>
      <c r="G1777" s="1"/>
      <c r="H1777" s="1"/>
      <c r="I1777" s="1"/>
      <c r="J1777" s="1"/>
      <c r="K1777" s="1"/>
      <c r="L1777" s="1"/>
      <c r="M1777" s="1"/>
      <c r="N1777" s="1"/>
      <c r="O1777" s="1"/>
      <c r="P1777" s="1"/>
      <c r="Q1777" s="1"/>
      <c r="R1777"/>
      <c r="S1777" s="1"/>
      <c r="T1777" s="24"/>
      <c r="U1777"/>
      <c r="V1777" s="1"/>
      <c r="W1777" s="24"/>
      <c r="X1777"/>
      <c r="Y1777" s="1"/>
      <c r="Z1777" s="24"/>
      <c r="AA1777"/>
      <c r="AB1777" s="1"/>
      <c r="AC1777" s="24"/>
      <c r="AD1777"/>
      <c r="AE1777"/>
      <c r="AF1777"/>
      <c r="AG1777"/>
      <c r="AH1777"/>
      <c r="AI1777"/>
      <c r="AJ1777"/>
      <c r="AK1777"/>
      <c r="AL1777"/>
      <c r="AM1777"/>
      <c r="AN1777"/>
      <c r="AO1777"/>
      <c r="AP1777"/>
      <c r="AQ1777"/>
      <c r="AR1777"/>
      <c r="AS1777"/>
      <c r="AT1777"/>
      <c r="AU1777"/>
      <c r="AV1777"/>
      <c r="AW1777"/>
      <c r="AX1777"/>
      <c r="AY1777"/>
      <c r="AZ1777"/>
      <c r="BA1777"/>
      <c r="BB1777"/>
      <c r="BC1777"/>
      <c r="BD1777"/>
      <c r="BE1777"/>
      <c r="BF1777"/>
      <c r="BG1777"/>
      <c r="BH1777"/>
      <c r="BI1777"/>
      <c r="BJ1777"/>
      <c r="BK1777"/>
      <c r="BL1777"/>
      <c r="BM1777"/>
      <c r="BN1777"/>
      <c r="BO1777"/>
      <c r="BP1777"/>
      <c r="BQ1777"/>
      <c r="BR1777"/>
      <c r="BS1777"/>
      <c r="BT1777"/>
      <c r="BU1777"/>
      <c r="BV1777"/>
      <c r="BW1777"/>
      <c r="BX1777"/>
      <c r="BY1777"/>
      <c r="BZ1777"/>
      <c r="CA1777"/>
      <c r="CB1777"/>
      <c r="CC1777"/>
      <c r="CD1777"/>
      <c r="CE1777"/>
      <c r="CF1777"/>
      <c r="CG1777"/>
      <c r="CH1777"/>
      <c r="CI1777"/>
      <c r="CJ1777"/>
      <c r="CK1777"/>
      <c r="CL1777"/>
      <c r="CM1777"/>
      <c r="CN1777"/>
      <c r="CO1777"/>
      <c r="CP1777"/>
      <c r="CQ1777"/>
      <c r="CR1777"/>
      <c r="CS1777"/>
    </row>
    <row r="1778" spans="2:97">
      <c r="B1778"/>
      <c r="C1778" s="1"/>
      <c r="D1778" s="1"/>
      <c r="E1778" s="1"/>
      <c r="F1778" s="1"/>
      <c r="G1778" s="1"/>
      <c r="H1778" s="1"/>
      <c r="I1778" s="1"/>
      <c r="J1778" s="1"/>
      <c r="K1778" s="1"/>
      <c r="L1778" s="1"/>
      <c r="M1778" s="1"/>
      <c r="N1778" s="1"/>
      <c r="O1778" s="1"/>
      <c r="P1778" s="1"/>
      <c r="Q1778" s="1"/>
      <c r="R1778"/>
      <c r="S1778" s="1"/>
      <c r="T1778" s="24"/>
      <c r="U1778"/>
      <c r="V1778" s="1"/>
      <c r="W1778" s="24"/>
      <c r="X1778"/>
      <c r="Y1778" s="1"/>
      <c r="Z1778" s="24"/>
      <c r="AA1778"/>
      <c r="AB1778" s="1"/>
      <c r="AC1778" s="24"/>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c r="BM1778"/>
      <c r="BN1778"/>
      <c r="BO1778"/>
      <c r="BP1778"/>
      <c r="BQ1778"/>
      <c r="BR1778"/>
      <c r="BS1778"/>
      <c r="BT1778"/>
      <c r="BU1778"/>
      <c r="BV1778"/>
      <c r="BW1778"/>
      <c r="BX1778"/>
      <c r="BY1778"/>
      <c r="BZ1778"/>
      <c r="CA1778"/>
      <c r="CB1778"/>
      <c r="CC1778"/>
      <c r="CD1778"/>
      <c r="CE1778"/>
      <c r="CF1778"/>
      <c r="CG1778"/>
      <c r="CH1778"/>
      <c r="CI1778"/>
      <c r="CJ1778"/>
      <c r="CK1778"/>
      <c r="CL1778"/>
      <c r="CM1778"/>
      <c r="CN1778"/>
      <c r="CO1778"/>
      <c r="CP1778"/>
      <c r="CQ1778"/>
      <c r="CR1778"/>
      <c r="CS1778"/>
    </row>
    <row r="1779" spans="2:97">
      <c r="B1779"/>
      <c r="C1779" s="1"/>
      <c r="D1779" s="1"/>
      <c r="E1779" s="1"/>
      <c r="F1779" s="1"/>
      <c r="G1779" s="1"/>
      <c r="H1779" s="1"/>
      <c r="I1779" s="1"/>
      <c r="J1779" s="1"/>
      <c r="K1779" s="1"/>
      <c r="L1779" s="1"/>
      <c r="M1779" s="1"/>
      <c r="N1779" s="1"/>
      <c r="O1779" s="1"/>
      <c r="P1779" s="1"/>
      <c r="Q1779" s="1"/>
      <c r="R1779"/>
      <c r="S1779" s="1"/>
      <c r="T1779" s="24"/>
      <c r="U1779"/>
      <c r="V1779" s="1"/>
      <c r="W1779" s="24"/>
      <c r="X1779"/>
      <c r="Y1779" s="1"/>
      <c r="Z1779" s="24"/>
      <c r="AA1779"/>
      <c r="AB1779" s="1"/>
      <c r="AC1779" s="24"/>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c r="BR1779"/>
      <c r="BS1779"/>
      <c r="BT1779"/>
      <c r="BU1779"/>
      <c r="BV1779"/>
      <c r="BW1779"/>
      <c r="BX1779"/>
      <c r="BY1779"/>
      <c r="BZ1779"/>
      <c r="CA1779"/>
      <c r="CB1779"/>
      <c r="CC1779"/>
      <c r="CD1779"/>
      <c r="CE1779"/>
      <c r="CF1779"/>
      <c r="CG1779"/>
      <c r="CH1779"/>
      <c r="CI1779"/>
      <c r="CJ1779"/>
      <c r="CK1779"/>
      <c r="CL1779"/>
      <c r="CM1779"/>
      <c r="CN1779"/>
      <c r="CO1779"/>
      <c r="CP1779"/>
      <c r="CQ1779"/>
      <c r="CR1779"/>
      <c r="CS1779"/>
    </row>
    <row r="1780" spans="2:97">
      <c r="B1780"/>
      <c r="C1780" s="1"/>
      <c r="D1780" s="1"/>
      <c r="E1780" s="1"/>
      <c r="F1780" s="1"/>
      <c r="G1780" s="1"/>
      <c r="H1780" s="1"/>
      <c r="I1780" s="1"/>
      <c r="J1780" s="1"/>
      <c r="K1780" s="1"/>
      <c r="L1780" s="1"/>
      <c r="M1780" s="1"/>
      <c r="N1780" s="1"/>
      <c r="O1780" s="1"/>
      <c r="P1780" s="1"/>
      <c r="Q1780" s="1"/>
      <c r="R1780"/>
      <c r="S1780" s="1"/>
      <c r="T1780" s="24"/>
      <c r="U1780"/>
      <c r="V1780" s="1"/>
      <c r="W1780" s="24"/>
      <c r="X1780"/>
      <c r="Y1780" s="1"/>
      <c r="Z1780" s="24"/>
      <c r="AA1780"/>
      <c r="AB1780" s="1"/>
      <c r="AC1780" s="24"/>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c r="BR1780"/>
      <c r="BS1780"/>
      <c r="BT1780"/>
      <c r="BU1780"/>
      <c r="BV1780"/>
      <c r="BW1780"/>
      <c r="BX1780"/>
      <c r="BY1780"/>
      <c r="BZ1780"/>
      <c r="CA1780"/>
      <c r="CB1780"/>
      <c r="CC1780"/>
      <c r="CD1780"/>
      <c r="CE1780"/>
      <c r="CF1780"/>
      <c r="CG1780"/>
      <c r="CH1780"/>
      <c r="CI1780"/>
      <c r="CJ1780"/>
      <c r="CK1780"/>
      <c r="CL1780"/>
      <c r="CM1780"/>
      <c r="CN1780"/>
      <c r="CO1780"/>
      <c r="CP1780"/>
      <c r="CQ1780"/>
      <c r="CR1780"/>
      <c r="CS1780"/>
    </row>
    <row r="1781" spans="2:97">
      <c r="B1781"/>
      <c r="C1781" s="1"/>
      <c r="D1781" s="1"/>
      <c r="E1781" s="1"/>
      <c r="F1781" s="1"/>
      <c r="G1781" s="1"/>
      <c r="H1781" s="1"/>
      <c r="I1781" s="1"/>
      <c r="J1781" s="1"/>
      <c r="K1781" s="1"/>
      <c r="L1781" s="1"/>
      <c r="M1781" s="1"/>
      <c r="N1781" s="1"/>
      <c r="O1781" s="1"/>
      <c r="P1781" s="1"/>
      <c r="Q1781" s="1"/>
      <c r="R1781"/>
      <c r="S1781" s="1"/>
      <c r="T1781" s="24"/>
      <c r="U1781"/>
      <c r="V1781" s="1"/>
      <c r="W1781" s="24"/>
      <c r="X1781"/>
      <c r="Y1781" s="1"/>
      <c r="Z1781" s="24"/>
      <c r="AA1781"/>
      <c r="AB1781" s="1"/>
      <c r="AC1781" s="24"/>
      <c r="AD1781"/>
      <c r="AE1781"/>
      <c r="AF1781"/>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c r="BR1781"/>
      <c r="BS1781"/>
      <c r="BT1781"/>
      <c r="BU1781"/>
      <c r="BV1781"/>
      <c r="BW1781"/>
      <c r="BX1781"/>
      <c r="BY1781"/>
      <c r="BZ1781"/>
      <c r="CA1781"/>
      <c r="CB1781"/>
      <c r="CC1781"/>
      <c r="CD1781"/>
      <c r="CE1781"/>
      <c r="CF1781"/>
      <c r="CG1781"/>
      <c r="CH1781"/>
      <c r="CI1781"/>
      <c r="CJ1781"/>
      <c r="CK1781"/>
      <c r="CL1781"/>
      <c r="CM1781"/>
      <c r="CN1781"/>
      <c r="CO1781"/>
      <c r="CP1781"/>
      <c r="CQ1781"/>
      <c r="CR1781"/>
      <c r="CS1781"/>
    </row>
    <row r="1782" spans="2:97">
      <c r="B1782"/>
      <c r="C1782" s="1"/>
      <c r="D1782" s="1"/>
      <c r="E1782" s="1"/>
      <c r="F1782" s="1"/>
      <c r="G1782" s="1"/>
      <c r="H1782" s="1"/>
      <c r="I1782" s="1"/>
      <c r="J1782" s="1"/>
      <c r="K1782" s="1"/>
      <c r="L1782" s="1"/>
      <c r="M1782" s="1"/>
      <c r="N1782" s="1"/>
      <c r="O1782" s="1"/>
      <c r="P1782" s="1"/>
      <c r="Q1782" s="1"/>
      <c r="R1782"/>
      <c r="S1782" s="1"/>
      <c r="T1782" s="24"/>
      <c r="U1782"/>
      <c r="V1782" s="1"/>
      <c r="W1782" s="24"/>
      <c r="X1782"/>
      <c r="Y1782" s="1"/>
      <c r="Z1782" s="24"/>
      <c r="AA1782"/>
      <c r="AB1782" s="1"/>
      <c r="AC1782" s="24"/>
      <c r="AD1782"/>
      <c r="AE1782"/>
      <c r="AF1782"/>
      <c r="AG1782"/>
      <c r="AH1782"/>
      <c r="AI1782"/>
      <c r="AJ1782"/>
      <c r="AK1782"/>
      <c r="AL1782"/>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c r="BR1782"/>
      <c r="BS1782"/>
      <c r="BT1782"/>
      <c r="BU1782"/>
      <c r="BV1782"/>
      <c r="BW1782"/>
      <c r="BX1782"/>
      <c r="BY1782"/>
      <c r="BZ1782"/>
      <c r="CA1782"/>
      <c r="CB1782"/>
      <c r="CC1782"/>
      <c r="CD1782"/>
      <c r="CE1782"/>
      <c r="CF1782"/>
      <c r="CG1782"/>
      <c r="CH1782"/>
      <c r="CI1782"/>
      <c r="CJ1782"/>
      <c r="CK1782"/>
      <c r="CL1782"/>
      <c r="CM1782"/>
      <c r="CN1782"/>
      <c r="CO1782"/>
      <c r="CP1782"/>
      <c r="CQ1782"/>
      <c r="CR1782"/>
      <c r="CS1782"/>
    </row>
    <row r="1783" spans="2:97">
      <c r="B1783"/>
      <c r="C1783" s="1"/>
      <c r="D1783" s="1"/>
      <c r="E1783" s="1"/>
      <c r="F1783" s="1"/>
      <c r="G1783" s="1"/>
      <c r="H1783" s="1"/>
      <c r="I1783" s="1"/>
      <c r="J1783" s="1"/>
      <c r="K1783" s="1"/>
      <c r="L1783" s="1"/>
      <c r="M1783" s="1"/>
      <c r="N1783" s="1"/>
      <c r="O1783" s="1"/>
      <c r="P1783" s="1"/>
      <c r="Q1783" s="1"/>
      <c r="R1783"/>
      <c r="S1783" s="1"/>
      <c r="T1783" s="24"/>
      <c r="U1783"/>
      <c r="V1783" s="1"/>
      <c r="W1783" s="24"/>
      <c r="X1783"/>
      <c r="Y1783" s="1"/>
      <c r="Z1783" s="24"/>
      <c r="AA1783"/>
      <c r="AB1783" s="1"/>
      <c r="AC1783" s="24"/>
      <c r="AD1783"/>
      <c r="AE1783"/>
      <c r="AF1783"/>
      <c r="AG1783"/>
      <c r="AH1783"/>
      <c r="AI1783"/>
      <c r="AJ1783"/>
      <c r="AK1783"/>
      <c r="AL1783"/>
      <c r="AM1783"/>
      <c r="AN1783"/>
      <c r="AO1783"/>
      <c r="AP1783"/>
      <c r="AQ1783"/>
      <c r="AR1783"/>
      <c r="AS1783"/>
      <c r="AT1783"/>
      <c r="AU1783"/>
      <c r="AV1783"/>
      <c r="AW1783"/>
      <c r="AX1783"/>
      <c r="AY1783"/>
      <c r="AZ1783"/>
      <c r="BA1783"/>
      <c r="BB1783"/>
      <c r="BC1783"/>
      <c r="BD1783"/>
      <c r="BE1783"/>
      <c r="BF1783"/>
      <c r="BG1783"/>
      <c r="BH1783"/>
      <c r="BI1783"/>
      <c r="BJ1783"/>
      <c r="BK1783"/>
      <c r="BL1783"/>
      <c r="BM1783"/>
      <c r="BN1783"/>
      <c r="BO1783"/>
      <c r="BP1783"/>
      <c r="BQ1783"/>
      <c r="BR1783"/>
      <c r="BS1783"/>
      <c r="BT1783"/>
      <c r="BU1783"/>
      <c r="BV1783"/>
      <c r="BW1783"/>
      <c r="BX1783"/>
      <c r="BY1783"/>
      <c r="BZ1783"/>
      <c r="CA1783"/>
      <c r="CB1783"/>
      <c r="CC1783"/>
      <c r="CD1783"/>
      <c r="CE1783"/>
      <c r="CF1783"/>
      <c r="CG1783"/>
      <c r="CH1783"/>
      <c r="CI1783"/>
      <c r="CJ1783"/>
      <c r="CK1783"/>
      <c r="CL1783"/>
      <c r="CM1783"/>
      <c r="CN1783"/>
      <c r="CO1783"/>
      <c r="CP1783"/>
      <c r="CQ1783"/>
      <c r="CR1783"/>
      <c r="CS1783"/>
    </row>
    <row r="1784" spans="2:97">
      <c r="B1784"/>
      <c r="C1784" s="1"/>
      <c r="D1784" s="1"/>
      <c r="E1784" s="1"/>
      <c r="F1784" s="1"/>
      <c r="G1784" s="1"/>
      <c r="H1784" s="1"/>
      <c r="I1784" s="1"/>
      <c r="J1784" s="1"/>
      <c r="K1784" s="1"/>
      <c r="L1784" s="1"/>
      <c r="M1784" s="1"/>
      <c r="N1784" s="1"/>
      <c r="O1784" s="1"/>
      <c r="P1784" s="1"/>
      <c r="Q1784" s="1"/>
      <c r="R1784"/>
      <c r="S1784" s="1"/>
      <c r="T1784" s="24"/>
      <c r="U1784"/>
      <c r="V1784" s="1"/>
      <c r="W1784" s="24"/>
      <c r="X1784"/>
      <c r="Y1784" s="1"/>
      <c r="Z1784" s="24"/>
      <c r="AA1784"/>
      <c r="AB1784" s="1"/>
      <c r="AC1784" s="24"/>
      <c r="AD1784"/>
      <c r="AE1784"/>
      <c r="AF1784"/>
      <c r="AG1784"/>
      <c r="AH1784"/>
      <c r="AI1784"/>
      <c r="AJ1784"/>
      <c r="AK1784"/>
      <c r="AL1784"/>
      <c r="AM1784"/>
      <c r="AN1784"/>
      <c r="AO1784"/>
      <c r="AP1784"/>
      <c r="AQ1784"/>
      <c r="AR1784"/>
      <c r="AS1784"/>
      <c r="AT1784"/>
      <c r="AU1784"/>
      <c r="AV1784"/>
      <c r="AW1784"/>
      <c r="AX1784"/>
      <c r="AY1784"/>
      <c r="AZ1784"/>
      <c r="BA1784"/>
      <c r="BB1784"/>
      <c r="BC1784"/>
      <c r="BD1784"/>
      <c r="BE1784"/>
      <c r="BF1784"/>
      <c r="BG1784"/>
      <c r="BH1784"/>
      <c r="BI1784"/>
      <c r="BJ1784"/>
      <c r="BK1784"/>
      <c r="BL1784"/>
      <c r="BM1784"/>
      <c r="BN1784"/>
      <c r="BO1784"/>
      <c r="BP1784"/>
      <c r="BQ1784"/>
      <c r="BR1784"/>
      <c r="BS1784"/>
      <c r="BT1784"/>
      <c r="BU1784"/>
      <c r="BV1784"/>
      <c r="BW1784"/>
      <c r="BX1784"/>
      <c r="BY1784"/>
      <c r="BZ1784"/>
      <c r="CA1784"/>
      <c r="CB1784"/>
      <c r="CC1784"/>
      <c r="CD1784"/>
      <c r="CE1784"/>
      <c r="CF1784"/>
      <c r="CG1784"/>
      <c r="CH1784"/>
      <c r="CI1784"/>
      <c r="CJ1784"/>
      <c r="CK1784"/>
      <c r="CL1784"/>
      <c r="CM1784"/>
      <c r="CN1784"/>
      <c r="CO1784"/>
      <c r="CP1784"/>
      <c r="CQ1784"/>
      <c r="CR1784"/>
      <c r="CS1784"/>
    </row>
    <row r="1785" spans="2:97">
      <c r="B1785"/>
      <c r="C1785" s="1"/>
      <c r="D1785" s="1"/>
      <c r="E1785" s="1"/>
      <c r="F1785" s="1"/>
      <c r="G1785" s="1"/>
      <c r="H1785" s="1"/>
      <c r="I1785" s="1"/>
      <c r="J1785" s="1"/>
      <c r="K1785" s="1"/>
      <c r="L1785" s="1"/>
      <c r="M1785" s="1"/>
      <c r="N1785" s="1"/>
      <c r="O1785" s="1"/>
      <c r="P1785" s="1"/>
      <c r="Q1785" s="1"/>
      <c r="R1785"/>
      <c r="S1785" s="1"/>
      <c r="T1785" s="24"/>
      <c r="U1785"/>
      <c r="V1785" s="1"/>
      <c r="W1785" s="24"/>
      <c r="X1785"/>
      <c r="Y1785" s="1"/>
      <c r="Z1785" s="24"/>
      <c r="AA1785"/>
      <c r="AB1785" s="1"/>
      <c r="AC1785" s="24"/>
      <c r="AD1785"/>
      <c r="AE1785"/>
      <c r="AF1785"/>
      <c r="AG1785"/>
      <c r="AH1785"/>
      <c r="AI1785"/>
      <c r="AJ1785"/>
      <c r="AK1785"/>
      <c r="AL1785"/>
      <c r="AM1785"/>
      <c r="AN1785"/>
      <c r="AO1785"/>
      <c r="AP1785"/>
      <c r="AQ1785"/>
      <c r="AR1785"/>
      <c r="AS1785"/>
      <c r="AT1785"/>
      <c r="AU1785"/>
      <c r="AV1785"/>
      <c r="AW1785"/>
      <c r="AX1785"/>
      <c r="AY1785"/>
      <c r="AZ1785"/>
      <c r="BA1785"/>
      <c r="BB1785"/>
      <c r="BC1785"/>
      <c r="BD1785"/>
      <c r="BE1785"/>
      <c r="BF1785"/>
      <c r="BG1785"/>
      <c r="BH1785"/>
      <c r="BI1785"/>
      <c r="BJ1785"/>
      <c r="BK1785"/>
      <c r="BL1785"/>
      <c r="BM1785"/>
      <c r="BN1785"/>
      <c r="BO1785"/>
      <c r="BP1785"/>
      <c r="BQ1785"/>
      <c r="BR1785"/>
      <c r="BS1785"/>
      <c r="BT1785"/>
      <c r="BU1785"/>
      <c r="BV1785"/>
      <c r="BW1785"/>
      <c r="BX1785"/>
      <c r="BY1785"/>
      <c r="BZ1785"/>
      <c r="CA1785"/>
      <c r="CB1785"/>
      <c r="CC1785"/>
      <c r="CD1785"/>
      <c r="CE1785"/>
      <c r="CF1785"/>
      <c r="CG1785"/>
      <c r="CH1785"/>
      <c r="CI1785"/>
      <c r="CJ1785"/>
      <c r="CK1785"/>
      <c r="CL1785"/>
      <c r="CM1785"/>
      <c r="CN1785"/>
      <c r="CO1785"/>
      <c r="CP1785"/>
      <c r="CQ1785"/>
      <c r="CR1785"/>
      <c r="CS1785"/>
    </row>
    <row r="1786" spans="2:97">
      <c r="B1786"/>
      <c r="C1786" s="1"/>
      <c r="D1786" s="1"/>
      <c r="E1786" s="1"/>
      <c r="F1786" s="1"/>
      <c r="G1786" s="1"/>
      <c r="H1786" s="1"/>
      <c r="I1786" s="1"/>
      <c r="J1786" s="1"/>
      <c r="K1786" s="1"/>
      <c r="L1786" s="1"/>
      <c r="M1786" s="1"/>
      <c r="N1786" s="1"/>
      <c r="O1786" s="1"/>
      <c r="P1786" s="1"/>
      <c r="Q1786" s="1"/>
      <c r="R1786"/>
      <c r="S1786" s="1"/>
      <c r="T1786" s="24"/>
      <c r="U1786"/>
      <c r="V1786" s="1"/>
      <c r="W1786" s="24"/>
      <c r="X1786"/>
      <c r="Y1786" s="1"/>
      <c r="Z1786" s="24"/>
      <c r="AA1786"/>
      <c r="AB1786" s="1"/>
      <c r="AC1786" s="24"/>
      <c r="AD1786"/>
      <c r="AE1786"/>
      <c r="AF1786"/>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c r="BI1786"/>
      <c r="BJ1786"/>
      <c r="BK1786"/>
      <c r="BL1786"/>
      <c r="BM1786"/>
      <c r="BN1786"/>
      <c r="BO1786"/>
      <c r="BP1786"/>
      <c r="BQ1786"/>
      <c r="BR1786"/>
      <c r="BS1786"/>
      <c r="BT1786"/>
      <c r="BU1786"/>
      <c r="BV1786"/>
      <c r="BW1786"/>
      <c r="BX1786"/>
      <c r="BY1786"/>
      <c r="BZ1786"/>
      <c r="CA1786"/>
      <c r="CB1786"/>
      <c r="CC1786"/>
      <c r="CD1786"/>
      <c r="CE1786"/>
      <c r="CF1786"/>
      <c r="CG1786"/>
      <c r="CH1786"/>
      <c r="CI1786"/>
      <c r="CJ1786"/>
      <c r="CK1786"/>
      <c r="CL1786"/>
      <c r="CM1786"/>
      <c r="CN1786"/>
      <c r="CO1786"/>
      <c r="CP1786"/>
      <c r="CQ1786"/>
      <c r="CR1786"/>
      <c r="CS1786"/>
    </row>
    <row r="1787" spans="2:97">
      <c r="B1787"/>
      <c r="C1787" s="1"/>
      <c r="D1787" s="1"/>
      <c r="E1787" s="1"/>
      <c r="F1787" s="1"/>
      <c r="G1787" s="1"/>
      <c r="H1787" s="1"/>
      <c r="I1787" s="1"/>
      <c r="J1787" s="1"/>
      <c r="K1787" s="1"/>
      <c r="L1787" s="1"/>
      <c r="M1787" s="1"/>
      <c r="N1787" s="1"/>
      <c r="O1787" s="1"/>
      <c r="P1787" s="1"/>
      <c r="Q1787" s="1"/>
      <c r="R1787"/>
      <c r="S1787" s="1"/>
      <c r="T1787" s="24"/>
      <c r="U1787"/>
      <c r="V1787" s="1"/>
      <c r="W1787" s="24"/>
      <c r="X1787"/>
      <c r="Y1787" s="1"/>
      <c r="Z1787" s="24"/>
      <c r="AA1787"/>
      <c r="AB1787" s="1"/>
      <c r="AC1787" s="24"/>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c r="BI1787"/>
      <c r="BJ1787"/>
      <c r="BK1787"/>
      <c r="BL1787"/>
      <c r="BM1787"/>
      <c r="BN1787"/>
      <c r="BO1787"/>
      <c r="BP1787"/>
      <c r="BQ1787"/>
      <c r="BR1787"/>
      <c r="BS1787"/>
      <c r="BT1787"/>
      <c r="BU1787"/>
      <c r="BV1787"/>
      <c r="BW1787"/>
      <c r="BX1787"/>
      <c r="BY1787"/>
      <c r="BZ1787"/>
      <c r="CA1787"/>
      <c r="CB1787"/>
      <c r="CC1787"/>
      <c r="CD1787"/>
      <c r="CE1787"/>
      <c r="CF1787"/>
      <c r="CG1787"/>
      <c r="CH1787"/>
      <c r="CI1787"/>
      <c r="CJ1787"/>
      <c r="CK1787"/>
      <c r="CL1787"/>
      <c r="CM1787"/>
      <c r="CN1787"/>
      <c r="CO1787"/>
      <c r="CP1787"/>
      <c r="CQ1787"/>
      <c r="CR1787"/>
      <c r="CS1787"/>
    </row>
    <row r="1788" spans="2:97">
      <c r="B1788"/>
      <c r="C1788" s="1"/>
      <c r="D1788" s="1"/>
      <c r="E1788" s="1"/>
      <c r="F1788" s="1"/>
      <c r="G1788" s="1"/>
      <c r="H1788" s="1"/>
      <c r="I1788" s="1"/>
      <c r="J1788" s="1"/>
      <c r="K1788" s="1"/>
      <c r="L1788" s="1"/>
      <c r="M1788" s="1"/>
      <c r="N1788" s="1"/>
      <c r="O1788" s="1"/>
      <c r="P1788" s="1"/>
      <c r="Q1788" s="1"/>
      <c r="R1788"/>
      <c r="S1788" s="1"/>
      <c r="T1788" s="24"/>
      <c r="U1788"/>
      <c r="V1788" s="1"/>
      <c r="W1788" s="24"/>
      <c r="X1788"/>
      <c r="Y1788" s="1"/>
      <c r="Z1788" s="24"/>
      <c r="AA1788"/>
      <c r="AB1788" s="1"/>
      <c r="AC1788" s="24"/>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c r="BI1788"/>
      <c r="BJ1788"/>
      <c r="BK1788"/>
      <c r="BL1788"/>
      <c r="BM1788"/>
      <c r="BN1788"/>
      <c r="BO1788"/>
      <c r="BP1788"/>
      <c r="BQ1788"/>
      <c r="BR1788"/>
      <c r="BS1788"/>
      <c r="BT1788"/>
      <c r="BU1788"/>
      <c r="BV1788"/>
      <c r="BW1788"/>
      <c r="BX1788"/>
      <c r="BY1788"/>
      <c r="BZ1788"/>
      <c r="CA1788"/>
      <c r="CB1788"/>
      <c r="CC1788"/>
      <c r="CD1788"/>
      <c r="CE1788"/>
      <c r="CF1788"/>
      <c r="CG1788"/>
      <c r="CH1788"/>
      <c r="CI1788"/>
      <c r="CJ1788"/>
      <c r="CK1788"/>
      <c r="CL1788"/>
      <c r="CM1788"/>
      <c r="CN1788"/>
      <c r="CO1788"/>
      <c r="CP1788"/>
      <c r="CQ1788"/>
      <c r="CR1788"/>
      <c r="CS1788"/>
    </row>
    <row r="1789" spans="2:97">
      <c r="B1789"/>
      <c r="C1789" s="1"/>
      <c r="D1789" s="1"/>
      <c r="E1789" s="1"/>
      <c r="F1789" s="1"/>
      <c r="G1789" s="1"/>
      <c r="H1789" s="1"/>
      <c r="I1789" s="1"/>
      <c r="J1789" s="1"/>
      <c r="K1789" s="1"/>
      <c r="L1789" s="1"/>
      <c r="M1789" s="1"/>
      <c r="N1789" s="1"/>
      <c r="O1789" s="1"/>
      <c r="P1789" s="1"/>
      <c r="Q1789" s="1"/>
      <c r="R1789"/>
      <c r="S1789" s="1"/>
      <c r="T1789" s="24"/>
      <c r="U1789"/>
      <c r="V1789" s="1"/>
      <c r="W1789" s="24"/>
      <c r="X1789"/>
      <c r="Y1789" s="1"/>
      <c r="Z1789" s="24"/>
      <c r="AA1789"/>
      <c r="AB1789" s="1"/>
      <c r="AC1789" s="24"/>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c r="BR1789"/>
      <c r="BS1789"/>
      <c r="BT1789"/>
      <c r="BU1789"/>
      <c r="BV1789"/>
      <c r="BW1789"/>
      <c r="BX1789"/>
      <c r="BY1789"/>
      <c r="BZ1789"/>
      <c r="CA1789"/>
      <c r="CB1789"/>
      <c r="CC1789"/>
      <c r="CD1789"/>
      <c r="CE1789"/>
      <c r="CF1789"/>
      <c r="CG1789"/>
      <c r="CH1789"/>
      <c r="CI1789"/>
      <c r="CJ1789"/>
      <c r="CK1789"/>
      <c r="CL1789"/>
      <c r="CM1789"/>
      <c r="CN1789"/>
      <c r="CO1789"/>
      <c r="CP1789"/>
      <c r="CQ1789"/>
      <c r="CR1789"/>
      <c r="CS1789"/>
    </row>
    <row r="1790" spans="2:97">
      <c r="B1790"/>
      <c r="C1790" s="1"/>
      <c r="D1790" s="1"/>
      <c r="E1790" s="1"/>
      <c r="F1790" s="1"/>
      <c r="G1790" s="1"/>
      <c r="H1790" s="1"/>
      <c r="I1790" s="1"/>
      <c r="J1790" s="1"/>
      <c r="K1790" s="1"/>
      <c r="L1790" s="1"/>
      <c r="M1790" s="1"/>
      <c r="N1790" s="1"/>
      <c r="O1790" s="1"/>
      <c r="P1790" s="1"/>
      <c r="Q1790" s="1"/>
      <c r="R1790"/>
      <c r="S1790" s="1"/>
      <c r="T1790" s="24"/>
      <c r="U1790"/>
      <c r="V1790" s="1"/>
      <c r="W1790" s="24"/>
      <c r="X1790"/>
      <c r="Y1790" s="1"/>
      <c r="Z1790" s="24"/>
      <c r="AA1790"/>
      <c r="AB1790" s="1"/>
      <c r="AC1790" s="24"/>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c r="BI1790"/>
      <c r="BJ1790"/>
      <c r="BK1790"/>
      <c r="BL1790"/>
      <c r="BM1790"/>
      <c r="BN1790"/>
      <c r="BO1790"/>
      <c r="BP1790"/>
      <c r="BQ1790"/>
      <c r="BR1790"/>
      <c r="BS1790"/>
      <c r="BT1790"/>
      <c r="BU1790"/>
      <c r="BV1790"/>
      <c r="BW1790"/>
      <c r="BX1790"/>
      <c r="BY1790"/>
      <c r="BZ1790"/>
      <c r="CA1790"/>
      <c r="CB1790"/>
      <c r="CC1790"/>
      <c r="CD1790"/>
      <c r="CE1790"/>
      <c r="CF1790"/>
      <c r="CG1790"/>
      <c r="CH1790"/>
      <c r="CI1790"/>
      <c r="CJ1790"/>
      <c r="CK1790"/>
      <c r="CL1790"/>
      <c r="CM1790"/>
      <c r="CN1790"/>
      <c r="CO1790"/>
      <c r="CP1790"/>
      <c r="CQ1790"/>
      <c r="CR1790"/>
      <c r="CS1790"/>
    </row>
    <row r="1791" spans="2:97">
      <c r="B1791"/>
      <c r="C1791" s="1"/>
      <c r="D1791" s="1"/>
      <c r="E1791" s="1"/>
      <c r="F1791" s="1"/>
      <c r="G1791" s="1"/>
      <c r="H1791" s="1"/>
      <c r="I1791" s="1"/>
      <c r="J1791" s="1"/>
      <c r="K1791" s="1"/>
      <c r="L1791" s="1"/>
      <c r="M1791" s="1"/>
      <c r="N1791" s="1"/>
      <c r="O1791" s="1"/>
      <c r="P1791" s="1"/>
      <c r="Q1791" s="1"/>
      <c r="R1791"/>
      <c r="S1791" s="1"/>
      <c r="T1791" s="24"/>
      <c r="U1791"/>
      <c r="V1791" s="1"/>
      <c r="W1791" s="24"/>
      <c r="X1791"/>
      <c r="Y1791" s="1"/>
      <c r="Z1791" s="24"/>
      <c r="AA1791"/>
      <c r="AB1791" s="1"/>
      <c r="AC1791" s="24"/>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c r="BR1791"/>
      <c r="BS1791"/>
      <c r="BT1791"/>
      <c r="BU1791"/>
      <c r="BV1791"/>
      <c r="BW1791"/>
      <c r="BX1791"/>
      <c r="BY1791"/>
      <c r="BZ1791"/>
      <c r="CA1791"/>
      <c r="CB1791"/>
      <c r="CC1791"/>
      <c r="CD1791"/>
      <c r="CE1791"/>
      <c r="CF1791"/>
      <c r="CG1791"/>
      <c r="CH1791"/>
      <c r="CI1791"/>
      <c r="CJ1791"/>
      <c r="CK1791"/>
      <c r="CL1791"/>
      <c r="CM1791"/>
      <c r="CN1791"/>
      <c r="CO1791"/>
      <c r="CP1791"/>
      <c r="CQ1791"/>
      <c r="CR1791"/>
      <c r="CS1791"/>
    </row>
    <row r="1792" spans="2:97">
      <c r="B1792"/>
      <c r="C1792" s="1"/>
      <c r="D1792" s="1"/>
      <c r="E1792" s="1"/>
      <c r="F1792" s="1"/>
      <c r="G1792" s="1"/>
      <c r="H1792" s="1"/>
      <c r="I1792" s="1"/>
      <c r="J1792" s="1"/>
      <c r="K1792" s="1"/>
      <c r="L1792" s="1"/>
      <c r="M1792" s="1"/>
      <c r="N1792" s="1"/>
      <c r="O1792" s="1"/>
      <c r="P1792" s="1"/>
      <c r="Q1792" s="1"/>
      <c r="R1792"/>
      <c r="S1792" s="1"/>
      <c r="T1792" s="24"/>
      <c r="U1792"/>
      <c r="V1792" s="1"/>
      <c r="W1792" s="24"/>
      <c r="X1792"/>
      <c r="Y1792" s="1"/>
      <c r="Z1792" s="24"/>
      <c r="AA1792"/>
      <c r="AB1792" s="1"/>
      <c r="AC1792" s="24"/>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c r="BR1792"/>
      <c r="BS1792"/>
      <c r="BT1792"/>
      <c r="BU1792"/>
      <c r="BV1792"/>
      <c r="BW1792"/>
      <c r="BX1792"/>
      <c r="BY1792"/>
      <c r="BZ1792"/>
      <c r="CA1792"/>
      <c r="CB1792"/>
      <c r="CC1792"/>
      <c r="CD1792"/>
      <c r="CE1792"/>
      <c r="CF1792"/>
      <c r="CG1792"/>
      <c r="CH1792"/>
      <c r="CI1792"/>
      <c r="CJ1792"/>
      <c r="CK1792"/>
      <c r="CL1792"/>
      <c r="CM1792"/>
      <c r="CN1792"/>
      <c r="CO1792"/>
      <c r="CP1792"/>
      <c r="CQ1792"/>
      <c r="CR1792"/>
      <c r="CS1792"/>
    </row>
    <row r="1793" spans="2:97">
      <c r="B1793"/>
      <c r="C1793" s="1"/>
      <c r="D1793" s="1"/>
      <c r="E1793" s="1"/>
      <c r="F1793" s="1"/>
      <c r="G1793" s="1"/>
      <c r="H1793" s="1"/>
      <c r="I1793" s="1"/>
      <c r="J1793" s="1"/>
      <c r="K1793" s="1"/>
      <c r="L1793" s="1"/>
      <c r="M1793" s="1"/>
      <c r="N1793" s="1"/>
      <c r="O1793" s="1"/>
      <c r="P1793" s="1"/>
      <c r="Q1793" s="1"/>
      <c r="R1793"/>
      <c r="S1793" s="1"/>
      <c r="T1793" s="24"/>
      <c r="U1793"/>
      <c r="V1793" s="1"/>
      <c r="W1793" s="24"/>
      <c r="X1793"/>
      <c r="Y1793" s="1"/>
      <c r="Z1793" s="24"/>
      <c r="AA1793"/>
      <c r="AB1793" s="1"/>
      <c r="AC1793" s="24"/>
      <c r="AD1793"/>
      <c r="AE1793"/>
      <c r="AF1793"/>
      <c r="AG1793"/>
      <c r="AH1793"/>
      <c r="AI1793"/>
      <c r="AJ1793"/>
      <c r="AK1793"/>
      <c r="AL1793"/>
      <c r="AM1793"/>
      <c r="AN1793"/>
      <c r="AO1793"/>
      <c r="AP1793"/>
      <c r="AQ1793"/>
      <c r="AR1793"/>
      <c r="AS1793"/>
      <c r="AT1793"/>
      <c r="AU1793"/>
      <c r="AV1793"/>
      <c r="AW1793"/>
      <c r="AX1793"/>
      <c r="AY1793"/>
      <c r="AZ1793"/>
      <c r="BA1793"/>
      <c r="BB1793"/>
      <c r="BC1793"/>
      <c r="BD1793"/>
      <c r="BE1793"/>
      <c r="BF1793"/>
      <c r="BG1793"/>
      <c r="BH1793"/>
      <c r="BI1793"/>
      <c r="BJ1793"/>
      <c r="BK1793"/>
      <c r="BL1793"/>
      <c r="BM1793"/>
      <c r="BN1793"/>
      <c r="BO1793"/>
      <c r="BP1793"/>
      <c r="BQ1793"/>
      <c r="BR1793"/>
      <c r="BS1793"/>
      <c r="BT1793"/>
      <c r="BU1793"/>
      <c r="BV1793"/>
      <c r="BW1793"/>
      <c r="BX1793"/>
      <c r="BY1793"/>
      <c r="BZ1793"/>
      <c r="CA1793"/>
      <c r="CB1793"/>
      <c r="CC1793"/>
      <c r="CD1793"/>
      <c r="CE1793"/>
      <c r="CF1793"/>
      <c r="CG1793"/>
      <c r="CH1793"/>
      <c r="CI1793"/>
      <c r="CJ1793"/>
      <c r="CK1793"/>
      <c r="CL1793"/>
      <c r="CM1793"/>
      <c r="CN1793"/>
      <c r="CO1793"/>
      <c r="CP1793"/>
      <c r="CQ1793"/>
      <c r="CR1793"/>
      <c r="CS1793"/>
    </row>
    <row r="1794" spans="2:97">
      <c r="B1794"/>
      <c r="C1794" s="1"/>
      <c r="D1794" s="1"/>
      <c r="E1794" s="1"/>
      <c r="F1794" s="1"/>
      <c r="G1794" s="1"/>
      <c r="H1794" s="1"/>
      <c r="I1794" s="1"/>
      <c r="J1794" s="1"/>
      <c r="K1794" s="1"/>
      <c r="L1794" s="1"/>
      <c r="M1794" s="1"/>
      <c r="N1794" s="1"/>
      <c r="O1794" s="1"/>
      <c r="P1794" s="1"/>
      <c r="Q1794" s="1"/>
      <c r="R1794"/>
      <c r="S1794" s="1"/>
      <c r="T1794" s="24"/>
      <c r="U1794"/>
      <c r="V1794" s="1"/>
      <c r="W1794" s="24"/>
      <c r="X1794"/>
      <c r="Y1794" s="1"/>
      <c r="Z1794" s="24"/>
      <c r="AA1794"/>
      <c r="AB1794" s="1"/>
      <c r="AC1794" s="2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c r="BR1794"/>
      <c r="BS1794"/>
      <c r="BT1794"/>
      <c r="BU1794"/>
      <c r="BV1794"/>
      <c r="BW1794"/>
      <c r="BX1794"/>
      <c r="BY1794"/>
      <c r="BZ1794"/>
      <c r="CA1794"/>
      <c r="CB1794"/>
      <c r="CC1794"/>
      <c r="CD1794"/>
      <c r="CE1794"/>
      <c r="CF1794"/>
      <c r="CG1794"/>
      <c r="CH1794"/>
      <c r="CI1794"/>
      <c r="CJ1794"/>
      <c r="CK1794"/>
      <c r="CL1794"/>
      <c r="CM1794"/>
      <c r="CN1794"/>
      <c r="CO1794"/>
      <c r="CP1794"/>
      <c r="CQ1794"/>
      <c r="CR1794"/>
      <c r="CS1794"/>
    </row>
    <row r="1795" spans="2:97">
      <c r="B1795"/>
      <c r="C1795" s="1"/>
      <c r="D1795" s="1"/>
      <c r="E1795" s="1"/>
      <c r="F1795" s="1"/>
      <c r="G1795" s="1"/>
      <c r="H1795" s="1"/>
      <c r="I1795" s="1"/>
      <c r="J1795" s="1"/>
      <c r="K1795" s="1"/>
      <c r="L1795" s="1"/>
      <c r="M1795" s="1"/>
      <c r="N1795" s="1"/>
      <c r="O1795" s="1"/>
      <c r="P1795" s="1"/>
      <c r="Q1795" s="1"/>
      <c r="R1795"/>
      <c r="S1795" s="1"/>
      <c r="T1795" s="24"/>
      <c r="U1795"/>
      <c r="V1795" s="1"/>
      <c r="W1795" s="24"/>
      <c r="X1795"/>
      <c r="Y1795" s="1"/>
      <c r="Z1795" s="24"/>
      <c r="AA1795"/>
      <c r="AB1795" s="1"/>
      <c r="AC1795" s="24"/>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c r="BR1795"/>
      <c r="BS1795"/>
      <c r="BT1795"/>
      <c r="BU1795"/>
      <c r="BV1795"/>
      <c r="BW1795"/>
      <c r="BX1795"/>
      <c r="BY1795"/>
      <c r="BZ1795"/>
      <c r="CA1795"/>
      <c r="CB1795"/>
      <c r="CC1795"/>
      <c r="CD1795"/>
      <c r="CE1795"/>
      <c r="CF1795"/>
      <c r="CG1795"/>
      <c r="CH1795"/>
      <c r="CI1795"/>
      <c r="CJ1795"/>
      <c r="CK1795"/>
      <c r="CL1795"/>
      <c r="CM1795"/>
      <c r="CN1795"/>
      <c r="CO1795"/>
      <c r="CP1795"/>
      <c r="CQ1795"/>
      <c r="CR1795"/>
      <c r="CS1795"/>
    </row>
    <row r="1796" spans="2:97">
      <c r="B1796"/>
      <c r="C1796" s="1"/>
      <c r="D1796" s="1"/>
      <c r="E1796" s="1"/>
      <c r="F1796" s="1"/>
      <c r="G1796" s="1"/>
      <c r="H1796" s="1"/>
      <c r="I1796" s="1"/>
      <c r="J1796" s="1"/>
      <c r="K1796" s="1"/>
      <c r="L1796" s="1"/>
      <c r="M1796" s="1"/>
      <c r="N1796" s="1"/>
      <c r="O1796" s="1"/>
      <c r="P1796" s="1"/>
      <c r="Q1796" s="1"/>
      <c r="R1796"/>
      <c r="S1796" s="1"/>
      <c r="T1796" s="24"/>
      <c r="U1796"/>
      <c r="V1796" s="1"/>
      <c r="W1796" s="24"/>
      <c r="X1796"/>
      <c r="Y1796" s="1"/>
      <c r="Z1796" s="24"/>
      <c r="AA1796"/>
      <c r="AB1796" s="1"/>
      <c r="AC1796" s="24"/>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c r="BR1796"/>
      <c r="BS1796"/>
      <c r="BT1796"/>
      <c r="BU1796"/>
      <c r="BV1796"/>
      <c r="BW1796"/>
      <c r="BX1796"/>
      <c r="BY1796"/>
      <c r="BZ1796"/>
      <c r="CA1796"/>
      <c r="CB1796"/>
      <c r="CC1796"/>
      <c r="CD1796"/>
      <c r="CE1796"/>
      <c r="CF1796"/>
      <c r="CG1796"/>
      <c r="CH1796"/>
      <c r="CI1796"/>
      <c r="CJ1796"/>
      <c r="CK1796"/>
      <c r="CL1796"/>
      <c r="CM1796"/>
      <c r="CN1796"/>
      <c r="CO1796"/>
      <c r="CP1796"/>
      <c r="CQ1796"/>
      <c r="CR1796"/>
      <c r="CS1796"/>
    </row>
    <row r="1797" spans="2:97">
      <c r="B1797"/>
      <c r="C1797" s="1"/>
      <c r="D1797" s="1"/>
      <c r="E1797" s="1"/>
      <c r="F1797" s="1"/>
      <c r="G1797" s="1"/>
      <c r="H1797" s="1"/>
      <c r="I1797" s="1"/>
      <c r="J1797" s="1"/>
      <c r="K1797" s="1"/>
      <c r="L1797" s="1"/>
      <c r="M1797" s="1"/>
      <c r="N1797" s="1"/>
      <c r="O1797" s="1"/>
      <c r="P1797" s="1"/>
      <c r="Q1797" s="1"/>
      <c r="R1797"/>
      <c r="S1797" s="1"/>
      <c r="T1797" s="24"/>
      <c r="U1797"/>
      <c r="V1797" s="1"/>
      <c r="W1797" s="24"/>
      <c r="X1797"/>
      <c r="Y1797" s="1"/>
      <c r="Z1797" s="24"/>
      <c r="AA1797"/>
      <c r="AB1797" s="1"/>
      <c r="AC1797" s="24"/>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c r="BM1797"/>
      <c r="BN1797"/>
      <c r="BO1797"/>
      <c r="BP1797"/>
      <c r="BQ1797"/>
      <c r="BR1797"/>
      <c r="BS1797"/>
      <c r="BT1797"/>
      <c r="BU1797"/>
      <c r="BV1797"/>
      <c r="BW1797"/>
      <c r="BX1797"/>
      <c r="BY1797"/>
      <c r="BZ1797"/>
      <c r="CA1797"/>
      <c r="CB1797"/>
      <c r="CC1797"/>
      <c r="CD1797"/>
      <c r="CE1797"/>
      <c r="CF1797"/>
      <c r="CG1797"/>
      <c r="CH1797"/>
      <c r="CI1797"/>
      <c r="CJ1797"/>
      <c r="CK1797"/>
      <c r="CL1797"/>
      <c r="CM1797"/>
      <c r="CN1797"/>
      <c r="CO1797"/>
      <c r="CP1797"/>
      <c r="CQ1797"/>
      <c r="CR1797"/>
      <c r="CS1797"/>
    </row>
    <row r="1798" spans="2:97">
      <c r="B1798"/>
      <c r="C1798" s="1"/>
      <c r="D1798" s="1"/>
      <c r="E1798" s="1"/>
      <c r="F1798" s="1"/>
      <c r="G1798" s="1"/>
      <c r="H1798" s="1"/>
      <c r="I1798" s="1"/>
      <c r="J1798" s="1"/>
      <c r="K1798" s="1"/>
      <c r="L1798" s="1"/>
      <c r="M1798" s="1"/>
      <c r="N1798" s="1"/>
      <c r="O1798" s="1"/>
      <c r="P1798" s="1"/>
      <c r="Q1798" s="1"/>
      <c r="R1798"/>
      <c r="S1798" s="1"/>
      <c r="T1798" s="24"/>
      <c r="U1798"/>
      <c r="V1798" s="1"/>
      <c r="W1798" s="24"/>
      <c r="X1798"/>
      <c r="Y1798" s="1"/>
      <c r="Z1798" s="24"/>
      <c r="AA1798"/>
      <c r="AB1798" s="1"/>
      <c r="AC1798" s="24"/>
      <c r="AD1798"/>
      <c r="AE1798"/>
      <c r="AF1798"/>
      <c r="AG1798"/>
      <c r="AH1798"/>
      <c r="AI1798"/>
      <c r="AJ1798"/>
      <c r="AK1798"/>
      <c r="AL1798"/>
      <c r="AM1798"/>
      <c r="AN1798"/>
      <c r="AO1798"/>
      <c r="AP1798"/>
      <c r="AQ1798"/>
      <c r="AR1798"/>
      <c r="AS1798"/>
      <c r="AT1798"/>
      <c r="AU1798"/>
      <c r="AV1798"/>
      <c r="AW1798"/>
      <c r="AX1798"/>
      <c r="AY1798"/>
      <c r="AZ1798"/>
      <c r="BA1798"/>
      <c r="BB1798"/>
      <c r="BC1798"/>
      <c r="BD1798"/>
      <c r="BE1798"/>
      <c r="BF1798"/>
      <c r="BG1798"/>
      <c r="BH1798"/>
      <c r="BI1798"/>
      <c r="BJ1798"/>
      <c r="BK1798"/>
      <c r="BL1798"/>
      <c r="BM1798"/>
      <c r="BN1798"/>
      <c r="BO1798"/>
      <c r="BP1798"/>
      <c r="BQ1798"/>
      <c r="BR1798"/>
      <c r="BS1798"/>
      <c r="BT1798"/>
      <c r="BU1798"/>
      <c r="BV1798"/>
      <c r="BW1798"/>
      <c r="BX1798"/>
      <c r="BY1798"/>
      <c r="BZ1798"/>
      <c r="CA1798"/>
      <c r="CB1798"/>
      <c r="CC1798"/>
      <c r="CD1798"/>
      <c r="CE1798"/>
      <c r="CF1798"/>
      <c r="CG1798"/>
      <c r="CH1798"/>
      <c r="CI1798"/>
      <c r="CJ1798"/>
      <c r="CK1798"/>
      <c r="CL1798"/>
      <c r="CM1798"/>
      <c r="CN1798"/>
      <c r="CO1798"/>
      <c r="CP1798"/>
      <c r="CQ1798"/>
      <c r="CR1798"/>
      <c r="CS1798"/>
    </row>
    <row r="1799" spans="2:97">
      <c r="B1799"/>
      <c r="C1799" s="1"/>
      <c r="D1799" s="1"/>
      <c r="E1799" s="1"/>
      <c r="F1799" s="1"/>
      <c r="G1799" s="1"/>
      <c r="H1799" s="1"/>
      <c r="I1799" s="1"/>
      <c r="J1799" s="1"/>
      <c r="K1799" s="1"/>
      <c r="L1799" s="1"/>
      <c r="M1799" s="1"/>
      <c r="N1799" s="1"/>
      <c r="O1799" s="1"/>
      <c r="P1799" s="1"/>
      <c r="Q1799" s="1"/>
      <c r="R1799"/>
      <c r="S1799" s="1"/>
      <c r="T1799" s="24"/>
      <c r="U1799"/>
      <c r="V1799" s="1"/>
      <c r="W1799" s="24"/>
      <c r="X1799"/>
      <c r="Y1799" s="1"/>
      <c r="Z1799" s="24"/>
      <c r="AA1799"/>
      <c r="AB1799" s="1"/>
      <c r="AC1799" s="24"/>
      <c r="AD1799"/>
      <c r="AE1799"/>
      <c r="AF1799"/>
      <c r="AG1799"/>
      <c r="AH1799"/>
      <c r="AI1799"/>
      <c r="AJ1799"/>
      <c r="AK1799"/>
      <c r="AL1799"/>
      <c r="AM1799"/>
      <c r="AN1799"/>
      <c r="AO1799"/>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c r="BR1799"/>
      <c r="BS1799"/>
      <c r="BT1799"/>
      <c r="BU1799"/>
      <c r="BV1799"/>
      <c r="BW1799"/>
      <c r="BX1799"/>
      <c r="BY1799"/>
      <c r="BZ1799"/>
      <c r="CA1799"/>
      <c r="CB1799"/>
      <c r="CC1799"/>
      <c r="CD1799"/>
      <c r="CE1799"/>
      <c r="CF1799"/>
      <c r="CG1799"/>
      <c r="CH1799"/>
      <c r="CI1799"/>
      <c r="CJ1799"/>
      <c r="CK1799"/>
      <c r="CL1799"/>
      <c r="CM1799"/>
      <c r="CN1799"/>
      <c r="CO1799"/>
      <c r="CP1799"/>
      <c r="CQ1799"/>
      <c r="CR1799"/>
      <c r="CS1799"/>
    </row>
    <row r="1800" spans="2:97">
      <c r="B1800"/>
      <c r="C1800" s="1"/>
      <c r="D1800" s="1"/>
      <c r="E1800" s="1"/>
      <c r="F1800" s="1"/>
      <c r="G1800" s="1"/>
      <c r="H1800" s="1"/>
      <c r="I1800" s="1"/>
      <c r="J1800" s="1"/>
      <c r="K1800" s="1"/>
      <c r="L1800" s="1"/>
      <c r="M1800" s="1"/>
      <c r="N1800" s="1"/>
      <c r="O1800" s="1"/>
      <c r="P1800" s="1"/>
      <c r="Q1800" s="1"/>
      <c r="R1800"/>
      <c r="S1800" s="1"/>
      <c r="T1800" s="24"/>
      <c r="U1800"/>
      <c r="V1800" s="1"/>
      <c r="W1800" s="24"/>
      <c r="X1800"/>
      <c r="Y1800" s="1"/>
      <c r="Z1800" s="24"/>
      <c r="AA1800"/>
      <c r="AB1800" s="1"/>
      <c r="AC1800" s="24"/>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c r="BR1800"/>
      <c r="BS1800"/>
      <c r="BT1800"/>
      <c r="BU1800"/>
      <c r="BV1800"/>
      <c r="BW1800"/>
      <c r="BX1800"/>
      <c r="BY1800"/>
      <c r="BZ1800"/>
      <c r="CA1800"/>
      <c r="CB1800"/>
      <c r="CC1800"/>
      <c r="CD1800"/>
      <c r="CE1800"/>
      <c r="CF1800"/>
      <c r="CG1800"/>
      <c r="CH1800"/>
      <c r="CI1800"/>
      <c r="CJ1800"/>
      <c r="CK1800"/>
      <c r="CL1800"/>
      <c r="CM1800"/>
      <c r="CN1800"/>
      <c r="CO1800"/>
      <c r="CP1800"/>
      <c r="CQ1800"/>
      <c r="CR1800"/>
      <c r="CS1800"/>
    </row>
    <row r="1801" spans="2:97">
      <c r="B1801"/>
      <c r="C1801" s="1"/>
      <c r="D1801" s="1"/>
      <c r="E1801" s="1"/>
      <c r="F1801" s="1"/>
      <c r="G1801" s="1"/>
      <c r="H1801" s="1"/>
      <c r="I1801" s="1"/>
      <c r="J1801" s="1"/>
      <c r="K1801" s="1"/>
      <c r="L1801" s="1"/>
      <c r="M1801" s="1"/>
      <c r="N1801" s="1"/>
      <c r="O1801" s="1"/>
      <c r="P1801" s="1"/>
      <c r="Q1801" s="1"/>
      <c r="R1801"/>
      <c r="S1801" s="1"/>
      <c r="T1801" s="24"/>
      <c r="U1801"/>
      <c r="V1801" s="1"/>
      <c r="W1801" s="24"/>
      <c r="X1801"/>
      <c r="Y1801" s="1"/>
      <c r="Z1801" s="24"/>
      <c r="AA1801"/>
      <c r="AB1801" s="1"/>
      <c r="AC1801" s="24"/>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c r="BI1801"/>
      <c r="BJ1801"/>
      <c r="BK1801"/>
      <c r="BL1801"/>
      <c r="BM1801"/>
      <c r="BN1801"/>
      <c r="BO1801"/>
      <c r="BP1801"/>
      <c r="BQ1801"/>
      <c r="BR1801"/>
      <c r="BS1801"/>
      <c r="BT1801"/>
      <c r="BU1801"/>
      <c r="BV1801"/>
      <c r="BW1801"/>
      <c r="BX1801"/>
      <c r="BY1801"/>
      <c r="BZ1801"/>
      <c r="CA1801"/>
      <c r="CB1801"/>
      <c r="CC1801"/>
      <c r="CD1801"/>
      <c r="CE1801"/>
      <c r="CF1801"/>
      <c r="CG1801"/>
      <c r="CH1801"/>
      <c r="CI1801"/>
      <c r="CJ1801"/>
      <c r="CK1801"/>
      <c r="CL1801"/>
      <c r="CM1801"/>
      <c r="CN1801"/>
      <c r="CO1801"/>
      <c r="CP1801"/>
      <c r="CQ1801"/>
      <c r="CR1801"/>
      <c r="CS1801"/>
    </row>
    <row r="1802" spans="2:97">
      <c r="B1802"/>
      <c r="C1802" s="1"/>
      <c r="D1802" s="1"/>
      <c r="E1802" s="1"/>
      <c r="F1802" s="1"/>
      <c r="G1802" s="1"/>
      <c r="H1802" s="1"/>
      <c r="I1802" s="1"/>
      <c r="J1802" s="1"/>
      <c r="K1802" s="1"/>
      <c r="L1802" s="1"/>
      <c r="M1802" s="1"/>
      <c r="N1802" s="1"/>
      <c r="O1802" s="1"/>
      <c r="P1802" s="1"/>
      <c r="Q1802" s="1"/>
      <c r="R1802"/>
      <c r="S1802" s="1"/>
      <c r="T1802" s="24"/>
      <c r="U1802"/>
      <c r="V1802" s="1"/>
      <c r="W1802" s="24"/>
      <c r="X1802"/>
      <c r="Y1802" s="1"/>
      <c r="Z1802" s="24"/>
      <c r="AA1802"/>
      <c r="AB1802" s="1"/>
      <c r="AC1802" s="24"/>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c r="BM1802"/>
      <c r="BN1802"/>
      <c r="BO1802"/>
      <c r="BP1802"/>
      <c r="BQ1802"/>
      <c r="BR1802"/>
      <c r="BS1802"/>
      <c r="BT1802"/>
      <c r="BU1802"/>
      <c r="BV1802"/>
      <c r="BW1802"/>
      <c r="BX1802"/>
      <c r="BY1802"/>
      <c r="BZ1802"/>
      <c r="CA1802"/>
      <c r="CB1802"/>
      <c r="CC1802"/>
      <c r="CD1802"/>
      <c r="CE1802"/>
      <c r="CF1802"/>
      <c r="CG1802"/>
      <c r="CH1802"/>
      <c r="CI1802"/>
      <c r="CJ1802"/>
      <c r="CK1802"/>
      <c r="CL1802"/>
      <c r="CM1802"/>
      <c r="CN1802"/>
      <c r="CO1802"/>
      <c r="CP1802"/>
      <c r="CQ1802"/>
      <c r="CR1802"/>
      <c r="CS1802"/>
    </row>
    <row r="1803" spans="2:97">
      <c r="B1803"/>
      <c r="C1803" s="1"/>
      <c r="D1803" s="1"/>
      <c r="E1803" s="1"/>
      <c r="F1803" s="1"/>
      <c r="G1803" s="1"/>
      <c r="H1803" s="1"/>
      <c r="I1803" s="1"/>
      <c r="J1803" s="1"/>
      <c r="K1803" s="1"/>
      <c r="L1803" s="1"/>
      <c r="M1803" s="1"/>
      <c r="N1803" s="1"/>
      <c r="O1803" s="1"/>
      <c r="P1803" s="1"/>
      <c r="Q1803" s="1"/>
      <c r="R1803"/>
      <c r="S1803" s="1"/>
      <c r="T1803" s="24"/>
      <c r="U1803"/>
      <c r="V1803" s="1"/>
      <c r="W1803" s="24"/>
      <c r="X1803"/>
      <c r="Y1803" s="1"/>
      <c r="Z1803" s="24"/>
      <c r="AA1803"/>
      <c r="AB1803" s="1"/>
      <c r="AC1803" s="24"/>
      <c r="AD1803"/>
      <c r="AE1803"/>
      <c r="AF1803"/>
      <c r="AG1803"/>
      <c r="AH1803"/>
      <c r="AI1803"/>
      <c r="AJ1803"/>
      <c r="AK1803"/>
      <c r="AL1803"/>
      <c r="AM1803"/>
      <c r="AN1803"/>
      <c r="AO1803"/>
      <c r="AP1803"/>
      <c r="AQ1803"/>
      <c r="AR1803"/>
      <c r="AS1803"/>
      <c r="AT1803"/>
      <c r="AU1803"/>
      <c r="AV1803"/>
      <c r="AW1803"/>
      <c r="AX1803"/>
      <c r="AY1803"/>
      <c r="AZ1803"/>
      <c r="BA1803"/>
      <c r="BB1803"/>
      <c r="BC1803"/>
      <c r="BD1803"/>
      <c r="BE1803"/>
      <c r="BF1803"/>
      <c r="BG1803"/>
      <c r="BH1803"/>
      <c r="BI1803"/>
      <c r="BJ1803"/>
      <c r="BK1803"/>
      <c r="BL1803"/>
      <c r="BM1803"/>
      <c r="BN1803"/>
      <c r="BO1803"/>
      <c r="BP1803"/>
      <c r="BQ1803"/>
      <c r="BR1803"/>
      <c r="BS1803"/>
      <c r="BT1803"/>
      <c r="BU1803"/>
      <c r="BV1803"/>
      <c r="BW1803"/>
      <c r="BX1803"/>
      <c r="BY1803"/>
      <c r="BZ1803"/>
      <c r="CA1803"/>
      <c r="CB1803"/>
      <c r="CC1803"/>
      <c r="CD1803"/>
      <c r="CE1803"/>
      <c r="CF1803"/>
      <c r="CG1803"/>
      <c r="CH1803"/>
      <c r="CI1803"/>
      <c r="CJ1803"/>
      <c r="CK1803"/>
      <c r="CL1803"/>
      <c r="CM1803"/>
      <c r="CN1803"/>
      <c r="CO1803"/>
      <c r="CP1803"/>
      <c r="CQ1803"/>
      <c r="CR1803"/>
      <c r="CS1803"/>
    </row>
    <row r="1804" spans="2:97">
      <c r="B1804"/>
      <c r="C1804" s="1"/>
      <c r="D1804" s="1"/>
      <c r="E1804" s="1"/>
      <c r="F1804" s="1"/>
      <c r="G1804" s="1"/>
      <c r="H1804" s="1"/>
      <c r="I1804" s="1"/>
      <c r="J1804" s="1"/>
      <c r="K1804" s="1"/>
      <c r="L1804" s="1"/>
      <c r="M1804" s="1"/>
      <c r="N1804" s="1"/>
      <c r="O1804" s="1"/>
      <c r="P1804" s="1"/>
      <c r="Q1804" s="1"/>
      <c r="R1804"/>
      <c r="S1804" s="1"/>
      <c r="T1804" s="24"/>
      <c r="U1804"/>
      <c r="V1804" s="1"/>
      <c r="W1804" s="24"/>
      <c r="X1804"/>
      <c r="Y1804" s="1"/>
      <c r="Z1804" s="24"/>
      <c r="AA1804"/>
      <c r="AB1804" s="1"/>
      <c r="AC1804" s="2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c r="BM1804"/>
      <c r="BN1804"/>
      <c r="BO1804"/>
      <c r="BP1804"/>
      <c r="BQ1804"/>
      <c r="BR1804"/>
      <c r="BS1804"/>
      <c r="BT1804"/>
      <c r="BU1804"/>
      <c r="BV1804"/>
      <c r="BW1804"/>
      <c r="BX1804"/>
      <c r="BY1804"/>
      <c r="BZ1804"/>
      <c r="CA1804"/>
      <c r="CB1804"/>
      <c r="CC1804"/>
      <c r="CD1804"/>
      <c r="CE1804"/>
      <c r="CF1804"/>
      <c r="CG1804"/>
      <c r="CH1804"/>
      <c r="CI1804"/>
      <c r="CJ1804"/>
      <c r="CK1804"/>
      <c r="CL1804"/>
      <c r="CM1804"/>
      <c r="CN1804"/>
      <c r="CO1804"/>
      <c r="CP1804"/>
      <c r="CQ1804"/>
      <c r="CR1804"/>
      <c r="CS1804"/>
    </row>
    <row r="1805" spans="2:97">
      <c r="B1805"/>
      <c r="C1805" s="1"/>
      <c r="D1805" s="1"/>
      <c r="E1805" s="1"/>
      <c r="F1805" s="1"/>
      <c r="G1805" s="1"/>
      <c r="H1805" s="1"/>
      <c r="I1805" s="1"/>
      <c r="J1805" s="1"/>
      <c r="K1805" s="1"/>
      <c r="L1805" s="1"/>
      <c r="M1805" s="1"/>
      <c r="N1805" s="1"/>
      <c r="O1805" s="1"/>
      <c r="P1805" s="1"/>
      <c r="Q1805" s="1"/>
      <c r="R1805"/>
      <c r="S1805" s="1"/>
      <c r="T1805" s="24"/>
      <c r="U1805"/>
      <c r="V1805" s="1"/>
      <c r="W1805" s="24"/>
      <c r="X1805"/>
      <c r="Y1805" s="1"/>
      <c r="Z1805" s="24"/>
      <c r="AA1805"/>
      <c r="AB1805" s="1"/>
      <c r="AC1805" s="24"/>
      <c r="AD1805"/>
      <c r="AE1805"/>
      <c r="AF1805"/>
      <c r="AG1805"/>
      <c r="AH1805"/>
      <c r="AI1805"/>
      <c r="AJ1805"/>
      <c r="AK1805"/>
      <c r="AL1805"/>
      <c r="AM1805"/>
      <c r="AN1805"/>
      <c r="AO1805"/>
      <c r="AP1805"/>
      <c r="AQ1805"/>
      <c r="AR1805"/>
      <c r="AS1805"/>
      <c r="AT1805"/>
      <c r="AU1805"/>
      <c r="AV1805"/>
      <c r="AW1805"/>
      <c r="AX1805"/>
      <c r="AY1805"/>
      <c r="AZ1805"/>
      <c r="BA1805"/>
      <c r="BB1805"/>
      <c r="BC1805"/>
      <c r="BD1805"/>
      <c r="BE1805"/>
      <c r="BF1805"/>
      <c r="BG1805"/>
      <c r="BH1805"/>
      <c r="BI1805"/>
      <c r="BJ1805"/>
      <c r="BK1805"/>
      <c r="BL1805"/>
      <c r="BM1805"/>
      <c r="BN1805"/>
      <c r="BO1805"/>
      <c r="BP1805"/>
      <c r="BQ1805"/>
      <c r="BR1805"/>
      <c r="BS1805"/>
      <c r="BT1805"/>
      <c r="BU1805"/>
      <c r="BV1805"/>
      <c r="BW1805"/>
      <c r="BX1805"/>
      <c r="BY1805"/>
      <c r="BZ1805"/>
      <c r="CA1805"/>
      <c r="CB1805"/>
      <c r="CC1805"/>
      <c r="CD1805"/>
      <c r="CE1805"/>
      <c r="CF1805"/>
      <c r="CG1805"/>
      <c r="CH1805"/>
      <c r="CI1805"/>
      <c r="CJ1805"/>
      <c r="CK1805"/>
      <c r="CL1805"/>
      <c r="CM1805"/>
      <c r="CN1805"/>
      <c r="CO1805"/>
      <c r="CP1805"/>
      <c r="CQ1805"/>
      <c r="CR1805"/>
      <c r="CS1805"/>
    </row>
    <row r="1806" spans="2:97">
      <c r="B1806"/>
      <c r="C1806" s="1"/>
      <c r="D1806" s="1"/>
      <c r="E1806" s="1"/>
      <c r="F1806" s="1"/>
      <c r="G1806" s="1"/>
      <c r="H1806" s="1"/>
      <c r="I1806" s="1"/>
      <c r="J1806" s="1"/>
      <c r="K1806" s="1"/>
      <c r="L1806" s="1"/>
      <c r="M1806" s="1"/>
      <c r="N1806" s="1"/>
      <c r="O1806" s="1"/>
      <c r="P1806" s="1"/>
      <c r="Q1806" s="1"/>
      <c r="R1806"/>
      <c r="S1806" s="1"/>
      <c r="T1806" s="24"/>
      <c r="U1806"/>
      <c r="V1806" s="1"/>
      <c r="W1806" s="24"/>
      <c r="X1806"/>
      <c r="Y1806" s="1"/>
      <c r="Z1806" s="24"/>
      <c r="AA1806"/>
      <c r="AB1806" s="1"/>
      <c r="AC1806" s="24"/>
      <c r="AD1806"/>
      <c r="AE1806"/>
      <c r="AF1806"/>
      <c r="AG1806"/>
      <c r="AH1806"/>
      <c r="AI1806"/>
      <c r="AJ1806"/>
      <c r="AK1806"/>
      <c r="AL1806"/>
      <c r="AM1806"/>
      <c r="AN1806"/>
      <c r="AO1806"/>
      <c r="AP1806"/>
      <c r="AQ1806"/>
      <c r="AR1806"/>
      <c r="AS1806"/>
      <c r="AT1806"/>
      <c r="AU1806"/>
      <c r="AV1806"/>
      <c r="AW1806"/>
      <c r="AX1806"/>
      <c r="AY1806"/>
      <c r="AZ1806"/>
      <c r="BA1806"/>
      <c r="BB1806"/>
      <c r="BC1806"/>
      <c r="BD1806"/>
      <c r="BE1806"/>
      <c r="BF1806"/>
      <c r="BG1806"/>
      <c r="BH1806"/>
      <c r="BI1806"/>
      <c r="BJ1806"/>
      <c r="BK1806"/>
      <c r="BL1806"/>
      <c r="BM1806"/>
      <c r="BN1806"/>
      <c r="BO1806"/>
      <c r="BP1806"/>
      <c r="BQ1806"/>
      <c r="BR1806"/>
      <c r="BS1806"/>
      <c r="BT1806"/>
      <c r="BU1806"/>
      <c r="BV1806"/>
      <c r="BW1806"/>
      <c r="BX1806"/>
      <c r="BY1806"/>
      <c r="BZ1806"/>
      <c r="CA1806"/>
      <c r="CB1806"/>
      <c r="CC1806"/>
      <c r="CD1806"/>
      <c r="CE1806"/>
      <c r="CF1806"/>
      <c r="CG1806"/>
      <c r="CH1806"/>
      <c r="CI1806"/>
      <c r="CJ1806"/>
      <c r="CK1806"/>
      <c r="CL1806"/>
      <c r="CM1806"/>
      <c r="CN1806"/>
      <c r="CO1806"/>
      <c r="CP1806"/>
      <c r="CQ1806"/>
      <c r="CR1806"/>
      <c r="CS1806"/>
    </row>
    <row r="1807" spans="2:97">
      <c r="B1807"/>
      <c r="C1807" s="1"/>
      <c r="D1807" s="1"/>
      <c r="E1807" s="1"/>
      <c r="F1807" s="1"/>
      <c r="G1807" s="1"/>
      <c r="H1807" s="1"/>
      <c r="I1807" s="1"/>
      <c r="J1807" s="1"/>
      <c r="K1807" s="1"/>
      <c r="L1807" s="1"/>
      <c r="M1807" s="1"/>
      <c r="N1807" s="1"/>
      <c r="O1807" s="1"/>
      <c r="P1807" s="1"/>
      <c r="Q1807" s="1"/>
      <c r="R1807"/>
      <c r="S1807" s="1"/>
      <c r="T1807" s="24"/>
      <c r="U1807"/>
      <c r="V1807" s="1"/>
      <c r="W1807" s="24"/>
      <c r="X1807"/>
      <c r="Y1807" s="1"/>
      <c r="Z1807" s="24"/>
      <c r="AA1807"/>
      <c r="AB1807" s="1"/>
      <c r="AC1807" s="24"/>
      <c r="AD1807"/>
      <c r="AE1807"/>
      <c r="AF1807"/>
      <c r="AG1807"/>
      <c r="AH1807"/>
      <c r="AI1807"/>
      <c r="AJ1807"/>
      <c r="AK1807"/>
      <c r="AL1807"/>
      <c r="AM1807"/>
      <c r="AN1807"/>
      <c r="AO1807"/>
      <c r="AP1807"/>
      <c r="AQ1807"/>
      <c r="AR1807"/>
      <c r="AS1807"/>
      <c r="AT1807"/>
      <c r="AU1807"/>
      <c r="AV1807"/>
      <c r="AW1807"/>
      <c r="AX1807"/>
      <c r="AY1807"/>
      <c r="AZ1807"/>
      <c r="BA1807"/>
      <c r="BB1807"/>
      <c r="BC1807"/>
      <c r="BD1807"/>
      <c r="BE1807"/>
      <c r="BF1807"/>
      <c r="BG1807"/>
      <c r="BH1807"/>
      <c r="BI1807"/>
      <c r="BJ1807"/>
      <c r="BK1807"/>
      <c r="BL1807"/>
      <c r="BM1807"/>
      <c r="BN1807"/>
      <c r="BO1807"/>
      <c r="BP1807"/>
      <c r="BQ1807"/>
      <c r="BR1807"/>
      <c r="BS1807"/>
      <c r="BT1807"/>
      <c r="BU1807"/>
      <c r="BV1807"/>
      <c r="BW1807"/>
      <c r="BX1807"/>
      <c r="BY1807"/>
      <c r="BZ1807"/>
      <c r="CA1807"/>
      <c r="CB1807"/>
      <c r="CC1807"/>
      <c r="CD1807"/>
      <c r="CE1807"/>
      <c r="CF1807"/>
      <c r="CG1807"/>
      <c r="CH1807"/>
      <c r="CI1807"/>
      <c r="CJ1807"/>
      <c r="CK1807"/>
      <c r="CL1807"/>
      <c r="CM1807"/>
      <c r="CN1807"/>
      <c r="CO1807"/>
      <c r="CP1807"/>
      <c r="CQ1807"/>
      <c r="CR1807"/>
      <c r="CS1807"/>
    </row>
    <row r="1808" spans="2:97">
      <c r="B1808"/>
      <c r="C1808" s="1"/>
      <c r="D1808" s="1"/>
      <c r="E1808" s="1"/>
      <c r="F1808" s="1"/>
      <c r="G1808" s="1"/>
      <c r="H1808" s="1"/>
      <c r="I1808" s="1"/>
      <c r="J1808" s="1"/>
      <c r="K1808" s="1"/>
      <c r="L1808" s="1"/>
      <c r="M1808" s="1"/>
      <c r="N1808" s="1"/>
      <c r="O1808" s="1"/>
      <c r="P1808" s="1"/>
      <c r="Q1808" s="1"/>
      <c r="R1808"/>
      <c r="S1808" s="1"/>
      <c r="T1808" s="24"/>
      <c r="U1808"/>
      <c r="V1808" s="1"/>
      <c r="W1808" s="24"/>
      <c r="X1808"/>
      <c r="Y1808" s="1"/>
      <c r="Z1808" s="24"/>
      <c r="AA1808"/>
      <c r="AB1808" s="1"/>
      <c r="AC1808" s="24"/>
      <c r="AD1808"/>
      <c r="AE1808"/>
      <c r="AF1808"/>
      <c r="AG1808"/>
      <c r="AH1808"/>
      <c r="AI1808"/>
      <c r="AJ1808"/>
      <c r="AK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c r="BR1808"/>
      <c r="BS1808"/>
      <c r="BT1808"/>
      <c r="BU1808"/>
      <c r="BV1808"/>
      <c r="BW1808"/>
      <c r="BX1808"/>
      <c r="BY1808"/>
      <c r="BZ1808"/>
      <c r="CA1808"/>
      <c r="CB1808"/>
      <c r="CC1808"/>
      <c r="CD1808"/>
      <c r="CE1808"/>
      <c r="CF1808"/>
      <c r="CG1808"/>
      <c r="CH1808"/>
      <c r="CI1808"/>
      <c r="CJ1808"/>
      <c r="CK1808"/>
      <c r="CL1808"/>
      <c r="CM1808"/>
      <c r="CN1808"/>
      <c r="CO1808"/>
      <c r="CP1808"/>
      <c r="CQ1808"/>
      <c r="CR1808"/>
      <c r="CS1808"/>
    </row>
    <row r="1809" spans="2:97">
      <c r="B1809"/>
      <c r="C1809" s="1"/>
      <c r="D1809" s="1"/>
      <c r="E1809" s="1"/>
      <c r="F1809" s="1"/>
      <c r="G1809" s="1"/>
      <c r="H1809" s="1"/>
      <c r="I1809" s="1"/>
      <c r="J1809" s="1"/>
      <c r="K1809" s="1"/>
      <c r="L1809" s="1"/>
      <c r="M1809" s="1"/>
      <c r="N1809" s="1"/>
      <c r="O1809" s="1"/>
      <c r="P1809" s="1"/>
      <c r="Q1809" s="1"/>
      <c r="R1809"/>
      <c r="S1809" s="1"/>
      <c r="T1809" s="24"/>
      <c r="U1809"/>
      <c r="V1809" s="1"/>
      <c r="W1809" s="24"/>
      <c r="X1809"/>
      <c r="Y1809" s="1"/>
      <c r="Z1809" s="24"/>
      <c r="AA1809"/>
      <c r="AB1809" s="1"/>
      <c r="AC1809" s="24"/>
      <c r="AD1809"/>
      <c r="AE1809"/>
      <c r="AF1809"/>
      <c r="AG1809"/>
      <c r="AH1809"/>
      <c r="AI1809"/>
      <c r="AJ1809"/>
      <c r="AK1809"/>
      <c r="AL1809"/>
      <c r="AM1809"/>
      <c r="AN1809"/>
      <c r="AO1809"/>
      <c r="AP1809"/>
      <c r="AQ1809"/>
      <c r="AR1809"/>
      <c r="AS1809"/>
      <c r="AT1809"/>
      <c r="AU1809"/>
      <c r="AV1809"/>
      <c r="AW1809"/>
      <c r="AX1809"/>
      <c r="AY1809"/>
      <c r="AZ1809"/>
      <c r="BA1809"/>
      <c r="BB1809"/>
      <c r="BC1809"/>
      <c r="BD1809"/>
      <c r="BE1809"/>
      <c r="BF1809"/>
      <c r="BG1809"/>
      <c r="BH1809"/>
      <c r="BI1809"/>
      <c r="BJ1809"/>
      <c r="BK1809"/>
      <c r="BL1809"/>
      <c r="BM1809"/>
      <c r="BN1809"/>
      <c r="BO1809"/>
      <c r="BP1809"/>
      <c r="BQ1809"/>
      <c r="BR1809"/>
      <c r="BS1809"/>
      <c r="BT1809"/>
      <c r="BU1809"/>
      <c r="BV1809"/>
      <c r="BW1809"/>
      <c r="BX1809"/>
      <c r="BY1809"/>
      <c r="BZ1809"/>
      <c r="CA1809"/>
      <c r="CB1809"/>
      <c r="CC1809"/>
      <c r="CD1809"/>
      <c r="CE1809"/>
      <c r="CF1809"/>
      <c r="CG1809"/>
      <c r="CH1809"/>
      <c r="CI1809"/>
      <c r="CJ1809"/>
      <c r="CK1809"/>
      <c r="CL1809"/>
      <c r="CM1809"/>
      <c r="CN1809"/>
      <c r="CO1809"/>
      <c r="CP1809"/>
      <c r="CQ1809"/>
      <c r="CR1809"/>
      <c r="CS1809"/>
    </row>
    <row r="1810" spans="2:97">
      <c r="B1810"/>
      <c r="C1810" s="1"/>
      <c r="D1810" s="1"/>
      <c r="E1810" s="1"/>
      <c r="F1810" s="1"/>
      <c r="G1810" s="1"/>
      <c r="H1810" s="1"/>
      <c r="I1810" s="1"/>
      <c r="J1810" s="1"/>
      <c r="K1810" s="1"/>
      <c r="L1810" s="1"/>
      <c r="M1810" s="1"/>
      <c r="N1810" s="1"/>
      <c r="O1810" s="1"/>
      <c r="P1810" s="1"/>
      <c r="Q1810" s="1"/>
      <c r="R1810"/>
      <c r="S1810" s="1"/>
      <c r="T1810" s="24"/>
      <c r="U1810"/>
      <c r="V1810" s="1"/>
      <c r="W1810" s="24"/>
      <c r="X1810"/>
      <c r="Y1810" s="1"/>
      <c r="Z1810" s="24"/>
      <c r="AA1810"/>
      <c r="AB1810" s="1"/>
      <c r="AC1810" s="24"/>
      <c r="AD1810"/>
      <c r="AE1810"/>
      <c r="AF1810"/>
      <c r="AG1810"/>
      <c r="AH1810"/>
      <c r="AI1810"/>
      <c r="AJ1810"/>
      <c r="AK1810"/>
      <c r="AL1810"/>
      <c r="AM1810"/>
      <c r="AN1810"/>
      <c r="AO1810"/>
      <c r="AP1810"/>
      <c r="AQ1810"/>
      <c r="AR1810"/>
      <c r="AS1810"/>
      <c r="AT1810"/>
      <c r="AU1810"/>
      <c r="AV1810"/>
      <c r="AW1810"/>
      <c r="AX1810"/>
      <c r="AY1810"/>
      <c r="AZ1810"/>
      <c r="BA1810"/>
      <c r="BB1810"/>
      <c r="BC1810"/>
      <c r="BD1810"/>
      <c r="BE1810"/>
      <c r="BF1810"/>
      <c r="BG1810"/>
      <c r="BH1810"/>
      <c r="BI1810"/>
      <c r="BJ1810"/>
      <c r="BK1810"/>
      <c r="BL1810"/>
      <c r="BM1810"/>
      <c r="BN1810"/>
      <c r="BO1810"/>
      <c r="BP1810"/>
      <c r="BQ1810"/>
      <c r="BR1810"/>
      <c r="BS1810"/>
      <c r="BT1810"/>
      <c r="BU1810"/>
      <c r="BV1810"/>
      <c r="BW1810"/>
      <c r="BX1810"/>
      <c r="BY1810"/>
      <c r="BZ1810"/>
      <c r="CA1810"/>
      <c r="CB1810"/>
      <c r="CC1810"/>
      <c r="CD1810"/>
      <c r="CE1810"/>
      <c r="CF1810"/>
      <c r="CG1810"/>
      <c r="CH1810"/>
      <c r="CI1810"/>
      <c r="CJ1810"/>
      <c r="CK1810"/>
      <c r="CL1810"/>
      <c r="CM1810"/>
      <c r="CN1810"/>
      <c r="CO1810"/>
      <c r="CP1810"/>
      <c r="CQ1810"/>
      <c r="CR1810"/>
      <c r="CS1810"/>
    </row>
    <row r="1811" spans="2:97">
      <c r="B1811"/>
      <c r="C1811" s="1"/>
      <c r="D1811" s="1"/>
      <c r="E1811" s="1"/>
      <c r="F1811" s="1"/>
      <c r="G1811" s="1"/>
      <c r="H1811" s="1"/>
      <c r="I1811" s="1"/>
      <c r="J1811" s="1"/>
      <c r="K1811" s="1"/>
      <c r="L1811" s="1"/>
      <c r="M1811" s="1"/>
      <c r="N1811" s="1"/>
      <c r="O1811" s="1"/>
      <c r="P1811" s="1"/>
      <c r="Q1811" s="1"/>
      <c r="R1811"/>
      <c r="S1811" s="1"/>
      <c r="T1811" s="24"/>
      <c r="U1811"/>
      <c r="V1811" s="1"/>
      <c r="W1811" s="24"/>
      <c r="X1811"/>
      <c r="Y1811" s="1"/>
      <c r="Z1811" s="24"/>
      <c r="AA1811"/>
      <c r="AB1811" s="1"/>
      <c r="AC1811" s="24"/>
      <c r="AD1811"/>
      <c r="AE1811"/>
      <c r="AF1811"/>
      <c r="AG1811"/>
      <c r="AH1811"/>
      <c r="AI1811"/>
      <c r="AJ1811"/>
      <c r="AK1811"/>
      <c r="AL1811"/>
      <c r="AM1811"/>
      <c r="AN1811"/>
      <c r="AO1811"/>
      <c r="AP1811"/>
      <c r="AQ1811"/>
      <c r="AR1811"/>
      <c r="AS1811"/>
      <c r="AT1811"/>
      <c r="AU1811"/>
      <c r="AV1811"/>
      <c r="AW1811"/>
      <c r="AX1811"/>
      <c r="AY1811"/>
      <c r="AZ1811"/>
      <c r="BA1811"/>
      <c r="BB1811"/>
      <c r="BC1811"/>
      <c r="BD1811"/>
      <c r="BE1811"/>
      <c r="BF1811"/>
      <c r="BG1811"/>
      <c r="BH1811"/>
      <c r="BI1811"/>
      <c r="BJ1811"/>
      <c r="BK1811"/>
      <c r="BL1811"/>
      <c r="BM1811"/>
      <c r="BN1811"/>
      <c r="BO1811"/>
      <c r="BP1811"/>
      <c r="BQ1811"/>
      <c r="BR1811"/>
      <c r="BS1811"/>
      <c r="BT1811"/>
      <c r="BU1811"/>
      <c r="BV1811"/>
      <c r="BW1811"/>
      <c r="BX1811"/>
      <c r="BY1811"/>
      <c r="BZ1811"/>
      <c r="CA1811"/>
      <c r="CB1811"/>
      <c r="CC1811"/>
      <c r="CD1811"/>
      <c r="CE1811"/>
      <c r="CF1811"/>
      <c r="CG1811"/>
      <c r="CH1811"/>
      <c r="CI1811"/>
      <c r="CJ1811"/>
      <c r="CK1811"/>
      <c r="CL1811"/>
      <c r="CM1811"/>
      <c r="CN1811"/>
      <c r="CO1811"/>
      <c r="CP1811"/>
      <c r="CQ1811"/>
      <c r="CR1811"/>
      <c r="CS1811"/>
    </row>
    <row r="1812" spans="2:97">
      <c r="B1812"/>
      <c r="C1812" s="1"/>
      <c r="D1812" s="1"/>
      <c r="E1812" s="1"/>
      <c r="F1812" s="1"/>
      <c r="G1812" s="1"/>
      <c r="H1812" s="1"/>
      <c r="I1812" s="1"/>
      <c r="J1812" s="1"/>
      <c r="K1812" s="1"/>
      <c r="L1812" s="1"/>
      <c r="M1812" s="1"/>
      <c r="N1812" s="1"/>
      <c r="O1812" s="1"/>
      <c r="P1812" s="1"/>
      <c r="Q1812" s="1"/>
      <c r="R1812"/>
      <c r="S1812" s="1"/>
      <c r="T1812" s="24"/>
      <c r="U1812"/>
      <c r="V1812" s="1"/>
      <c r="W1812" s="24"/>
      <c r="X1812"/>
      <c r="Y1812" s="1"/>
      <c r="Z1812" s="24"/>
      <c r="AA1812"/>
      <c r="AB1812" s="1"/>
      <c r="AC1812" s="24"/>
      <c r="AD1812"/>
      <c r="AE1812"/>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c r="BM1812"/>
      <c r="BN1812"/>
      <c r="BO1812"/>
      <c r="BP1812"/>
      <c r="BQ1812"/>
      <c r="BR1812"/>
      <c r="BS1812"/>
      <c r="BT1812"/>
      <c r="BU1812"/>
      <c r="BV1812"/>
      <c r="BW1812"/>
      <c r="BX1812"/>
      <c r="BY1812"/>
      <c r="BZ1812"/>
      <c r="CA1812"/>
      <c r="CB1812"/>
      <c r="CC1812"/>
      <c r="CD1812"/>
      <c r="CE1812"/>
      <c r="CF1812"/>
      <c r="CG1812"/>
      <c r="CH1812"/>
      <c r="CI1812"/>
      <c r="CJ1812"/>
      <c r="CK1812"/>
      <c r="CL1812"/>
      <c r="CM1812"/>
      <c r="CN1812"/>
      <c r="CO1812"/>
      <c r="CP1812"/>
      <c r="CQ1812"/>
      <c r="CR1812"/>
      <c r="CS1812"/>
    </row>
    <row r="1813" spans="2:97">
      <c r="B1813"/>
      <c r="C1813" s="1"/>
      <c r="D1813" s="1"/>
      <c r="E1813" s="1"/>
      <c r="F1813" s="1"/>
      <c r="G1813" s="1"/>
      <c r="H1813" s="1"/>
      <c r="I1813" s="1"/>
      <c r="J1813" s="1"/>
      <c r="K1813" s="1"/>
      <c r="L1813" s="1"/>
      <c r="M1813" s="1"/>
      <c r="N1813" s="1"/>
      <c r="O1813" s="1"/>
      <c r="P1813" s="1"/>
      <c r="Q1813" s="1"/>
      <c r="R1813"/>
      <c r="S1813" s="1"/>
      <c r="T1813" s="24"/>
      <c r="U1813"/>
      <c r="V1813" s="1"/>
      <c r="W1813" s="24"/>
      <c r="X1813"/>
      <c r="Y1813" s="1"/>
      <c r="Z1813" s="24"/>
      <c r="AA1813"/>
      <c r="AB1813" s="1"/>
      <c r="AC1813" s="24"/>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c r="BP1813"/>
      <c r="BQ1813"/>
      <c r="BR1813"/>
      <c r="BS1813"/>
      <c r="BT1813"/>
      <c r="BU1813"/>
      <c r="BV1813"/>
      <c r="BW1813"/>
      <c r="BX1813"/>
      <c r="BY1813"/>
      <c r="BZ1813"/>
      <c r="CA1813"/>
      <c r="CB1813"/>
      <c r="CC1813"/>
      <c r="CD1813"/>
      <c r="CE1813"/>
      <c r="CF1813"/>
      <c r="CG1813"/>
      <c r="CH1813"/>
      <c r="CI1813"/>
      <c r="CJ1813"/>
      <c r="CK1813"/>
      <c r="CL1813"/>
      <c r="CM1813"/>
      <c r="CN1813"/>
      <c r="CO1813"/>
      <c r="CP1813"/>
      <c r="CQ1813"/>
      <c r="CR1813"/>
      <c r="CS1813"/>
    </row>
    <row r="1814" spans="2:97">
      <c r="B1814"/>
      <c r="C1814" s="1"/>
      <c r="D1814" s="1"/>
      <c r="E1814" s="1"/>
      <c r="F1814" s="1"/>
      <c r="G1814" s="1"/>
      <c r="H1814" s="1"/>
      <c r="I1814" s="1"/>
      <c r="J1814" s="1"/>
      <c r="K1814" s="1"/>
      <c r="L1814" s="1"/>
      <c r="M1814" s="1"/>
      <c r="N1814" s="1"/>
      <c r="O1814" s="1"/>
      <c r="P1814" s="1"/>
      <c r="Q1814" s="1"/>
      <c r="R1814"/>
      <c r="S1814" s="1"/>
      <c r="T1814" s="24"/>
      <c r="U1814"/>
      <c r="V1814" s="1"/>
      <c r="W1814" s="24"/>
      <c r="X1814"/>
      <c r="Y1814" s="1"/>
      <c r="Z1814" s="24"/>
      <c r="AA1814"/>
      <c r="AB1814" s="1"/>
      <c r="AC1814" s="2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c r="BM1814"/>
      <c r="BN1814"/>
      <c r="BO1814"/>
      <c r="BP1814"/>
      <c r="BQ1814"/>
      <c r="BR1814"/>
      <c r="BS1814"/>
      <c r="BT1814"/>
      <c r="BU1814"/>
      <c r="BV1814"/>
      <c r="BW1814"/>
      <c r="BX1814"/>
      <c r="BY1814"/>
      <c r="BZ1814"/>
      <c r="CA1814"/>
      <c r="CB1814"/>
      <c r="CC1814"/>
      <c r="CD1814"/>
      <c r="CE1814"/>
      <c r="CF1814"/>
      <c r="CG1814"/>
      <c r="CH1814"/>
      <c r="CI1814"/>
      <c r="CJ1814"/>
      <c r="CK1814"/>
      <c r="CL1814"/>
      <c r="CM1814"/>
      <c r="CN1814"/>
      <c r="CO1814"/>
      <c r="CP1814"/>
      <c r="CQ1814"/>
      <c r="CR1814"/>
      <c r="CS1814"/>
    </row>
    <row r="1815" spans="2:97">
      <c r="B1815"/>
      <c r="C1815" s="1"/>
      <c r="D1815" s="1"/>
      <c r="E1815" s="1"/>
      <c r="F1815" s="1"/>
      <c r="G1815" s="1"/>
      <c r="H1815" s="1"/>
      <c r="I1815" s="1"/>
      <c r="J1815" s="1"/>
      <c r="K1815" s="1"/>
      <c r="L1815" s="1"/>
      <c r="M1815" s="1"/>
      <c r="N1815" s="1"/>
      <c r="O1815" s="1"/>
      <c r="P1815" s="1"/>
      <c r="Q1815" s="1"/>
      <c r="R1815"/>
      <c r="S1815" s="1"/>
      <c r="T1815" s="24"/>
      <c r="U1815"/>
      <c r="V1815" s="1"/>
      <c r="W1815" s="24"/>
      <c r="X1815"/>
      <c r="Y1815" s="1"/>
      <c r="Z1815" s="24"/>
      <c r="AA1815"/>
      <c r="AB1815" s="1"/>
      <c r="AC1815" s="24"/>
      <c r="AD1815"/>
      <c r="AE1815"/>
      <c r="AF1815"/>
      <c r="AG1815"/>
      <c r="AH1815"/>
      <c r="AI1815"/>
      <c r="AJ1815"/>
      <c r="AK1815"/>
      <c r="AL1815"/>
      <c r="AM1815"/>
      <c r="AN1815"/>
      <c r="AO1815"/>
      <c r="AP1815"/>
      <c r="AQ1815"/>
      <c r="AR1815"/>
      <c r="AS1815"/>
      <c r="AT1815"/>
      <c r="AU1815"/>
      <c r="AV1815"/>
      <c r="AW1815"/>
      <c r="AX1815"/>
      <c r="AY1815"/>
      <c r="AZ1815"/>
      <c r="BA1815"/>
      <c r="BB1815"/>
      <c r="BC1815"/>
      <c r="BD1815"/>
      <c r="BE1815"/>
      <c r="BF1815"/>
      <c r="BG1815"/>
      <c r="BH1815"/>
      <c r="BI1815"/>
      <c r="BJ1815"/>
      <c r="BK1815"/>
      <c r="BL1815"/>
      <c r="BM1815"/>
      <c r="BN1815"/>
      <c r="BO1815"/>
      <c r="BP1815"/>
      <c r="BQ1815"/>
      <c r="BR1815"/>
      <c r="BS1815"/>
      <c r="BT1815"/>
      <c r="BU1815"/>
      <c r="BV1815"/>
      <c r="BW1815"/>
      <c r="BX1815"/>
      <c r="BY1815"/>
      <c r="BZ1815"/>
      <c r="CA1815"/>
      <c r="CB1815"/>
      <c r="CC1815"/>
      <c r="CD1815"/>
      <c r="CE1815"/>
      <c r="CF1815"/>
      <c r="CG1815"/>
      <c r="CH1815"/>
      <c r="CI1815"/>
      <c r="CJ1815"/>
      <c r="CK1815"/>
      <c r="CL1815"/>
      <c r="CM1815"/>
      <c r="CN1815"/>
      <c r="CO1815"/>
      <c r="CP1815"/>
      <c r="CQ1815"/>
      <c r="CR1815"/>
      <c r="CS1815"/>
    </row>
    <row r="1816" spans="2:97">
      <c r="B1816"/>
      <c r="C1816" s="1"/>
      <c r="D1816" s="1"/>
      <c r="E1816" s="1"/>
      <c r="F1816" s="1"/>
      <c r="G1816" s="1"/>
      <c r="H1816" s="1"/>
      <c r="I1816" s="1"/>
      <c r="J1816" s="1"/>
      <c r="K1816" s="1"/>
      <c r="L1816" s="1"/>
      <c r="M1816" s="1"/>
      <c r="N1816" s="1"/>
      <c r="O1816" s="1"/>
      <c r="P1816" s="1"/>
      <c r="Q1816" s="1"/>
      <c r="R1816"/>
      <c r="S1816" s="1"/>
      <c r="T1816" s="24"/>
      <c r="U1816"/>
      <c r="V1816" s="1"/>
      <c r="W1816" s="24"/>
      <c r="X1816"/>
      <c r="Y1816" s="1"/>
      <c r="Z1816" s="24"/>
      <c r="AA1816"/>
      <c r="AB1816" s="1"/>
      <c r="AC1816" s="24"/>
      <c r="AD1816"/>
      <c r="AE1816"/>
      <c r="AF1816"/>
      <c r="AG1816"/>
      <c r="AH1816"/>
      <c r="AI1816"/>
      <c r="AJ1816"/>
      <c r="AK1816"/>
      <c r="AL1816"/>
      <c r="AM1816"/>
      <c r="AN1816"/>
      <c r="AO1816"/>
      <c r="AP1816"/>
      <c r="AQ1816"/>
      <c r="AR1816"/>
      <c r="AS1816"/>
      <c r="AT1816"/>
      <c r="AU1816"/>
      <c r="AV1816"/>
      <c r="AW1816"/>
      <c r="AX1816"/>
      <c r="AY1816"/>
      <c r="AZ1816"/>
      <c r="BA1816"/>
      <c r="BB1816"/>
      <c r="BC1816"/>
      <c r="BD1816"/>
      <c r="BE1816"/>
      <c r="BF1816"/>
      <c r="BG1816"/>
      <c r="BH1816"/>
      <c r="BI1816"/>
      <c r="BJ1816"/>
      <c r="BK1816"/>
      <c r="BL1816"/>
      <c r="BM1816"/>
      <c r="BN1816"/>
      <c r="BO1816"/>
      <c r="BP1816"/>
      <c r="BQ1816"/>
      <c r="BR1816"/>
      <c r="BS1816"/>
      <c r="BT1816"/>
      <c r="BU1816"/>
      <c r="BV1816"/>
      <c r="BW1816"/>
      <c r="BX1816"/>
      <c r="BY1816"/>
      <c r="BZ1816"/>
      <c r="CA1816"/>
      <c r="CB1816"/>
      <c r="CC1816"/>
      <c r="CD1816"/>
      <c r="CE1816"/>
      <c r="CF1816"/>
      <c r="CG1816"/>
      <c r="CH1816"/>
      <c r="CI1816"/>
      <c r="CJ1816"/>
      <c r="CK1816"/>
      <c r="CL1816"/>
      <c r="CM1816"/>
      <c r="CN1816"/>
      <c r="CO1816"/>
      <c r="CP1816"/>
      <c r="CQ1816"/>
      <c r="CR1816"/>
      <c r="CS1816"/>
    </row>
    <row r="1817" spans="2:97">
      <c r="B1817"/>
      <c r="C1817" s="1"/>
      <c r="D1817" s="1"/>
      <c r="E1817" s="1"/>
      <c r="F1817" s="1"/>
      <c r="G1817" s="1"/>
      <c r="H1817" s="1"/>
      <c r="I1817" s="1"/>
      <c r="J1817" s="1"/>
      <c r="K1817" s="1"/>
      <c r="L1817" s="1"/>
      <c r="M1817" s="1"/>
      <c r="N1817" s="1"/>
      <c r="O1817" s="1"/>
      <c r="P1817" s="1"/>
      <c r="Q1817" s="1"/>
      <c r="R1817"/>
      <c r="S1817" s="1"/>
      <c r="T1817" s="24"/>
      <c r="U1817"/>
      <c r="V1817" s="1"/>
      <c r="W1817" s="24"/>
      <c r="X1817"/>
      <c r="Y1817" s="1"/>
      <c r="Z1817" s="24"/>
      <c r="AA1817"/>
      <c r="AB1817" s="1"/>
      <c r="AC1817" s="24"/>
      <c r="AD1817"/>
      <c r="AE1817"/>
      <c r="AF1817"/>
      <c r="AG1817"/>
      <c r="AH1817"/>
      <c r="AI1817"/>
      <c r="AJ1817"/>
      <c r="AK1817"/>
      <c r="AL1817"/>
      <c r="AM1817"/>
      <c r="AN1817"/>
      <c r="AO1817"/>
      <c r="AP1817"/>
      <c r="AQ1817"/>
      <c r="AR1817"/>
      <c r="AS1817"/>
      <c r="AT1817"/>
      <c r="AU1817"/>
      <c r="AV1817"/>
      <c r="AW1817"/>
      <c r="AX1817"/>
      <c r="AY1817"/>
      <c r="AZ1817"/>
      <c r="BA1817"/>
      <c r="BB1817"/>
      <c r="BC1817"/>
      <c r="BD1817"/>
      <c r="BE1817"/>
      <c r="BF1817"/>
      <c r="BG1817"/>
      <c r="BH1817"/>
      <c r="BI1817"/>
      <c r="BJ1817"/>
      <c r="BK1817"/>
      <c r="BL1817"/>
      <c r="BM1817"/>
      <c r="BN1817"/>
      <c r="BO1817"/>
      <c r="BP1817"/>
      <c r="BQ1817"/>
      <c r="BR1817"/>
      <c r="BS1817"/>
      <c r="BT1817"/>
      <c r="BU1817"/>
      <c r="BV1817"/>
      <c r="BW1817"/>
      <c r="BX1817"/>
      <c r="BY1817"/>
      <c r="BZ1817"/>
      <c r="CA1817"/>
      <c r="CB1817"/>
      <c r="CC1817"/>
      <c r="CD1817"/>
      <c r="CE1817"/>
      <c r="CF1817"/>
      <c r="CG1817"/>
      <c r="CH1817"/>
      <c r="CI1817"/>
      <c r="CJ1817"/>
      <c r="CK1817"/>
      <c r="CL1817"/>
      <c r="CM1817"/>
      <c r="CN1817"/>
      <c r="CO1817"/>
      <c r="CP1817"/>
      <c r="CQ1817"/>
      <c r="CR1817"/>
      <c r="CS1817"/>
    </row>
    <row r="1818" spans="2:97">
      <c r="B1818"/>
      <c r="C1818" s="1"/>
      <c r="D1818" s="1"/>
      <c r="E1818" s="1"/>
      <c r="F1818" s="1"/>
      <c r="G1818" s="1"/>
      <c r="H1818" s="1"/>
      <c r="I1818" s="1"/>
      <c r="J1818" s="1"/>
      <c r="K1818" s="1"/>
      <c r="L1818" s="1"/>
      <c r="M1818" s="1"/>
      <c r="N1818" s="1"/>
      <c r="O1818" s="1"/>
      <c r="P1818" s="1"/>
      <c r="Q1818" s="1"/>
      <c r="R1818"/>
      <c r="S1818" s="1"/>
      <c r="T1818" s="24"/>
      <c r="U1818"/>
      <c r="V1818" s="1"/>
      <c r="W1818" s="24"/>
      <c r="X1818"/>
      <c r="Y1818" s="1"/>
      <c r="Z1818" s="24"/>
      <c r="AA1818"/>
      <c r="AB1818" s="1"/>
      <c r="AC1818" s="24"/>
      <c r="AD1818"/>
      <c r="AE1818"/>
      <c r="AF1818"/>
      <c r="AG1818"/>
      <c r="AH1818"/>
      <c r="AI1818"/>
      <c r="AJ1818"/>
      <c r="AK1818"/>
      <c r="AL1818"/>
      <c r="AM1818"/>
      <c r="AN1818"/>
      <c r="AO1818"/>
      <c r="AP1818"/>
      <c r="AQ1818"/>
      <c r="AR1818"/>
      <c r="AS1818"/>
      <c r="AT1818"/>
      <c r="AU1818"/>
      <c r="AV1818"/>
      <c r="AW1818"/>
      <c r="AX1818"/>
      <c r="AY1818"/>
      <c r="AZ1818"/>
      <c r="BA1818"/>
      <c r="BB1818"/>
      <c r="BC1818"/>
      <c r="BD1818"/>
      <c r="BE1818"/>
      <c r="BF1818"/>
      <c r="BG1818"/>
      <c r="BH1818"/>
      <c r="BI1818"/>
      <c r="BJ1818"/>
      <c r="BK1818"/>
      <c r="BL1818"/>
      <c r="BM1818"/>
      <c r="BN1818"/>
      <c r="BO1818"/>
      <c r="BP1818"/>
      <c r="BQ1818"/>
      <c r="BR1818"/>
      <c r="BS1818"/>
      <c r="BT1818"/>
      <c r="BU1818"/>
      <c r="BV1818"/>
      <c r="BW1818"/>
      <c r="BX1818"/>
      <c r="BY1818"/>
      <c r="BZ1818"/>
      <c r="CA1818"/>
      <c r="CB1818"/>
      <c r="CC1818"/>
      <c r="CD1818"/>
      <c r="CE1818"/>
      <c r="CF1818"/>
      <c r="CG1818"/>
      <c r="CH1818"/>
      <c r="CI1818"/>
      <c r="CJ1818"/>
      <c r="CK1818"/>
      <c r="CL1818"/>
      <c r="CM1818"/>
      <c r="CN1818"/>
      <c r="CO1818"/>
      <c r="CP1818"/>
      <c r="CQ1818"/>
      <c r="CR1818"/>
      <c r="CS1818"/>
    </row>
    <row r="1819" spans="2:97">
      <c r="B1819"/>
      <c r="C1819" s="1"/>
      <c r="D1819" s="1"/>
      <c r="E1819" s="1"/>
      <c r="F1819" s="1"/>
      <c r="G1819" s="1"/>
      <c r="H1819" s="1"/>
      <c r="I1819" s="1"/>
      <c r="J1819" s="1"/>
      <c r="K1819" s="1"/>
      <c r="L1819" s="1"/>
      <c r="M1819" s="1"/>
      <c r="N1819" s="1"/>
      <c r="O1819" s="1"/>
      <c r="P1819" s="1"/>
      <c r="Q1819" s="1"/>
      <c r="R1819"/>
      <c r="S1819" s="1"/>
      <c r="T1819" s="24"/>
      <c r="U1819"/>
      <c r="V1819" s="1"/>
      <c r="W1819" s="24"/>
      <c r="X1819"/>
      <c r="Y1819" s="1"/>
      <c r="Z1819" s="24"/>
      <c r="AA1819"/>
      <c r="AB1819" s="1"/>
      <c r="AC1819" s="24"/>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c r="CE1819"/>
      <c r="CF1819"/>
      <c r="CG1819"/>
      <c r="CH1819"/>
      <c r="CI1819"/>
      <c r="CJ1819"/>
      <c r="CK1819"/>
      <c r="CL1819"/>
      <c r="CM1819"/>
      <c r="CN1819"/>
      <c r="CO1819"/>
      <c r="CP1819"/>
      <c r="CQ1819"/>
      <c r="CR1819"/>
      <c r="CS1819"/>
    </row>
    <row r="1820" spans="2:97">
      <c r="B1820"/>
      <c r="C1820" s="1"/>
      <c r="D1820" s="1"/>
      <c r="E1820" s="1"/>
      <c r="F1820" s="1"/>
      <c r="G1820" s="1"/>
      <c r="H1820" s="1"/>
      <c r="I1820" s="1"/>
      <c r="J1820" s="1"/>
      <c r="K1820" s="1"/>
      <c r="L1820" s="1"/>
      <c r="M1820" s="1"/>
      <c r="N1820" s="1"/>
      <c r="O1820" s="1"/>
      <c r="P1820" s="1"/>
      <c r="Q1820" s="1"/>
      <c r="R1820"/>
      <c r="S1820" s="1"/>
      <c r="T1820" s="24"/>
      <c r="U1820"/>
      <c r="V1820" s="1"/>
      <c r="W1820" s="24"/>
      <c r="X1820"/>
      <c r="Y1820" s="1"/>
      <c r="Z1820" s="24"/>
      <c r="AA1820"/>
      <c r="AB1820" s="1"/>
      <c r="AC1820" s="24"/>
      <c r="AD1820"/>
      <c r="AE1820"/>
      <c r="AF1820"/>
      <c r="AG1820"/>
      <c r="AH1820"/>
      <c r="AI1820"/>
      <c r="AJ1820"/>
      <c r="AK1820"/>
      <c r="AL1820"/>
      <c r="AM1820"/>
      <c r="AN1820"/>
      <c r="AO1820"/>
      <c r="AP1820"/>
      <c r="AQ1820"/>
      <c r="AR1820"/>
      <c r="AS1820"/>
      <c r="AT1820"/>
      <c r="AU1820"/>
      <c r="AV1820"/>
      <c r="AW1820"/>
      <c r="AX1820"/>
      <c r="AY1820"/>
      <c r="AZ1820"/>
      <c r="BA1820"/>
      <c r="BB1820"/>
      <c r="BC1820"/>
      <c r="BD1820"/>
      <c r="BE1820"/>
      <c r="BF1820"/>
      <c r="BG1820"/>
      <c r="BH1820"/>
      <c r="BI1820"/>
      <c r="BJ1820"/>
      <c r="BK1820"/>
      <c r="BL1820"/>
      <c r="BM1820"/>
      <c r="BN1820"/>
      <c r="BO1820"/>
      <c r="BP1820"/>
      <c r="BQ1820"/>
      <c r="BR1820"/>
      <c r="BS1820"/>
      <c r="BT1820"/>
      <c r="BU1820"/>
      <c r="BV1820"/>
      <c r="BW1820"/>
      <c r="BX1820"/>
      <c r="BY1820"/>
      <c r="BZ1820"/>
      <c r="CA1820"/>
      <c r="CB1820"/>
      <c r="CC1820"/>
      <c r="CD1820"/>
      <c r="CE1820"/>
      <c r="CF1820"/>
      <c r="CG1820"/>
      <c r="CH1820"/>
      <c r="CI1820"/>
      <c r="CJ1820"/>
      <c r="CK1820"/>
      <c r="CL1820"/>
      <c r="CM1820"/>
      <c r="CN1820"/>
      <c r="CO1820"/>
      <c r="CP1820"/>
      <c r="CQ1820"/>
      <c r="CR1820"/>
      <c r="CS1820"/>
    </row>
    <row r="1821" spans="2:97">
      <c r="B1821"/>
      <c r="C1821" s="1"/>
      <c r="D1821" s="1"/>
      <c r="E1821" s="1"/>
      <c r="F1821" s="1"/>
      <c r="G1821" s="1"/>
      <c r="H1821" s="1"/>
      <c r="I1821" s="1"/>
      <c r="J1821" s="1"/>
      <c r="K1821" s="1"/>
      <c r="L1821" s="1"/>
      <c r="M1821" s="1"/>
      <c r="N1821" s="1"/>
      <c r="O1821" s="1"/>
      <c r="P1821" s="1"/>
      <c r="Q1821" s="1"/>
      <c r="R1821"/>
      <c r="S1821" s="1"/>
      <c r="T1821" s="24"/>
      <c r="U1821"/>
      <c r="V1821" s="1"/>
      <c r="W1821" s="24"/>
      <c r="X1821"/>
      <c r="Y1821" s="1"/>
      <c r="Z1821" s="24"/>
      <c r="AA1821"/>
      <c r="AB1821" s="1"/>
      <c r="AC1821" s="24"/>
      <c r="AD1821"/>
      <c r="AE1821"/>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c r="BM1821"/>
      <c r="BN1821"/>
      <c r="BO1821"/>
      <c r="BP1821"/>
      <c r="BQ1821"/>
      <c r="BR1821"/>
      <c r="BS1821"/>
      <c r="BT1821"/>
      <c r="BU1821"/>
      <c r="BV1821"/>
      <c r="BW1821"/>
      <c r="BX1821"/>
      <c r="BY1821"/>
      <c r="BZ1821"/>
      <c r="CA1821"/>
      <c r="CB1821"/>
      <c r="CC1821"/>
      <c r="CD1821"/>
      <c r="CE1821"/>
      <c r="CF1821"/>
      <c r="CG1821"/>
      <c r="CH1821"/>
      <c r="CI1821"/>
      <c r="CJ1821"/>
      <c r="CK1821"/>
      <c r="CL1821"/>
      <c r="CM1821"/>
      <c r="CN1821"/>
      <c r="CO1821"/>
      <c r="CP1821"/>
      <c r="CQ1821"/>
      <c r="CR1821"/>
      <c r="CS1821"/>
    </row>
    <row r="1822" spans="2:97">
      <c r="B1822"/>
      <c r="C1822" s="1"/>
      <c r="D1822" s="1"/>
      <c r="E1822" s="1"/>
      <c r="F1822" s="1"/>
      <c r="G1822" s="1"/>
      <c r="H1822" s="1"/>
      <c r="I1822" s="1"/>
      <c r="J1822" s="1"/>
      <c r="K1822" s="1"/>
      <c r="L1822" s="1"/>
      <c r="M1822" s="1"/>
      <c r="N1822" s="1"/>
      <c r="O1822" s="1"/>
      <c r="P1822" s="1"/>
      <c r="Q1822" s="1"/>
      <c r="R1822"/>
      <c r="S1822" s="1"/>
      <c r="T1822" s="24"/>
      <c r="U1822"/>
      <c r="V1822" s="1"/>
      <c r="W1822" s="24"/>
      <c r="X1822"/>
      <c r="Y1822" s="1"/>
      <c r="Z1822" s="24"/>
      <c r="AA1822"/>
      <c r="AB1822" s="1"/>
      <c r="AC1822" s="24"/>
      <c r="AD1822"/>
      <c r="AE1822"/>
      <c r="AF1822"/>
      <c r="AG1822"/>
      <c r="AH1822"/>
      <c r="AI1822"/>
      <c r="AJ1822"/>
      <c r="AK1822"/>
      <c r="AL1822"/>
      <c r="AM1822"/>
      <c r="AN1822"/>
      <c r="AO1822"/>
      <c r="AP1822"/>
      <c r="AQ1822"/>
      <c r="AR1822"/>
      <c r="AS1822"/>
      <c r="AT1822"/>
      <c r="AU1822"/>
      <c r="AV1822"/>
      <c r="AW1822"/>
      <c r="AX1822"/>
      <c r="AY1822"/>
      <c r="AZ1822"/>
      <c r="BA1822"/>
      <c r="BB1822"/>
      <c r="BC1822"/>
      <c r="BD1822"/>
      <c r="BE1822"/>
      <c r="BF1822"/>
      <c r="BG1822"/>
      <c r="BH1822"/>
      <c r="BI1822"/>
      <c r="BJ1822"/>
      <c r="BK1822"/>
      <c r="BL1822"/>
      <c r="BM1822"/>
      <c r="BN1822"/>
      <c r="BO1822"/>
      <c r="BP1822"/>
      <c r="BQ1822"/>
      <c r="BR1822"/>
      <c r="BS1822"/>
      <c r="BT1822"/>
      <c r="BU1822"/>
      <c r="BV1822"/>
      <c r="BW1822"/>
      <c r="BX1822"/>
      <c r="BY1822"/>
      <c r="BZ1822"/>
      <c r="CA1822"/>
      <c r="CB1822"/>
      <c r="CC1822"/>
      <c r="CD1822"/>
      <c r="CE1822"/>
      <c r="CF1822"/>
      <c r="CG1822"/>
      <c r="CH1822"/>
      <c r="CI1822"/>
      <c r="CJ1822"/>
      <c r="CK1822"/>
      <c r="CL1822"/>
      <c r="CM1822"/>
      <c r="CN1822"/>
      <c r="CO1822"/>
      <c r="CP1822"/>
      <c r="CQ1822"/>
      <c r="CR1822"/>
      <c r="CS1822"/>
    </row>
    <row r="1823" spans="2:97">
      <c r="B1823"/>
      <c r="C1823" s="1"/>
      <c r="D1823" s="1"/>
      <c r="E1823" s="1"/>
      <c r="F1823" s="1"/>
      <c r="G1823" s="1"/>
      <c r="H1823" s="1"/>
      <c r="I1823" s="1"/>
      <c r="J1823" s="1"/>
      <c r="K1823" s="1"/>
      <c r="L1823" s="1"/>
      <c r="M1823" s="1"/>
      <c r="N1823" s="1"/>
      <c r="O1823" s="1"/>
      <c r="P1823" s="1"/>
      <c r="Q1823" s="1"/>
      <c r="R1823"/>
      <c r="S1823" s="1"/>
      <c r="T1823" s="24"/>
      <c r="U1823"/>
      <c r="V1823" s="1"/>
      <c r="W1823" s="24"/>
      <c r="X1823"/>
      <c r="Y1823" s="1"/>
      <c r="Z1823" s="24"/>
      <c r="AA1823"/>
      <c r="AB1823" s="1"/>
      <c r="AC1823" s="24"/>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c r="CA1823"/>
      <c r="CB1823"/>
      <c r="CC1823"/>
      <c r="CD1823"/>
      <c r="CE1823"/>
      <c r="CF1823"/>
      <c r="CG1823"/>
      <c r="CH1823"/>
      <c r="CI1823"/>
      <c r="CJ1823"/>
      <c r="CK1823"/>
      <c r="CL1823"/>
      <c r="CM1823"/>
      <c r="CN1823"/>
      <c r="CO1823"/>
      <c r="CP1823"/>
      <c r="CQ1823"/>
      <c r="CR1823"/>
      <c r="CS1823"/>
    </row>
    <row r="1824" spans="2:97">
      <c r="B1824"/>
      <c r="C1824" s="1"/>
      <c r="D1824" s="1"/>
      <c r="E1824" s="1"/>
      <c r="F1824" s="1"/>
      <c r="G1824" s="1"/>
      <c r="H1824" s="1"/>
      <c r="I1824" s="1"/>
      <c r="J1824" s="1"/>
      <c r="K1824" s="1"/>
      <c r="L1824" s="1"/>
      <c r="M1824" s="1"/>
      <c r="N1824" s="1"/>
      <c r="O1824" s="1"/>
      <c r="P1824" s="1"/>
      <c r="Q1824" s="1"/>
      <c r="R1824"/>
      <c r="S1824" s="1"/>
      <c r="T1824" s="24"/>
      <c r="U1824"/>
      <c r="V1824" s="1"/>
      <c r="W1824" s="24"/>
      <c r="X1824"/>
      <c r="Y1824" s="1"/>
      <c r="Z1824" s="24"/>
      <c r="AA1824"/>
      <c r="AB1824" s="1"/>
      <c r="AC1824" s="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c r="BI1824"/>
      <c r="BJ1824"/>
      <c r="BK1824"/>
      <c r="BL1824"/>
      <c r="BM1824"/>
      <c r="BN1824"/>
      <c r="BO1824"/>
      <c r="BP1824"/>
      <c r="BQ1824"/>
      <c r="BR1824"/>
      <c r="BS1824"/>
      <c r="BT1824"/>
      <c r="BU1824"/>
      <c r="BV1824"/>
      <c r="BW1824"/>
      <c r="BX1824"/>
      <c r="BY1824"/>
      <c r="BZ1824"/>
      <c r="CA1824"/>
      <c r="CB1824"/>
      <c r="CC1824"/>
      <c r="CD1824"/>
      <c r="CE1824"/>
      <c r="CF1824"/>
      <c r="CG1824"/>
      <c r="CH1824"/>
      <c r="CI1824"/>
      <c r="CJ1824"/>
      <c r="CK1824"/>
      <c r="CL1824"/>
      <c r="CM1824"/>
      <c r="CN1824"/>
      <c r="CO1824"/>
      <c r="CP1824"/>
      <c r="CQ1824"/>
      <c r="CR1824"/>
      <c r="CS1824"/>
    </row>
    <row r="1825" spans="2:97">
      <c r="B1825"/>
      <c r="C1825" s="1"/>
      <c r="D1825" s="1"/>
      <c r="E1825" s="1"/>
      <c r="F1825" s="1"/>
      <c r="G1825" s="1"/>
      <c r="H1825" s="1"/>
      <c r="I1825" s="1"/>
      <c r="J1825" s="1"/>
      <c r="K1825" s="1"/>
      <c r="L1825" s="1"/>
      <c r="M1825" s="1"/>
      <c r="N1825" s="1"/>
      <c r="O1825" s="1"/>
      <c r="P1825" s="1"/>
      <c r="Q1825" s="1"/>
      <c r="R1825"/>
      <c r="S1825" s="1"/>
      <c r="T1825" s="24"/>
      <c r="U1825"/>
      <c r="V1825" s="1"/>
      <c r="W1825" s="24"/>
      <c r="X1825"/>
      <c r="Y1825" s="1"/>
      <c r="Z1825" s="24"/>
      <c r="AA1825"/>
      <c r="AB1825" s="1"/>
      <c r="AC1825" s="24"/>
      <c r="AD1825"/>
      <c r="AE1825"/>
      <c r="AF1825"/>
      <c r="AG1825"/>
      <c r="AH1825"/>
      <c r="AI1825"/>
      <c r="AJ1825"/>
      <c r="AK1825"/>
      <c r="AL1825"/>
      <c r="AM1825"/>
      <c r="AN1825"/>
      <c r="AO1825"/>
      <c r="AP1825"/>
      <c r="AQ1825"/>
      <c r="AR1825"/>
      <c r="AS1825"/>
      <c r="AT1825"/>
      <c r="AU1825"/>
      <c r="AV1825"/>
      <c r="AW1825"/>
      <c r="AX1825"/>
      <c r="AY1825"/>
      <c r="AZ1825"/>
      <c r="BA1825"/>
      <c r="BB1825"/>
      <c r="BC1825"/>
      <c r="BD1825"/>
      <c r="BE1825"/>
      <c r="BF1825"/>
      <c r="BG1825"/>
      <c r="BH1825"/>
      <c r="BI1825"/>
      <c r="BJ1825"/>
      <c r="BK1825"/>
      <c r="BL1825"/>
      <c r="BM1825"/>
      <c r="BN1825"/>
      <c r="BO1825"/>
      <c r="BP1825"/>
      <c r="BQ1825"/>
      <c r="BR1825"/>
      <c r="BS1825"/>
      <c r="BT1825"/>
      <c r="BU1825"/>
      <c r="BV1825"/>
      <c r="BW1825"/>
      <c r="BX1825"/>
      <c r="BY1825"/>
      <c r="BZ1825"/>
      <c r="CA1825"/>
      <c r="CB1825"/>
      <c r="CC1825"/>
      <c r="CD1825"/>
      <c r="CE1825"/>
      <c r="CF1825"/>
      <c r="CG1825"/>
      <c r="CH1825"/>
      <c r="CI1825"/>
      <c r="CJ1825"/>
      <c r="CK1825"/>
      <c r="CL1825"/>
      <c r="CM1825"/>
      <c r="CN1825"/>
      <c r="CO1825"/>
      <c r="CP1825"/>
      <c r="CQ1825"/>
      <c r="CR1825"/>
      <c r="CS1825"/>
    </row>
    <row r="1826" spans="2:97">
      <c r="B1826"/>
      <c r="C1826" s="1"/>
      <c r="D1826" s="1"/>
      <c r="E1826" s="1"/>
      <c r="F1826" s="1"/>
      <c r="G1826" s="1"/>
      <c r="H1826" s="1"/>
      <c r="I1826" s="1"/>
      <c r="J1826" s="1"/>
      <c r="K1826" s="1"/>
      <c r="L1826" s="1"/>
      <c r="M1826" s="1"/>
      <c r="N1826" s="1"/>
      <c r="O1826" s="1"/>
      <c r="P1826" s="1"/>
      <c r="Q1826" s="1"/>
      <c r="R1826"/>
      <c r="S1826" s="1"/>
      <c r="T1826" s="24"/>
      <c r="U1826"/>
      <c r="V1826" s="1"/>
      <c r="W1826" s="24"/>
      <c r="X1826"/>
      <c r="Y1826" s="1"/>
      <c r="Z1826" s="24"/>
      <c r="AA1826"/>
      <c r="AB1826" s="1"/>
      <c r="AC1826" s="24"/>
      <c r="AD1826"/>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c r="CA1826"/>
      <c r="CB1826"/>
      <c r="CC1826"/>
      <c r="CD1826"/>
      <c r="CE1826"/>
      <c r="CF1826"/>
      <c r="CG1826"/>
      <c r="CH1826"/>
      <c r="CI1826"/>
      <c r="CJ1826"/>
      <c r="CK1826"/>
      <c r="CL1826"/>
      <c r="CM1826"/>
      <c r="CN1826"/>
      <c r="CO1826"/>
      <c r="CP1826"/>
      <c r="CQ1826"/>
      <c r="CR1826"/>
      <c r="CS1826"/>
    </row>
    <row r="1827" spans="2:97">
      <c r="B1827"/>
      <c r="C1827" s="1"/>
      <c r="D1827" s="1"/>
      <c r="E1827" s="1"/>
      <c r="F1827" s="1"/>
      <c r="G1827" s="1"/>
      <c r="H1827" s="1"/>
      <c r="I1827" s="1"/>
      <c r="J1827" s="1"/>
      <c r="K1827" s="1"/>
      <c r="L1827" s="1"/>
      <c r="M1827" s="1"/>
      <c r="N1827" s="1"/>
      <c r="O1827" s="1"/>
      <c r="P1827" s="1"/>
      <c r="Q1827" s="1"/>
      <c r="R1827"/>
      <c r="S1827" s="1"/>
      <c r="T1827" s="24"/>
      <c r="U1827"/>
      <c r="V1827" s="1"/>
      <c r="W1827" s="24"/>
      <c r="X1827"/>
      <c r="Y1827" s="1"/>
      <c r="Z1827" s="24"/>
      <c r="AA1827"/>
      <c r="AB1827" s="1"/>
      <c r="AC1827" s="24"/>
      <c r="AD1827"/>
      <c r="AE1827"/>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c r="BM1827"/>
      <c r="BN1827"/>
      <c r="BO1827"/>
      <c r="BP1827"/>
      <c r="BQ1827"/>
      <c r="BR1827"/>
      <c r="BS1827"/>
      <c r="BT1827"/>
      <c r="BU1827"/>
      <c r="BV1827"/>
      <c r="BW1827"/>
      <c r="BX1827"/>
      <c r="BY1827"/>
      <c r="BZ1827"/>
      <c r="CA1827"/>
      <c r="CB1827"/>
      <c r="CC1827"/>
      <c r="CD1827"/>
      <c r="CE1827"/>
      <c r="CF1827"/>
      <c r="CG1827"/>
      <c r="CH1827"/>
      <c r="CI1827"/>
      <c r="CJ1827"/>
      <c r="CK1827"/>
      <c r="CL1827"/>
      <c r="CM1827"/>
      <c r="CN1827"/>
      <c r="CO1827"/>
      <c r="CP1827"/>
      <c r="CQ1827"/>
      <c r="CR1827"/>
      <c r="CS1827"/>
    </row>
    <row r="1828" spans="2:97">
      <c r="B1828"/>
      <c r="C1828" s="1"/>
      <c r="D1828" s="1"/>
      <c r="E1828" s="1"/>
      <c r="F1828" s="1"/>
      <c r="G1828" s="1"/>
      <c r="H1828" s="1"/>
      <c r="I1828" s="1"/>
      <c r="J1828" s="1"/>
      <c r="K1828" s="1"/>
      <c r="L1828" s="1"/>
      <c r="M1828" s="1"/>
      <c r="N1828" s="1"/>
      <c r="O1828" s="1"/>
      <c r="P1828" s="1"/>
      <c r="Q1828" s="1"/>
      <c r="R1828"/>
      <c r="S1828" s="1"/>
      <c r="T1828" s="24"/>
      <c r="U1828"/>
      <c r="V1828" s="1"/>
      <c r="W1828" s="24"/>
      <c r="X1828"/>
      <c r="Y1828" s="1"/>
      <c r="Z1828" s="24"/>
      <c r="AA1828"/>
      <c r="AB1828" s="1"/>
      <c r="AC1828" s="24"/>
      <c r="AD1828"/>
      <c r="AE1828"/>
      <c r="AF1828"/>
      <c r="AG1828"/>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c r="BR1828"/>
      <c r="BS1828"/>
      <c r="BT1828"/>
      <c r="BU1828"/>
      <c r="BV1828"/>
      <c r="BW1828"/>
      <c r="BX1828"/>
      <c r="BY1828"/>
      <c r="BZ1828"/>
      <c r="CA1828"/>
      <c r="CB1828"/>
      <c r="CC1828"/>
      <c r="CD1828"/>
      <c r="CE1828"/>
      <c r="CF1828"/>
      <c r="CG1828"/>
      <c r="CH1828"/>
      <c r="CI1828"/>
      <c r="CJ1828"/>
      <c r="CK1828"/>
      <c r="CL1828"/>
      <c r="CM1828"/>
      <c r="CN1828"/>
      <c r="CO1828"/>
      <c r="CP1828"/>
      <c r="CQ1828"/>
      <c r="CR1828"/>
      <c r="CS1828"/>
    </row>
    <row r="1829" spans="2:97">
      <c r="B1829"/>
      <c r="C1829" s="1"/>
      <c r="D1829" s="1"/>
      <c r="E1829" s="1"/>
      <c r="F1829" s="1"/>
      <c r="G1829" s="1"/>
      <c r="H1829" s="1"/>
      <c r="I1829" s="1"/>
      <c r="J1829" s="1"/>
      <c r="K1829" s="1"/>
      <c r="L1829" s="1"/>
      <c r="M1829" s="1"/>
      <c r="N1829" s="1"/>
      <c r="O1829" s="1"/>
      <c r="P1829" s="1"/>
      <c r="Q1829" s="1"/>
      <c r="R1829"/>
      <c r="S1829" s="1"/>
      <c r="T1829" s="24"/>
      <c r="U1829"/>
      <c r="V1829" s="1"/>
      <c r="W1829" s="24"/>
      <c r="X1829"/>
      <c r="Y1829" s="1"/>
      <c r="Z1829" s="24"/>
      <c r="AA1829"/>
      <c r="AB1829" s="1"/>
      <c r="AC1829" s="24"/>
      <c r="AD1829"/>
      <c r="AE1829"/>
      <c r="AF1829"/>
      <c r="AG1829"/>
      <c r="AH1829"/>
      <c r="AI1829"/>
      <c r="AJ1829"/>
      <c r="AK1829"/>
      <c r="AL1829"/>
      <c r="AM1829"/>
      <c r="AN1829"/>
      <c r="AO1829"/>
      <c r="AP1829"/>
      <c r="AQ1829"/>
      <c r="AR1829"/>
      <c r="AS1829"/>
      <c r="AT1829"/>
      <c r="AU1829"/>
      <c r="AV1829"/>
      <c r="AW1829"/>
      <c r="AX1829"/>
      <c r="AY1829"/>
      <c r="AZ1829"/>
      <c r="BA1829"/>
      <c r="BB1829"/>
      <c r="BC1829"/>
      <c r="BD1829"/>
      <c r="BE1829"/>
      <c r="BF1829"/>
      <c r="BG1829"/>
      <c r="BH1829"/>
      <c r="BI1829"/>
      <c r="BJ1829"/>
      <c r="BK1829"/>
      <c r="BL1829"/>
      <c r="BM1829"/>
      <c r="BN1829"/>
      <c r="BO1829"/>
      <c r="BP1829"/>
      <c r="BQ1829"/>
      <c r="BR1829"/>
      <c r="BS1829"/>
      <c r="BT1829"/>
      <c r="BU1829"/>
      <c r="BV1829"/>
      <c r="BW1829"/>
      <c r="BX1829"/>
      <c r="BY1829"/>
      <c r="BZ1829"/>
      <c r="CA1829"/>
      <c r="CB1829"/>
      <c r="CC1829"/>
      <c r="CD1829"/>
      <c r="CE1829"/>
      <c r="CF1829"/>
      <c r="CG1829"/>
      <c r="CH1829"/>
      <c r="CI1829"/>
      <c r="CJ1829"/>
      <c r="CK1829"/>
      <c r="CL1829"/>
      <c r="CM1829"/>
      <c r="CN1829"/>
      <c r="CO1829"/>
      <c r="CP1829"/>
      <c r="CQ1829"/>
      <c r="CR1829"/>
      <c r="CS1829"/>
    </row>
    <row r="1830" spans="2:97">
      <c r="B1830"/>
      <c r="C1830" s="1"/>
      <c r="D1830" s="1"/>
      <c r="E1830" s="1"/>
      <c r="F1830" s="1"/>
      <c r="G1830" s="1"/>
      <c r="H1830" s="1"/>
      <c r="I1830" s="1"/>
      <c r="J1830" s="1"/>
      <c r="K1830" s="1"/>
      <c r="L1830" s="1"/>
      <c r="M1830" s="1"/>
      <c r="N1830" s="1"/>
      <c r="O1830" s="1"/>
      <c r="P1830" s="1"/>
      <c r="Q1830" s="1"/>
      <c r="R1830"/>
      <c r="S1830" s="1"/>
      <c r="T1830" s="24"/>
      <c r="U1830"/>
      <c r="V1830" s="1"/>
      <c r="W1830" s="24"/>
      <c r="X1830"/>
      <c r="Y1830" s="1"/>
      <c r="Z1830" s="24"/>
      <c r="AA1830"/>
      <c r="AB1830" s="1"/>
      <c r="AC1830" s="24"/>
      <c r="AD1830"/>
      <c r="AE1830"/>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c r="BM1830"/>
      <c r="BN1830"/>
      <c r="BO1830"/>
      <c r="BP1830"/>
      <c r="BQ1830"/>
      <c r="BR1830"/>
      <c r="BS1830"/>
      <c r="BT1830"/>
      <c r="BU1830"/>
      <c r="BV1830"/>
      <c r="BW1830"/>
      <c r="BX1830"/>
      <c r="BY1830"/>
      <c r="BZ1830"/>
      <c r="CA1830"/>
      <c r="CB1830"/>
      <c r="CC1830"/>
      <c r="CD1830"/>
      <c r="CE1830"/>
      <c r="CF1830"/>
      <c r="CG1830"/>
      <c r="CH1830"/>
      <c r="CI1830"/>
      <c r="CJ1830"/>
      <c r="CK1830"/>
      <c r="CL1830"/>
      <c r="CM1830"/>
      <c r="CN1830"/>
      <c r="CO1830"/>
      <c r="CP1830"/>
      <c r="CQ1830"/>
      <c r="CR1830"/>
      <c r="CS1830"/>
    </row>
    <row r="1831" spans="2:97">
      <c r="B1831"/>
      <c r="C1831" s="1"/>
      <c r="D1831" s="1"/>
      <c r="E1831" s="1"/>
      <c r="F1831" s="1"/>
      <c r="G1831" s="1"/>
      <c r="H1831" s="1"/>
      <c r="I1831" s="1"/>
      <c r="J1831" s="1"/>
      <c r="K1831" s="1"/>
      <c r="L1831" s="1"/>
      <c r="M1831" s="1"/>
      <c r="N1831" s="1"/>
      <c r="O1831" s="1"/>
      <c r="P1831" s="1"/>
      <c r="Q1831" s="1"/>
      <c r="R1831"/>
      <c r="S1831" s="1"/>
      <c r="T1831" s="24"/>
      <c r="U1831"/>
      <c r="V1831" s="1"/>
      <c r="W1831" s="24"/>
      <c r="X1831"/>
      <c r="Y1831" s="1"/>
      <c r="Z1831" s="24"/>
      <c r="AA1831"/>
      <c r="AB1831" s="1"/>
      <c r="AC1831" s="24"/>
      <c r="AD1831"/>
      <c r="AE1831"/>
      <c r="AF1831"/>
      <c r="AG1831"/>
      <c r="AH1831"/>
      <c r="AI1831"/>
      <c r="AJ1831"/>
      <c r="AK1831"/>
      <c r="AL1831"/>
      <c r="AM1831"/>
      <c r="AN1831"/>
      <c r="AO1831"/>
      <c r="AP1831"/>
      <c r="AQ1831"/>
      <c r="AR1831"/>
      <c r="AS1831"/>
      <c r="AT1831"/>
      <c r="AU1831"/>
      <c r="AV1831"/>
      <c r="AW1831"/>
      <c r="AX1831"/>
      <c r="AY1831"/>
      <c r="AZ1831"/>
      <c r="BA1831"/>
      <c r="BB1831"/>
      <c r="BC1831"/>
      <c r="BD1831"/>
      <c r="BE1831"/>
      <c r="BF1831"/>
      <c r="BG1831"/>
      <c r="BH1831"/>
      <c r="BI1831"/>
      <c r="BJ1831"/>
      <c r="BK1831"/>
      <c r="BL1831"/>
      <c r="BM1831"/>
      <c r="BN1831"/>
      <c r="BO1831"/>
      <c r="BP1831"/>
      <c r="BQ1831"/>
      <c r="BR1831"/>
      <c r="BS1831"/>
      <c r="BT1831"/>
      <c r="BU1831"/>
      <c r="BV1831"/>
      <c r="BW1831"/>
      <c r="BX1831"/>
      <c r="BY1831"/>
      <c r="BZ1831"/>
      <c r="CA1831"/>
      <c r="CB1831"/>
      <c r="CC1831"/>
      <c r="CD1831"/>
      <c r="CE1831"/>
      <c r="CF1831"/>
      <c r="CG1831"/>
      <c r="CH1831"/>
      <c r="CI1831"/>
      <c r="CJ1831"/>
      <c r="CK1831"/>
      <c r="CL1831"/>
      <c r="CM1831"/>
      <c r="CN1831"/>
      <c r="CO1831"/>
      <c r="CP1831"/>
      <c r="CQ1831"/>
      <c r="CR1831"/>
      <c r="CS1831"/>
    </row>
    <row r="1832" spans="2:97">
      <c r="B1832"/>
      <c r="C1832" s="1"/>
      <c r="D1832" s="1"/>
      <c r="E1832" s="1"/>
      <c r="F1832" s="1"/>
      <c r="G1832" s="1"/>
      <c r="H1832" s="1"/>
      <c r="I1832" s="1"/>
      <c r="J1832" s="1"/>
      <c r="K1832" s="1"/>
      <c r="L1832" s="1"/>
      <c r="M1832" s="1"/>
      <c r="N1832" s="1"/>
      <c r="O1832" s="1"/>
      <c r="P1832" s="1"/>
      <c r="Q1832" s="1"/>
      <c r="R1832"/>
      <c r="S1832" s="1"/>
      <c r="T1832" s="24"/>
      <c r="U1832"/>
      <c r="V1832" s="1"/>
      <c r="W1832" s="24"/>
      <c r="X1832"/>
      <c r="Y1832" s="1"/>
      <c r="Z1832" s="24"/>
      <c r="AA1832"/>
      <c r="AB1832" s="1"/>
      <c r="AC1832" s="24"/>
      <c r="AD1832"/>
      <c r="AE1832"/>
      <c r="AF1832"/>
      <c r="AG1832"/>
      <c r="AH1832"/>
      <c r="AI1832"/>
      <c r="AJ1832"/>
      <c r="AK1832"/>
      <c r="AL1832"/>
      <c r="AM1832"/>
      <c r="AN1832"/>
      <c r="AO1832"/>
      <c r="AP1832"/>
      <c r="AQ1832"/>
      <c r="AR1832"/>
      <c r="AS1832"/>
      <c r="AT1832"/>
      <c r="AU1832"/>
      <c r="AV1832"/>
      <c r="AW1832"/>
      <c r="AX1832"/>
      <c r="AY1832"/>
      <c r="AZ1832"/>
      <c r="BA1832"/>
      <c r="BB1832"/>
      <c r="BC1832"/>
      <c r="BD1832"/>
      <c r="BE1832"/>
      <c r="BF1832"/>
      <c r="BG1832"/>
      <c r="BH1832"/>
      <c r="BI1832"/>
      <c r="BJ1832"/>
      <c r="BK1832"/>
      <c r="BL1832"/>
      <c r="BM1832"/>
      <c r="BN1832"/>
      <c r="BO1832"/>
      <c r="BP1832"/>
      <c r="BQ1832"/>
      <c r="BR1832"/>
      <c r="BS1832"/>
      <c r="BT1832"/>
      <c r="BU1832"/>
      <c r="BV1832"/>
      <c r="BW1832"/>
      <c r="BX1832"/>
      <c r="BY1832"/>
      <c r="BZ1832"/>
      <c r="CA1832"/>
      <c r="CB1832"/>
      <c r="CC1832"/>
      <c r="CD1832"/>
      <c r="CE1832"/>
      <c r="CF1832"/>
      <c r="CG1832"/>
      <c r="CH1832"/>
      <c r="CI1832"/>
      <c r="CJ1832"/>
      <c r="CK1832"/>
      <c r="CL1832"/>
      <c r="CM1832"/>
      <c r="CN1832"/>
      <c r="CO1832"/>
      <c r="CP1832"/>
      <c r="CQ1832"/>
      <c r="CR1832"/>
      <c r="CS1832"/>
    </row>
    <row r="1833" spans="2:97">
      <c r="B1833"/>
      <c r="C1833" s="1"/>
      <c r="D1833" s="1"/>
      <c r="E1833" s="1"/>
      <c r="F1833" s="1"/>
      <c r="G1833" s="1"/>
      <c r="H1833" s="1"/>
      <c r="I1833" s="1"/>
      <c r="J1833" s="1"/>
      <c r="K1833" s="1"/>
      <c r="L1833" s="1"/>
      <c r="M1833" s="1"/>
      <c r="N1833" s="1"/>
      <c r="O1833" s="1"/>
      <c r="P1833" s="1"/>
      <c r="Q1833" s="1"/>
      <c r="R1833"/>
      <c r="S1833" s="1"/>
      <c r="T1833" s="24"/>
      <c r="U1833"/>
      <c r="V1833" s="1"/>
      <c r="W1833" s="24"/>
      <c r="X1833"/>
      <c r="Y1833" s="1"/>
      <c r="Z1833" s="24"/>
      <c r="AA1833"/>
      <c r="AB1833" s="1"/>
      <c r="AC1833" s="24"/>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c r="BM1833"/>
      <c r="BN1833"/>
      <c r="BO1833"/>
      <c r="BP1833"/>
      <c r="BQ1833"/>
      <c r="BR1833"/>
      <c r="BS1833"/>
      <c r="BT1833"/>
      <c r="BU1833"/>
      <c r="BV1833"/>
      <c r="BW1833"/>
      <c r="BX1833"/>
      <c r="BY1833"/>
      <c r="BZ1833"/>
      <c r="CA1833"/>
      <c r="CB1833"/>
      <c r="CC1833"/>
      <c r="CD1833"/>
      <c r="CE1833"/>
      <c r="CF1833"/>
      <c r="CG1833"/>
      <c r="CH1833"/>
      <c r="CI1833"/>
      <c r="CJ1833"/>
      <c r="CK1833"/>
      <c r="CL1833"/>
      <c r="CM1833"/>
      <c r="CN1833"/>
      <c r="CO1833"/>
      <c r="CP1833"/>
      <c r="CQ1833"/>
      <c r="CR1833"/>
      <c r="CS1833"/>
    </row>
    <row r="1834" spans="2:97">
      <c r="B1834"/>
      <c r="C1834" s="1"/>
      <c r="D1834" s="1"/>
      <c r="E1834" s="1"/>
      <c r="F1834" s="1"/>
      <c r="G1834" s="1"/>
      <c r="H1834" s="1"/>
      <c r="I1834" s="1"/>
      <c r="J1834" s="1"/>
      <c r="K1834" s="1"/>
      <c r="L1834" s="1"/>
      <c r="M1834" s="1"/>
      <c r="N1834" s="1"/>
      <c r="O1834" s="1"/>
      <c r="P1834" s="1"/>
      <c r="Q1834" s="1"/>
      <c r="R1834"/>
      <c r="S1834" s="1"/>
      <c r="T1834" s="24"/>
      <c r="U1834"/>
      <c r="V1834" s="1"/>
      <c r="W1834" s="24"/>
      <c r="X1834"/>
      <c r="Y1834" s="1"/>
      <c r="Z1834" s="24"/>
      <c r="AA1834"/>
      <c r="AB1834" s="1"/>
      <c r="AC1834" s="24"/>
      <c r="AD1834"/>
      <c r="AE1834"/>
      <c r="AF1834"/>
      <c r="AG1834"/>
      <c r="AH1834"/>
      <c r="AI1834"/>
      <c r="AJ1834"/>
      <c r="AK1834"/>
      <c r="AL1834"/>
      <c r="AM1834"/>
      <c r="AN1834"/>
      <c r="AO1834"/>
      <c r="AP1834"/>
      <c r="AQ1834"/>
      <c r="AR1834"/>
      <c r="AS1834"/>
      <c r="AT1834"/>
      <c r="AU1834"/>
      <c r="AV1834"/>
      <c r="AW1834"/>
      <c r="AX1834"/>
      <c r="AY1834"/>
      <c r="AZ1834"/>
      <c r="BA1834"/>
      <c r="BB1834"/>
      <c r="BC1834"/>
      <c r="BD1834"/>
      <c r="BE1834"/>
      <c r="BF1834"/>
      <c r="BG1834"/>
      <c r="BH1834"/>
      <c r="BI1834"/>
      <c r="BJ1834"/>
      <c r="BK1834"/>
      <c r="BL1834"/>
      <c r="BM1834"/>
      <c r="BN1834"/>
      <c r="BO1834"/>
      <c r="BP1834"/>
      <c r="BQ1834"/>
      <c r="BR1834"/>
      <c r="BS1834"/>
      <c r="BT1834"/>
      <c r="BU1834"/>
      <c r="BV1834"/>
      <c r="BW1834"/>
      <c r="BX1834"/>
      <c r="BY1834"/>
      <c r="BZ1834"/>
      <c r="CA1834"/>
      <c r="CB1834"/>
      <c r="CC1834"/>
      <c r="CD1834"/>
      <c r="CE1834"/>
      <c r="CF1834"/>
      <c r="CG1834"/>
      <c r="CH1834"/>
      <c r="CI1834"/>
      <c r="CJ1834"/>
      <c r="CK1834"/>
      <c r="CL1834"/>
      <c r="CM1834"/>
      <c r="CN1834"/>
      <c r="CO1834"/>
      <c r="CP1834"/>
      <c r="CQ1834"/>
      <c r="CR1834"/>
      <c r="CS1834"/>
    </row>
    <row r="1835" spans="2:97">
      <c r="B1835"/>
      <c r="C1835" s="1"/>
      <c r="D1835" s="1"/>
      <c r="E1835" s="1"/>
      <c r="F1835" s="1"/>
      <c r="G1835" s="1"/>
      <c r="H1835" s="1"/>
      <c r="I1835" s="1"/>
      <c r="J1835" s="1"/>
      <c r="K1835" s="1"/>
      <c r="L1835" s="1"/>
      <c r="M1835" s="1"/>
      <c r="N1835" s="1"/>
      <c r="O1835" s="1"/>
      <c r="P1835" s="1"/>
      <c r="Q1835" s="1"/>
      <c r="R1835"/>
      <c r="S1835" s="1"/>
      <c r="T1835" s="24"/>
      <c r="U1835"/>
      <c r="V1835" s="1"/>
      <c r="W1835" s="24"/>
      <c r="X1835"/>
      <c r="Y1835" s="1"/>
      <c r="Z1835" s="24"/>
      <c r="AA1835"/>
      <c r="AB1835" s="1"/>
      <c r="AC1835" s="24"/>
      <c r="AD1835"/>
      <c r="AE1835"/>
      <c r="AF1835"/>
      <c r="AG1835"/>
      <c r="AH1835"/>
      <c r="AI1835"/>
      <c r="AJ1835"/>
      <c r="AK1835"/>
      <c r="AL1835"/>
      <c r="AM1835"/>
      <c r="AN1835"/>
      <c r="AO1835"/>
      <c r="AP1835"/>
      <c r="AQ1835"/>
      <c r="AR1835"/>
      <c r="AS1835"/>
      <c r="AT1835"/>
      <c r="AU1835"/>
      <c r="AV1835"/>
      <c r="AW1835"/>
      <c r="AX1835"/>
      <c r="AY1835"/>
      <c r="AZ1835"/>
      <c r="BA1835"/>
      <c r="BB1835"/>
      <c r="BC1835"/>
      <c r="BD1835"/>
      <c r="BE1835"/>
      <c r="BF1835"/>
      <c r="BG1835"/>
      <c r="BH1835"/>
      <c r="BI1835"/>
      <c r="BJ1835"/>
      <c r="BK1835"/>
      <c r="BL1835"/>
      <c r="BM1835"/>
      <c r="BN1835"/>
      <c r="BO1835"/>
      <c r="BP1835"/>
      <c r="BQ1835"/>
      <c r="BR1835"/>
      <c r="BS1835"/>
      <c r="BT1835"/>
      <c r="BU1835"/>
      <c r="BV1835"/>
      <c r="BW1835"/>
      <c r="BX1835"/>
      <c r="BY1835"/>
      <c r="BZ1835"/>
      <c r="CA1835"/>
      <c r="CB1835"/>
      <c r="CC1835"/>
      <c r="CD1835"/>
      <c r="CE1835"/>
      <c r="CF1835"/>
      <c r="CG1835"/>
      <c r="CH1835"/>
      <c r="CI1835"/>
      <c r="CJ1835"/>
      <c r="CK1835"/>
      <c r="CL1835"/>
      <c r="CM1835"/>
      <c r="CN1835"/>
      <c r="CO1835"/>
      <c r="CP1835"/>
      <c r="CQ1835"/>
      <c r="CR1835"/>
      <c r="CS1835"/>
    </row>
    <row r="1836" spans="2:97">
      <c r="B1836"/>
      <c r="C1836" s="1"/>
      <c r="D1836" s="1"/>
      <c r="E1836" s="1"/>
      <c r="F1836" s="1"/>
      <c r="G1836" s="1"/>
      <c r="H1836" s="1"/>
      <c r="I1836" s="1"/>
      <c r="J1836" s="1"/>
      <c r="K1836" s="1"/>
      <c r="L1836" s="1"/>
      <c r="M1836" s="1"/>
      <c r="N1836" s="1"/>
      <c r="O1836" s="1"/>
      <c r="P1836" s="1"/>
      <c r="Q1836" s="1"/>
      <c r="R1836"/>
      <c r="S1836" s="1"/>
      <c r="T1836" s="24"/>
      <c r="U1836"/>
      <c r="V1836" s="1"/>
      <c r="W1836" s="24"/>
      <c r="X1836"/>
      <c r="Y1836" s="1"/>
      <c r="Z1836" s="24"/>
      <c r="AA1836"/>
      <c r="AB1836" s="1"/>
      <c r="AC1836" s="24"/>
      <c r="AD1836"/>
      <c r="AE1836"/>
      <c r="AF1836"/>
      <c r="AG1836"/>
      <c r="AH1836"/>
      <c r="AI1836"/>
      <c r="AJ1836"/>
      <c r="AK1836"/>
      <c r="AL1836"/>
      <c r="AM1836"/>
      <c r="AN1836"/>
      <c r="AO1836"/>
      <c r="AP1836"/>
      <c r="AQ1836"/>
      <c r="AR1836"/>
      <c r="AS1836"/>
      <c r="AT1836"/>
      <c r="AU1836"/>
      <c r="AV1836"/>
      <c r="AW1836"/>
      <c r="AX1836"/>
      <c r="AY1836"/>
      <c r="AZ1836"/>
      <c r="BA1836"/>
      <c r="BB1836"/>
      <c r="BC1836"/>
      <c r="BD1836"/>
      <c r="BE1836"/>
      <c r="BF1836"/>
      <c r="BG1836"/>
      <c r="BH1836"/>
      <c r="BI1836"/>
      <c r="BJ1836"/>
      <c r="BK1836"/>
      <c r="BL1836"/>
      <c r="BM1836"/>
      <c r="BN1836"/>
      <c r="BO1836"/>
      <c r="BP1836"/>
      <c r="BQ1836"/>
      <c r="BR1836"/>
      <c r="BS1836"/>
      <c r="BT1836"/>
      <c r="BU1836"/>
      <c r="BV1836"/>
      <c r="BW1836"/>
      <c r="BX1836"/>
      <c r="BY1836"/>
      <c r="BZ1836"/>
      <c r="CA1836"/>
      <c r="CB1836"/>
      <c r="CC1836"/>
      <c r="CD1836"/>
      <c r="CE1836"/>
      <c r="CF1836"/>
      <c r="CG1836"/>
      <c r="CH1836"/>
      <c r="CI1836"/>
      <c r="CJ1836"/>
      <c r="CK1836"/>
      <c r="CL1836"/>
      <c r="CM1836"/>
      <c r="CN1836"/>
      <c r="CO1836"/>
      <c r="CP1836"/>
      <c r="CQ1836"/>
      <c r="CR1836"/>
      <c r="CS1836"/>
    </row>
    <row r="1837" spans="2:97">
      <c r="B1837"/>
      <c r="C1837" s="1"/>
      <c r="D1837" s="1"/>
      <c r="E1837" s="1"/>
      <c r="F1837" s="1"/>
      <c r="G1837" s="1"/>
      <c r="H1837" s="1"/>
      <c r="I1837" s="1"/>
      <c r="J1837" s="1"/>
      <c r="K1837" s="1"/>
      <c r="L1837" s="1"/>
      <c r="M1837" s="1"/>
      <c r="N1837" s="1"/>
      <c r="O1837" s="1"/>
      <c r="P1837" s="1"/>
      <c r="Q1837" s="1"/>
      <c r="R1837"/>
      <c r="S1837" s="1"/>
      <c r="T1837" s="24"/>
      <c r="U1837"/>
      <c r="V1837" s="1"/>
      <c r="W1837" s="24"/>
      <c r="X1837"/>
      <c r="Y1837" s="1"/>
      <c r="Z1837" s="24"/>
      <c r="AA1837"/>
      <c r="AB1837" s="1"/>
      <c r="AC1837" s="24"/>
      <c r="AD1837"/>
      <c r="AE1837"/>
      <c r="AF1837"/>
      <c r="AG1837"/>
      <c r="AH1837"/>
      <c r="AI1837"/>
      <c r="AJ1837"/>
      <c r="AK1837"/>
      <c r="AL1837"/>
      <c r="AM1837"/>
      <c r="AN1837"/>
      <c r="AO1837"/>
      <c r="AP1837"/>
      <c r="AQ1837"/>
      <c r="AR1837"/>
      <c r="AS1837"/>
      <c r="AT1837"/>
      <c r="AU1837"/>
      <c r="AV1837"/>
      <c r="AW1837"/>
      <c r="AX1837"/>
      <c r="AY1837"/>
      <c r="AZ1837"/>
      <c r="BA1837"/>
      <c r="BB1837"/>
      <c r="BC1837"/>
      <c r="BD1837"/>
      <c r="BE1837"/>
      <c r="BF1837"/>
      <c r="BG1837"/>
      <c r="BH1837"/>
      <c r="BI1837"/>
      <c r="BJ1837"/>
      <c r="BK1837"/>
      <c r="BL1837"/>
      <c r="BM1837"/>
      <c r="BN1837"/>
      <c r="BO1837"/>
      <c r="BP1837"/>
      <c r="BQ1837"/>
      <c r="BR1837"/>
      <c r="BS1837"/>
      <c r="BT1837"/>
      <c r="BU1837"/>
      <c r="BV1837"/>
      <c r="BW1837"/>
      <c r="BX1837"/>
      <c r="BY1837"/>
      <c r="BZ1837"/>
      <c r="CA1837"/>
      <c r="CB1837"/>
      <c r="CC1837"/>
      <c r="CD1837"/>
      <c r="CE1837"/>
      <c r="CF1837"/>
      <c r="CG1837"/>
      <c r="CH1837"/>
      <c r="CI1837"/>
      <c r="CJ1837"/>
      <c r="CK1837"/>
      <c r="CL1837"/>
      <c r="CM1837"/>
      <c r="CN1837"/>
      <c r="CO1837"/>
      <c r="CP1837"/>
      <c r="CQ1837"/>
      <c r="CR1837"/>
      <c r="CS1837"/>
    </row>
    <row r="1838" spans="2:97">
      <c r="B1838"/>
      <c r="C1838" s="1"/>
      <c r="D1838" s="1"/>
      <c r="E1838" s="1"/>
      <c r="F1838" s="1"/>
      <c r="G1838" s="1"/>
      <c r="H1838" s="1"/>
      <c r="I1838" s="1"/>
      <c r="J1838" s="1"/>
      <c r="K1838" s="1"/>
      <c r="L1838" s="1"/>
      <c r="M1838" s="1"/>
      <c r="N1838" s="1"/>
      <c r="O1838" s="1"/>
      <c r="P1838" s="1"/>
      <c r="Q1838" s="1"/>
      <c r="R1838"/>
      <c r="S1838" s="1"/>
      <c r="T1838" s="24"/>
      <c r="U1838"/>
      <c r="V1838" s="1"/>
      <c r="W1838" s="24"/>
      <c r="X1838"/>
      <c r="Y1838" s="1"/>
      <c r="Z1838" s="24"/>
      <c r="AA1838"/>
      <c r="AB1838" s="1"/>
      <c r="AC1838" s="24"/>
      <c r="AD1838"/>
      <c r="AE1838"/>
      <c r="AF1838"/>
      <c r="AG1838"/>
      <c r="AH1838"/>
      <c r="AI1838"/>
      <c r="AJ1838"/>
      <c r="AK1838"/>
      <c r="AL1838"/>
      <c r="AM1838"/>
      <c r="AN1838"/>
      <c r="AO1838"/>
      <c r="AP1838"/>
      <c r="AQ1838"/>
      <c r="AR1838"/>
      <c r="AS1838"/>
      <c r="AT1838"/>
      <c r="AU1838"/>
      <c r="AV1838"/>
      <c r="AW1838"/>
      <c r="AX1838"/>
      <c r="AY1838"/>
      <c r="AZ1838"/>
      <c r="BA1838"/>
      <c r="BB1838"/>
      <c r="BC1838"/>
      <c r="BD1838"/>
      <c r="BE1838"/>
      <c r="BF1838"/>
      <c r="BG1838"/>
      <c r="BH1838"/>
      <c r="BI1838"/>
      <c r="BJ1838"/>
      <c r="BK1838"/>
      <c r="BL1838"/>
      <c r="BM1838"/>
      <c r="BN1838"/>
      <c r="BO1838"/>
      <c r="BP1838"/>
      <c r="BQ1838"/>
      <c r="BR1838"/>
      <c r="BS1838"/>
      <c r="BT1838"/>
      <c r="BU1838"/>
      <c r="BV1838"/>
      <c r="BW1838"/>
      <c r="BX1838"/>
      <c r="BY1838"/>
      <c r="BZ1838"/>
      <c r="CA1838"/>
      <c r="CB1838"/>
      <c r="CC1838"/>
      <c r="CD1838"/>
      <c r="CE1838"/>
      <c r="CF1838"/>
      <c r="CG1838"/>
      <c r="CH1838"/>
      <c r="CI1838"/>
      <c r="CJ1838"/>
      <c r="CK1838"/>
      <c r="CL1838"/>
      <c r="CM1838"/>
      <c r="CN1838"/>
      <c r="CO1838"/>
      <c r="CP1838"/>
      <c r="CQ1838"/>
      <c r="CR1838"/>
      <c r="CS1838"/>
    </row>
    <row r="1839" spans="2:97">
      <c r="B1839"/>
      <c r="C1839" s="1"/>
      <c r="D1839" s="1"/>
      <c r="E1839" s="1"/>
      <c r="F1839" s="1"/>
      <c r="G1839" s="1"/>
      <c r="H1839" s="1"/>
      <c r="I1839" s="1"/>
      <c r="J1839" s="1"/>
      <c r="K1839" s="1"/>
      <c r="L1839" s="1"/>
      <c r="M1839" s="1"/>
      <c r="N1839" s="1"/>
      <c r="O1839" s="1"/>
      <c r="P1839" s="1"/>
      <c r="Q1839" s="1"/>
      <c r="R1839"/>
      <c r="S1839" s="1"/>
      <c r="T1839" s="24"/>
      <c r="U1839"/>
      <c r="V1839" s="1"/>
      <c r="W1839" s="24"/>
      <c r="X1839"/>
      <c r="Y1839" s="1"/>
      <c r="Z1839" s="24"/>
      <c r="AA1839"/>
      <c r="AB1839" s="1"/>
      <c r="AC1839" s="24"/>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c r="BM1839"/>
      <c r="BN1839"/>
      <c r="BO1839"/>
      <c r="BP1839"/>
      <c r="BQ1839"/>
      <c r="BR1839"/>
      <c r="BS1839"/>
      <c r="BT1839"/>
      <c r="BU1839"/>
      <c r="BV1839"/>
      <c r="BW1839"/>
      <c r="BX1839"/>
      <c r="BY1839"/>
      <c r="BZ1839"/>
      <c r="CA1839"/>
      <c r="CB1839"/>
      <c r="CC1839"/>
      <c r="CD1839"/>
      <c r="CE1839"/>
      <c r="CF1839"/>
      <c r="CG1839"/>
      <c r="CH1839"/>
      <c r="CI1839"/>
      <c r="CJ1839"/>
      <c r="CK1839"/>
      <c r="CL1839"/>
      <c r="CM1839"/>
      <c r="CN1839"/>
      <c r="CO1839"/>
      <c r="CP1839"/>
      <c r="CQ1839"/>
      <c r="CR1839"/>
      <c r="CS1839"/>
    </row>
    <row r="1840" spans="2:97">
      <c r="B1840"/>
      <c r="C1840" s="1"/>
      <c r="D1840" s="1"/>
      <c r="E1840" s="1"/>
      <c r="F1840" s="1"/>
      <c r="G1840" s="1"/>
      <c r="H1840" s="1"/>
      <c r="I1840" s="1"/>
      <c r="J1840" s="1"/>
      <c r="K1840" s="1"/>
      <c r="L1840" s="1"/>
      <c r="M1840" s="1"/>
      <c r="N1840" s="1"/>
      <c r="O1840" s="1"/>
      <c r="P1840" s="1"/>
      <c r="Q1840" s="1"/>
      <c r="R1840"/>
      <c r="S1840" s="1"/>
      <c r="T1840" s="24"/>
      <c r="U1840"/>
      <c r="V1840" s="1"/>
      <c r="W1840" s="24"/>
      <c r="X1840"/>
      <c r="Y1840" s="1"/>
      <c r="Z1840" s="24"/>
      <c r="AA1840"/>
      <c r="AB1840" s="1"/>
      <c r="AC1840" s="24"/>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c r="BI1840"/>
      <c r="BJ1840"/>
      <c r="BK1840"/>
      <c r="BL1840"/>
      <c r="BM1840"/>
      <c r="BN1840"/>
      <c r="BO1840"/>
      <c r="BP1840"/>
      <c r="BQ1840"/>
      <c r="BR1840"/>
      <c r="BS1840"/>
      <c r="BT1840"/>
      <c r="BU1840"/>
      <c r="BV1840"/>
      <c r="BW1840"/>
      <c r="BX1840"/>
      <c r="BY1840"/>
      <c r="BZ1840"/>
      <c r="CA1840"/>
      <c r="CB1840"/>
      <c r="CC1840"/>
      <c r="CD1840"/>
      <c r="CE1840"/>
      <c r="CF1840"/>
      <c r="CG1840"/>
      <c r="CH1840"/>
      <c r="CI1840"/>
      <c r="CJ1840"/>
      <c r="CK1840"/>
      <c r="CL1840"/>
      <c r="CM1840"/>
      <c r="CN1840"/>
      <c r="CO1840"/>
      <c r="CP1840"/>
      <c r="CQ1840"/>
      <c r="CR1840"/>
      <c r="CS1840"/>
    </row>
    <row r="1841" spans="2:97">
      <c r="B1841"/>
      <c r="C1841" s="1"/>
      <c r="D1841" s="1"/>
      <c r="E1841" s="1"/>
      <c r="F1841" s="1"/>
      <c r="G1841" s="1"/>
      <c r="H1841" s="1"/>
      <c r="I1841" s="1"/>
      <c r="J1841" s="1"/>
      <c r="K1841" s="1"/>
      <c r="L1841" s="1"/>
      <c r="M1841" s="1"/>
      <c r="N1841" s="1"/>
      <c r="O1841" s="1"/>
      <c r="P1841" s="1"/>
      <c r="Q1841" s="1"/>
      <c r="R1841"/>
      <c r="S1841" s="1"/>
      <c r="T1841" s="24"/>
      <c r="U1841"/>
      <c r="V1841" s="1"/>
      <c r="W1841" s="24"/>
      <c r="X1841"/>
      <c r="Y1841" s="1"/>
      <c r="Z1841" s="24"/>
      <c r="AA1841"/>
      <c r="AB1841" s="1"/>
      <c r="AC1841" s="24"/>
      <c r="AD1841"/>
      <c r="AE1841"/>
      <c r="AF1841"/>
      <c r="AG1841"/>
      <c r="AH1841"/>
      <c r="AI1841"/>
      <c r="AJ1841"/>
      <c r="AK1841"/>
      <c r="AL1841"/>
      <c r="AM1841"/>
      <c r="AN1841"/>
      <c r="AO1841"/>
      <c r="AP1841"/>
      <c r="AQ1841"/>
      <c r="AR1841"/>
      <c r="AS1841"/>
      <c r="AT1841"/>
      <c r="AU1841"/>
      <c r="AV1841"/>
      <c r="AW1841"/>
      <c r="AX1841"/>
      <c r="AY1841"/>
      <c r="AZ1841"/>
      <c r="BA1841"/>
      <c r="BB1841"/>
      <c r="BC1841"/>
      <c r="BD1841"/>
      <c r="BE1841"/>
      <c r="BF1841"/>
      <c r="BG1841"/>
      <c r="BH1841"/>
      <c r="BI1841"/>
      <c r="BJ1841"/>
      <c r="BK1841"/>
      <c r="BL1841"/>
      <c r="BM1841"/>
      <c r="BN1841"/>
      <c r="BO1841"/>
      <c r="BP1841"/>
      <c r="BQ1841"/>
      <c r="BR1841"/>
      <c r="BS1841"/>
      <c r="BT1841"/>
      <c r="BU1841"/>
      <c r="BV1841"/>
      <c r="BW1841"/>
      <c r="BX1841"/>
      <c r="BY1841"/>
      <c r="BZ1841"/>
      <c r="CA1841"/>
      <c r="CB1841"/>
      <c r="CC1841"/>
      <c r="CD1841"/>
      <c r="CE1841"/>
      <c r="CF1841"/>
      <c r="CG1841"/>
      <c r="CH1841"/>
      <c r="CI1841"/>
      <c r="CJ1841"/>
      <c r="CK1841"/>
      <c r="CL1841"/>
      <c r="CM1841"/>
      <c r="CN1841"/>
      <c r="CO1841"/>
      <c r="CP1841"/>
      <c r="CQ1841"/>
      <c r="CR1841"/>
      <c r="CS1841"/>
    </row>
    <row r="1842" spans="2:97">
      <c r="B1842"/>
      <c r="C1842" s="1"/>
      <c r="D1842" s="1"/>
      <c r="E1842" s="1"/>
      <c r="F1842" s="1"/>
      <c r="G1842" s="1"/>
      <c r="H1842" s="1"/>
      <c r="I1842" s="1"/>
      <c r="J1842" s="1"/>
      <c r="K1842" s="1"/>
      <c r="L1842" s="1"/>
      <c r="M1842" s="1"/>
      <c r="N1842" s="1"/>
      <c r="O1842" s="1"/>
      <c r="P1842" s="1"/>
      <c r="Q1842" s="1"/>
      <c r="R1842"/>
      <c r="S1842" s="1"/>
      <c r="T1842" s="24"/>
      <c r="U1842"/>
      <c r="V1842" s="1"/>
      <c r="W1842" s="24"/>
      <c r="X1842"/>
      <c r="Y1842" s="1"/>
      <c r="Z1842" s="24"/>
      <c r="AA1842"/>
      <c r="AB1842" s="1"/>
      <c r="AC1842" s="24"/>
      <c r="AD1842"/>
      <c r="AE1842"/>
      <c r="AF1842"/>
      <c r="AG1842"/>
      <c r="AH1842"/>
      <c r="AI1842"/>
      <c r="AJ1842"/>
      <c r="AK1842"/>
      <c r="AL1842"/>
      <c r="AM1842"/>
      <c r="AN1842"/>
      <c r="AO1842"/>
      <c r="AP1842"/>
      <c r="AQ1842"/>
      <c r="AR1842"/>
      <c r="AS1842"/>
      <c r="AT1842"/>
      <c r="AU1842"/>
      <c r="AV1842"/>
      <c r="AW1842"/>
      <c r="AX1842"/>
      <c r="AY1842"/>
      <c r="AZ1842"/>
      <c r="BA1842"/>
      <c r="BB1842"/>
      <c r="BC1842"/>
      <c r="BD1842"/>
      <c r="BE1842"/>
      <c r="BF1842"/>
      <c r="BG1842"/>
      <c r="BH1842"/>
      <c r="BI1842"/>
      <c r="BJ1842"/>
      <c r="BK1842"/>
      <c r="BL1842"/>
      <c r="BM1842"/>
      <c r="BN1842"/>
      <c r="BO1842"/>
      <c r="BP1842"/>
      <c r="BQ1842"/>
      <c r="BR1842"/>
      <c r="BS1842"/>
      <c r="BT1842"/>
      <c r="BU1842"/>
      <c r="BV1842"/>
      <c r="BW1842"/>
      <c r="BX1842"/>
      <c r="BY1842"/>
      <c r="BZ1842"/>
      <c r="CA1842"/>
      <c r="CB1842"/>
      <c r="CC1842"/>
      <c r="CD1842"/>
      <c r="CE1842"/>
      <c r="CF1842"/>
      <c r="CG1842"/>
      <c r="CH1842"/>
      <c r="CI1842"/>
      <c r="CJ1842"/>
      <c r="CK1842"/>
      <c r="CL1842"/>
      <c r="CM1842"/>
      <c r="CN1842"/>
      <c r="CO1842"/>
      <c r="CP1842"/>
      <c r="CQ1842"/>
      <c r="CR1842"/>
      <c r="CS1842"/>
    </row>
    <row r="1843" spans="2:97">
      <c r="B1843"/>
      <c r="C1843" s="1"/>
      <c r="D1843" s="1"/>
      <c r="E1843" s="1"/>
      <c r="F1843" s="1"/>
      <c r="G1843" s="1"/>
      <c r="H1843" s="1"/>
      <c r="I1843" s="1"/>
      <c r="J1843" s="1"/>
      <c r="K1843" s="1"/>
      <c r="L1843" s="1"/>
      <c r="M1843" s="1"/>
      <c r="N1843" s="1"/>
      <c r="O1843" s="1"/>
      <c r="P1843" s="1"/>
      <c r="Q1843" s="1"/>
      <c r="R1843"/>
      <c r="S1843" s="1"/>
      <c r="T1843" s="24"/>
      <c r="U1843"/>
      <c r="V1843" s="1"/>
      <c r="W1843" s="24"/>
      <c r="X1843"/>
      <c r="Y1843" s="1"/>
      <c r="Z1843" s="24"/>
      <c r="AA1843"/>
      <c r="AB1843" s="1"/>
      <c r="AC1843" s="24"/>
      <c r="AD1843"/>
      <c r="AE1843"/>
      <c r="AF1843"/>
      <c r="AG1843"/>
      <c r="AH1843"/>
      <c r="AI1843"/>
      <c r="AJ1843"/>
      <c r="AK1843"/>
      <c r="AL1843"/>
      <c r="AM1843"/>
      <c r="AN1843"/>
      <c r="AO1843"/>
      <c r="AP1843"/>
      <c r="AQ1843"/>
      <c r="AR1843"/>
      <c r="AS1843"/>
      <c r="AT1843"/>
      <c r="AU1843"/>
      <c r="AV1843"/>
      <c r="AW1843"/>
      <c r="AX1843"/>
      <c r="AY1843"/>
      <c r="AZ1843"/>
      <c r="BA1843"/>
      <c r="BB1843"/>
      <c r="BC1843"/>
      <c r="BD1843"/>
      <c r="BE1843"/>
      <c r="BF1843"/>
      <c r="BG1843"/>
      <c r="BH1843"/>
      <c r="BI1843"/>
      <c r="BJ1843"/>
      <c r="BK1843"/>
      <c r="BL1843"/>
      <c r="BM1843"/>
      <c r="BN1843"/>
      <c r="BO1843"/>
      <c r="BP1843"/>
      <c r="BQ1843"/>
      <c r="BR1843"/>
      <c r="BS1843"/>
      <c r="BT1843"/>
      <c r="BU1843"/>
      <c r="BV1843"/>
      <c r="BW1843"/>
      <c r="BX1843"/>
      <c r="BY1843"/>
      <c r="BZ1843"/>
      <c r="CA1843"/>
      <c r="CB1843"/>
      <c r="CC1843"/>
      <c r="CD1843"/>
      <c r="CE1843"/>
      <c r="CF1843"/>
      <c r="CG1843"/>
      <c r="CH1843"/>
      <c r="CI1843"/>
      <c r="CJ1843"/>
      <c r="CK1843"/>
      <c r="CL1843"/>
      <c r="CM1843"/>
      <c r="CN1843"/>
      <c r="CO1843"/>
      <c r="CP1843"/>
      <c r="CQ1843"/>
      <c r="CR1843"/>
      <c r="CS1843"/>
    </row>
    <row r="1844" spans="2:97">
      <c r="B1844"/>
      <c r="C1844" s="1"/>
      <c r="D1844" s="1"/>
      <c r="E1844" s="1"/>
      <c r="F1844" s="1"/>
      <c r="G1844" s="1"/>
      <c r="H1844" s="1"/>
      <c r="I1844" s="1"/>
      <c r="J1844" s="1"/>
      <c r="K1844" s="1"/>
      <c r="L1844" s="1"/>
      <c r="M1844" s="1"/>
      <c r="N1844" s="1"/>
      <c r="O1844" s="1"/>
      <c r="P1844" s="1"/>
      <c r="Q1844" s="1"/>
      <c r="R1844"/>
      <c r="S1844" s="1"/>
      <c r="T1844" s="24"/>
      <c r="U1844"/>
      <c r="V1844" s="1"/>
      <c r="W1844" s="24"/>
      <c r="X1844"/>
      <c r="Y1844" s="1"/>
      <c r="Z1844" s="24"/>
      <c r="AA1844"/>
      <c r="AB1844" s="1"/>
      <c r="AC1844" s="24"/>
      <c r="AD1844"/>
      <c r="AE1844"/>
      <c r="AF1844"/>
      <c r="AG1844"/>
      <c r="AH1844"/>
      <c r="AI1844"/>
      <c r="AJ1844"/>
      <c r="AK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c r="BN1844"/>
      <c r="BO1844"/>
      <c r="BP1844"/>
      <c r="BQ1844"/>
      <c r="BR1844"/>
      <c r="BS1844"/>
      <c r="BT1844"/>
      <c r="BU1844"/>
      <c r="BV1844"/>
      <c r="BW1844"/>
      <c r="BX1844"/>
      <c r="BY1844"/>
      <c r="BZ1844"/>
      <c r="CA1844"/>
      <c r="CB1844"/>
      <c r="CC1844"/>
      <c r="CD1844"/>
      <c r="CE1844"/>
      <c r="CF1844"/>
      <c r="CG1844"/>
      <c r="CH1844"/>
      <c r="CI1844"/>
      <c r="CJ1844"/>
      <c r="CK1844"/>
      <c r="CL1844"/>
      <c r="CM1844"/>
      <c r="CN1844"/>
      <c r="CO1844"/>
      <c r="CP1844"/>
      <c r="CQ1844"/>
      <c r="CR1844"/>
      <c r="CS1844"/>
    </row>
    <row r="1845" spans="2:97">
      <c r="B1845"/>
      <c r="C1845" s="1"/>
      <c r="D1845" s="1"/>
      <c r="E1845" s="1"/>
      <c r="F1845" s="1"/>
      <c r="G1845" s="1"/>
      <c r="H1845" s="1"/>
      <c r="I1845" s="1"/>
      <c r="J1845" s="1"/>
      <c r="K1845" s="1"/>
      <c r="L1845" s="1"/>
      <c r="M1845" s="1"/>
      <c r="N1845" s="1"/>
      <c r="O1845" s="1"/>
      <c r="P1845" s="1"/>
      <c r="Q1845" s="1"/>
      <c r="R1845"/>
      <c r="S1845" s="1"/>
      <c r="T1845" s="24"/>
      <c r="U1845"/>
      <c r="V1845" s="1"/>
      <c r="W1845" s="24"/>
      <c r="X1845"/>
      <c r="Y1845" s="1"/>
      <c r="Z1845" s="24"/>
      <c r="AA1845"/>
      <c r="AB1845" s="1"/>
      <c r="AC1845" s="24"/>
      <c r="AD1845"/>
      <c r="AE1845"/>
      <c r="AF1845"/>
      <c r="AG1845"/>
      <c r="AH1845"/>
      <c r="AI1845"/>
      <c r="AJ1845"/>
      <c r="AK1845"/>
      <c r="AL1845"/>
      <c r="AM1845"/>
      <c r="AN1845"/>
      <c r="AO1845"/>
      <c r="AP1845"/>
      <c r="AQ1845"/>
      <c r="AR1845"/>
      <c r="AS1845"/>
      <c r="AT1845"/>
      <c r="AU1845"/>
      <c r="AV1845"/>
      <c r="AW1845"/>
      <c r="AX1845"/>
      <c r="AY1845"/>
      <c r="AZ1845"/>
      <c r="BA1845"/>
      <c r="BB1845"/>
      <c r="BC1845"/>
      <c r="BD1845"/>
      <c r="BE1845"/>
      <c r="BF1845"/>
      <c r="BG1845"/>
      <c r="BH1845"/>
      <c r="BI1845"/>
      <c r="BJ1845"/>
      <c r="BK1845"/>
      <c r="BL1845"/>
      <c r="BM1845"/>
      <c r="BN1845"/>
      <c r="BO1845"/>
      <c r="BP1845"/>
      <c r="BQ1845"/>
      <c r="BR1845"/>
      <c r="BS1845"/>
      <c r="BT1845"/>
      <c r="BU1845"/>
      <c r="BV1845"/>
      <c r="BW1845"/>
      <c r="BX1845"/>
      <c r="BY1845"/>
      <c r="BZ1845"/>
      <c r="CA1845"/>
      <c r="CB1845"/>
      <c r="CC1845"/>
      <c r="CD1845"/>
      <c r="CE1845"/>
      <c r="CF1845"/>
      <c r="CG1845"/>
      <c r="CH1845"/>
      <c r="CI1845"/>
      <c r="CJ1845"/>
      <c r="CK1845"/>
      <c r="CL1845"/>
      <c r="CM1845"/>
      <c r="CN1845"/>
      <c r="CO1845"/>
      <c r="CP1845"/>
      <c r="CQ1845"/>
      <c r="CR1845"/>
      <c r="CS1845"/>
    </row>
    <row r="1846" spans="2:97">
      <c r="B1846"/>
      <c r="C1846" s="1"/>
      <c r="D1846" s="1"/>
      <c r="E1846" s="1"/>
      <c r="F1846" s="1"/>
      <c r="G1846" s="1"/>
      <c r="H1846" s="1"/>
      <c r="I1846" s="1"/>
      <c r="J1846" s="1"/>
      <c r="K1846" s="1"/>
      <c r="L1846" s="1"/>
      <c r="M1846" s="1"/>
      <c r="N1846" s="1"/>
      <c r="O1846" s="1"/>
      <c r="P1846" s="1"/>
      <c r="Q1846" s="1"/>
      <c r="R1846"/>
      <c r="S1846" s="1"/>
      <c r="T1846" s="24"/>
      <c r="U1846"/>
      <c r="V1846" s="1"/>
      <c r="W1846" s="24"/>
      <c r="X1846"/>
      <c r="Y1846" s="1"/>
      <c r="Z1846" s="24"/>
      <c r="AA1846"/>
      <c r="AB1846" s="1"/>
      <c r="AC1846" s="24"/>
      <c r="AD1846"/>
      <c r="AE1846"/>
      <c r="AF1846"/>
      <c r="AG1846"/>
      <c r="AH1846"/>
      <c r="AI1846"/>
      <c r="AJ1846"/>
      <c r="AK1846"/>
      <c r="AL1846"/>
      <c r="AM1846"/>
      <c r="AN1846"/>
      <c r="AO1846"/>
      <c r="AP1846"/>
      <c r="AQ1846"/>
      <c r="AR1846"/>
      <c r="AS1846"/>
      <c r="AT1846"/>
      <c r="AU1846"/>
      <c r="AV1846"/>
      <c r="AW1846"/>
      <c r="AX1846"/>
      <c r="AY1846"/>
      <c r="AZ1846"/>
      <c r="BA1846"/>
      <c r="BB1846"/>
      <c r="BC1846"/>
      <c r="BD1846"/>
      <c r="BE1846"/>
      <c r="BF1846"/>
      <c r="BG1846"/>
      <c r="BH1846"/>
      <c r="BI1846"/>
      <c r="BJ1846"/>
      <c r="BK1846"/>
      <c r="BL1846"/>
      <c r="BM1846"/>
      <c r="BN1846"/>
      <c r="BO1846"/>
      <c r="BP1846"/>
      <c r="BQ1846"/>
      <c r="BR1846"/>
      <c r="BS1846"/>
      <c r="BT1846"/>
      <c r="BU1846"/>
      <c r="BV1846"/>
      <c r="BW1846"/>
      <c r="BX1846"/>
      <c r="BY1846"/>
      <c r="BZ1846"/>
      <c r="CA1846"/>
      <c r="CB1846"/>
      <c r="CC1846"/>
      <c r="CD1846"/>
      <c r="CE1846"/>
      <c r="CF1846"/>
      <c r="CG1846"/>
      <c r="CH1846"/>
      <c r="CI1846"/>
      <c r="CJ1846"/>
      <c r="CK1846"/>
      <c r="CL1846"/>
      <c r="CM1846"/>
      <c r="CN1846"/>
      <c r="CO1846"/>
      <c r="CP1846"/>
      <c r="CQ1846"/>
      <c r="CR1846"/>
      <c r="CS1846"/>
    </row>
    <row r="1847" spans="2:97">
      <c r="B1847"/>
      <c r="C1847" s="1"/>
      <c r="D1847" s="1"/>
      <c r="E1847" s="1"/>
      <c r="F1847" s="1"/>
      <c r="G1847" s="1"/>
      <c r="H1847" s="1"/>
      <c r="I1847" s="1"/>
      <c r="J1847" s="1"/>
      <c r="K1847" s="1"/>
      <c r="L1847" s="1"/>
      <c r="M1847" s="1"/>
      <c r="N1847" s="1"/>
      <c r="O1847" s="1"/>
      <c r="P1847" s="1"/>
      <c r="Q1847" s="1"/>
      <c r="R1847"/>
      <c r="S1847" s="1"/>
      <c r="T1847" s="24"/>
      <c r="U1847"/>
      <c r="V1847" s="1"/>
      <c r="W1847" s="24"/>
      <c r="X1847"/>
      <c r="Y1847" s="1"/>
      <c r="Z1847" s="24"/>
      <c r="AA1847"/>
      <c r="AB1847" s="1"/>
      <c r="AC1847" s="24"/>
      <c r="AD1847"/>
      <c r="AE1847"/>
      <c r="AF1847"/>
      <c r="AG1847"/>
      <c r="AH1847"/>
      <c r="AI1847"/>
      <c r="AJ1847"/>
      <c r="AK1847"/>
      <c r="AL1847"/>
      <c r="AM1847"/>
      <c r="AN1847"/>
      <c r="AO1847"/>
      <c r="AP1847"/>
      <c r="AQ1847"/>
      <c r="AR1847"/>
      <c r="AS1847"/>
      <c r="AT1847"/>
      <c r="AU1847"/>
      <c r="AV1847"/>
      <c r="AW1847"/>
      <c r="AX1847"/>
      <c r="AY1847"/>
      <c r="AZ1847"/>
      <c r="BA1847"/>
      <c r="BB1847"/>
      <c r="BC1847"/>
      <c r="BD1847"/>
      <c r="BE1847"/>
      <c r="BF1847"/>
      <c r="BG1847"/>
      <c r="BH1847"/>
      <c r="BI1847"/>
      <c r="BJ1847"/>
      <c r="BK1847"/>
      <c r="BL1847"/>
      <c r="BM1847"/>
      <c r="BN1847"/>
      <c r="BO1847"/>
      <c r="BP1847"/>
      <c r="BQ1847"/>
      <c r="BR1847"/>
      <c r="BS1847"/>
      <c r="BT1847"/>
      <c r="BU1847"/>
      <c r="BV1847"/>
      <c r="BW1847"/>
      <c r="BX1847"/>
      <c r="BY1847"/>
      <c r="BZ1847"/>
      <c r="CA1847"/>
      <c r="CB1847"/>
      <c r="CC1847"/>
      <c r="CD1847"/>
      <c r="CE1847"/>
      <c r="CF1847"/>
      <c r="CG1847"/>
      <c r="CH1847"/>
      <c r="CI1847"/>
      <c r="CJ1847"/>
      <c r="CK1847"/>
      <c r="CL1847"/>
      <c r="CM1847"/>
      <c r="CN1847"/>
      <c r="CO1847"/>
      <c r="CP1847"/>
      <c r="CQ1847"/>
      <c r="CR1847"/>
      <c r="CS1847"/>
    </row>
    <row r="1848" spans="2:97">
      <c r="B1848"/>
      <c r="C1848" s="1"/>
      <c r="D1848" s="1"/>
      <c r="E1848" s="1"/>
      <c r="F1848" s="1"/>
      <c r="G1848" s="1"/>
      <c r="H1848" s="1"/>
      <c r="I1848" s="1"/>
      <c r="J1848" s="1"/>
      <c r="K1848" s="1"/>
      <c r="L1848" s="1"/>
      <c r="M1848" s="1"/>
      <c r="N1848" s="1"/>
      <c r="O1848" s="1"/>
      <c r="P1848" s="1"/>
      <c r="Q1848" s="1"/>
      <c r="R1848"/>
      <c r="S1848" s="1"/>
      <c r="T1848" s="24"/>
      <c r="U1848"/>
      <c r="V1848" s="1"/>
      <c r="W1848" s="24"/>
      <c r="X1848"/>
      <c r="Y1848" s="1"/>
      <c r="Z1848" s="24"/>
      <c r="AA1848"/>
      <c r="AB1848" s="1"/>
      <c r="AC1848" s="24"/>
      <c r="AD1848"/>
      <c r="AE1848"/>
      <c r="AF1848"/>
      <c r="AG1848"/>
      <c r="AH1848"/>
      <c r="AI1848"/>
      <c r="AJ1848"/>
      <c r="AK1848"/>
      <c r="AL1848"/>
      <c r="AM1848"/>
      <c r="AN1848"/>
      <c r="AO1848"/>
      <c r="AP1848"/>
      <c r="AQ1848"/>
      <c r="AR1848"/>
      <c r="AS1848"/>
      <c r="AT1848"/>
      <c r="AU1848"/>
      <c r="AV1848"/>
      <c r="AW1848"/>
      <c r="AX1848"/>
      <c r="AY1848"/>
      <c r="AZ1848"/>
      <c r="BA1848"/>
      <c r="BB1848"/>
      <c r="BC1848"/>
      <c r="BD1848"/>
      <c r="BE1848"/>
      <c r="BF1848"/>
      <c r="BG1848"/>
      <c r="BH1848"/>
      <c r="BI1848"/>
      <c r="BJ1848"/>
      <c r="BK1848"/>
      <c r="BL1848"/>
      <c r="BM1848"/>
      <c r="BN1848"/>
      <c r="BO1848"/>
      <c r="BP1848"/>
      <c r="BQ1848"/>
      <c r="BR1848"/>
      <c r="BS1848"/>
      <c r="BT1848"/>
      <c r="BU1848"/>
      <c r="BV1848"/>
      <c r="BW1848"/>
      <c r="BX1848"/>
      <c r="BY1848"/>
      <c r="BZ1848"/>
      <c r="CA1848"/>
      <c r="CB1848"/>
      <c r="CC1848"/>
      <c r="CD1848"/>
      <c r="CE1848"/>
      <c r="CF1848"/>
      <c r="CG1848"/>
      <c r="CH1848"/>
      <c r="CI1848"/>
      <c r="CJ1848"/>
      <c r="CK1848"/>
      <c r="CL1848"/>
      <c r="CM1848"/>
      <c r="CN1848"/>
      <c r="CO1848"/>
      <c r="CP1848"/>
      <c r="CQ1848"/>
      <c r="CR1848"/>
      <c r="CS1848"/>
    </row>
    <row r="1849" spans="2:97">
      <c r="B1849"/>
      <c r="C1849" s="1"/>
      <c r="D1849" s="1"/>
      <c r="E1849" s="1"/>
      <c r="F1849" s="1"/>
      <c r="G1849" s="1"/>
      <c r="H1849" s="1"/>
      <c r="I1849" s="1"/>
      <c r="J1849" s="1"/>
      <c r="K1849" s="1"/>
      <c r="L1849" s="1"/>
      <c r="M1849" s="1"/>
      <c r="N1849" s="1"/>
      <c r="O1849" s="1"/>
      <c r="P1849" s="1"/>
      <c r="Q1849" s="1"/>
      <c r="R1849"/>
      <c r="S1849" s="1"/>
      <c r="T1849" s="24"/>
      <c r="U1849"/>
      <c r="V1849" s="1"/>
      <c r="W1849" s="24"/>
      <c r="X1849"/>
      <c r="Y1849" s="1"/>
      <c r="Z1849" s="24"/>
      <c r="AA1849"/>
      <c r="AB1849" s="1"/>
      <c r="AC1849" s="24"/>
      <c r="AD1849"/>
      <c r="AE1849"/>
      <c r="AF1849"/>
      <c r="AG1849"/>
      <c r="AH1849"/>
      <c r="AI1849"/>
      <c r="AJ1849"/>
      <c r="AK1849"/>
      <c r="AL1849"/>
      <c r="AM1849"/>
      <c r="AN1849"/>
      <c r="AO1849"/>
      <c r="AP1849"/>
      <c r="AQ1849"/>
      <c r="AR1849"/>
      <c r="AS1849"/>
      <c r="AT1849"/>
      <c r="AU1849"/>
      <c r="AV1849"/>
      <c r="AW1849"/>
      <c r="AX1849"/>
      <c r="AY1849"/>
      <c r="AZ1849"/>
      <c r="BA1849"/>
      <c r="BB1849"/>
      <c r="BC1849"/>
      <c r="BD1849"/>
      <c r="BE1849"/>
      <c r="BF1849"/>
      <c r="BG1849"/>
      <c r="BH1849"/>
      <c r="BI1849"/>
      <c r="BJ1849"/>
      <c r="BK1849"/>
      <c r="BL1849"/>
      <c r="BM1849"/>
      <c r="BN1849"/>
      <c r="BO1849"/>
      <c r="BP1849"/>
      <c r="BQ1849"/>
      <c r="BR1849"/>
      <c r="BS1849"/>
      <c r="BT1849"/>
      <c r="BU1849"/>
      <c r="BV1849"/>
      <c r="BW1849"/>
      <c r="BX1849"/>
      <c r="BY1849"/>
      <c r="BZ1849"/>
      <c r="CA1849"/>
      <c r="CB1849"/>
      <c r="CC1849"/>
      <c r="CD1849"/>
      <c r="CE1849"/>
      <c r="CF1849"/>
      <c r="CG1849"/>
      <c r="CH1849"/>
      <c r="CI1849"/>
      <c r="CJ1849"/>
      <c r="CK1849"/>
      <c r="CL1849"/>
      <c r="CM1849"/>
      <c r="CN1849"/>
      <c r="CO1849"/>
      <c r="CP1849"/>
      <c r="CQ1849"/>
      <c r="CR1849"/>
      <c r="CS1849"/>
    </row>
    <row r="1850" spans="2:97">
      <c r="B1850"/>
      <c r="C1850" s="1"/>
      <c r="D1850" s="1"/>
      <c r="E1850" s="1"/>
      <c r="F1850" s="1"/>
      <c r="G1850" s="1"/>
      <c r="H1850" s="1"/>
      <c r="I1850" s="1"/>
      <c r="J1850" s="1"/>
      <c r="K1850" s="1"/>
      <c r="L1850" s="1"/>
      <c r="M1850" s="1"/>
      <c r="N1850" s="1"/>
      <c r="O1850" s="1"/>
      <c r="P1850" s="1"/>
      <c r="Q1850" s="1"/>
      <c r="R1850"/>
      <c r="S1850" s="1"/>
      <c r="T1850" s="24"/>
      <c r="U1850"/>
      <c r="V1850" s="1"/>
      <c r="W1850" s="24"/>
      <c r="X1850"/>
      <c r="Y1850" s="1"/>
      <c r="Z1850" s="24"/>
      <c r="AA1850"/>
      <c r="AB1850" s="1"/>
      <c r="AC1850" s="24"/>
      <c r="AD1850"/>
      <c r="AE1850"/>
      <c r="AF1850"/>
      <c r="AG1850"/>
      <c r="AH1850"/>
      <c r="AI1850"/>
      <c r="AJ1850"/>
      <c r="AK1850"/>
      <c r="AL1850"/>
      <c r="AM1850"/>
      <c r="AN1850"/>
      <c r="AO1850"/>
      <c r="AP1850"/>
      <c r="AQ1850"/>
      <c r="AR1850"/>
      <c r="AS1850"/>
      <c r="AT1850"/>
      <c r="AU1850"/>
      <c r="AV1850"/>
      <c r="AW1850"/>
      <c r="AX1850"/>
      <c r="AY1850"/>
      <c r="AZ1850"/>
      <c r="BA1850"/>
      <c r="BB1850"/>
      <c r="BC1850"/>
      <c r="BD1850"/>
      <c r="BE1850"/>
      <c r="BF1850"/>
      <c r="BG1850"/>
      <c r="BH1850"/>
      <c r="BI1850"/>
      <c r="BJ1850"/>
      <c r="BK1850"/>
      <c r="BL1850"/>
      <c r="BM1850"/>
      <c r="BN1850"/>
      <c r="BO1850"/>
      <c r="BP1850"/>
      <c r="BQ1850"/>
      <c r="BR1850"/>
      <c r="BS1850"/>
      <c r="BT1850"/>
      <c r="BU1850"/>
      <c r="BV1850"/>
      <c r="BW1850"/>
      <c r="BX1850"/>
      <c r="BY1850"/>
      <c r="BZ1850"/>
      <c r="CA1850"/>
      <c r="CB1850"/>
      <c r="CC1850"/>
      <c r="CD1850"/>
      <c r="CE1850"/>
      <c r="CF1850"/>
      <c r="CG1850"/>
      <c r="CH1850"/>
      <c r="CI1850"/>
      <c r="CJ1850"/>
      <c r="CK1850"/>
      <c r="CL1850"/>
      <c r="CM1850"/>
      <c r="CN1850"/>
      <c r="CO1850"/>
      <c r="CP1850"/>
      <c r="CQ1850"/>
      <c r="CR1850"/>
      <c r="CS1850"/>
    </row>
    <row r="1851" spans="2:97">
      <c r="B1851"/>
      <c r="C1851" s="1"/>
      <c r="D1851" s="1"/>
      <c r="E1851" s="1"/>
      <c r="F1851" s="1"/>
      <c r="G1851" s="1"/>
      <c r="H1851" s="1"/>
      <c r="I1851" s="1"/>
      <c r="J1851" s="1"/>
      <c r="K1851" s="1"/>
      <c r="L1851" s="1"/>
      <c r="M1851" s="1"/>
      <c r="N1851" s="1"/>
      <c r="O1851" s="1"/>
      <c r="P1851" s="1"/>
      <c r="Q1851" s="1"/>
      <c r="R1851"/>
      <c r="S1851" s="1"/>
      <c r="T1851" s="24"/>
      <c r="U1851"/>
      <c r="V1851" s="1"/>
      <c r="W1851" s="24"/>
      <c r="X1851"/>
      <c r="Y1851" s="1"/>
      <c r="Z1851" s="24"/>
      <c r="AA1851"/>
      <c r="AB1851" s="1"/>
      <c r="AC1851" s="24"/>
      <c r="AD1851"/>
      <c r="AE1851"/>
      <c r="AF1851"/>
      <c r="AG1851"/>
      <c r="AH1851"/>
      <c r="AI1851"/>
      <c r="AJ1851"/>
      <c r="AK1851"/>
      <c r="AL1851"/>
      <c r="AM1851"/>
      <c r="AN1851"/>
      <c r="AO1851"/>
      <c r="AP1851"/>
      <c r="AQ1851"/>
      <c r="AR1851"/>
      <c r="AS1851"/>
      <c r="AT1851"/>
      <c r="AU1851"/>
      <c r="AV1851"/>
      <c r="AW1851"/>
      <c r="AX1851"/>
      <c r="AY1851"/>
      <c r="AZ1851"/>
      <c r="BA1851"/>
      <c r="BB1851"/>
      <c r="BC1851"/>
      <c r="BD1851"/>
      <c r="BE1851"/>
      <c r="BF1851"/>
      <c r="BG1851"/>
      <c r="BH1851"/>
      <c r="BI1851"/>
      <c r="BJ1851"/>
      <c r="BK1851"/>
      <c r="BL1851"/>
      <c r="BM1851"/>
      <c r="BN1851"/>
      <c r="BO1851"/>
      <c r="BP1851"/>
      <c r="BQ1851"/>
      <c r="BR1851"/>
      <c r="BS1851"/>
      <c r="BT1851"/>
      <c r="BU1851"/>
      <c r="BV1851"/>
      <c r="BW1851"/>
      <c r="BX1851"/>
      <c r="BY1851"/>
      <c r="BZ1851"/>
      <c r="CA1851"/>
      <c r="CB1851"/>
      <c r="CC1851"/>
      <c r="CD1851"/>
      <c r="CE1851"/>
      <c r="CF1851"/>
      <c r="CG1851"/>
      <c r="CH1851"/>
      <c r="CI1851"/>
      <c r="CJ1851"/>
      <c r="CK1851"/>
      <c r="CL1851"/>
      <c r="CM1851"/>
      <c r="CN1851"/>
      <c r="CO1851"/>
      <c r="CP1851"/>
      <c r="CQ1851"/>
      <c r="CR1851"/>
      <c r="CS1851"/>
    </row>
    <row r="1852" spans="2:97">
      <c r="B1852"/>
      <c r="C1852" s="1"/>
      <c r="D1852" s="1"/>
      <c r="E1852" s="1"/>
      <c r="F1852" s="1"/>
      <c r="G1852" s="1"/>
      <c r="H1852" s="1"/>
      <c r="I1852" s="1"/>
      <c r="J1852" s="1"/>
      <c r="K1852" s="1"/>
      <c r="L1852" s="1"/>
      <c r="M1852" s="1"/>
      <c r="N1852" s="1"/>
      <c r="O1852" s="1"/>
      <c r="P1852" s="1"/>
      <c r="Q1852" s="1"/>
      <c r="R1852"/>
      <c r="S1852" s="1"/>
      <c r="T1852" s="24"/>
      <c r="U1852"/>
      <c r="V1852" s="1"/>
      <c r="W1852" s="24"/>
      <c r="X1852"/>
      <c r="Y1852" s="1"/>
      <c r="Z1852" s="24"/>
      <c r="AA1852"/>
      <c r="AB1852" s="1"/>
      <c r="AC1852" s="24"/>
      <c r="AD1852"/>
      <c r="AE1852"/>
      <c r="AF1852"/>
      <c r="AG1852"/>
      <c r="AH1852"/>
      <c r="AI1852"/>
      <c r="AJ1852"/>
      <c r="AK1852"/>
      <c r="AL1852"/>
      <c r="AM1852"/>
      <c r="AN1852"/>
      <c r="AO1852"/>
      <c r="AP1852"/>
      <c r="AQ1852"/>
      <c r="AR1852"/>
      <c r="AS1852"/>
      <c r="AT1852"/>
      <c r="AU1852"/>
      <c r="AV1852"/>
      <c r="AW1852"/>
      <c r="AX1852"/>
      <c r="AY1852"/>
      <c r="AZ1852"/>
      <c r="BA1852"/>
      <c r="BB1852"/>
      <c r="BC1852"/>
      <c r="BD1852"/>
      <c r="BE1852"/>
      <c r="BF1852"/>
      <c r="BG1852"/>
      <c r="BH1852"/>
      <c r="BI1852"/>
      <c r="BJ1852"/>
      <c r="BK1852"/>
      <c r="BL1852"/>
      <c r="BM1852"/>
      <c r="BN1852"/>
      <c r="BO1852"/>
      <c r="BP1852"/>
      <c r="BQ1852"/>
      <c r="BR1852"/>
      <c r="BS1852"/>
      <c r="BT1852"/>
      <c r="BU1852"/>
      <c r="BV1852"/>
      <c r="BW1852"/>
      <c r="BX1852"/>
      <c r="BY1852"/>
      <c r="BZ1852"/>
      <c r="CA1852"/>
      <c r="CB1852"/>
      <c r="CC1852"/>
      <c r="CD1852"/>
      <c r="CE1852"/>
      <c r="CF1852"/>
      <c r="CG1852"/>
      <c r="CH1852"/>
      <c r="CI1852"/>
      <c r="CJ1852"/>
      <c r="CK1852"/>
      <c r="CL1852"/>
      <c r="CM1852"/>
      <c r="CN1852"/>
      <c r="CO1852"/>
      <c r="CP1852"/>
      <c r="CQ1852"/>
      <c r="CR1852"/>
      <c r="CS1852"/>
    </row>
    <row r="1853" spans="2:97">
      <c r="B1853"/>
      <c r="C1853" s="1"/>
      <c r="D1853" s="1"/>
      <c r="E1853" s="1"/>
      <c r="F1853" s="1"/>
      <c r="G1853" s="1"/>
      <c r="H1853" s="1"/>
      <c r="I1853" s="1"/>
      <c r="J1853" s="1"/>
      <c r="K1853" s="1"/>
      <c r="L1853" s="1"/>
      <c r="M1853" s="1"/>
      <c r="N1853" s="1"/>
      <c r="O1853" s="1"/>
      <c r="P1853" s="1"/>
      <c r="Q1853" s="1"/>
      <c r="R1853"/>
      <c r="S1853" s="1"/>
      <c r="T1853" s="24"/>
      <c r="U1853"/>
      <c r="V1853" s="1"/>
      <c r="W1853" s="24"/>
      <c r="X1853"/>
      <c r="Y1853" s="1"/>
      <c r="Z1853" s="24"/>
      <c r="AA1853"/>
      <c r="AB1853" s="1"/>
      <c r="AC1853" s="24"/>
      <c r="AD1853"/>
      <c r="AE1853"/>
      <c r="AF1853"/>
      <c r="AG1853"/>
      <c r="AH1853"/>
      <c r="AI1853"/>
      <c r="AJ1853"/>
      <c r="AK1853"/>
      <c r="AL1853"/>
      <c r="AM1853"/>
      <c r="AN1853"/>
      <c r="AO1853"/>
      <c r="AP1853"/>
      <c r="AQ1853"/>
      <c r="AR1853"/>
      <c r="AS1853"/>
      <c r="AT1853"/>
      <c r="AU1853"/>
      <c r="AV1853"/>
      <c r="AW1853"/>
      <c r="AX1853"/>
      <c r="AY1853"/>
      <c r="AZ1853"/>
      <c r="BA1853"/>
      <c r="BB1853"/>
      <c r="BC1853"/>
      <c r="BD1853"/>
      <c r="BE1853"/>
      <c r="BF1853"/>
      <c r="BG1853"/>
      <c r="BH1853"/>
      <c r="BI1853"/>
      <c r="BJ1853"/>
      <c r="BK1853"/>
      <c r="BL1853"/>
      <c r="BM1853"/>
      <c r="BN1853"/>
      <c r="BO1853"/>
      <c r="BP1853"/>
      <c r="BQ1853"/>
      <c r="BR1853"/>
      <c r="BS1853"/>
      <c r="BT1853"/>
      <c r="BU1853"/>
      <c r="BV1853"/>
      <c r="BW1853"/>
      <c r="BX1853"/>
      <c r="BY1853"/>
      <c r="BZ1853"/>
      <c r="CA1853"/>
      <c r="CB1853"/>
      <c r="CC1853"/>
      <c r="CD1853"/>
      <c r="CE1853"/>
      <c r="CF1853"/>
      <c r="CG1853"/>
      <c r="CH1853"/>
      <c r="CI1853"/>
      <c r="CJ1853"/>
      <c r="CK1853"/>
      <c r="CL1853"/>
      <c r="CM1853"/>
      <c r="CN1853"/>
      <c r="CO1853"/>
      <c r="CP1853"/>
      <c r="CQ1853"/>
      <c r="CR1853"/>
      <c r="CS1853"/>
    </row>
    <row r="1854" spans="2:97">
      <c r="B1854"/>
      <c r="C1854" s="1"/>
      <c r="D1854" s="1"/>
      <c r="E1854" s="1"/>
      <c r="F1854" s="1"/>
      <c r="G1854" s="1"/>
      <c r="H1854" s="1"/>
      <c r="I1854" s="1"/>
      <c r="J1854" s="1"/>
      <c r="K1854" s="1"/>
      <c r="L1854" s="1"/>
      <c r="M1854" s="1"/>
      <c r="N1854" s="1"/>
      <c r="O1854" s="1"/>
      <c r="P1854" s="1"/>
      <c r="Q1854" s="1"/>
      <c r="R1854"/>
      <c r="S1854" s="1"/>
      <c r="T1854" s="24"/>
      <c r="U1854"/>
      <c r="V1854" s="1"/>
      <c r="W1854" s="24"/>
      <c r="X1854"/>
      <c r="Y1854" s="1"/>
      <c r="Z1854" s="24"/>
      <c r="AA1854"/>
      <c r="AB1854" s="1"/>
      <c r="AC1854" s="24"/>
      <c r="AD1854"/>
      <c r="AE1854"/>
      <c r="AF1854"/>
      <c r="AG1854"/>
      <c r="AH1854"/>
      <c r="AI1854"/>
      <c r="AJ1854"/>
      <c r="AK1854"/>
      <c r="AL1854"/>
      <c r="AM1854"/>
      <c r="AN1854"/>
      <c r="AO1854"/>
      <c r="AP1854"/>
      <c r="AQ1854"/>
      <c r="AR1854"/>
      <c r="AS1854"/>
      <c r="AT1854"/>
      <c r="AU1854"/>
      <c r="AV1854"/>
      <c r="AW1854"/>
      <c r="AX1854"/>
      <c r="AY1854"/>
      <c r="AZ1854"/>
      <c r="BA1854"/>
      <c r="BB1854"/>
      <c r="BC1854"/>
      <c r="BD1854"/>
      <c r="BE1854"/>
      <c r="BF1854"/>
      <c r="BG1854"/>
      <c r="BH1854"/>
      <c r="BI1854"/>
      <c r="BJ1854"/>
      <c r="BK1854"/>
      <c r="BL1854"/>
      <c r="BM1854"/>
      <c r="BN1854"/>
      <c r="BO1854"/>
      <c r="BP1854"/>
      <c r="BQ1854"/>
      <c r="BR1854"/>
      <c r="BS1854"/>
      <c r="BT1854"/>
      <c r="BU1854"/>
      <c r="BV1854"/>
      <c r="BW1854"/>
      <c r="BX1854"/>
      <c r="BY1854"/>
      <c r="BZ1854"/>
      <c r="CA1854"/>
      <c r="CB1854"/>
      <c r="CC1854"/>
      <c r="CD1854"/>
      <c r="CE1854"/>
      <c r="CF1854"/>
      <c r="CG1854"/>
      <c r="CH1854"/>
      <c r="CI1854"/>
      <c r="CJ1854"/>
      <c r="CK1854"/>
      <c r="CL1854"/>
      <c r="CM1854"/>
      <c r="CN1854"/>
      <c r="CO1854"/>
      <c r="CP1854"/>
      <c r="CQ1854"/>
      <c r="CR1854"/>
      <c r="CS1854"/>
    </row>
    <row r="1855" spans="2:97">
      <c r="B1855"/>
      <c r="C1855" s="1"/>
      <c r="D1855" s="1"/>
      <c r="E1855" s="1"/>
      <c r="F1855" s="1"/>
      <c r="G1855" s="1"/>
      <c r="H1855" s="1"/>
      <c r="I1855" s="1"/>
      <c r="J1855" s="1"/>
      <c r="K1855" s="1"/>
      <c r="L1855" s="1"/>
      <c r="M1855" s="1"/>
      <c r="N1855" s="1"/>
      <c r="O1855" s="1"/>
      <c r="P1855" s="1"/>
      <c r="Q1855" s="1"/>
      <c r="R1855"/>
      <c r="S1855" s="1"/>
      <c r="T1855" s="24"/>
      <c r="U1855"/>
      <c r="V1855" s="1"/>
      <c r="W1855" s="24"/>
      <c r="X1855"/>
      <c r="Y1855" s="1"/>
      <c r="Z1855" s="24"/>
      <c r="AA1855"/>
      <c r="AB1855" s="1"/>
      <c r="AC1855" s="24"/>
      <c r="AD1855"/>
      <c r="AE1855"/>
      <c r="AF1855"/>
      <c r="AG1855"/>
      <c r="AH1855"/>
      <c r="AI1855"/>
      <c r="AJ1855"/>
      <c r="AK1855"/>
      <c r="AL1855"/>
      <c r="AM1855"/>
      <c r="AN1855"/>
      <c r="AO1855"/>
      <c r="AP1855"/>
      <c r="AQ1855"/>
      <c r="AR1855"/>
      <c r="AS1855"/>
      <c r="AT1855"/>
      <c r="AU1855"/>
      <c r="AV1855"/>
      <c r="AW1855"/>
      <c r="AX1855"/>
      <c r="AY1855"/>
      <c r="AZ1855"/>
      <c r="BA1855"/>
      <c r="BB1855"/>
      <c r="BC1855"/>
      <c r="BD1855"/>
      <c r="BE1855"/>
      <c r="BF1855"/>
      <c r="BG1855"/>
      <c r="BH1855"/>
      <c r="BI1855"/>
      <c r="BJ1855"/>
      <c r="BK1855"/>
      <c r="BL1855"/>
      <c r="BM1855"/>
      <c r="BN1855"/>
      <c r="BO1855"/>
      <c r="BP1855"/>
      <c r="BQ1855"/>
      <c r="BR1855"/>
      <c r="BS1855"/>
      <c r="BT1855"/>
      <c r="BU1855"/>
      <c r="BV1855"/>
      <c r="BW1855"/>
      <c r="BX1855"/>
      <c r="BY1855"/>
      <c r="BZ1855"/>
      <c r="CA1855"/>
      <c r="CB1855"/>
      <c r="CC1855"/>
      <c r="CD1855"/>
      <c r="CE1855"/>
      <c r="CF1855"/>
      <c r="CG1855"/>
      <c r="CH1855"/>
      <c r="CI1855"/>
      <c r="CJ1855"/>
      <c r="CK1855"/>
      <c r="CL1855"/>
      <c r="CM1855"/>
      <c r="CN1855"/>
      <c r="CO1855"/>
      <c r="CP1855"/>
      <c r="CQ1855"/>
      <c r="CR1855"/>
      <c r="CS1855"/>
    </row>
    <row r="1856" spans="2:97">
      <c r="B1856"/>
      <c r="C1856" s="1"/>
      <c r="D1856" s="1"/>
      <c r="E1856" s="1"/>
      <c r="F1856" s="1"/>
      <c r="G1856" s="1"/>
      <c r="H1856" s="1"/>
      <c r="I1856" s="1"/>
      <c r="J1856" s="1"/>
      <c r="K1856" s="1"/>
      <c r="L1856" s="1"/>
      <c r="M1856" s="1"/>
      <c r="N1856" s="1"/>
      <c r="O1856" s="1"/>
      <c r="P1856" s="1"/>
      <c r="Q1856" s="1"/>
      <c r="R1856"/>
      <c r="S1856" s="1"/>
      <c r="T1856" s="24"/>
      <c r="U1856"/>
      <c r="V1856" s="1"/>
      <c r="W1856" s="24"/>
      <c r="X1856"/>
      <c r="Y1856" s="1"/>
      <c r="Z1856" s="24"/>
      <c r="AA1856"/>
      <c r="AB1856" s="1"/>
      <c r="AC1856" s="24"/>
      <c r="AD1856"/>
      <c r="AE1856"/>
      <c r="AF1856"/>
      <c r="AG1856"/>
      <c r="AH1856"/>
      <c r="AI1856"/>
      <c r="AJ1856"/>
      <c r="AK1856"/>
      <c r="AL1856"/>
      <c r="AM1856"/>
      <c r="AN1856"/>
      <c r="AO1856"/>
      <c r="AP1856"/>
      <c r="AQ1856"/>
      <c r="AR1856"/>
      <c r="AS1856"/>
      <c r="AT1856"/>
      <c r="AU1856"/>
      <c r="AV1856"/>
      <c r="AW1856"/>
      <c r="AX1856"/>
      <c r="AY1856"/>
      <c r="AZ1856"/>
      <c r="BA1856"/>
      <c r="BB1856"/>
      <c r="BC1856"/>
      <c r="BD1856"/>
      <c r="BE1856"/>
      <c r="BF1856"/>
      <c r="BG1856"/>
      <c r="BH1856"/>
      <c r="BI1856"/>
      <c r="BJ1856"/>
      <c r="BK1856"/>
      <c r="BL1856"/>
      <c r="BM1856"/>
      <c r="BN1856"/>
      <c r="BO1856"/>
      <c r="BP1856"/>
      <c r="BQ1856"/>
      <c r="BR1856"/>
      <c r="BS1856"/>
      <c r="BT1856"/>
      <c r="BU1856"/>
      <c r="BV1856"/>
      <c r="BW1856"/>
      <c r="BX1856"/>
      <c r="BY1856"/>
      <c r="BZ1856"/>
      <c r="CA1856"/>
      <c r="CB1856"/>
      <c r="CC1856"/>
      <c r="CD1856"/>
      <c r="CE1856"/>
      <c r="CF1856"/>
      <c r="CG1856"/>
      <c r="CH1856"/>
      <c r="CI1856"/>
      <c r="CJ1856"/>
      <c r="CK1856"/>
      <c r="CL1856"/>
      <c r="CM1856"/>
      <c r="CN1856"/>
      <c r="CO1856"/>
      <c r="CP1856"/>
      <c r="CQ1856"/>
      <c r="CR1856"/>
      <c r="CS1856"/>
    </row>
    <row r="1857" spans="2:97">
      <c r="B1857"/>
      <c r="C1857" s="1"/>
      <c r="D1857" s="1"/>
      <c r="E1857" s="1"/>
      <c r="F1857" s="1"/>
      <c r="G1857" s="1"/>
      <c r="H1857" s="1"/>
      <c r="I1857" s="1"/>
      <c r="J1857" s="1"/>
      <c r="K1857" s="1"/>
      <c r="L1857" s="1"/>
      <c r="M1857" s="1"/>
      <c r="N1857" s="1"/>
      <c r="O1857" s="1"/>
      <c r="P1857" s="1"/>
      <c r="Q1857" s="1"/>
      <c r="R1857"/>
      <c r="S1857" s="1"/>
      <c r="T1857" s="24"/>
      <c r="U1857"/>
      <c r="V1857" s="1"/>
      <c r="W1857" s="24"/>
      <c r="X1857"/>
      <c r="Y1857" s="1"/>
      <c r="Z1857" s="24"/>
      <c r="AA1857"/>
      <c r="AB1857" s="1"/>
      <c r="AC1857" s="24"/>
      <c r="AD1857"/>
      <c r="AE1857"/>
      <c r="AF1857"/>
      <c r="AG1857"/>
      <c r="AH1857"/>
      <c r="AI1857"/>
      <c r="AJ1857"/>
      <c r="AK1857"/>
      <c r="AL1857"/>
      <c r="AM1857"/>
      <c r="AN1857"/>
      <c r="AO1857"/>
      <c r="AP1857"/>
      <c r="AQ1857"/>
      <c r="AR1857"/>
      <c r="AS1857"/>
      <c r="AT1857"/>
      <c r="AU1857"/>
      <c r="AV1857"/>
      <c r="AW1857"/>
      <c r="AX1857"/>
      <c r="AY1857"/>
      <c r="AZ1857"/>
      <c r="BA1857"/>
      <c r="BB1857"/>
      <c r="BC1857"/>
      <c r="BD1857"/>
      <c r="BE1857"/>
      <c r="BF1857"/>
      <c r="BG1857"/>
      <c r="BH1857"/>
      <c r="BI1857"/>
      <c r="BJ1857"/>
      <c r="BK1857"/>
      <c r="BL1857"/>
      <c r="BM1857"/>
      <c r="BN1857"/>
      <c r="BO1857"/>
      <c r="BP1857"/>
      <c r="BQ1857"/>
      <c r="BR1857"/>
      <c r="BS1857"/>
      <c r="BT1857"/>
      <c r="BU1857"/>
      <c r="BV1857"/>
      <c r="BW1857"/>
      <c r="BX1857"/>
      <c r="BY1857"/>
      <c r="BZ1857"/>
      <c r="CA1857"/>
      <c r="CB1857"/>
      <c r="CC1857"/>
      <c r="CD1857"/>
      <c r="CE1857"/>
      <c r="CF1857"/>
      <c r="CG1857"/>
      <c r="CH1857"/>
      <c r="CI1857"/>
      <c r="CJ1857"/>
      <c r="CK1857"/>
      <c r="CL1857"/>
      <c r="CM1857"/>
      <c r="CN1857"/>
      <c r="CO1857"/>
      <c r="CP1857"/>
      <c r="CQ1857"/>
      <c r="CR1857"/>
      <c r="CS1857"/>
    </row>
    <row r="1858" spans="2:97">
      <c r="B1858"/>
      <c r="C1858" s="1"/>
      <c r="D1858" s="1"/>
      <c r="E1858" s="1"/>
      <c r="F1858" s="1"/>
      <c r="G1858" s="1"/>
      <c r="H1858" s="1"/>
      <c r="I1858" s="1"/>
      <c r="J1858" s="1"/>
      <c r="K1858" s="1"/>
      <c r="L1858" s="1"/>
      <c r="M1858" s="1"/>
      <c r="N1858" s="1"/>
      <c r="O1858" s="1"/>
      <c r="P1858" s="1"/>
      <c r="Q1858" s="1"/>
      <c r="R1858"/>
      <c r="S1858" s="1"/>
      <c r="T1858" s="24"/>
      <c r="U1858"/>
      <c r="V1858" s="1"/>
      <c r="W1858" s="24"/>
      <c r="X1858"/>
      <c r="Y1858" s="1"/>
      <c r="Z1858" s="24"/>
      <c r="AA1858"/>
      <c r="AB1858" s="1"/>
      <c r="AC1858" s="24"/>
      <c r="AD1858"/>
      <c r="AE1858"/>
      <c r="AF1858"/>
      <c r="AG1858"/>
      <c r="AH1858"/>
      <c r="AI1858"/>
      <c r="AJ1858"/>
      <c r="AK1858"/>
      <c r="AL1858"/>
      <c r="AM1858"/>
      <c r="AN1858"/>
      <c r="AO1858"/>
      <c r="AP1858"/>
      <c r="AQ1858"/>
      <c r="AR1858"/>
      <c r="AS1858"/>
      <c r="AT1858"/>
      <c r="AU1858"/>
      <c r="AV1858"/>
      <c r="AW1858"/>
      <c r="AX1858"/>
      <c r="AY1858"/>
      <c r="AZ1858"/>
      <c r="BA1858"/>
      <c r="BB1858"/>
      <c r="BC1858"/>
      <c r="BD1858"/>
      <c r="BE1858"/>
      <c r="BF1858"/>
      <c r="BG1858"/>
      <c r="BH1858"/>
      <c r="BI1858"/>
      <c r="BJ1858"/>
      <c r="BK1858"/>
      <c r="BL1858"/>
      <c r="BM1858"/>
      <c r="BN1858"/>
      <c r="BO1858"/>
      <c r="BP1858"/>
      <c r="BQ1858"/>
      <c r="BR1858"/>
      <c r="BS1858"/>
      <c r="BT1858"/>
      <c r="BU1858"/>
      <c r="BV1858"/>
      <c r="BW1858"/>
      <c r="BX1858"/>
      <c r="BY1858"/>
      <c r="BZ1858"/>
      <c r="CA1858"/>
      <c r="CB1858"/>
      <c r="CC1858"/>
      <c r="CD1858"/>
      <c r="CE1858"/>
      <c r="CF1858"/>
      <c r="CG1858"/>
      <c r="CH1858"/>
      <c r="CI1858"/>
      <c r="CJ1858"/>
      <c r="CK1858"/>
      <c r="CL1858"/>
      <c r="CM1858"/>
      <c r="CN1858"/>
      <c r="CO1858"/>
      <c r="CP1858"/>
      <c r="CQ1858"/>
      <c r="CR1858"/>
      <c r="CS1858"/>
    </row>
    <row r="1859" spans="2:97">
      <c r="B1859"/>
      <c r="C1859" s="1"/>
      <c r="D1859" s="1"/>
      <c r="E1859" s="1"/>
      <c r="F1859" s="1"/>
      <c r="G1859" s="1"/>
      <c r="H1859" s="1"/>
      <c r="I1859" s="1"/>
      <c r="J1859" s="1"/>
      <c r="K1859" s="1"/>
      <c r="L1859" s="1"/>
      <c r="M1859" s="1"/>
      <c r="N1859" s="1"/>
      <c r="O1859" s="1"/>
      <c r="P1859" s="1"/>
      <c r="Q1859" s="1"/>
      <c r="R1859"/>
      <c r="S1859" s="1"/>
      <c r="T1859" s="24"/>
      <c r="U1859"/>
      <c r="V1859" s="1"/>
      <c r="W1859" s="24"/>
      <c r="X1859"/>
      <c r="Y1859" s="1"/>
      <c r="Z1859" s="24"/>
      <c r="AA1859"/>
      <c r="AB1859" s="1"/>
      <c r="AC1859" s="24"/>
      <c r="AD1859"/>
      <c r="AE1859"/>
      <c r="AF1859"/>
      <c r="AG1859"/>
      <c r="AH1859"/>
      <c r="AI1859"/>
      <c r="AJ1859"/>
      <c r="AK1859"/>
      <c r="AL1859"/>
      <c r="AM1859"/>
      <c r="AN1859"/>
      <c r="AO1859"/>
      <c r="AP1859"/>
      <c r="AQ1859"/>
      <c r="AR1859"/>
      <c r="AS1859"/>
      <c r="AT1859"/>
      <c r="AU1859"/>
      <c r="AV1859"/>
      <c r="AW1859"/>
      <c r="AX1859"/>
      <c r="AY1859"/>
      <c r="AZ1859"/>
      <c r="BA1859"/>
      <c r="BB1859"/>
      <c r="BC1859"/>
      <c r="BD1859"/>
      <c r="BE1859"/>
      <c r="BF1859"/>
      <c r="BG1859"/>
      <c r="BH1859"/>
      <c r="BI1859"/>
      <c r="BJ1859"/>
      <c r="BK1859"/>
      <c r="BL1859"/>
      <c r="BM1859"/>
      <c r="BN1859"/>
      <c r="BO1859"/>
      <c r="BP1859"/>
      <c r="BQ1859"/>
      <c r="BR1859"/>
      <c r="BS1859"/>
      <c r="BT1859"/>
      <c r="BU1859"/>
      <c r="BV1859"/>
      <c r="BW1859"/>
      <c r="BX1859"/>
      <c r="BY1859"/>
      <c r="BZ1859"/>
      <c r="CA1859"/>
      <c r="CB1859"/>
      <c r="CC1859"/>
      <c r="CD1859"/>
      <c r="CE1859"/>
      <c r="CF1859"/>
      <c r="CG1859"/>
      <c r="CH1859"/>
      <c r="CI1859"/>
      <c r="CJ1859"/>
      <c r="CK1859"/>
      <c r="CL1859"/>
      <c r="CM1859"/>
      <c r="CN1859"/>
      <c r="CO1859"/>
      <c r="CP1859"/>
      <c r="CQ1859"/>
      <c r="CR1859"/>
      <c r="CS1859"/>
    </row>
    <row r="1860" spans="2:97">
      <c r="B1860"/>
      <c r="C1860" s="1"/>
      <c r="D1860" s="1"/>
      <c r="E1860" s="1"/>
      <c r="F1860" s="1"/>
      <c r="G1860" s="1"/>
      <c r="H1860" s="1"/>
      <c r="I1860" s="1"/>
      <c r="J1860" s="1"/>
      <c r="K1860" s="1"/>
      <c r="L1860" s="1"/>
      <c r="M1860" s="1"/>
      <c r="N1860" s="1"/>
      <c r="O1860" s="1"/>
      <c r="P1860" s="1"/>
      <c r="Q1860" s="1"/>
      <c r="R1860"/>
      <c r="S1860" s="1"/>
      <c r="T1860" s="24"/>
      <c r="U1860"/>
      <c r="V1860" s="1"/>
      <c r="W1860" s="24"/>
      <c r="X1860"/>
      <c r="Y1860" s="1"/>
      <c r="Z1860" s="24"/>
      <c r="AA1860"/>
      <c r="AB1860" s="1"/>
      <c r="AC1860" s="24"/>
      <c r="AD1860"/>
      <c r="AE1860"/>
      <c r="AF1860"/>
      <c r="AG1860"/>
      <c r="AH1860"/>
      <c r="AI1860"/>
      <c r="AJ1860"/>
      <c r="AK1860"/>
      <c r="AL1860"/>
      <c r="AM1860"/>
      <c r="AN1860"/>
      <c r="AO1860"/>
      <c r="AP1860"/>
      <c r="AQ1860"/>
      <c r="AR1860"/>
      <c r="AS1860"/>
      <c r="AT1860"/>
      <c r="AU1860"/>
      <c r="AV1860"/>
      <c r="AW1860"/>
      <c r="AX1860"/>
      <c r="AY1860"/>
      <c r="AZ1860"/>
      <c r="BA1860"/>
      <c r="BB1860"/>
      <c r="BC1860"/>
      <c r="BD1860"/>
      <c r="BE1860"/>
      <c r="BF1860"/>
      <c r="BG1860"/>
      <c r="BH1860"/>
      <c r="BI1860"/>
      <c r="BJ1860"/>
      <c r="BK1860"/>
      <c r="BL1860"/>
      <c r="BM1860"/>
      <c r="BN1860"/>
      <c r="BO1860"/>
      <c r="BP1860"/>
      <c r="BQ1860"/>
      <c r="BR1860"/>
      <c r="BS1860"/>
      <c r="BT1860"/>
      <c r="BU1860"/>
      <c r="BV1860"/>
      <c r="BW1860"/>
      <c r="BX1860"/>
      <c r="BY1860"/>
      <c r="BZ1860"/>
      <c r="CA1860"/>
      <c r="CB1860"/>
      <c r="CC1860"/>
      <c r="CD1860"/>
      <c r="CE1860"/>
      <c r="CF1860"/>
      <c r="CG1860"/>
      <c r="CH1860"/>
      <c r="CI1860"/>
      <c r="CJ1860"/>
      <c r="CK1860"/>
      <c r="CL1860"/>
      <c r="CM1860"/>
      <c r="CN1860"/>
      <c r="CO1860"/>
      <c r="CP1860"/>
      <c r="CQ1860"/>
      <c r="CR1860"/>
      <c r="CS1860"/>
    </row>
    <row r="1861" spans="2:97">
      <c r="B1861"/>
      <c r="C1861" s="1"/>
      <c r="D1861" s="1"/>
      <c r="E1861" s="1"/>
      <c r="F1861" s="1"/>
      <c r="G1861" s="1"/>
      <c r="H1861" s="1"/>
      <c r="I1861" s="1"/>
      <c r="J1861" s="1"/>
      <c r="K1861" s="1"/>
      <c r="L1861" s="1"/>
      <c r="M1861" s="1"/>
      <c r="N1861" s="1"/>
      <c r="O1861" s="1"/>
      <c r="P1861" s="1"/>
      <c r="Q1861" s="1"/>
      <c r="R1861"/>
      <c r="S1861" s="1"/>
      <c r="T1861" s="24"/>
      <c r="U1861"/>
      <c r="V1861" s="1"/>
      <c r="W1861" s="24"/>
      <c r="X1861"/>
      <c r="Y1861" s="1"/>
      <c r="Z1861" s="24"/>
      <c r="AA1861"/>
      <c r="AB1861" s="1"/>
      <c r="AC1861" s="24"/>
      <c r="AD1861"/>
      <c r="AE1861"/>
      <c r="AF1861"/>
      <c r="AG1861"/>
      <c r="AH1861"/>
      <c r="AI1861"/>
      <c r="AJ1861"/>
      <c r="AK1861"/>
      <c r="AL1861"/>
      <c r="AM1861"/>
      <c r="AN1861"/>
      <c r="AO1861"/>
      <c r="AP1861"/>
      <c r="AQ1861"/>
      <c r="AR1861"/>
      <c r="AS1861"/>
      <c r="AT1861"/>
      <c r="AU1861"/>
      <c r="AV1861"/>
      <c r="AW1861"/>
      <c r="AX1861"/>
      <c r="AY1861"/>
      <c r="AZ1861"/>
      <c r="BA1861"/>
      <c r="BB1861"/>
      <c r="BC1861"/>
      <c r="BD1861"/>
      <c r="BE1861"/>
      <c r="BF1861"/>
      <c r="BG1861"/>
      <c r="BH1861"/>
      <c r="BI1861"/>
      <c r="BJ1861"/>
      <c r="BK1861"/>
      <c r="BL1861"/>
      <c r="BM1861"/>
      <c r="BN1861"/>
      <c r="BO1861"/>
      <c r="BP1861"/>
      <c r="BQ1861"/>
      <c r="BR1861"/>
      <c r="BS1861"/>
      <c r="BT1861"/>
      <c r="BU1861"/>
      <c r="BV1861"/>
      <c r="BW1861"/>
      <c r="BX1861"/>
      <c r="BY1861"/>
      <c r="BZ1861"/>
      <c r="CA1861"/>
      <c r="CB1861"/>
      <c r="CC1861"/>
      <c r="CD1861"/>
      <c r="CE1861"/>
      <c r="CF1861"/>
      <c r="CG1861"/>
      <c r="CH1861"/>
      <c r="CI1861"/>
      <c r="CJ1861"/>
      <c r="CK1861"/>
      <c r="CL1861"/>
      <c r="CM1861"/>
      <c r="CN1861"/>
      <c r="CO1861"/>
      <c r="CP1861"/>
      <c r="CQ1861"/>
      <c r="CR1861"/>
      <c r="CS1861"/>
    </row>
    <row r="1862" spans="2:97">
      <c r="B1862"/>
      <c r="C1862" s="1"/>
      <c r="D1862" s="1"/>
      <c r="E1862" s="1"/>
      <c r="F1862" s="1"/>
      <c r="G1862" s="1"/>
      <c r="H1862" s="1"/>
      <c r="I1862" s="1"/>
      <c r="J1862" s="1"/>
      <c r="K1862" s="1"/>
      <c r="L1862" s="1"/>
      <c r="M1862" s="1"/>
      <c r="N1862" s="1"/>
      <c r="O1862" s="1"/>
      <c r="P1862" s="1"/>
      <c r="Q1862" s="1"/>
      <c r="R1862"/>
      <c r="S1862" s="1"/>
      <c r="T1862" s="24"/>
      <c r="U1862"/>
      <c r="V1862" s="1"/>
      <c r="W1862" s="24"/>
      <c r="X1862"/>
      <c r="Y1862" s="1"/>
      <c r="Z1862" s="24"/>
      <c r="AA1862"/>
      <c r="AB1862" s="1"/>
      <c r="AC1862" s="24"/>
      <c r="AD1862"/>
      <c r="AE1862"/>
      <c r="AF1862"/>
      <c r="AG1862"/>
      <c r="AH1862"/>
      <c r="AI1862"/>
      <c r="AJ1862"/>
      <c r="AK1862"/>
      <c r="AL1862"/>
      <c r="AM1862"/>
      <c r="AN1862"/>
      <c r="AO1862"/>
      <c r="AP1862"/>
      <c r="AQ1862"/>
      <c r="AR1862"/>
      <c r="AS1862"/>
      <c r="AT1862"/>
      <c r="AU1862"/>
      <c r="AV1862"/>
      <c r="AW1862"/>
      <c r="AX1862"/>
      <c r="AY1862"/>
      <c r="AZ1862"/>
      <c r="BA1862"/>
      <c r="BB1862"/>
      <c r="BC1862"/>
      <c r="BD1862"/>
      <c r="BE1862"/>
      <c r="BF1862"/>
      <c r="BG1862"/>
      <c r="BH1862"/>
      <c r="BI1862"/>
      <c r="BJ1862"/>
      <c r="BK1862"/>
      <c r="BL1862"/>
      <c r="BM1862"/>
      <c r="BN1862"/>
      <c r="BO1862"/>
      <c r="BP1862"/>
      <c r="BQ1862"/>
      <c r="BR1862"/>
      <c r="BS1862"/>
      <c r="BT1862"/>
      <c r="BU1862"/>
      <c r="BV1862"/>
      <c r="BW1862"/>
      <c r="BX1862"/>
      <c r="BY1862"/>
      <c r="BZ1862"/>
      <c r="CA1862"/>
      <c r="CB1862"/>
      <c r="CC1862"/>
      <c r="CD1862"/>
      <c r="CE1862"/>
      <c r="CF1862"/>
      <c r="CG1862"/>
      <c r="CH1862"/>
      <c r="CI1862"/>
      <c r="CJ1862"/>
      <c r="CK1862"/>
      <c r="CL1862"/>
      <c r="CM1862"/>
      <c r="CN1862"/>
      <c r="CO1862"/>
      <c r="CP1862"/>
      <c r="CQ1862"/>
      <c r="CR1862"/>
      <c r="CS1862"/>
    </row>
    <row r="1863" spans="2:97">
      <c r="B1863"/>
      <c r="C1863" s="1"/>
      <c r="D1863" s="1"/>
      <c r="E1863" s="1"/>
      <c r="F1863" s="1"/>
      <c r="G1863" s="1"/>
      <c r="H1863" s="1"/>
      <c r="I1863" s="1"/>
      <c r="J1863" s="1"/>
      <c r="K1863" s="1"/>
      <c r="L1863" s="1"/>
      <c r="M1863" s="1"/>
      <c r="N1863" s="1"/>
      <c r="O1863" s="1"/>
      <c r="P1863" s="1"/>
      <c r="Q1863" s="1"/>
      <c r="R1863"/>
      <c r="S1863" s="1"/>
      <c r="T1863" s="24"/>
      <c r="U1863"/>
      <c r="V1863" s="1"/>
      <c r="W1863" s="24"/>
      <c r="X1863"/>
      <c r="Y1863" s="1"/>
      <c r="Z1863" s="24"/>
      <c r="AA1863"/>
      <c r="AB1863" s="1"/>
      <c r="AC1863" s="24"/>
      <c r="AD1863"/>
      <c r="AE1863"/>
      <c r="AF1863"/>
      <c r="AG1863"/>
      <c r="AH1863"/>
      <c r="AI1863"/>
      <c r="AJ1863"/>
      <c r="AK1863"/>
      <c r="AL1863"/>
      <c r="AM1863"/>
      <c r="AN1863"/>
      <c r="AO1863"/>
      <c r="AP1863"/>
      <c r="AQ1863"/>
      <c r="AR1863"/>
      <c r="AS1863"/>
      <c r="AT1863"/>
      <c r="AU1863"/>
      <c r="AV1863"/>
      <c r="AW1863"/>
      <c r="AX1863"/>
      <c r="AY1863"/>
      <c r="AZ1863"/>
      <c r="BA1863"/>
      <c r="BB1863"/>
      <c r="BC1863"/>
      <c r="BD1863"/>
      <c r="BE1863"/>
      <c r="BF1863"/>
      <c r="BG1863"/>
      <c r="BH1863"/>
      <c r="BI1863"/>
      <c r="BJ1863"/>
      <c r="BK1863"/>
      <c r="BL1863"/>
      <c r="BM1863"/>
      <c r="BN1863"/>
      <c r="BO1863"/>
      <c r="BP1863"/>
      <c r="BQ1863"/>
      <c r="BR1863"/>
      <c r="BS1863"/>
      <c r="BT1863"/>
      <c r="BU1863"/>
      <c r="BV1863"/>
      <c r="BW1863"/>
      <c r="BX1863"/>
      <c r="BY1863"/>
      <c r="BZ1863"/>
      <c r="CA1863"/>
      <c r="CB1863"/>
      <c r="CC1863"/>
      <c r="CD1863"/>
      <c r="CE1863"/>
      <c r="CF1863"/>
      <c r="CG1863"/>
      <c r="CH1863"/>
      <c r="CI1863"/>
      <c r="CJ1863"/>
      <c r="CK1863"/>
      <c r="CL1863"/>
      <c r="CM1863"/>
      <c r="CN1863"/>
      <c r="CO1863"/>
      <c r="CP1863"/>
      <c r="CQ1863"/>
      <c r="CR1863"/>
      <c r="CS1863"/>
    </row>
    <row r="1864" spans="2:97">
      <c r="B1864"/>
      <c r="C1864" s="1"/>
      <c r="D1864" s="1"/>
      <c r="E1864" s="1"/>
      <c r="F1864" s="1"/>
      <c r="G1864" s="1"/>
      <c r="H1864" s="1"/>
      <c r="I1864" s="1"/>
      <c r="J1864" s="1"/>
      <c r="K1864" s="1"/>
      <c r="L1864" s="1"/>
      <c r="M1864" s="1"/>
      <c r="N1864" s="1"/>
      <c r="O1864" s="1"/>
      <c r="P1864" s="1"/>
      <c r="Q1864" s="1"/>
      <c r="R1864"/>
      <c r="S1864" s="1"/>
      <c r="T1864" s="24"/>
      <c r="U1864"/>
      <c r="V1864" s="1"/>
      <c r="W1864" s="24"/>
      <c r="X1864"/>
      <c r="Y1864" s="1"/>
      <c r="Z1864" s="24"/>
      <c r="AA1864"/>
      <c r="AB1864" s="1"/>
      <c r="AC1864" s="24"/>
      <c r="AD1864"/>
      <c r="AE1864"/>
      <c r="AF1864"/>
      <c r="AG1864"/>
      <c r="AH1864"/>
      <c r="AI1864"/>
      <c r="AJ1864"/>
      <c r="AK1864"/>
      <c r="AL1864"/>
      <c r="AM1864"/>
      <c r="AN1864"/>
      <c r="AO1864"/>
      <c r="AP1864"/>
      <c r="AQ1864"/>
      <c r="AR1864"/>
      <c r="AS1864"/>
      <c r="AT1864"/>
      <c r="AU1864"/>
      <c r="AV1864"/>
      <c r="AW1864"/>
      <c r="AX1864"/>
      <c r="AY1864"/>
      <c r="AZ1864"/>
      <c r="BA1864"/>
      <c r="BB1864"/>
      <c r="BC1864"/>
      <c r="BD1864"/>
      <c r="BE1864"/>
      <c r="BF1864"/>
      <c r="BG1864"/>
      <c r="BH1864"/>
      <c r="BI1864"/>
      <c r="BJ1864"/>
      <c r="BK1864"/>
      <c r="BL1864"/>
      <c r="BM1864"/>
      <c r="BN1864"/>
      <c r="BO1864"/>
      <c r="BP1864"/>
      <c r="BQ1864"/>
      <c r="BR1864"/>
      <c r="BS1864"/>
      <c r="BT1864"/>
      <c r="BU1864"/>
      <c r="BV1864"/>
      <c r="BW1864"/>
      <c r="BX1864"/>
      <c r="BY1864"/>
      <c r="BZ1864"/>
      <c r="CA1864"/>
      <c r="CB1864"/>
      <c r="CC1864"/>
      <c r="CD1864"/>
      <c r="CE1864"/>
      <c r="CF1864"/>
      <c r="CG1864"/>
      <c r="CH1864"/>
      <c r="CI1864"/>
      <c r="CJ1864"/>
      <c r="CK1864"/>
      <c r="CL1864"/>
      <c r="CM1864"/>
      <c r="CN1864"/>
      <c r="CO1864"/>
      <c r="CP1864"/>
      <c r="CQ1864"/>
      <c r="CR1864"/>
      <c r="CS1864"/>
    </row>
    <row r="1865" spans="2:97">
      <c r="B1865"/>
      <c r="C1865" s="1"/>
      <c r="D1865" s="1"/>
      <c r="E1865" s="1"/>
      <c r="F1865" s="1"/>
      <c r="G1865" s="1"/>
      <c r="H1865" s="1"/>
      <c r="I1865" s="1"/>
      <c r="J1865" s="1"/>
      <c r="K1865" s="1"/>
      <c r="L1865" s="1"/>
      <c r="M1865" s="1"/>
      <c r="N1865" s="1"/>
      <c r="O1865" s="1"/>
      <c r="P1865" s="1"/>
      <c r="Q1865" s="1"/>
      <c r="R1865"/>
      <c r="S1865" s="1"/>
      <c r="T1865" s="24"/>
      <c r="U1865"/>
      <c r="V1865" s="1"/>
      <c r="W1865" s="24"/>
      <c r="X1865"/>
      <c r="Y1865" s="1"/>
      <c r="Z1865" s="24"/>
      <c r="AA1865"/>
      <c r="AB1865" s="1"/>
      <c r="AC1865" s="24"/>
      <c r="AD1865"/>
      <c r="AE1865"/>
      <c r="AF1865"/>
      <c r="AG1865"/>
      <c r="AH1865"/>
      <c r="AI1865"/>
      <c r="AJ1865"/>
      <c r="AK1865"/>
      <c r="AL1865"/>
      <c r="AM1865"/>
      <c r="AN1865"/>
      <c r="AO1865"/>
      <c r="AP1865"/>
      <c r="AQ1865"/>
      <c r="AR1865"/>
      <c r="AS1865"/>
      <c r="AT1865"/>
      <c r="AU1865"/>
      <c r="AV1865"/>
      <c r="AW1865"/>
      <c r="AX1865"/>
      <c r="AY1865"/>
      <c r="AZ1865"/>
      <c r="BA1865"/>
      <c r="BB1865"/>
      <c r="BC1865"/>
      <c r="BD1865"/>
      <c r="BE1865"/>
      <c r="BF1865"/>
      <c r="BG1865"/>
      <c r="BH1865"/>
      <c r="BI1865"/>
      <c r="BJ1865"/>
      <c r="BK1865"/>
      <c r="BL1865"/>
      <c r="BM1865"/>
      <c r="BN1865"/>
      <c r="BO1865"/>
      <c r="BP1865"/>
      <c r="BQ1865"/>
      <c r="BR1865"/>
      <c r="BS1865"/>
      <c r="BT1865"/>
      <c r="BU1865"/>
      <c r="BV1865"/>
      <c r="BW1865"/>
      <c r="BX1865"/>
      <c r="BY1865"/>
      <c r="BZ1865"/>
      <c r="CA1865"/>
      <c r="CB1865"/>
      <c r="CC1865"/>
      <c r="CD1865"/>
      <c r="CE1865"/>
      <c r="CF1865"/>
      <c r="CG1865"/>
      <c r="CH1865"/>
      <c r="CI1865"/>
      <c r="CJ1865"/>
      <c r="CK1865"/>
      <c r="CL1865"/>
      <c r="CM1865"/>
      <c r="CN1865"/>
      <c r="CO1865"/>
      <c r="CP1865"/>
      <c r="CQ1865"/>
      <c r="CR1865"/>
      <c r="CS1865"/>
    </row>
    <row r="1866" spans="2:97">
      <c r="B1866"/>
      <c r="C1866" s="1"/>
      <c r="D1866" s="1"/>
      <c r="E1866" s="1"/>
      <c r="F1866" s="1"/>
      <c r="G1866" s="1"/>
      <c r="H1866" s="1"/>
      <c r="I1866" s="1"/>
      <c r="J1866" s="1"/>
      <c r="K1866" s="1"/>
      <c r="L1866" s="1"/>
      <c r="M1866" s="1"/>
      <c r="N1866" s="1"/>
      <c r="O1866" s="1"/>
      <c r="P1866" s="1"/>
      <c r="Q1866" s="1"/>
      <c r="R1866"/>
      <c r="S1866" s="1"/>
      <c r="T1866" s="24"/>
      <c r="U1866"/>
      <c r="V1866" s="1"/>
      <c r="W1866" s="24"/>
      <c r="X1866"/>
      <c r="Y1866" s="1"/>
      <c r="Z1866" s="24"/>
      <c r="AA1866"/>
      <c r="AB1866" s="1"/>
      <c r="AC1866" s="24"/>
      <c r="AD1866"/>
      <c r="AE1866"/>
      <c r="AF1866"/>
      <c r="AG1866"/>
      <c r="AH1866"/>
      <c r="AI1866"/>
      <c r="AJ1866"/>
      <c r="AK1866"/>
      <c r="AL1866"/>
      <c r="AM1866"/>
      <c r="AN1866"/>
      <c r="AO1866"/>
      <c r="AP1866"/>
      <c r="AQ1866"/>
      <c r="AR1866"/>
      <c r="AS1866"/>
      <c r="AT1866"/>
      <c r="AU1866"/>
      <c r="AV1866"/>
      <c r="AW1866"/>
      <c r="AX1866"/>
      <c r="AY1866"/>
      <c r="AZ1866"/>
      <c r="BA1866"/>
      <c r="BB1866"/>
      <c r="BC1866"/>
      <c r="BD1866"/>
      <c r="BE1866"/>
      <c r="BF1866"/>
      <c r="BG1866"/>
      <c r="BH1866"/>
      <c r="BI1866"/>
      <c r="BJ1866"/>
      <c r="BK1866"/>
      <c r="BL1866"/>
      <c r="BM1866"/>
      <c r="BN1866"/>
      <c r="BO1866"/>
      <c r="BP1866"/>
      <c r="BQ1866"/>
      <c r="BR1866"/>
      <c r="BS1866"/>
      <c r="BT1866"/>
      <c r="BU1866"/>
      <c r="BV1866"/>
      <c r="BW1866"/>
      <c r="BX1866"/>
      <c r="BY1866"/>
      <c r="BZ1866"/>
      <c r="CA1866"/>
      <c r="CB1866"/>
      <c r="CC1866"/>
      <c r="CD1866"/>
      <c r="CE1866"/>
      <c r="CF1866"/>
      <c r="CG1866"/>
      <c r="CH1866"/>
      <c r="CI1866"/>
      <c r="CJ1866"/>
      <c r="CK1866"/>
      <c r="CL1866"/>
      <c r="CM1866"/>
      <c r="CN1866"/>
      <c r="CO1866"/>
      <c r="CP1866"/>
      <c r="CQ1866"/>
      <c r="CR1866"/>
      <c r="CS1866"/>
    </row>
    <row r="1867" spans="2:97">
      <c r="B1867"/>
      <c r="C1867" s="1"/>
      <c r="D1867" s="1"/>
      <c r="E1867" s="1"/>
      <c r="F1867" s="1"/>
      <c r="G1867" s="1"/>
      <c r="H1867" s="1"/>
      <c r="I1867" s="1"/>
      <c r="J1867" s="1"/>
      <c r="K1867" s="1"/>
      <c r="L1867" s="1"/>
      <c r="M1867" s="1"/>
      <c r="N1867" s="1"/>
      <c r="O1867" s="1"/>
      <c r="P1867" s="1"/>
      <c r="Q1867" s="1"/>
      <c r="R1867"/>
      <c r="S1867" s="1"/>
      <c r="T1867" s="24"/>
      <c r="U1867"/>
      <c r="V1867" s="1"/>
      <c r="W1867" s="24"/>
      <c r="X1867"/>
      <c r="Y1867" s="1"/>
      <c r="Z1867" s="24"/>
      <c r="AA1867"/>
      <c r="AB1867" s="1"/>
      <c r="AC1867" s="24"/>
      <c r="AD1867"/>
      <c r="AE1867"/>
      <c r="AF1867"/>
      <c r="AG1867"/>
      <c r="AH1867"/>
      <c r="AI1867"/>
      <c r="AJ1867"/>
      <c r="AK1867"/>
      <c r="AL1867"/>
      <c r="AM1867"/>
      <c r="AN1867"/>
      <c r="AO1867"/>
      <c r="AP1867"/>
      <c r="AQ1867"/>
      <c r="AR1867"/>
      <c r="AS1867"/>
      <c r="AT1867"/>
      <c r="AU1867"/>
      <c r="AV1867"/>
      <c r="AW1867"/>
      <c r="AX1867"/>
      <c r="AY1867"/>
      <c r="AZ1867"/>
      <c r="BA1867"/>
      <c r="BB1867"/>
      <c r="BC1867"/>
      <c r="BD1867"/>
      <c r="BE1867"/>
      <c r="BF1867"/>
      <c r="BG1867"/>
      <c r="BH1867"/>
      <c r="BI1867"/>
      <c r="BJ1867"/>
      <c r="BK1867"/>
      <c r="BL1867"/>
      <c r="BM1867"/>
      <c r="BN1867"/>
      <c r="BO1867"/>
      <c r="BP1867"/>
      <c r="BQ1867"/>
      <c r="BR1867"/>
      <c r="BS1867"/>
      <c r="BT1867"/>
      <c r="BU1867"/>
      <c r="BV1867"/>
      <c r="BW1867"/>
      <c r="BX1867"/>
      <c r="BY1867"/>
      <c r="BZ1867"/>
      <c r="CA1867"/>
      <c r="CB1867"/>
      <c r="CC1867"/>
      <c r="CD1867"/>
      <c r="CE1867"/>
      <c r="CF1867"/>
      <c r="CG1867"/>
      <c r="CH1867"/>
      <c r="CI1867"/>
      <c r="CJ1867"/>
      <c r="CK1867"/>
      <c r="CL1867"/>
      <c r="CM1867"/>
      <c r="CN1867"/>
      <c r="CO1867"/>
      <c r="CP1867"/>
      <c r="CQ1867"/>
      <c r="CR1867"/>
      <c r="CS1867"/>
    </row>
    <row r="1868" spans="2:97">
      <c r="B1868"/>
      <c r="C1868" s="1"/>
      <c r="D1868" s="1"/>
      <c r="E1868" s="1"/>
      <c r="F1868" s="1"/>
      <c r="G1868" s="1"/>
      <c r="H1868" s="1"/>
      <c r="I1868" s="1"/>
      <c r="J1868" s="1"/>
      <c r="K1868" s="1"/>
      <c r="L1868" s="1"/>
      <c r="M1868" s="1"/>
      <c r="N1868" s="1"/>
      <c r="O1868" s="1"/>
      <c r="P1868" s="1"/>
      <c r="Q1868" s="1"/>
      <c r="R1868"/>
      <c r="S1868" s="1"/>
      <c r="T1868" s="24"/>
      <c r="U1868"/>
      <c r="V1868" s="1"/>
      <c r="W1868" s="24"/>
      <c r="X1868"/>
      <c r="Y1868" s="1"/>
      <c r="Z1868" s="24"/>
      <c r="AA1868"/>
      <c r="AB1868" s="1"/>
      <c r="AC1868" s="24"/>
      <c r="AD1868"/>
      <c r="AE1868"/>
      <c r="AF1868"/>
      <c r="AG1868"/>
      <c r="AH1868"/>
      <c r="AI1868"/>
      <c r="AJ1868"/>
      <c r="AK1868"/>
      <c r="AL1868"/>
      <c r="AM1868"/>
      <c r="AN1868"/>
      <c r="AO1868"/>
      <c r="AP1868"/>
      <c r="AQ1868"/>
      <c r="AR1868"/>
      <c r="AS1868"/>
      <c r="AT1868"/>
      <c r="AU1868"/>
      <c r="AV1868"/>
      <c r="AW1868"/>
      <c r="AX1868"/>
      <c r="AY1868"/>
      <c r="AZ1868"/>
      <c r="BA1868"/>
      <c r="BB1868"/>
      <c r="BC1868"/>
      <c r="BD1868"/>
      <c r="BE1868"/>
      <c r="BF1868"/>
      <c r="BG1868"/>
      <c r="BH1868"/>
      <c r="BI1868"/>
      <c r="BJ1868"/>
      <c r="BK1868"/>
      <c r="BL1868"/>
      <c r="BM1868"/>
      <c r="BN1868"/>
      <c r="BO1868"/>
      <c r="BP1868"/>
      <c r="BQ1868"/>
      <c r="BR1868"/>
      <c r="BS1868"/>
      <c r="BT1868"/>
      <c r="BU1868"/>
      <c r="BV1868"/>
      <c r="BW1868"/>
      <c r="BX1868"/>
      <c r="BY1868"/>
      <c r="BZ1868"/>
      <c r="CA1868"/>
      <c r="CB1868"/>
      <c r="CC1868"/>
      <c r="CD1868"/>
      <c r="CE1868"/>
      <c r="CF1868"/>
      <c r="CG1868"/>
      <c r="CH1868"/>
      <c r="CI1868"/>
      <c r="CJ1868"/>
      <c r="CK1868"/>
      <c r="CL1868"/>
      <c r="CM1868"/>
      <c r="CN1868"/>
      <c r="CO1868"/>
      <c r="CP1868"/>
      <c r="CQ1868"/>
      <c r="CR1868"/>
      <c r="CS1868"/>
    </row>
    <row r="1869" spans="2:97">
      <c r="B1869"/>
      <c r="C1869" s="1"/>
      <c r="D1869" s="1"/>
      <c r="E1869" s="1"/>
      <c r="F1869" s="1"/>
      <c r="G1869" s="1"/>
      <c r="H1869" s="1"/>
      <c r="I1869" s="1"/>
      <c r="J1869" s="1"/>
      <c r="K1869" s="1"/>
      <c r="L1869" s="1"/>
      <c r="M1869" s="1"/>
      <c r="N1869" s="1"/>
      <c r="O1869" s="1"/>
      <c r="P1869" s="1"/>
      <c r="Q1869" s="1"/>
      <c r="R1869"/>
      <c r="S1869" s="1"/>
      <c r="T1869" s="24"/>
      <c r="U1869"/>
      <c r="V1869" s="1"/>
      <c r="W1869" s="24"/>
      <c r="X1869"/>
      <c r="Y1869" s="1"/>
      <c r="Z1869" s="24"/>
      <c r="AA1869"/>
      <c r="AB1869" s="1"/>
      <c r="AC1869" s="24"/>
      <c r="AD1869"/>
      <c r="AE1869"/>
      <c r="AF1869"/>
      <c r="AG1869"/>
      <c r="AH1869"/>
      <c r="AI1869"/>
      <c r="AJ1869"/>
      <c r="AK1869"/>
      <c r="AL1869"/>
      <c r="AM1869"/>
      <c r="AN1869"/>
      <c r="AO1869"/>
      <c r="AP1869"/>
      <c r="AQ1869"/>
      <c r="AR1869"/>
      <c r="AS1869"/>
      <c r="AT1869"/>
      <c r="AU1869"/>
      <c r="AV1869"/>
      <c r="AW1869"/>
      <c r="AX1869"/>
      <c r="AY1869"/>
      <c r="AZ1869"/>
      <c r="BA1869"/>
      <c r="BB1869"/>
      <c r="BC1869"/>
      <c r="BD1869"/>
      <c r="BE1869"/>
      <c r="BF1869"/>
      <c r="BG1869"/>
      <c r="BH1869"/>
      <c r="BI1869"/>
      <c r="BJ1869"/>
      <c r="BK1869"/>
      <c r="BL1869"/>
      <c r="BM1869"/>
      <c r="BN1869"/>
      <c r="BO1869"/>
      <c r="BP1869"/>
      <c r="BQ1869"/>
      <c r="BR1869"/>
      <c r="BS1869"/>
      <c r="BT1869"/>
      <c r="BU1869"/>
      <c r="BV1869"/>
      <c r="BW1869"/>
      <c r="BX1869"/>
      <c r="BY1869"/>
      <c r="BZ1869"/>
      <c r="CA1869"/>
      <c r="CB1869"/>
      <c r="CC1869"/>
      <c r="CD1869"/>
      <c r="CE1869"/>
      <c r="CF1869"/>
      <c r="CG1869"/>
      <c r="CH1869"/>
      <c r="CI1869"/>
      <c r="CJ1869"/>
      <c r="CK1869"/>
      <c r="CL1869"/>
      <c r="CM1869"/>
      <c r="CN1869"/>
      <c r="CO1869"/>
      <c r="CP1869"/>
      <c r="CQ1869"/>
      <c r="CR1869"/>
      <c r="CS1869"/>
    </row>
    <row r="1870" spans="2:97">
      <c r="B1870"/>
      <c r="C1870" s="1"/>
      <c r="D1870" s="1"/>
      <c r="E1870" s="1"/>
      <c r="F1870" s="1"/>
      <c r="G1870" s="1"/>
      <c r="H1870" s="1"/>
      <c r="I1870" s="1"/>
      <c r="J1870" s="1"/>
      <c r="K1870" s="1"/>
      <c r="L1870" s="1"/>
      <c r="M1870" s="1"/>
      <c r="N1870" s="1"/>
      <c r="O1870" s="1"/>
      <c r="P1870" s="1"/>
      <c r="Q1870" s="1"/>
      <c r="R1870"/>
      <c r="S1870" s="1"/>
      <c r="T1870" s="24"/>
      <c r="U1870"/>
      <c r="V1870" s="1"/>
      <c r="W1870" s="24"/>
      <c r="X1870"/>
      <c r="Y1870" s="1"/>
      <c r="Z1870" s="24"/>
      <c r="AA1870"/>
      <c r="AB1870" s="1"/>
      <c r="AC1870" s="24"/>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c r="CK1870"/>
      <c r="CL1870"/>
      <c r="CM1870"/>
      <c r="CN1870"/>
      <c r="CO1870"/>
      <c r="CP1870"/>
      <c r="CQ1870"/>
      <c r="CR1870"/>
      <c r="CS1870"/>
    </row>
    <row r="1871" spans="2:97">
      <c r="B1871"/>
      <c r="C1871" s="1"/>
      <c r="D1871" s="1"/>
      <c r="E1871" s="1"/>
      <c r="F1871" s="1"/>
      <c r="G1871" s="1"/>
      <c r="H1871" s="1"/>
      <c r="I1871" s="1"/>
      <c r="J1871" s="1"/>
      <c r="K1871" s="1"/>
      <c r="L1871" s="1"/>
      <c r="M1871" s="1"/>
      <c r="N1871" s="1"/>
      <c r="O1871" s="1"/>
      <c r="P1871" s="1"/>
      <c r="Q1871" s="1"/>
      <c r="R1871"/>
      <c r="S1871" s="1"/>
      <c r="T1871" s="24"/>
      <c r="U1871"/>
      <c r="V1871" s="1"/>
      <c r="W1871" s="24"/>
      <c r="X1871"/>
      <c r="Y1871" s="1"/>
      <c r="Z1871" s="24"/>
      <c r="AA1871"/>
      <c r="AB1871" s="1"/>
      <c r="AC1871" s="24"/>
      <c r="AD1871"/>
      <c r="AE1871"/>
      <c r="AF1871"/>
      <c r="AG1871"/>
      <c r="AH1871"/>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c r="BM1871"/>
      <c r="BN1871"/>
      <c r="BO1871"/>
      <c r="BP1871"/>
      <c r="BQ1871"/>
      <c r="BR1871"/>
      <c r="BS1871"/>
      <c r="BT1871"/>
      <c r="BU1871"/>
      <c r="BV1871"/>
      <c r="BW1871"/>
      <c r="BX1871"/>
      <c r="BY1871"/>
      <c r="BZ1871"/>
      <c r="CA1871"/>
      <c r="CB1871"/>
      <c r="CC1871"/>
      <c r="CD1871"/>
      <c r="CE1871"/>
      <c r="CF1871"/>
      <c r="CG1871"/>
      <c r="CH1871"/>
      <c r="CI1871"/>
      <c r="CJ1871"/>
      <c r="CK1871"/>
      <c r="CL1871"/>
      <c r="CM1871"/>
      <c r="CN1871"/>
      <c r="CO1871"/>
      <c r="CP1871"/>
      <c r="CQ1871"/>
      <c r="CR1871"/>
      <c r="CS1871"/>
    </row>
    <row r="1872" spans="2:97">
      <c r="B1872"/>
      <c r="C1872" s="1"/>
      <c r="D1872" s="1"/>
      <c r="E1872" s="1"/>
      <c r="F1872" s="1"/>
      <c r="G1872" s="1"/>
      <c r="H1872" s="1"/>
      <c r="I1872" s="1"/>
      <c r="J1872" s="1"/>
      <c r="K1872" s="1"/>
      <c r="L1872" s="1"/>
      <c r="M1872" s="1"/>
      <c r="N1872" s="1"/>
      <c r="O1872" s="1"/>
      <c r="P1872" s="1"/>
      <c r="Q1872" s="1"/>
      <c r="R1872"/>
      <c r="S1872" s="1"/>
      <c r="T1872" s="24"/>
      <c r="U1872"/>
      <c r="V1872" s="1"/>
      <c r="W1872" s="24"/>
      <c r="X1872"/>
      <c r="Y1872" s="1"/>
      <c r="Z1872" s="24"/>
      <c r="AA1872"/>
      <c r="AB1872" s="1"/>
      <c r="AC1872" s="24"/>
      <c r="AD1872"/>
      <c r="AE1872"/>
      <c r="AF1872"/>
      <c r="AG1872"/>
      <c r="AH1872"/>
      <c r="AI1872"/>
      <c r="AJ1872"/>
      <c r="AK1872"/>
      <c r="AL1872"/>
      <c r="AM1872"/>
      <c r="AN1872"/>
      <c r="AO1872"/>
      <c r="AP1872"/>
      <c r="AQ1872"/>
      <c r="AR1872"/>
      <c r="AS1872"/>
      <c r="AT1872"/>
      <c r="AU1872"/>
      <c r="AV1872"/>
      <c r="AW1872"/>
      <c r="AX1872"/>
      <c r="AY1872"/>
      <c r="AZ1872"/>
      <c r="BA1872"/>
      <c r="BB1872"/>
      <c r="BC1872"/>
      <c r="BD1872"/>
      <c r="BE1872"/>
      <c r="BF1872"/>
      <c r="BG1872"/>
      <c r="BH1872"/>
      <c r="BI1872"/>
      <c r="BJ1872"/>
      <c r="BK1872"/>
      <c r="BL1872"/>
      <c r="BM1872"/>
      <c r="BN1872"/>
      <c r="BO1872"/>
      <c r="BP1872"/>
      <c r="BQ1872"/>
      <c r="BR1872"/>
      <c r="BS1872"/>
      <c r="BT1872"/>
      <c r="BU1872"/>
      <c r="BV1872"/>
      <c r="BW1872"/>
      <c r="BX1872"/>
      <c r="BY1872"/>
      <c r="BZ1872"/>
      <c r="CA1872"/>
      <c r="CB1872"/>
      <c r="CC1872"/>
      <c r="CD1872"/>
      <c r="CE1872"/>
      <c r="CF1872"/>
      <c r="CG1872"/>
      <c r="CH1872"/>
      <c r="CI1872"/>
      <c r="CJ1872"/>
      <c r="CK1872"/>
      <c r="CL1872"/>
      <c r="CM1872"/>
      <c r="CN1872"/>
      <c r="CO1872"/>
      <c r="CP1872"/>
      <c r="CQ1872"/>
      <c r="CR1872"/>
      <c r="CS1872"/>
    </row>
    <row r="1873" spans="2:97">
      <c r="B1873"/>
      <c r="C1873" s="1"/>
      <c r="D1873" s="1"/>
      <c r="E1873" s="1"/>
      <c r="F1873" s="1"/>
      <c r="G1873" s="1"/>
      <c r="H1873" s="1"/>
      <c r="I1873" s="1"/>
      <c r="J1873" s="1"/>
      <c r="K1873" s="1"/>
      <c r="L1873" s="1"/>
      <c r="M1873" s="1"/>
      <c r="N1873" s="1"/>
      <c r="O1873" s="1"/>
      <c r="P1873" s="1"/>
      <c r="Q1873" s="1"/>
      <c r="R1873"/>
      <c r="S1873" s="1"/>
      <c r="T1873" s="24"/>
      <c r="U1873"/>
      <c r="V1873" s="1"/>
      <c r="W1873" s="24"/>
      <c r="X1873"/>
      <c r="Y1873" s="1"/>
      <c r="Z1873" s="24"/>
      <c r="AA1873"/>
      <c r="AB1873" s="1"/>
      <c r="AC1873" s="24"/>
      <c r="AD1873"/>
      <c r="AE1873"/>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c r="BR1873"/>
      <c r="BS1873"/>
      <c r="BT1873"/>
      <c r="BU1873"/>
      <c r="BV1873"/>
      <c r="BW1873"/>
      <c r="BX1873"/>
      <c r="BY1873"/>
      <c r="BZ1873"/>
      <c r="CA1873"/>
      <c r="CB1873"/>
      <c r="CC1873"/>
      <c r="CD1873"/>
      <c r="CE1873"/>
      <c r="CF1873"/>
      <c r="CG1873"/>
      <c r="CH1873"/>
      <c r="CI1873"/>
      <c r="CJ1873"/>
      <c r="CK1873"/>
      <c r="CL1873"/>
      <c r="CM1873"/>
      <c r="CN1873"/>
      <c r="CO1873"/>
      <c r="CP1873"/>
      <c r="CQ1873"/>
      <c r="CR1873"/>
      <c r="CS1873"/>
    </row>
    <row r="1874" spans="2:97">
      <c r="B1874"/>
      <c r="C1874" s="1"/>
      <c r="D1874" s="1"/>
      <c r="E1874" s="1"/>
      <c r="F1874" s="1"/>
      <c r="G1874" s="1"/>
      <c r="H1874" s="1"/>
      <c r="I1874" s="1"/>
      <c r="J1874" s="1"/>
      <c r="K1874" s="1"/>
      <c r="L1874" s="1"/>
      <c r="M1874" s="1"/>
      <c r="N1874" s="1"/>
      <c r="O1874" s="1"/>
      <c r="P1874" s="1"/>
      <c r="Q1874" s="1"/>
      <c r="R1874"/>
      <c r="S1874" s="1"/>
      <c r="T1874" s="24"/>
      <c r="U1874"/>
      <c r="V1874" s="1"/>
      <c r="W1874" s="24"/>
      <c r="X1874"/>
      <c r="Y1874" s="1"/>
      <c r="Z1874" s="24"/>
      <c r="AA1874"/>
      <c r="AB1874" s="1"/>
      <c r="AC1874" s="24"/>
      <c r="AD1874"/>
      <c r="AE1874"/>
      <c r="AF1874"/>
      <c r="AG1874"/>
      <c r="AH1874"/>
      <c r="AI1874"/>
      <c r="AJ1874"/>
      <c r="AK1874"/>
      <c r="AL1874"/>
      <c r="AM1874"/>
      <c r="AN1874"/>
      <c r="AO1874"/>
      <c r="AP1874"/>
      <c r="AQ1874"/>
      <c r="AR1874"/>
      <c r="AS1874"/>
      <c r="AT1874"/>
      <c r="AU1874"/>
      <c r="AV1874"/>
      <c r="AW1874"/>
      <c r="AX1874"/>
      <c r="AY1874"/>
      <c r="AZ1874"/>
      <c r="BA1874"/>
      <c r="BB1874"/>
      <c r="BC1874"/>
      <c r="BD1874"/>
      <c r="BE1874"/>
      <c r="BF1874"/>
      <c r="BG1874"/>
      <c r="BH1874"/>
      <c r="BI1874"/>
      <c r="BJ1874"/>
      <c r="BK1874"/>
      <c r="BL1874"/>
      <c r="BM1874"/>
      <c r="BN1874"/>
      <c r="BO1874"/>
      <c r="BP1874"/>
      <c r="BQ1874"/>
      <c r="BR1874"/>
      <c r="BS1874"/>
      <c r="BT1874"/>
      <c r="BU1874"/>
      <c r="BV1874"/>
      <c r="BW1874"/>
      <c r="BX1874"/>
      <c r="BY1874"/>
      <c r="BZ1874"/>
      <c r="CA1874"/>
      <c r="CB1874"/>
      <c r="CC1874"/>
      <c r="CD1874"/>
      <c r="CE1874"/>
      <c r="CF1874"/>
      <c r="CG1874"/>
      <c r="CH1874"/>
      <c r="CI1874"/>
      <c r="CJ1874"/>
      <c r="CK1874"/>
      <c r="CL1874"/>
      <c r="CM1874"/>
      <c r="CN1874"/>
      <c r="CO1874"/>
      <c r="CP1874"/>
      <c r="CQ1874"/>
      <c r="CR1874"/>
      <c r="CS1874"/>
    </row>
    <row r="1875" spans="2:97">
      <c r="B1875"/>
      <c r="C1875" s="1"/>
      <c r="D1875" s="1"/>
      <c r="E1875" s="1"/>
      <c r="F1875" s="1"/>
      <c r="G1875" s="1"/>
      <c r="H1875" s="1"/>
      <c r="I1875" s="1"/>
      <c r="J1875" s="1"/>
      <c r="K1875" s="1"/>
      <c r="L1875" s="1"/>
      <c r="M1875" s="1"/>
      <c r="N1875" s="1"/>
      <c r="O1875" s="1"/>
      <c r="P1875" s="1"/>
      <c r="Q1875" s="1"/>
      <c r="R1875"/>
      <c r="S1875" s="1"/>
      <c r="T1875" s="24"/>
      <c r="U1875"/>
      <c r="V1875" s="1"/>
      <c r="W1875" s="24"/>
      <c r="X1875"/>
      <c r="Y1875" s="1"/>
      <c r="Z1875" s="24"/>
      <c r="AA1875"/>
      <c r="AB1875" s="1"/>
      <c r="AC1875" s="24"/>
      <c r="AD1875"/>
      <c r="AE1875"/>
      <c r="AF1875"/>
      <c r="AG1875"/>
      <c r="AH1875"/>
      <c r="AI1875"/>
      <c r="AJ1875"/>
      <c r="AK1875"/>
      <c r="AL1875"/>
      <c r="AM1875"/>
      <c r="AN1875"/>
      <c r="AO1875"/>
      <c r="AP1875"/>
      <c r="AQ1875"/>
      <c r="AR1875"/>
      <c r="AS1875"/>
      <c r="AT1875"/>
      <c r="AU1875"/>
      <c r="AV1875"/>
      <c r="AW1875"/>
      <c r="AX1875"/>
      <c r="AY1875"/>
      <c r="AZ1875"/>
      <c r="BA1875"/>
      <c r="BB1875"/>
      <c r="BC1875"/>
      <c r="BD1875"/>
      <c r="BE1875"/>
      <c r="BF1875"/>
      <c r="BG1875"/>
      <c r="BH1875"/>
      <c r="BI1875"/>
      <c r="BJ1875"/>
      <c r="BK1875"/>
      <c r="BL1875"/>
      <c r="BM1875"/>
      <c r="BN1875"/>
      <c r="BO1875"/>
      <c r="BP1875"/>
      <c r="BQ1875"/>
      <c r="BR1875"/>
      <c r="BS1875"/>
      <c r="BT1875"/>
      <c r="BU1875"/>
      <c r="BV1875"/>
      <c r="BW1875"/>
      <c r="BX1875"/>
      <c r="BY1875"/>
      <c r="BZ1875"/>
      <c r="CA1875"/>
      <c r="CB1875"/>
      <c r="CC1875"/>
      <c r="CD1875"/>
      <c r="CE1875"/>
      <c r="CF1875"/>
      <c r="CG1875"/>
      <c r="CH1875"/>
      <c r="CI1875"/>
      <c r="CJ1875"/>
      <c r="CK1875"/>
      <c r="CL1875"/>
      <c r="CM1875"/>
      <c r="CN1875"/>
      <c r="CO1875"/>
      <c r="CP1875"/>
      <c r="CQ1875"/>
      <c r="CR1875"/>
      <c r="CS1875"/>
    </row>
    <row r="1876" spans="2:97">
      <c r="B1876"/>
      <c r="C1876" s="1"/>
      <c r="D1876" s="1"/>
      <c r="E1876" s="1"/>
      <c r="F1876" s="1"/>
      <c r="G1876" s="1"/>
      <c r="H1876" s="1"/>
      <c r="I1876" s="1"/>
      <c r="J1876" s="1"/>
      <c r="K1876" s="1"/>
      <c r="L1876" s="1"/>
      <c r="M1876" s="1"/>
      <c r="N1876" s="1"/>
      <c r="O1876" s="1"/>
      <c r="P1876" s="1"/>
      <c r="Q1876" s="1"/>
      <c r="R1876"/>
      <c r="S1876" s="1"/>
      <c r="T1876" s="24"/>
      <c r="U1876"/>
      <c r="V1876" s="1"/>
      <c r="W1876" s="24"/>
      <c r="X1876"/>
      <c r="Y1876" s="1"/>
      <c r="Z1876" s="24"/>
      <c r="AA1876"/>
      <c r="AB1876" s="1"/>
      <c r="AC1876" s="24"/>
      <c r="AD1876"/>
      <c r="AE1876"/>
      <c r="AF1876"/>
      <c r="AG1876"/>
      <c r="AH1876"/>
      <c r="AI1876"/>
      <c r="AJ1876"/>
      <c r="AK1876"/>
      <c r="AL1876"/>
      <c r="AM1876"/>
      <c r="AN1876"/>
      <c r="AO1876"/>
      <c r="AP1876"/>
      <c r="AQ1876"/>
      <c r="AR1876"/>
      <c r="AS1876"/>
      <c r="AT1876"/>
      <c r="AU1876"/>
      <c r="AV1876"/>
      <c r="AW1876"/>
      <c r="AX1876"/>
      <c r="AY1876"/>
      <c r="AZ1876"/>
      <c r="BA1876"/>
      <c r="BB1876"/>
      <c r="BC1876"/>
      <c r="BD1876"/>
      <c r="BE1876"/>
      <c r="BF1876"/>
      <c r="BG1876"/>
      <c r="BH1876"/>
      <c r="BI1876"/>
      <c r="BJ1876"/>
      <c r="BK1876"/>
      <c r="BL1876"/>
      <c r="BM1876"/>
      <c r="BN1876"/>
      <c r="BO1876"/>
      <c r="BP1876"/>
      <c r="BQ1876"/>
      <c r="BR1876"/>
      <c r="BS1876"/>
      <c r="BT1876"/>
      <c r="BU1876"/>
      <c r="BV1876"/>
      <c r="BW1876"/>
      <c r="BX1876"/>
      <c r="BY1876"/>
      <c r="BZ1876"/>
      <c r="CA1876"/>
      <c r="CB1876"/>
      <c r="CC1876"/>
      <c r="CD1876"/>
      <c r="CE1876"/>
      <c r="CF1876"/>
      <c r="CG1876"/>
      <c r="CH1876"/>
      <c r="CI1876"/>
      <c r="CJ1876"/>
      <c r="CK1876"/>
      <c r="CL1876"/>
      <c r="CM1876"/>
      <c r="CN1876"/>
      <c r="CO1876"/>
      <c r="CP1876"/>
      <c r="CQ1876"/>
      <c r="CR1876"/>
      <c r="CS1876"/>
    </row>
    <row r="1877" spans="2:97">
      <c r="B1877"/>
      <c r="C1877" s="1"/>
      <c r="D1877" s="1"/>
      <c r="E1877" s="1"/>
      <c r="F1877" s="1"/>
      <c r="G1877" s="1"/>
      <c r="H1877" s="1"/>
      <c r="I1877" s="1"/>
      <c r="J1877" s="1"/>
      <c r="K1877" s="1"/>
      <c r="L1877" s="1"/>
      <c r="M1877" s="1"/>
      <c r="N1877" s="1"/>
      <c r="O1877" s="1"/>
      <c r="P1877" s="1"/>
      <c r="Q1877" s="1"/>
      <c r="R1877"/>
      <c r="S1877" s="1"/>
      <c r="T1877" s="24"/>
      <c r="U1877"/>
      <c r="V1877" s="1"/>
      <c r="W1877" s="24"/>
      <c r="X1877"/>
      <c r="Y1877" s="1"/>
      <c r="Z1877" s="24"/>
      <c r="AA1877"/>
      <c r="AB1877" s="1"/>
      <c r="AC1877" s="24"/>
      <c r="AD1877"/>
      <c r="AE1877"/>
      <c r="AF1877"/>
      <c r="AG1877"/>
      <c r="AH1877"/>
      <c r="AI1877"/>
      <c r="AJ1877"/>
      <c r="AK1877"/>
      <c r="AL1877"/>
      <c r="AM1877"/>
      <c r="AN1877"/>
      <c r="AO1877"/>
      <c r="AP1877"/>
      <c r="AQ1877"/>
      <c r="AR1877"/>
      <c r="AS1877"/>
      <c r="AT1877"/>
      <c r="AU1877"/>
      <c r="AV1877"/>
      <c r="AW1877"/>
      <c r="AX1877"/>
      <c r="AY1877"/>
      <c r="AZ1877"/>
      <c r="BA1877"/>
      <c r="BB1877"/>
      <c r="BC1877"/>
      <c r="BD1877"/>
      <c r="BE1877"/>
      <c r="BF1877"/>
      <c r="BG1877"/>
      <c r="BH1877"/>
      <c r="BI1877"/>
      <c r="BJ1877"/>
      <c r="BK1877"/>
      <c r="BL1877"/>
      <c r="BM1877"/>
      <c r="BN1877"/>
      <c r="BO1877"/>
      <c r="BP1877"/>
      <c r="BQ1877"/>
      <c r="BR1877"/>
      <c r="BS1877"/>
      <c r="BT1877"/>
      <c r="BU1877"/>
      <c r="BV1877"/>
      <c r="BW1877"/>
      <c r="BX1877"/>
      <c r="BY1877"/>
      <c r="BZ1877"/>
      <c r="CA1877"/>
      <c r="CB1877"/>
      <c r="CC1877"/>
      <c r="CD1877"/>
      <c r="CE1877"/>
      <c r="CF1877"/>
      <c r="CG1877"/>
      <c r="CH1877"/>
      <c r="CI1877"/>
      <c r="CJ1877"/>
      <c r="CK1877"/>
      <c r="CL1877"/>
      <c r="CM1877"/>
      <c r="CN1877"/>
      <c r="CO1877"/>
      <c r="CP1877"/>
      <c r="CQ1877"/>
      <c r="CR1877"/>
      <c r="CS1877"/>
    </row>
    <row r="1878" spans="2:97">
      <c r="B1878"/>
      <c r="C1878" s="1"/>
      <c r="D1878" s="1"/>
      <c r="E1878" s="1"/>
      <c r="F1878" s="1"/>
      <c r="G1878" s="1"/>
      <c r="H1878" s="1"/>
      <c r="I1878" s="1"/>
      <c r="J1878" s="1"/>
      <c r="K1878" s="1"/>
      <c r="L1878" s="1"/>
      <c r="M1878" s="1"/>
      <c r="N1878" s="1"/>
      <c r="O1878" s="1"/>
      <c r="P1878" s="1"/>
      <c r="Q1878" s="1"/>
      <c r="R1878"/>
      <c r="S1878" s="1"/>
      <c r="T1878" s="24"/>
      <c r="U1878"/>
      <c r="V1878" s="1"/>
      <c r="W1878" s="24"/>
      <c r="X1878"/>
      <c r="Y1878" s="1"/>
      <c r="Z1878" s="24"/>
      <c r="AA1878"/>
      <c r="AB1878" s="1"/>
      <c r="AC1878" s="24"/>
      <c r="AD1878"/>
      <c r="AE1878"/>
      <c r="AF1878"/>
      <c r="AG1878"/>
      <c r="AH1878"/>
      <c r="AI1878"/>
      <c r="AJ1878"/>
      <c r="AK1878"/>
      <c r="AL1878"/>
      <c r="AM1878"/>
      <c r="AN1878"/>
      <c r="AO1878"/>
      <c r="AP1878"/>
      <c r="AQ1878"/>
      <c r="AR1878"/>
      <c r="AS1878"/>
      <c r="AT1878"/>
      <c r="AU1878"/>
      <c r="AV1878"/>
      <c r="AW1878"/>
      <c r="AX1878"/>
      <c r="AY1878"/>
      <c r="AZ1878"/>
      <c r="BA1878"/>
      <c r="BB1878"/>
      <c r="BC1878"/>
      <c r="BD1878"/>
      <c r="BE1878"/>
      <c r="BF1878"/>
      <c r="BG1878"/>
      <c r="BH1878"/>
      <c r="BI1878"/>
      <c r="BJ1878"/>
      <c r="BK1878"/>
      <c r="BL1878"/>
      <c r="BM1878"/>
      <c r="BN1878"/>
      <c r="BO1878"/>
      <c r="BP1878"/>
      <c r="BQ1878"/>
      <c r="BR1878"/>
      <c r="BS1878"/>
      <c r="BT1878"/>
      <c r="BU1878"/>
      <c r="BV1878"/>
      <c r="BW1878"/>
      <c r="BX1878"/>
      <c r="BY1878"/>
      <c r="BZ1878"/>
      <c r="CA1878"/>
      <c r="CB1878"/>
      <c r="CC1878"/>
      <c r="CD1878"/>
      <c r="CE1878"/>
      <c r="CF1878"/>
      <c r="CG1878"/>
      <c r="CH1878"/>
      <c r="CI1878"/>
      <c r="CJ1878"/>
      <c r="CK1878"/>
      <c r="CL1878"/>
      <c r="CM1878"/>
      <c r="CN1878"/>
      <c r="CO1878"/>
      <c r="CP1878"/>
      <c r="CQ1878"/>
      <c r="CR1878"/>
      <c r="CS1878"/>
    </row>
    <row r="1879" spans="2:97">
      <c r="B1879"/>
      <c r="C1879" s="1"/>
      <c r="D1879" s="1"/>
      <c r="E1879" s="1"/>
      <c r="F1879" s="1"/>
      <c r="G1879" s="1"/>
      <c r="H1879" s="1"/>
      <c r="I1879" s="1"/>
      <c r="J1879" s="1"/>
      <c r="K1879" s="1"/>
      <c r="L1879" s="1"/>
      <c r="M1879" s="1"/>
      <c r="N1879" s="1"/>
      <c r="O1879" s="1"/>
      <c r="P1879" s="1"/>
      <c r="Q1879" s="1"/>
      <c r="R1879"/>
      <c r="S1879" s="1"/>
      <c r="T1879" s="24"/>
      <c r="U1879"/>
      <c r="V1879" s="1"/>
      <c r="W1879" s="24"/>
      <c r="X1879"/>
      <c r="Y1879" s="1"/>
      <c r="Z1879" s="24"/>
      <c r="AA1879"/>
      <c r="AB1879" s="1"/>
      <c r="AC1879" s="24"/>
      <c r="AD1879"/>
      <c r="AE1879"/>
      <c r="AF1879"/>
      <c r="AG1879"/>
      <c r="AH1879"/>
      <c r="AI1879"/>
      <c r="AJ1879"/>
      <c r="AK1879"/>
      <c r="AL1879"/>
      <c r="AM1879"/>
      <c r="AN1879"/>
      <c r="AO1879"/>
      <c r="AP1879"/>
      <c r="AQ1879"/>
      <c r="AR1879"/>
      <c r="AS1879"/>
      <c r="AT1879"/>
      <c r="AU1879"/>
      <c r="AV1879"/>
      <c r="AW1879"/>
      <c r="AX1879"/>
      <c r="AY1879"/>
      <c r="AZ1879"/>
      <c r="BA1879"/>
      <c r="BB1879"/>
      <c r="BC1879"/>
      <c r="BD1879"/>
      <c r="BE1879"/>
      <c r="BF1879"/>
      <c r="BG1879"/>
      <c r="BH1879"/>
      <c r="BI1879"/>
      <c r="BJ1879"/>
      <c r="BK1879"/>
      <c r="BL1879"/>
      <c r="BM1879"/>
      <c r="BN1879"/>
      <c r="BO1879"/>
      <c r="BP1879"/>
      <c r="BQ1879"/>
      <c r="BR1879"/>
      <c r="BS1879"/>
      <c r="BT1879"/>
      <c r="BU1879"/>
      <c r="BV1879"/>
      <c r="BW1879"/>
      <c r="BX1879"/>
      <c r="BY1879"/>
      <c r="BZ1879"/>
      <c r="CA1879"/>
      <c r="CB1879"/>
      <c r="CC1879"/>
      <c r="CD1879"/>
      <c r="CE1879"/>
      <c r="CF1879"/>
      <c r="CG1879"/>
      <c r="CH1879"/>
      <c r="CI1879"/>
      <c r="CJ1879"/>
      <c r="CK1879"/>
      <c r="CL1879"/>
      <c r="CM1879"/>
      <c r="CN1879"/>
      <c r="CO1879"/>
      <c r="CP1879"/>
      <c r="CQ1879"/>
      <c r="CR1879"/>
      <c r="CS1879"/>
    </row>
    <row r="1880" spans="2:97">
      <c r="B1880"/>
      <c r="C1880" s="1"/>
      <c r="D1880" s="1"/>
      <c r="E1880" s="1"/>
      <c r="F1880" s="1"/>
      <c r="G1880" s="1"/>
      <c r="H1880" s="1"/>
      <c r="I1880" s="1"/>
      <c r="J1880" s="1"/>
      <c r="K1880" s="1"/>
      <c r="L1880" s="1"/>
      <c r="M1880" s="1"/>
      <c r="N1880" s="1"/>
      <c r="O1880" s="1"/>
      <c r="P1880" s="1"/>
      <c r="Q1880" s="1"/>
      <c r="R1880"/>
      <c r="S1880" s="1"/>
      <c r="T1880" s="24"/>
      <c r="U1880"/>
      <c r="V1880" s="1"/>
      <c r="W1880" s="24"/>
      <c r="X1880"/>
      <c r="Y1880" s="1"/>
      <c r="Z1880" s="24"/>
      <c r="AA1880"/>
      <c r="AB1880" s="1"/>
      <c r="AC1880" s="24"/>
      <c r="AD1880"/>
      <c r="AE1880"/>
      <c r="AF1880"/>
      <c r="AG1880"/>
      <c r="AH1880"/>
      <c r="AI1880"/>
      <c r="AJ1880"/>
      <c r="AK1880"/>
      <c r="AL1880"/>
      <c r="AM1880"/>
      <c r="AN1880"/>
      <c r="AO1880"/>
      <c r="AP1880"/>
      <c r="AQ1880"/>
      <c r="AR1880"/>
      <c r="AS1880"/>
      <c r="AT1880"/>
      <c r="AU1880"/>
      <c r="AV1880"/>
      <c r="AW1880"/>
      <c r="AX1880"/>
      <c r="AY1880"/>
      <c r="AZ1880"/>
      <c r="BA1880"/>
      <c r="BB1880"/>
      <c r="BC1880"/>
      <c r="BD1880"/>
      <c r="BE1880"/>
      <c r="BF1880"/>
      <c r="BG1880"/>
      <c r="BH1880"/>
      <c r="BI1880"/>
      <c r="BJ1880"/>
      <c r="BK1880"/>
      <c r="BL1880"/>
      <c r="BM1880"/>
      <c r="BN1880"/>
      <c r="BO1880"/>
      <c r="BP1880"/>
      <c r="BQ1880"/>
      <c r="BR1880"/>
      <c r="BS1880"/>
      <c r="BT1880"/>
      <c r="BU1880"/>
      <c r="BV1880"/>
      <c r="BW1880"/>
      <c r="BX1880"/>
      <c r="BY1880"/>
      <c r="BZ1880"/>
      <c r="CA1880"/>
      <c r="CB1880"/>
      <c r="CC1880"/>
      <c r="CD1880"/>
      <c r="CE1880"/>
      <c r="CF1880"/>
      <c r="CG1880"/>
      <c r="CH1880"/>
      <c r="CI1880"/>
      <c r="CJ1880"/>
      <c r="CK1880"/>
      <c r="CL1880"/>
      <c r="CM1880"/>
      <c r="CN1880"/>
      <c r="CO1880"/>
      <c r="CP1880"/>
      <c r="CQ1880"/>
      <c r="CR1880"/>
      <c r="CS1880"/>
    </row>
    <row r="1881" spans="2:97">
      <c r="B1881"/>
      <c r="C1881" s="1"/>
      <c r="D1881" s="1"/>
      <c r="E1881" s="1"/>
      <c r="F1881" s="1"/>
      <c r="G1881" s="1"/>
      <c r="H1881" s="1"/>
      <c r="I1881" s="1"/>
      <c r="J1881" s="1"/>
      <c r="K1881" s="1"/>
      <c r="L1881" s="1"/>
      <c r="M1881" s="1"/>
      <c r="N1881" s="1"/>
      <c r="O1881" s="1"/>
      <c r="P1881" s="1"/>
      <c r="Q1881" s="1"/>
      <c r="R1881"/>
      <c r="S1881" s="1"/>
      <c r="T1881" s="24"/>
      <c r="U1881"/>
      <c r="V1881" s="1"/>
      <c r="W1881" s="24"/>
      <c r="X1881"/>
      <c r="Y1881" s="1"/>
      <c r="Z1881" s="24"/>
      <c r="AA1881"/>
      <c r="AB1881" s="1"/>
      <c r="AC1881" s="24"/>
      <c r="AD1881"/>
      <c r="AE1881"/>
      <c r="AF1881"/>
      <c r="AG1881"/>
      <c r="AH1881"/>
      <c r="AI1881"/>
      <c r="AJ1881"/>
      <c r="AK1881"/>
      <c r="AL1881"/>
      <c r="AM1881"/>
      <c r="AN1881"/>
      <c r="AO1881"/>
      <c r="AP1881"/>
      <c r="AQ1881"/>
      <c r="AR1881"/>
      <c r="AS1881"/>
      <c r="AT1881"/>
      <c r="AU1881"/>
      <c r="AV1881"/>
      <c r="AW1881"/>
      <c r="AX1881"/>
      <c r="AY1881"/>
      <c r="AZ1881"/>
      <c r="BA1881"/>
      <c r="BB1881"/>
      <c r="BC1881"/>
      <c r="BD1881"/>
      <c r="BE1881"/>
      <c r="BF1881"/>
      <c r="BG1881"/>
      <c r="BH1881"/>
      <c r="BI1881"/>
      <c r="BJ1881"/>
      <c r="BK1881"/>
      <c r="BL1881"/>
      <c r="BM1881"/>
      <c r="BN1881"/>
      <c r="BO1881"/>
      <c r="BP1881"/>
      <c r="BQ1881"/>
      <c r="BR1881"/>
      <c r="BS1881"/>
      <c r="BT1881"/>
      <c r="BU1881"/>
      <c r="BV1881"/>
      <c r="BW1881"/>
      <c r="BX1881"/>
      <c r="BY1881"/>
      <c r="BZ1881"/>
      <c r="CA1881"/>
      <c r="CB1881"/>
      <c r="CC1881"/>
      <c r="CD1881"/>
      <c r="CE1881"/>
      <c r="CF1881"/>
      <c r="CG1881"/>
      <c r="CH1881"/>
      <c r="CI1881"/>
      <c r="CJ1881"/>
      <c r="CK1881"/>
      <c r="CL1881"/>
      <c r="CM1881"/>
      <c r="CN1881"/>
      <c r="CO1881"/>
      <c r="CP1881"/>
      <c r="CQ1881"/>
      <c r="CR1881"/>
      <c r="CS1881"/>
    </row>
    <row r="1882" spans="2:97">
      <c r="B1882"/>
      <c r="C1882" s="1"/>
      <c r="D1882" s="1"/>
      <c r="E1882" s="1"/>
      <c r="F1882" s="1"/>
      <c r="G1882" s="1"/>
      <c r="H1882" s="1"/>
      <c r="I1882" s="1"/>
      <c r="J1882" s="1"/>
      <c r="K1882" s="1"/>
      <c r="L1882" s="1"/>
      <c r="M1882" s="1"/>
      <c r="N1882" s="1"/>
      <c r="O1882" s="1"/>
      <c r="P1882" s="1"/>
      <c r="Q1882" s="1"/>
      <c r="R1882"/>
      <c r="S1882" s="1"/>
      <c r="T1882" s="24"/>
      <c r="U1882"/>
      <c r="V1882" s="1"/>
      <c r="W1882" s="24"/>
      <c r="X1882"/>
      <c r="Y1882" s="1"/>
      <c r="Z1882" s="24"/>
      <c r="AA1882"/>
      <c r="AB1882" s="1"/>
      <c r="AC1882" s="24"/>
      <c r="AD1882"/>
      <c r="AE1882"/>
      <c r="AF1882"/>
      <c r="AG1882"/>
      <c r="AH1882"/>
      <c r="AI1882"/>
      <c r="AJ1882"/>
      <c r="AK1882"/>
      <c r="AL1882"/>
      <c r="AM1882"/>
      <c r="AN1882"/>
      <c r="AO1882"/>
      <c r="AP1882"/>
      <c r="AQ1882"/>
      <c r="AR1882"/>
      <c r="AS1882"/>
      <c r="AT1882"/>
      <c r="AU1882"/>
      <c r="AV1882"/>
      <c r="AW1882"/>
      <c r="AX1882"/>
      <c r="AY1882"/>
      <c r="AZ1882"/>
      <c r="BA1882"/>
      <c r="BB1882"/>
      <c r="BC1882"/>
      <c r="BD1882"/>
      <c r="BE1882"/>
      <c r="BF1882"/>
      <c r="BG1882"/>
      <c r="BH1882"/>
      <c r="BI1882"/>
      <c r="BJ1882"/>
      <c r="BK1882"/>
      <c r="BL1882"/>
      <c r="BM1882"/>
      <c r="BN1882"/>
      <c r="BO1882"/>
      <c r="BP1882"/>
      <c r="BQ1882"/>
      <c r="BR1882"/>
      <c r="BS1882"/>
      <c r="BT1882"/>
      <c r="BU1882"/>
      <c r="BV1882"/>
      <c r="BW1882"/>
      <c r="BX1882"/>
      <c r="BY1882"/>
      <c r="BZ1882"/>
      <c r="CA1882"/>
      <c r="CB1882"/>
      <c r="CC1882"/>
      <c r="CD1882"/>
      <c r="CE1882"/>
      <c r="CF1882"/>
      <c r="CG1882"/>
      <c r="CH1882"/>
      <c r="CI1882"/>
      <c r="CJ1882"/>
      <c r="CK1882"/>
      <c r="CL1882"/>
      <c r="CM1882"/>
      <c r="CN1882"/>
      <c r="CO1882"/>
      <c r="CP1882"/>
      <c r="CQ1882"/>
      <c r="CR1882"/>
      <c r="CS1882"/>
    </row>
    <row r="1883" spans="2:97">
      <c r="B1883"/>
      <c r="C1883" s="1"/>
      <c r="D1883" s="1"/>
      <c r="E1883" s="1"/>
      <c r="F1883" s="1"/>
      <c r="G1883" s="1"/>
      <c r="H1883" s="1"/>
      <c r="I1883" s="1"/>
      <c r="J1883" s="1"/>
      <c r="K1883" s="1"/>
      <c r="L1883" s="1"/>
      <c r="M1883" s="1"/>
      <c r="N1883" s="1"/>
      <c r="O1883" s="1"/>
      <c r="P1883" s="1"/>
      <c r="Q1883" s="1"/>
      <c r="R1883"/>
      <c r="S1883" s="1"/>
      <c r="T1883" s="24"/>
      <c r="U1883"/>
      <c r="V1883" s="1"/>
      <c r="W1883" s="24"/>
      <c r="X1883"/>
      <c r="Y1883" s="1"/>
      <c r="Z1883" s="24"/>
      <c r="AA1883"/>
      <c r="AB1883" s="1"/>
      <c r="AC1883" s="24"/>
      <c r="AD1883"/>
      <c r="AE1883"/>
      <c r="AF1883"/>
      <c r="AG1883"/>
      <c r="AH1883"/>
      <c r="AI1883"/>
      <c r="AJ1883"/>
      <c r="AK1883"/>
      <c r="AL1883"/>
      <c r="AM1883"/>
      <c r="AN1883"/>
      <c r="AO1883"/>
      <c r="AP1883"/>
      <c r="AQ1883"/>
      <c r="AR1883"/>
      <c r="AS1883"/>
      <c r="AT1883"/>
      <c r="AU1883"/>
      <c r="AV1883"/>
      <c r="AW1883"/>
      <c r="AX1883"/>
      <c r="AY1883"/>
      <c r="AZ1883"/>
      <c r="BA1883"/>
      <c r="BB1883"/>
      <c r="BC1883"/>
      <c r="BD1883"/>
      <c r="BE1883"/>
      <c r="BF1883"/>
      <c r="BG1883"/>
      <c r="BH1883"/>
      <c r="BI1883"/>
      <c r="BJ1883"/>
      <c r="BK1883"/>
      <c r="BL1883"/>
      <c r="BM1883"/>
      <c r="BN1883"/>
      <c r="BO1883"/>
      <c r="BP1883"/>
      <c r="BQ1883"/>
      <c r="BR1883"/>
      <c r="BS1883"/>
      <c r="BT1883"/>
      <c r="BU1883"/>
      <c r="BV1883"/>
      <c r="BW1883"/>
      <c r="BX1883"/>
      <c r="BY1883"/>
      <c r="BZ1883"/>
      <c r="CA1883"/>
      <c r="CB1883"/>
      <c r="CC1883"/>
      <c r="CD1883"/>
      <c r="CE1883"/>
      <c r="CF1883"/>
      <c r="CG1883"/>
      <c r="CH1883"/>
      <c r="CI1883"/>
      <c r="CJ1883"/>
      <c r="CK1883"/>
      <c r="CL1883"/>
      <c r="CM1883"/>
      <c r="CN1883"/>
      <c r="CO1883"/>
      <c r="CP1883"/>
      <c r="CQ1883"/>
      <c r="CR1883"/>
      <c r="CS1883"/>
    </row>
    <row r="1884" spans="2:97">
      <c r="B1884"/>
      <c r="C1884" s="1"/>
      <c r="D1884" s="1"/>
      <c r="E1884" s="1"/>
      <c r="F1884" s="1"/>
      <c r="G1884" s="1"/>
      <c r="H1884" s="1"/>
      <c r="I1884" s="1"/>
      <c r="J1884" s="1"/>
      <c r="K1884" s="1"/>
      <c r="L1884" s="1"/>
      <c r="M1884" s="1"/>
      <c r="N1884" s="1"/>
      <c r="O1884" s="1"/>
      <c r="P1884" s="1"/>
      <c r="Q1884" s="1"/>
      <c r="R1884"/>
      <c r="S1884" s="1"/>
      <c r="T1884" s="24"/>
      <c r="U1884"/>
      <c r="V1884" s="1"/>
      <c r="W1884" s="24"/>
      <c r="X1884"/>
      <c r="Y1884" s="1"/>
      <c r="Z1884" s="24"/>
      <c r="AA1884"/>
      <c r="AB1884" s="1"/>
      <c r="AC1884" s="24"/>
      <c r="AD1884"/>
      <c r="AE1884"/>
      <c r="AF1884"/>
      <c r="AG1884"/>
      <c r="AH1884"/>
      <c r="AI1884"/>
      <c r="AJ1884"/>
      <c r="AK1884"/>
      <c r="AL1884"/>
      <c r="AM1884"/>
      <c r="AN1884"/>
      <c r="AO1884"/>
      <c r="AP1884"/>
      <c r="AQ1884"/>
      <c r="AR1884"/>
      <c r="AS1884"/>
      <c r="AT1884"/>
      <c r="AU1884"/>
      <c r="AV1884"/>
      <c r="AW1884"/>
      <c r="AX1884"/>
      <c r="AY1884"/>
      <c r="AZ1884"/>
      <c r="BA1884"/>
      <c r="BB1884"/>
      <c r="BC1884"/>
      <c r="BD1884"/>
      <c r="BE1884"/>
      <c r="BF1884"/>
      <c r="BG1884"/>
      <c r="BH1884"/>
      <c r="BI1884"/>
      <c r="BJ1884"/>
      <c r="BK1884"/>
      <c r="BL1884"/>
      <c r="BM1884"/>
      <c r="BN1884"/>
      <c r="BO1884"/>
      <c r="BP1884"/>
      <c r="BQ1884"/>
      <c r="BR1884"/>
      <c r="BS1884"/>
      <c r="BT1884"/>
      <c r="BU1884"/>
      <c r="BV1884"/>
      <c r="BW1884"/>
      <c r="BX1884"/>
      <c r="BY1884"/>
      <c r="BZ1884"/>
      <c r="CA1884"/>
      <c r="CB1884"/>
      <c r="CC1884"/>
      <c r="CD1884"/>
      <c r="CE1884"/>
      <c r="CF1884"/>
      <c r="CG1884"/>
      <c r="CH1884"/>
      <c r="CI1884"/>
      <c r="CJ1884"/>
      <c r="CK1884"/>
      <c r="CL1884"/>
      <c r="CM1884"/>
      <c r="CN1884"/>
      <c r="CO1884"/>
      <c r="CP1884"/>
      <c r="CQ1884"/>
      <c r="CR1884"/>
      <c r="CS1884"/>
    </row>
    <row r="1885" spans="2:97">
      <c r="B1885"/>
      <c r="C1885" s="1"/>
      <c r="D1885" s="1"/>
      <c r="E1885" s="1"/>
      <c r="F1885" s="1"/>
      <c r="G1885" s="1"/>
      <c r="H1885" s="1"/>
      <c r="I1885" s="1"/>
      <c r="J1885" s="1"/>
      <c r="K1885" s="1"/>
      <c r="L1885" s="1"/>
      <c r="M1885" s="1"/>
      <c r="N1885" s="1"/>
      <c r="O1885" s="1"/>
      <c r="P1885" s="1"/>
      <c r="Q1885" s="1"/>
      <c r="R1885"/>
      <c r="S1885" s="1"/>
      <c r="T1885" s="24"/>
      <c r="U1885"/>
      <c r="V1885" s="1"/>
      <c r="W1885" s="24"/>
      <c r="X1885"/>
      <c r="Y1885" s="1"/>
      <c r="Z1885" s="24"/>
      <c r="AA1885"/>
      <c r="AB1885" s="1"/>
      <c r="AC1885" s="24"/>
      <c r="AD1885"/>
      <c r="AE1885"/>
      <c r="AF1885"/>
      <c r="AG1885"/>
      <c r="AH1885"/>
      <c r="AI1885"/>
      <c r="AJ1885"/>
      <c r="AK1885"/>
      <c r="AL1885"/>
      <c r="AM1885"/>
      <c r="AN1885"/>
      <c r="AO1885"/>
      <c r="AP1885"/>
      <c r="AQ1885"/>
      <c r="AR1885"/>
      <c r="AS1885"/>
      <c r="AT1885"/>
      <c r="AU1885"/>
      <c r="AV1885"/>
      <c r="AW1885"/>
      <c r="AX1885"/>
      <c r="AY1885"/>
      <c r="AZ1885"/>
      <c r="BA1885"/>
      <c r="BB1885"/>
      <c r="BC1885"/>
      <c r="BD1885"/>
      <c r="BE1885"/>
      <c r="BF1885"/>
      <c r="BG1885"/>
      <c r="BH1885"/>
      <c r="BI1885"/>
      <c r="BJ1885"/>
      <c r="BK1885"/>
      <c r="BL1885"/>
      <c r="BM1885"/>
      <c r="BN1885"/>
      <c r="BO1885"/>
      <c r="BP1885"/>
      <c r="BQ1885"/>
      <c r="BR1885"/>
      <c r="BS1885"/>
      <c r="BT1885"/>
      <c r="BU1885"/>
      <c r="BV1885"/>
      <c r="BW1885"/>
      <c r="BX1885"/>
      <c r="BY1885"/>
      <c r="BZ1885"/>
      <c r="CA1885"/>
      <c r="CB1885"/>
      <c r="CC1885"/>
      <c r="CD1885"/>
      <c r="CE1885"/>
      <c r="CF1885"/>
      <c r="CG1885"/>
      <c r="CH1885"/>
      <c r="CI1885"/>
      <c r="CJ1885"/>
      <c r="CK1885"/>
      <c r="CL1885"/>
      <c r="CM1885"/>
      <c r="CN1885"/>
      <c r="CO1885"/>
      <c r="CP1885"/>
      <c r="CQ1885"/>
      <c r="CR1885"/>
      <c r="CS1885"/>
    </row>
    <row r="1886" spans="2:97">
      <c r="B1886"/>
      <c r="C1886" s="1"/>
      <c r="D1886" s="1"/>
      <c r="E1886" s="1"/>
      <c r="F1886" s="1"/>
      <c r="G1886" s="1"/>
      <c r="H1886" s="1"/>
      <c r="I1886" s="1"/>
      <c r="J1886" s="1"/>
      <c r="K1886" s="1"/>
      <c r="L1886" s="1"/>
      <c r="M1886" s="1"/>
      <c r="N1886" s="1"/>
      <c r="O1886" s="1"/>
      <c r="P1886" s="1"/>
      <c r="Q1886" s="1"/>
      <c r="R1886"/>
      <c r="S1886" s="1"/>
      <c r="T1886" s="24"/>
      <c r="U1886"/>
      <c r="V1886" s="1"/>
      <c r="W1886" s="24"/>
      <c r="X1886"/>
      <c r="Y1886" s="1"/>
      <c r="Z1886" s="24"/>
      <c r="AA1886"/>
      <c r="AB1886" s="1"/>
      <c r="AC1886" s="24"/>
      <c r="AD1886"/>
      <c r="AE1886"/>
      <c r="AF1886"/>
      <c r="AG1886"/>
      <c r="AH1886"/>
      <c r="AI1886"/>
      <c r="AJ1886"/>
      <c r="AK1886"/>
      <c r="AL1886"/>
      <c r="AM1886"/>
      <c r="AN1886"/>
      <c r="AO1886"/>
      <c r="AP1886"/>
      <c r="AQ1886"/>
      <c r="AR1886"/>
      <c r="AS1886"/>
      <c r="AT1886"/>
      <c r="AU1886"/>
      <c r="AV1886"/>
      <c r="AW1886"/>
      <c r="AX1886"/>
      <c r="AY1886"/>
      <c r="AZ1886"/>
      <c r="BA1886"/>
      <c r="BB1886"/>
      <c r="BC1886"/>
      <c r="BD1886"/>
      <c r="BE1886"/>
      <c r="BF1886"/>
      <c r="BG1886"/>
      <c r="BH1886"/>
      <c r="BI1886"/>
      <c r="BJ1886"/>
      <c r="BK1886"/>
      <c r="BL1886"/>
      <c r="BM1886"/>
      <c r="BN1886"/>
      <c r="BO1886"/>
      <c r="BP1886"/>
      <c r="BQ1886"/>
      <c r="BR1886"/>
      <c r="BS1886"/>
      <c r="BT1886"/>
      <c r="BU1886"/>
      <c r="BV1886"/>
      <c r="BW1886"/>
      <c r="BX1886"/>
      <c r="BY1886"/>
      <c r="BZ1886"/>
      <c r="CA1886"/>
      <c r="CB1886"/>
      <c r="CC1886"/>
      <c r="CD1886"/>
      <c r="CE1886"/>
      <c r="CF1886"/>
      <c r="CG1886"/>
      <c r="CH1886"/>
      <c r="CI1886"/>
      <c r="CJ1886"/>
      <c r="CK1886"/>
      <c r="CL1886"/>
      <c r="CM1886"/>
      <c r="CN1886"/>
      <c r="CO1886"/>
      <c r="CP1886"/>
      <c r="CQ1886"/>
      <c r="CR1886"/>
      <c r="CS1886"/>
    </row>
    <row r="1887" spans="2:97">
      <c r="B1887"/>
      <c r="C1887" s="1"/>
      <c r="D1887" s="1"/>
      <c r="E1887" s="1"/>
      <c r="F1887" s="1"/>
      <c r="G1887" s="1"/>
      <c r="H1887" s="1"/>
      <c r="I1887" s="1"/>
      <c r="J1887" s="1"/>
      <c r="K1887" s="1"/>
      <c r="L1887" s="1"/>
      <c r="M1887" s="1"/>
      <c r="N1887" s="1"/>
      <c r="O1887" s="1"/>
      <c r="P1887" s="1"/>
      <c r="Q1887" s="1"/>
      <c r="R1887"/>
      <c r="S1887" s="1"/>
      <c r="T1887" s="24"/>
      <c r="U1887"/>
      <c r="V1887" s="1"/>
      <c r="W1887" s="24"/>
      <c r="X1887"/>
      <c r="Y1887" s="1"/>
      <c r="Z1887" s="24"/>
      <c r="AA1887"/>
      <c r="AB1887" s="1"/>
      <c r="AC1887" s="24"/>
      <c r="AD1887"/>
      <c r="AE1887"/>
      <c r="AF1887"/>
      <c r="AG1887"/>
      <c r="AH1887"/>
      <c r="AI1887"/>
      <c r="AJ1887"/>
      <c r="AK1887"/>
      <c r="AL1887"/>
      <c r="AM1887"/>
      <c r="AN1887"/>
      <c r="AO1887"/>
      <c r="AP1887"/>
      <c r="AQ1887"/>
      <c r="AR1887"/>
      <c r="AS1887"/>
      <c r="AT1887"/>
      <c r="AU1887"/>
      <c r="AV1887"/>
      <c r="AW1887"/>
      <c r="AX1887"/>
      <c r="AY1887"/>
      <c r="AZ1887"/>
      <c r="BA1887"/>
      <c r="BB1887"/>
      <c r="BC1887"/>
      <c r="BD1887"/>
      <c r="BE1887"/>
      <c r="BF1887"/>
      <c r="BG1887"/>
      <c r="BH1887"/>
      <c r="BI1887"/>
      <c r="BJ1887"/>
      <c r="BK1887"/>
      <c r="BL1887"/>
      <c r="BM1887"/>
      <c r="BN1887"/>
      <c r="BO1887"/>
      <c r="BP1887"/>
      <c r="BQ1887"/>
      <c r="BR1887"/>
      <c r="BS1887"/>
      <c r="BT1887"/>
      <c r="BU1887"/>
      <c r="BV1887"/>
      <c r="BW1887"/>
      <c r="BX1887"/>
      <c r="BY1887"/>
      <c r="BZ1887"/>
      <c r="CA1887"/>
      <c r="CB1887"/>
      <c r="CC1887"/>
      <c r="CD1887"/>
      <c r="CE1887"/>
      <c r="CF1887"/>
      <c r="CG1887"/>
      <c r="CH1887"/>
      <c r="CI1887"/>
      <c r="CJ1887"/>
      <c r="CK1887"/>
      <c r="CL1887"/>
      <c r="CM1887"/>
      <c r="CN1887"/>
      <c r="CO1887"/>
      <c r="CP1887"/>
      <c r="CQ1887"/>
      <c r="CR1887"/>
      <c r="CS1887"/>
    </row>
    <row r="1888" spans="2:97">
      <c r="B1888"/>
      <c r="C1888" s="1"/>
      <c r="D1888" s="1"/>
      <c r="E1888" s="1"/>
      <c r="F1888" s="1"/>
      <c r="G1888" s="1"/>
      <c r="H1888" s="1"/>
      <c r="I1888" s="1"/>
      <c r="J1888" s="1"/>
      <c r="K1888" s="1"/>
      <c r="L1888" s="1"/>
      <c r="M1888" s="1"/>
      <c r="N1888" s="1"/>
      <c r="O1888" s="1"/>
      <c r="P1888" s="1"/>
      <c r="Q1888" s="1"/>
      <c r="R1888"/>
      <c r="S1888" s="1"/>
      <c r="T1888" s="24"/>
      <c r="U1888"/>
      <c r="V1888" s="1"/>
      <c r="W1888" s="24"/>
      <c r="X1888"/>
      <c r="Y1888" s="1"/>
      <c r="Z1888" s="24"/>
      <c r="AA1888"/>
      <c r="AB1888" s="1"/>
      <c r="AC1888" s="24"/>
      <c r="AD1888"/>
      <c r="AE1888"/>
      <c r="AF1888"/>
      <c r="AG1888"/>
      <c r="AH1888"/>
      <c r="AI1888"/>
      <c r="AJ1888"/>
      <c r="AK1888"/>
      <c r="AL1888"/>
      <c r="AM1888"/>
      <c r="AN1888"/>
      <c r="AO1888"/>
      <c r="AP1888"/>
      <c r="AQ1888"/>
      <c r="AR1888"/>
      <c r="AS1888"/>
      <c r="AT1888"/>
      <c r="AU1888"/>
      <c r="AV1888"/>
      <c r="AW1888"/>
      <c r="AX1888"/>
      <c r="AY1888"/>
      <c r="AZ1888"/>
      <c r="BA1888"/>
      <c r="BB1888"/>
      <c r="BC1888"/>
      <c r="BD1888"/>
      <c r="BE1888"/>
      <c r="BF1888"/>
      <c r="BG1888"/>
      <c r="BH1888"/>
      <c r="BI1888"/>
      <c r="BJ1888"/>
      <c r="BK1888"/>
      <c r="BL1888"/>
      <c r="BM1888"/>
      <c r="BN1888"/>
      <c r="BO1888"/>
      <c r="BP1888"/>
      <c r="BQ1888"/>
      <c r="BR1888"/>
      <c r="BS1888"/>
      <c r="BT1888"/>
      <c r="BU1888"/>
      <c r="BV1888"/>
      <c r="BW1888"/>
      <c r="BX1888"/>
      <c r="BY1888"/>
      <c r="BZ1888"/>
      <c r="CA1888"/>
      <c r="CB1888"/>
      <c r="CC1888"/>
      <c r="CD1888"/>
      <c r="CE1888"/>
      <c r="CF1888"/>
      <c r="CG1888"/>
      <c r="CH1888"/>
      <c r="CI1888"/>
      <c r="CJ1888"/>
      <c r="CK1888"/>
      <c r="CL1888"/>
      <c r="CM1888"/>
      <c r="CN1888"/>
      <c r="CO1888"/>
      <c r="CP1888"/>
      <c r="CQ1888"/>
      <c r="CR1888"/>
      <c r="CS1888"/>
    </row>
    <row r="1889" spans="2:97">
      <c r="B1889"/>
      <c r="C1889" s="1"/>
      <c r="D1889" s="1"/>
      <c r="E1889" s="1"/>
      <c r="F1889" s="1"/>
      <c r="G1889" s="1"/>
      <c r="H1889" s="1"/>
      <c r="I1889" s="1"/>
      <c r="J1889" s="1"/>
      <c r="K1889" s="1"/>
      <c r="L1889" s="1"/>
      <c r="M1889" s="1"/>
      <c r="N1889" s="1"/>
      <c r="O1889" s="1"/>
      <c r="P1889" s="1"/>
      <c r="Q1889" s="1"/>
      <c r="R1889"/>
      <c r="S1889" s="1"/>
      <c r="T1889" s="24"/>
      <c r="U1889"/>
      <c r="V1889" s="1"/>
      <c r="W1889" s="24"/>
      <c r="X1889"/>
      <c r="Y1889" s="1"/>
      <c r="Z1889" s="24"/>
      <c r="AA1889"/>
      <c r="AB1889" s="1"/>
      <c r="AC1889" s="24"/>
      <c r="AD1889"/>
      <c r="AE1889"/>
      <c r="AF1889"/>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c r="BK1889"/>
      <c r="BL1889"/>
      <c r="BM1889"/>
      <c r="BN1889"/>
      <c r="BO1889"/>
      <c r="BP1889"/>
      <c r="BQ1889"/>
      <c r="BR1889"/>
      <c r="BS1889"/>
      <c r="BT1889"/>
      <c r="BU1889"/>
      <c r="BV1889"/>
      <c r="BW1889"/>
      <c r="BX1889"/>
      <c r="BY1889"/>
      <c r="BZ1889"/>
      <c r="CA1889"/>
      <c r="CB1889"/>
      <c r="CC1889"/>
      <c r="CD1889"/>
      <c r="CE1889"/>
      <c r="CF1889"/>
      <c r="CG1889"/>
      <c r="CH1889"/>
      <c r="CI1889"/>
      <c r="CJ1889"/>
      <c r="CK1889"/>
      <c r="CL1889"/>
      <c r="CM1889"/>
      <c r="CN1889"/>
      <c r="CO1889"/>
      <c r="CP1889"/>
      <c r="CQ1889"/>
      <c r="CR1889"/>
      <c r="CS1889"/>
    </row>
    <row r="1890" spans="2:97">
      <c r="B1890"/>
      <c r="C1890" s="1"/>
      <c r="D1890" s="1"/>
      <c r="E1890" s="1"/>
      <c r="F1890" s="1"/>
      <c r="G1890" s="1"/>
      <c r="H1890" s="1"/>
      <c r="I1890" s="1"/>
      <c r="J1890" s="1"/>
      <c r="K1890" s="1"/>
      <c r="L1890" s="1"/>
      <c r="M1890" s="1"/>
      <c r="N1890" s="1"/>
      <c r="O1890" s="1"/>
      <c r="P1890" s="1"/>
      <c r="Q1890" s="1"/>
      <c r="R1890"/>
      <c r="S1890" s="1"/>
      <c r="T1890" s="24"/>
      <c r="U1890"/>
      <c r="V1890" s="1"/>
      <c r="W1890" s="24"/>
      <c r="X1890"/>
      <c r="Y1890" s="1"/>
      <c r="Z1890" s="24"/>
      <c r="AA1890"/>
      <c r="AB1890" s="1"/>
      <c r="AC1890" s="24"/>
      <c r="AD1890"/>
      <c r="AE1890"/>
      <c r="AF1890"/>
      <c r="AG1890"/>
      <c r="AH1890"/>
      <c r="AI1890"/>
      <c r="AJ1890"/>
      <c r="AK1890"/>
      <c r="AL1890"/>
      <c r="AM1890"/>
      <c r="AN1890"/>
      <c r="AO1890"/>
      <c r="AP1890"/>
      <c r="AQ1890"/>
      <c r="AR1890"/>
      <c r="AS1890"/>
      <c r="AT1890"/>
      <c r="AU1890"/>
      <c r="AV1890"/>
      <c r="AW1890"/>
      <c r="AX1890"/>
      <c r="AY1890"/>
      <c r="AZ1890"/>
      <c r="BA1890"/>
      <c r="BB1890"/>
      <c r="BC1890"/>
      <c r="BD1890"/>
      <c r="BE1890"/>
      <c r="BF1890"/>
      <c r="BG1890"/>
      <c r="BH1890"/>
      <c r="BI1890"/>
      <c r="BJ1890"/>
      <c r="BK1890"/>
      <c r="BL1890"/>
      <c r="BM1890"/>
      <c r="BN1890"/>
      <c r="BO1890"/>
      <c r="BP1890"/>
      <c r="BQ1890"/>
      <c r="BR1890"/>
      <c r="BS1890"/>
      <c r="BT1890"/>
      <c r="BU1890"/>
      <c r="BV1890"/>
      <c r="BW1890"/>
      <c r="BX1890"/>
      <c r="BY1890"/>
      <c r="BZ1890"/>
      <c r="CA1890"/>
      <c r="CB1890"/>
      <c r="CC1890"/>
      <c r="CD1890"/>
      <c r="CE1890"/>
      <c r="CF1890"/>
      <c r="CG1890"/>
      <c r="CH1890"/>
      <c r="CI1890"/>
      <c r="CJ1890"/>
      <c r="CK1890"/>
      <c r="CL1890"/>
      <c r="CM1890"/>
      <c r="CN1890"/>
      <c r="CO1890"/>
      <c r="CP1890"/>
      <c r="CQ1890"/>
      <c r="CR1890"/>
      <c r="CS1890"/>
    </row>
    <row r="1891" spans="2:97">
      <c r="B1891"/>
      <c r="C1891" s="1"/>
      <c r="D1891" s="1"/>
      <c r="E1891" s="1"/>
      <c r="F1891" s="1"/>
      <c r="G1891" s="1"/>
      <c r="H1891" s="1"/>
      <c r="I1891" s="1"/>
      <c r="J1891" s="1"/>
      <c r="K1891" s="1"/>
      <c r="L1891" s="1"/>
      <c r="M1891" s="1"/>
      <c r="N1891" s="1"/>
      <c r="O1891" s="1"/>
      <c r="P1891" s="1"/>
      <c r="Q1891" s="1"/>
      <c r="R1891"/>
      <c r="S1891" s="1"/>
      <c r="T1891" s="24"/>
      <c r="U1891"/>
      <c r="V1891" s="1"/>
      <c r="W1891" s="24"/>
      <c r="X1891"/>
      <c r="Y1891" s="1"/>
      <c r="Z1891" s="24"/>
      <c r="AA1891"/>
      <c r="AB1891" s="1"/>
      <c r="AC1891" s="24"/>
      <c r="AD1891"/>
      <c r="AE1891"/>
      <c r="AF1891"/>
      <c r="AG1891"/>
      <c r="AH1891"/>
      <c r="AI1891"/>
      <c r="AJ1891"/>
      <c r="AK1891"/>
      <c r="AL1891"/>
      <c r="AM1891"/>
      <c r="AN1891"/>
      <c r="AO1891"/>
      <c r="AP1891"/>
      <c r="AQ1891"/>
      <c r="AR1891"/>
      <c r="AS1891"/>
      <c r="AT1891"/>
      <c r="AU1891"/>
      <c r="AV1891"/>
      <c r="AW1891"/>
      <c r="AX1891"/>
      <c r="AY1891"/>
      <c r="AZ1891"/>
      <c r="BA1891"/>
      <c r="BB1891"/>
      <c r="BC1891"/>
      <c r="BD1891"/>
      <c r="BE1891"/>
      <c r="BF1891"/>
      <c r="BG1891"/>
      <c r="BH1891"/>
      <c r="BI1891"/>
      <c r="BJ1891"/>
      <c r="BK1891"/>
      <c r="BL1891"/>
      <c r="BM1891"/>
      <c r="BN1891"/>
      <c r="BO1891"/>
      <c r="BP1891"/>
      <c r="BQ1891"/>
      <c r="BR1891"/>
      <c r="BS1891"/>
      <c r="BT1891"/>
      <c r="BU1891"/>
      <c r="BV1891"/>
      <c r="BW1891"/>
      <c r="BX1891"/>
      <c r="BY1891"/>
      <c r="BZ1891"/>
      <c r="CA1891"/>
      <c r="CB1891"/>
      <c r="CC1891"/>
      <c r="CD1891"/>
      <c r="CE1891"/>
      <c r="CF1891"/>
      <c r="CG1891"/>
      <c r="CH1891"/>
      <c r="CI1891"/>
      <c r="CJ1891"/>
      <c r="CK1891"/>
      <c r="CL1891"/>
      <c r="CM1891"/>
      <c r="CN1891"/>
      <c r="CO1891"/>
      <c r="CP1891"/>
      <c r="CQ1891"/>
      <c r="CR1891"/>
      <c r="CS1891"/>
    </row>
    <row r="1892" spans="2:97">
      <c r="B1892"/>
      <c r="C1892" s="1"/>
      <c r="D1892" s="1"/>
      <c r="E1892" s="1"/>
      <c r="F1892" s="1"/>
      <c r="G1892" s="1"/>
      <c r="H1892" s="1"/>
      <c r="I1892" s="1"/>
      <c r="J1892" s="1"/>
      <c r="K1892" s="1"/>
      <c r="L1892" s="1"/>
      <c r="M1892" s="1"/>
      <c r="N1892" s="1"/>
      <c r="O1892" s="1"/>
      <c r="P1892" s="1"/>
      <c r="Q1892" s="1"/>
      <c r="R1892"/>
      <c r="S1892" s="1"/>
      <c r="T1892" s="24"/>
      <c r="U1892"/>
      <c r="V1892" s="1"/>
      <c r="W1892" s="24"/>
      <c r="X1892"/>
      <c r="Y1892" s="1"/>
      <c r="Z1892" s="24"/>
      <c r="AA1892"/>
      <c r="AB1892" s="1"/>
      <c r="AC1892" s="24"/>
      <c r="AD1892"/>
      <c r="AE1892"/>
      <c r="AF1892"/>
      <c r="AG1892"/>
      <c r="AH1892"/>
      <c r="AI1892"/>
      <c r="AJ1892"/>
      <c r="AK1892"/>
      <c r="AL1892"/>
      <c r="AM1892"/>
      <c r="AN1892"/>
      <c r="AO1892"/>
      <c r="AP1892"/>
      <c r="AQ1892"/>
      <c r="AR1892"/>
      <c r="AS1892"/>
      <c r="AT1892"/>
      <c r="AU1892"/>
      <c r="AV1892"/>
      <c r="AW1892"/>
      <c r="AX1892"/>
      <c r="AY1892"/>
      <c r="AZ1892"/>
      <c r="BA1892"/>
      <c r="BB1892"/>
      <c r="BC1892"/>
      <c r="BD1892"/>
      <c r="BE1892"/>
      <c r="BF1892"/>
      <c r="BG1892"/>
      <c r="BH1892"/>
      <c r="BI1892"/>
      <c r="BJ1892"/>
      <c r="BK1892"/>
      <c r="BL1892"/>
      <c r="BM1892"/>
      <c r="BN1892"/>
      <c r="BO1892"/>
      <c r="BP1892"/>
      <c r="BQ1892"/>
      <c r="BR1892"/>
      <c r="BS1892"/>
      <c r="BT1892"/>
      <c r="BU1892"/>
      <c r="BV1892"/>
      <c r="BW1892"/>
      <c r="BX1892"/>
      <c r="BY1892"/>
      <c r="BZ1892"/>
      <c r="CA1892"/>
      <c r="CB1892"/>
      <c r="CC1892"/>
      <c r="CD1892"/>
      <c r="CE1892"/>
      <c r="CF1892"/>
      <c r="CG1892"/>
      <c r="CH1892"/>
      <c r="CI1892"/>
      <c r="CJ1892"/>
      <c r="CK1892"/>
      <c r="CL1892"/>
      <c r="CM1892"/>
      <c r="CN1892"/>
      <c r="CO1892"/>
      <c r="CP1892"/>
      <c r="CQ1892"/>
      <c r="CR1892"/>
      <c r="CS1892"/>
    </row>
    <row r="1893" spans="2:97">
      <c r="B1893"/>
      <c r="C1893" s="1"/>
      <c r="D1893" s="1"/>
      <c r="E1893" s="1"/>
      <c r="F1893" s="1"/>
      <c r="G1893" s="1"/>
      <c r="H1893" s="1"/>
      <c r="I1893" s="1"/>
      <c r="J1893" s="1"/>
      <c r="K1893" s="1"/>
      <c r="L1893" s="1"/>
      <c r="M1893" s="1"/>
      <c r="N1893" s="1"/>
      <c r="O1893" s="1"/>
      <c r="P1893" s="1"/>
      <c r="Q1893" s="1"/>
      <c r="R1893"/>
      <c r="S1893" s="1"/>
      <c r="T1893" s="24"/>
      <c r="U1893"/>
      <c r="V1893" s="1"/>
      <c r="W1893" s="24"/>
      <c r="X1893"/>
      <c r="Y1893" s="1"/>
      <c r="Z1893" s="24"/>
      <c r="AA1893"/>
      <c r="AB1893" s="1"/>
      <c r="AC1893" s="24"/>
      <c r="AD1893"/>
      <c r="AE1893"/>
      <c r="AF1893"/>
      <c r="AG1893"/>
      <c r="AH1893"/>
      <c r="AI1893"/>
      <c r="AJ1893"/>
      <c r="AK1893"/>
      <c r="AL1893"/>
      <c r="AM1893"/>
      <c r="AN1893"/>
      <c r="AO1893"/>
      <c r="AP1893"/>
      <c r="AQ1893"/>
      <c r="AR1893"/>
      <c r="AS1893"/>
      <c r="AT1893"/>
      <c r="AU1893"/>
      <c r="AV1893"/>
      <c r="AW1893"/>
      <c r="AX1893"/>
      <c r="AY1893"/>
      <c r="AZ1893"/>
      <c r="BA1893"/>
      <c r="BB1893"/>
      <c r="BC1893"/>
      <c r="BD1893"/>
      <c r="BE1893"/>
      <c r="BF1893"/>
      <c r="BG1893"/>
      <c r="BH1893"/>
      <c r="BI1893"/>
      <c r="BJ1893"/>
      <c r="BK1893"/>
      <c r="BL1893"/>
      <c r="BM1893"/>
      <c r="BN1893"/>
      <c r="BO1893"/>
      <c r="BP1893"/>
      <c r="BQ1893"/>
      <c r="BR1893"/>
      <c r="BS1893"/>
      <c r="BT1893"/>
      <c r="BU1893"/>
      <c r="BV1893"/>
      <c r="BW1893"/>
      <c r="BX1893"/>
      <c r="BY1893"/>
      <c r="BZ1893"/>
      <c r="CA1893"/>
      <c r="CB1893"/>
      <c r="CC1893"/>
      <c r="CD1893"/>
      <c r="CE1893"/>
      <c r="CF1893"/>
      <c r="CG1893"/>
      <c r="CH1893"/>
      <c r="CI1893"/>
      <c r="CJ1893"/>
      <c r="CK1893"/>
      <c r="CL1893"/>
      <c r="CM1893"/>
      <c r="CN1893"/>
      <c r="CO1893"/>
      <c r="CP1893"/>
      <c r="CQ1893"/>
      <c r="CR1893"/>
      <c r="CS1893"/>
    </row>
    <row r="1894" spans="2:97">
      <c r="B1894"/>
      <c r="C1894" s="1"/>
      <c r="D1894" s="1"/>
      <c r="E1894" s="1"/>
      <c r="F1894" s="1"/>
      <c r="G1894" s="1"/>
      <c r="H1894" s="1"/>
      <c r="I1894" s="1"/>
      <c r="J1894" s="1"/>
      <c r="K1894" s="1"/>
      <c r="L1894" s="1"/>
      <c r="M1894" s="1"/>
      <c r="N1894" s="1"/>
      <c r="O1894" s="1"/>
      <c r="P1894" s="1"/>
      <c r="Q1894" s="1"/>
      <c r="R1894"/>
      <c r="S1894" s="1"/>
      <c r="T1894" s="24"/>
      <c r="U1894"/>
      <c r="V1894" s="1"/>
      <c r="W1894" s="24"/>
      <c r="X1894"/>
      <c r="Y1894" s="1"/>
      <c r="Z1894" s="24"/>
      <c r="AA1894"/>
      <c r="AB1894" s="1"/>
      <c r="AC1894" s="24"/>
      <c r="AD1894"/>
      <c r="AE1894"/>
      <c r="AF1894"/>
      <c r="AG1894"/>
      <c r="AH1894"/>
      <c r="AI1894"/>
      <c r="AJ1894"/>
      <c r="AK1894"/>
      <c r="AL1894"/>
      <c r="AM1894"/>
      <c r="AN1894"/>
      <c r="AO1894"/>
      <c r="AP1894"/>
      <c r="AQ1894"/>
      <c r="AR1894"/>
      <c r="AS1894"/>
      <c r="AT1894"/>
      <c r="AU1894"/>
      <c r="AV1894"/>
      <c r="AW1894"/>
      <c r="AX1894"/>
      <c r="AY1894"/>
      <c r="AZ1894"/>
      <c r="BA1894"/>
      <c r="BB1894"/>
      <c r="BC1894"/>
      <c r="BD1894"/>
      <c r="BE1894"/>
      <c r="BF1894"/>
      <c r="BG1894"/>
      <c r="BH1894"/>
      <c r="BI1894"/>
      <c r="BJ1894"/>
      <c r="BK1894"/>
      <c r="BL1894"/>
      <c r="BM1894"/>
      <c r="BN1894"/>
      <c r="BO1894"/>
      <c r="BP1894"/>
      <c r="BQ1894"/>
      <c r="BR1894"/>
      <c r="BS1894"/>
      <c r="BT1894"/>
      <c r="BU1894"/>
      <c r="BV1894"/>
      <c r="BW1894"/>
      <c r="BX1894"/>
      <c r="BY1894"/>
      <c r="BZ1894"/>
      <c r="CA1894"/>
      <c r="CB1894"/>
      <c r="CC1894"/>
      <c r="CD1894"/>
      <c r="CE1894"/>
      <c r="CF1894"/>
      <c r="CG1894"/>
      <c r="CH1894"/>
      <c r="CI1894"/>
      <c r="CJ1894"/>
      <c r="CK1894"/>
      <c r="CL1894"/>
      <c r="CM1894"/>
      <c r="CN1894"/>
      <c r="CO1894"/>
      <c r="CP1894"/>
      <c r="CQ1894"/>
      <c r="CR1894"/>
      <c r="CS1894"/>
    </row>
    <row r="1895" spans="2:97">
      <c r="B1895"/>
      <c r="C1895" s="1"/>
      <c r="D1895" s="1"/>
      <c r="E1895" s="1"/>
      <c r="F1895" s="1"/>
      <c r="G1895" s="1"/>
      <c r="H1895" s="1"/>
      <c r="I1895" s="1"/>
      <c r="J1895" s="1"/>
      <c r="K1895" s="1"/>
      <c r="L1895" s="1"/>
      <c r="M1895" s="1"/>
      <c r="N1895" s="1"/>
      <c r="O1895" s="1"/>
      <c r="P1895" s="1"/>
      <c r="Q1895" s="1"/>
      <c r="R1895"/>
      <c r="S1895" s="1"/>
      <c r="T1895" s="24"/>
      <c r="U1895"/>
      <c r="V1895" s="1"/>
      <c r="W1895" s="24"/>
      <c r="X1895"/>
      <c r="Y1895" s="1"/>
      <c r="Z1895" s="24"/>
      <c r="AA1895"/>
      <c r="AB1895" s="1"/>
      <c r="AC1895" s="24"/>
      <c r="AD1895"/>
      <c r="AE1895"/>
      <c r="AF1895"/>
      <c r="AG1895"/>
      <c r="AH1895"/>
      <c r="AI1895"/>
      <c r="AJ1895"/>
      <c r="AK1895"/>
      <c r="AL1895"/>
      <c r="AM1895"/>
      <c r="AN1895"/>
      <c r="AO1895"/>
      <c r="AP1895"/>
      <c r="AQ1895"/>
      <c r="AR1895"/>
      <c r="AS1895"/>
      <c r="AT1895"/>
      <c r="AU1895"/>
      <c r="AV1895"/>
      <c r="AW1895"/>
      <c r="AX1895"/>
      <c r="AY1895"/>
      <c r="AZ1895"/>
      <c r="BA1895"/>
      <c r="BB1895"/>
      <c r="BC1895"/>
      <c r="BD1895"/>
      <c r="BE1895"/>
      <c r="BF1895"/>
      <c r="BG1895"/>
      <c r="BH1895"/>
      <c r="BI1895"/>
      <c r="BJ1895"/>
      <c r="BK1895"/>
      <c r="BL1895"/>
      <c r="BM1895"/>
      <c r="BN1895"/>
      <c r="BO1895"/>
      <c r="BP1895"/>
      <c r="BQ1895"/>
      <c r="BR1895"/>
      <c r="BS1895"/>
      <c r="BT1895"/>
      <c r="BU1895"/>
      <c r="BV1895"/>
      <c r="BW1895"/>
      <c r="BX1895"/>
      <c r="BY1895"/>
      <c r="BZ1895"/>
      <c r="CA1895"/>
      <c r="CB1895"/>
      <c r="CC1895"/>
      <c r="CD1895"/>
      <c r="CE1895"/>
      <c r="CF1895"/>
      <c r="CG1895"/>
      <c r="CH1895"/>
      <c r="CI1895"/>
      <c r="CJ1895"/>
      <c r="CK1895"/>
      <c r="CL1895"/>
      <c r="CM1895"/>
      <c r="CN1895"/>
      <c r="CO1895"/>
      <c r="CP1895"/>
      <c r="CQ1895"/>
      <c r="CR1895"/>
      <c r="CS1895"/>
    </row>
    <row r="1896" spans="2:97">
      <c r="B1896"/>
      <c r="C1896" s="1"/>
      <c r="D1896" s="1"/>
      <c r="E1896" s="1"/>
      <c r="F1896" s="1"/>
      <c r="G1896" s="1"/>
      <c r="H1896" s="1"/>
      <c r="I1896" s="1"/>
      <c r="J1896" s="1"/>
      <c r="K1896" s="1"/>
      <c r="L1896" s="1"/>
      <c r="M1896" s="1"/>
      <c r="N1896" s="1"/>
      <c r="O1896" s="1"/>
      <c r="P1896" s="1"/>
      <c r="Q1896" s="1"/>
      <c r="R1896"/>
      <c r="S1896" s="1"/>
      <c r="T1896" s="24"/>
      <c r="U1896"/>
      <c r="V1896" s="1"/>
      <c r="W1896" s="24"/>
      <c r="X1896"/>
      <c r="Y1896" s="1"/>
      <c r="Z1896" s="24"/>
      <c r="AA1896"/>
      <c r="AB1896" s="1"/>
      <c r="AC1896" s="24"/>
      <c r="AD1896"/>
      <c r="AE1896"/>
      <c r="AF1896"/>
      <c r="AG1896"/>
      <c r="AH1896"/>
      <c r="AI1896"/>
      <c r="AJ1896"/>
      <c r="AK1896"/>
      <c r="AL1896"/>
      <c r="AM1896"/>
      <c r="AN1896"/>
      <c r="AO1896"/>
      <c r="AP1896"/>
      <c r="AQ1896"/>
      <c r="AR1896"/>
      <c r="AS1896"/>
      <c r="AT1896"/>
      <c r="AU1896"/>
      <c r="AV1896"/>
      <c r="AW1896"/>
      <c r="AX1896"/>
      <c r="AY1896"/>
      <c r="AZ1896"/>
      <c r="BA1896"/>
      <c r="BB1896"/>
      <c r="BC1896"/>
      <c r="BD1896"/>
      <c r="BE1896"/>
      <c r="BF1896"/>
      <c r="BG1896"/>
      <c r="BH1896"/>
      <c r="BI1896"/>
      <c r="BJ1896"/>
      <c r="BK1896"/>
      <c r="BL1896"/>
      <c r="BM1896"/>
      <c r="BN1896"/>
      <c r="BO1896"/>
      <c r="BP1896"/>
      <c r="BQ1896"/>
      <c r="BR1896"/>
      <c r="BS1896"/>
      <c r="BT1896"/>
      <c r="BU1896"/>
      <c r="BV1896"/>
      <c r="BW1896"/>
      <c r="BX1896"/>
      <c r="BY1896"/>
      <c r="BZ1896"/>
      <c r="CA1896"/>
      <c r="CB1896"/>
      <c r="CC1896"/>
      <c r="CD1896"/>
      <c r="CE1896"/>
      <c r="CF1896"/>
      <c r="CG1896"/>
      <c r="CH1896"/>
      <c r="CI1896"/>
      <c r="CJ1896"/>
      <c r="CK1896"/>
      <c r="CL1896"/>
      <c r="CM1896"/>
      <c r="CN1896"/>
      <c r="CO1896"/>
      <c r="CP1896"/>
      <c r="CQ1896"/>
      <c r="CR1896"/>
      <c r="CS1896"/>
    </row>
    <row r="1897" spans="2:97">
      <c r="B1897"/>
      <c r="C1897" s="1"/>
      <c r="D1897" s="1"/>
      <c r="E1897" s="1"/>
      <c r="F1897" s="1"/>
      <c r="G1897" s="1"/>
      <c r="H1897" s="1"/>
      <c r="I1897" s="1"/>
      <c r="J1897" s="1"/>
      <c r="K1897" s="1"/>
      <c r="L1897" s="1"/>
      <c r="M1897" s="1"/>
      <c r="N1897" s="1"/>
      <c r="O1897" s="1"/>
      <c r="P1897" s="1"/>
      <c r="Q1897" s="1"/>
      <c r="R1897"/>
      <c r="S1897" s="1"/>
      <c r="T1897" s="24"/>
      <c r="U1897"/>
      <c r="V1897" s="1"/>
      <c r="W1897" s="24"/>
      <c r="X1897"/>
      <c r="Y1897" s="1"/>
      <c r="Z1897" s="24"/>
      <c r="AA1897"/>
      <c r="AB1897" s="1"/>
      <c r="AC1897" s="24"/>
      <c r="AD1897"/>
      <c r="AE1897"/>
      <c r="AF1897"/>
      <c r="AG1897"/>
      <c r="AH1897"/>
      <c r="AI1897"/>
      <c r="AJ1897"/>
      <c r="AK1897"/>
      <c r="AL1897"/>
      <c r="AM1897"/>
      <c r="AN1897"/>
      <c r="AO1897"/>
      <c r="AP1897"/>
      <c r="AQ1897"/>
      <c r="AR1897"/>
      <c r="AS1897"/>
      <c r="AT1897"/>
      <c r="AU1897"/>
      <c r="AV1897"/>
      <c r="AW1897"/>
      <c r="AX1897"/>
      <c r="AY1897"/>
      <c r="AZ1897"/>
      <c r="BA1897"/>
      <c r="BB1897"/>
      <c r="BC1897"/>
      <c r="BD1897"/>
      <c r="BE1897"/>
      <c r="BF1897"/>
      <c r="BG1897"/>
      <c r="BH1897"/>
      <c r="BI1897"/>
      <c r="BJ1897"/>
      <c r="BK1897"/>
      <c r="BL1897"/>
      <c r="BM1897"/>
      <c r="BN1897"/>
      <c r="BO1897"/>
      <c r="BP1897"/>
      <c r="BQ1897"/>
      <c r="BR1897"/>
      <c r="BS1897"/>
      <c r="BT1897"/>
      <c r="BU1897"/>
      <c r="BV1897"/>
      <c r="BW1897"/>
      <c r="BX1897"/>
      <c r="BY1897"/>
      <c r="BZ1897"/>
      <c r="CA1897"/>
      <c r="CB1897"/>
      <c r="CC1897"/>
      <c r="CD1897"/>
      <c r="CE1897"/>
      <c r="CF1897"/>
      <c r="CG1897"/>
      <c r="CH1897"/>
      <c r="CI1897"/>
      <c r="CJ1897"/>
      <c r="CK1897"/>
      <c r="CL1897"/>
      <c r="CM1897"/>
      <c r="CN1897"/>
      <c r="CO1897"/>
      <c r="CP1897"/>
      <c r="CQ1897"/>
      <c r="CR1897"/>
      <c r="CS1897"/>
    </row>
    <row r="1898" spans="2:97">
      <c r="B1898"/>
      <c r="C1898" s="1"/>
      <c r="D1898" s="1"/>
      <c r="E1898" s="1"/>
      <c r="F1898" s="1"/>
      <c r="G1898" s="1"/>
      <c r="H1898" s="1"/>
      <c r="I1898" s="1"/>
      <c r="J1898" s="1"/>
      <c r="K1898" s="1"/>
      <c r="L1898" s="1"/>
      <c r="M1898" s="1"/>
      <c r="N1898" s="1"/>
      <c r="O1898" s="1"/>
      <c r="P1898" s="1"/>
      <c r="Q1898" s="1"/>
      <c r="R1898"/>
      <c r="S1898" s="1"/>
      <c r="T1898" s="24"/>
      <c r="U1898"/>
      <c r="V1898" s="1"/>
      <c r="W1898" s="24"/>
      <c r="X1898"/>
      <c r="Y1898" s="1"/>
      <c r="Z1898" s="24"/>
      <c r="AA1898"/>
      <c r="AB1898" s="1"/>
      <c r="AC1898" s="24"/>
      <c r="AD1898"/>
      <c r="AE1898"/>
      <c r="AF1898"/>
      <c r="AG1898"/>
      <c r="AH1898"/>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c r="BR1898"/>
      <c r="BS1898"/>
      <c r="BT1898"/>
      <c r="BU1898"/>
      <c r="BV1898"/>
      <c r="BW1898"/>
      <c r="BX1898"/>
      <c r="BY1898"/>
      <c r="BZ1898"/>
      <c r="CA1898"/>
      <c r="CB1898"/>
      <c r="CC1898"/>
      <c r="CD1898"/>
      <c r="CE1898"/>
      <c r="CF1898"/>
      <c r="CG1898"/>
      <c r="CH1898"/>
      <c r="CI1898"/>
      <c r="CJ1898"/>
      <c r="CK1898"/>
      <c r="CL1898"/>
      <c r="CM1898"/>
      <c r="CN1898"/>
      <c r="CO1898"/>
      <c r="CP1898"/>
      <c r="CQ1898"/>
      <c r="CR1898"/>
      <c r="CS1898"/>
    </row>
    <row r="1899" spans="2:97">
      <c r="B1899"/>
      <c r="C1899" s="1"/>
      <c r="D1899" s="1"/>
      <c r="E1899" s="1"/>
      <c r="F1899" s="1"/>
      <c r="G1899" s="1"/>
      <c r="H1899" s="1"/>
      <c r="I1899" s="1"/>
      <c r="J1899" s="1"/>
      <c r="K1899" s="1"/>
      <c r="L1899" s="1"/>
      <c r="M1899" s="1"/>
      <c r="N1899" s="1"/>
      <c r="O1899" s="1"/>
      <c r="P1899" s="1"/>
      <c r="Q1899" s="1"/>
      <c r="R1899"/>
      <c r="S1899" s="1"/>
      <c r="T1899" s="24"/>
      <c r="U1899"/>
      <c r="V1899" s="1"/>
      <c r="W1899" s="24"/>
      <c r="X1899"/>
      <c r="Y1899" s="1"/>
      <c r="Z1899" s="24"/>
      <c r="AA1899"/>
      <c r="AB1899" s="1"/>
      <c r="AC1899" s="24"/>
      <c r="AD1899"/>
      <c r="AE1899"/>
      <c r="AF1899"/>
      <c r="AG1899"/>
      <c r="AH1899"/>
      <c r="AI1899"/>
      <c r="AJ1899"/>
      <c r="AK1899"/>
      <c r="AL1899"/>
      <c r="AM1899"/>
      <c r="AN1899"/>
      <c r="AO1899"/>
      <c r="AP1899"/>
      <c r="AQ1899"/>
      <c r="AR1899"/>
      <c r="AS1899"/>
      <c r="AT1899"/>
      <c r="AU1899"/>
      <c r="AV1899"/>
      <c r="AW1899"/>
      <c r="AX1899"/>
      <c r="AY1899"/>
      <c r="AZ1899"/>
      <c r="BA1899"/>
      <c r="BB1899"/>
      <c r="BC1899"/>
      <c r="BD1899"/>
      <c r="BE1899"/>
      <c r="BF1899"/>
      <c r="BG1899"/>
      <c r="BH1899"/>
      <c r="BI1899"/>
      <c r="BJ1899"/>
      <c r="BK1899"/>
      <c r="BL1899"/>
      <c r="BM1899"/>
      <c r="BN1899"/>
      <c r="BO1899"/>
      <c r="BP1899"/>
      <c r="BQ1899"/>
      <c r="BR1899"/>
      <c r="BS1899"/>
      <c r="BT1899"/>
      <c r="BU1899"/>
      <c r="BV1899"/>
      <c r="BW1899"/>
      <c r="BX1899"/>
      <c r="BY1899"/>
      <c r="BZ1899"/>
      <c r="CA1899"/>
      <c r="CB1899"/>
      <c r="CC1899"/>
      <c r="CD1899"/>
      <c r="CE1899"/>
      <c r="CF1899"/>
      <c r="CG1899"/>
      <c r="CH1899"/>
      <c r="CI1899"/>
      <c r="CJ1899"/>
      <c r="CK1899"/>
      <c r="CL1899"/>
      <c r="CM1899"/>
      <c r="CN1899"/>
      <c r="CO1899"/>
      <c r="CP1899"/>
      <c r="CQ1899"/>
      <c r="CR1899"/>
      <c r="CS1899"/>
    </row>
    <row r="1900" spans="2:97">
      <c r="B1900"/>
      <c r="C1900" s="1"/>
      <c r="D1900" s="1"/>
      <c r="E1900" s="1"/>
      <c r="F1900" s="1"/>
      <c r="G1900" s="1"/>
      <c r="H1900" s="1"/>
      <c r="I1900" s="1"/>
      <c r="J1900" s="1"/>
      <c r="K1900" s="1"/>
      <c r="L1900" s="1"/>
      <c r="M1900" s="1"/>
      <c r="N1900" s="1"/>
      <c r="O1900" s="1"/>
      <c r="P1900" s="1"/>
      <c r="Q1900" s="1"/>
      <c r="R1900"/>
      <c r="S1900" s="1"/>
      <c r="T1900" s="24"/>
      <c r="U1900"/>
      <c r="V1900" s="1"/>
      <c r="W1900" s="24"/>
      <c r="X1900"/>
      <c r="Y1900" s="1"/>
      <c r="Z1900" s="24"/>
      <c r="AA1900"/>
      <c r="AB1900" s="1"/>
      <c r="AC1900" s="24"/>
      <c r="AD1900"/>
      <c r="AE1900"/>
      <c r="AF1900"/>
      <c r="AG1900"/>
      <c r="AH1900"/>
      <c r="AI1900"/>
      <c r="AJ1900"/>
      <c r="AK1900"/>
      <c r="AL1900"/>
      <c r="AM1900"/>
      <c r="AN1900"/>
      <c r="AO1900"/>
      <c r="AP1900"/>
      <c r="AQ1900"/>
      <c r="AR1900"/>
      <c r="AS1900"/>
      <c r="AT1900"/>
      <c r="AU1900"/>
      <c r="AV1900"/>
      <c r="AW1900"/>
      <c r="AX1900"/>
      <c r="AY1900"/>
      <c r="AZ1900"/>
      <c r="BA1900"/>
      <c r="BB1900"/>
      <c r="BC1900"/>
      <c r="BD1900"/>
      <c r="BE1900"/>
      <c r="BF1900"/>
      <c r="BG1900"/>
      <c r="BH1900"/>
      <c r="BI1900"/>
      <c r="BJ1900"/>
      <c r="BK1900"/>
      <c r="BL1900"/>
      <c r="BM1900"/>
      <c r="BN1900"/>
      <c r="BO1900"/>
      <c r="BP1900"/>
      <c r="BQ1900"/>
      <c r="BR1900"/>
      <c r="BS1900"/>
      <c r="BT1900"/>
      <c r="BU1900"/>
      <c r="BV1900"/>
      <c r="BW1900"/>
      <c r="BX1900"/>
      <c r="BY1900"/>
      <c r="BZ1900"/>
      <c r="CA1900"/>
      <c r="CB1900"/>
      <c r="CC1900"/>
      <c r="CD1900"/>
      <c r="CE1900"/>
      <c r="CF1900"/>
      <c r="CG1900"/>
      <c r="CH1900"/>
      <c r="CI1900"/>
      <c r="CJ1900"/>
      <c r="CK1900"/>
      <c r="CL1900"/>
      <c r="CM1900"/>
      <c r="CN1900"/>
      <c r="CO1900"/>
      <c r="CP1900"/>
      <c r="CQ1900"/>
      <c r="CR1900"/>
      <c r="CS1900"/>
    </row>
    <row r="1901" spans="2:97">
      <c r="B1901"/>
      <c r="C1901" s="1"/>
      <c r="D1901" s="1"/>
      <c r="E1901" s="1"/>
      <c r="F1901" s="1"/>
      <c r="G1901" s="1"/>
      <c r="H1901" s="1"/>
      <c r="I1901" s="1"/>
      <c r="J1901" s="1"/>
      <c r="K1901" s="1"/>
      <c r="L1901" s="1"/>
      <c r="M1901" s="1"/>
      <c r="N1901" s="1"/>
      <c r="O1901" s="1"/>
      <c r="P1901" s="1"/>
      <c r="Q1901" s="1"/>
      <c r="R1901"/>
      <c r="S1901" s="1"/>
      <c r="T1901" s="24"/>
      <c r="U1901"/>
      <c r="V1901" s="1"/>
      <c r="W1901" s="24"/>
      <c r="X1901"/>
      <c r="Y1901" s="1"/>
      <c r="Z1901" s="24"/>
      <c r="AA1901"/>
      <c r="AB1901" s="1"/>
      <c r="AC1901" s="24"/>
      <c r="AD1901"/>
      <c r="AE1901"/>
      <c r="AF1901"/>
      <c r="AG1901"/>
      <c r="AH1901"/>
      <c r="AI1901"/>
      <c r="AJ1901"/>
      <c r="AK1901"/>
      <c r="AL1901"/>
      <c r="AM1901"/>
      <c r="AN1901"/>
      <c r="AO1901"/>
      <c r="AP1901"/>
      <c r="AQ1901"/>
      <c r="AR1901"/>
      <c r="AS1901"/>
      <c r="AT1901"/>
      <c r="AU1901"/>
      <c r="AV1901"/>
      <c r="AW1901"/>
      <c r="AX1901"/>
      <c r="AY1901"/>
      <c r="AZ1901"/>
      <c r="BA1901"/>
      <c r="BB1901"/>
      <c r="BC1901"/>
      <c r="BD1901"/>
      <c r="BE1901"/>
      <c r="BF1901"/>
      <c r="BG1901"/>
      <c r="BH1901"/>
      <c r="BI1901"/>
      <c r="BJ1901"/>
      <c r="BK1901"/>
      <c r="BL1901"/>
      <c r="BM1901"/>
      <c r="BN1901"/>
      <c r="BO1901"/>
      <c r="BP1901"/>
      <c r="BQ1901"/>
      <c r="BR1901"/>
      <c r="BS1901"/>
      <c r="BT1901"/>
      <c r="BU1901"/>
      <c r="BV1901"/>
      <c r="BW1901"/>
      <c r="BX1901"/>
      <c r="BY1901"/>
      <c r="BZ1901"/>
      <c r="CA1901"/>
      <c r="CB1901"/>
      <c r="CC1901"/>
      <c r="CD1901"/>
      <c r="CE1901"/>
      <c r="CF1901"/>
      <c r="CG1901"/>
      <c r="CH1901"/>
      <c r="CI1901"/>
      <c r="CJ1901"/>
      <c r="CK1901"/>
      <c r="CL1901"/>
      <c r="CM1901"/>
      <c r="CN1901"/>
      <c r="CO1901"/>
      <c r="CP1901"/>
      <c r="CQ1901"/>
      <c r="CR1901"/>
      <c r="CS1901"/>
    </row>
    <row r="1902" spans="2:97">
      <c r="B1902"/>
      <c r="C1902" s="1"/>
      <c r="D1902" s="1"/>
      <c r="E1902" s="1"/>
      <c r="F1902" s="1"/>
      <c r="G1902" s="1"/>
      <c r="H1902" s="1"/>
      <c r="I1902" s="1"/>
      <c r="J1902" s="1"/>
      <c r="K1902" s="1"/>
      <c r="L1902" s="1"/>
      <c r="M1902" s="1"/>
      <c r="N1902" s="1"/>
      <c r="O1902" s="1"/>
      <c r="P1902" s="1"/>
      <c r="Q1902" s="1"/>
      <c r="R1902"/>
      <c r="S1902" s="1"/>
      <c r="T1902" s="24"/>
      <c r="U1902"/>
      <c r="V1902" s="1"/>
      <c r="W1902" s="24"/>
      <c r="X1902"/>
      <c r="Y1902" s="1"/>
      <c r="Z1902" s="24"/>
      <c r="AA1902"/>
      <c r="AB1902" s="1"/>
      <c r="AC1902" s="24"/>
      <c r="AD1902"/>
      <c r="AE1902"/>
      <c r="AF1902"/>
      <c r="AG1902"/>
      <c r="AH1902"/>
      <c r="AI1902"/>
      <c r="AJ1902"/>
      <c r="AK1902"/>
      <c r="AL1902"/>
      <c r="AM1902"/>
      <c r="AN1902"/>
      <c r="AO1902"/>
      <c r="AP1902"/>
      <c r="AQ1902"/>
      <c r="AR1902"/>
      <c r="AS1902"/>
      <c r="AT1902"/>
      <c r="AU1902"/>
      <c r="AV1902"/>
      <c r="AW1902"/>
      <c r="AX1902"/>
      <c r="AY1902"/>
      <c r="AZ1902"/>
      <c r="BA1902"/>
      <c r="BB1902"/>
      <c r="BC1902"/>
      <c r="BD1902"/>
      <c r="BE1902"/>
      <c r="BF1902"/>
      <c r="BG1902"/>
      <c r="BH1902"/>
      <c r="BI1902"/>
      <c r="BJ1902"/>
      <c r="BK1902"/>
      <c r="BL1902"/>
      <c r="BM1902"/>
      <c r="BN1902"/>
      <c r="BO1902"/>
      <c r="BP1902"/>
      <c r="BQ1902"/>
      <c r="BR1902"/>
      <c r="BS1902"/>
      <c r="BT1902"/>
      <c r="BU1902"/>
      <c r="BV1902"/>
      <c r="BW1902"/>
      <c r="BX1902"/>
      <c r="BY1902"/>
      <c r="BZ1902"/>
      <c r="CA1902"/>
      <c r="CB1902"/>
      <c r="CC1902"/>
      <c r="CD1902"/>
      <c r="CE1902"/>
      <c r="CF1902"/>
      <c r="CG1902"/>
      <c r="CH1902"/>
      <c r="CI1902"/>
      <c r="CJ1902"/>
      <c r="CK1902"/>
      <c r="CL1902"/>
      <c r="CM1902"/>
      <c r="CN1902"/>
      <c r="CO1902"/>
      <c r="CP1902"/>
      <c r="CQ1902"/>
      <c r="CR1902"/>
      <c r="CS1902"/>
    </row>
    <row r="1903" spans="2:97">
      <c r="B1903"/>
      <c r="C1903" s="1"/>
      <c r="D1903" s="1"/>
      <c r="E1903" s="1"/>
      <c r="F1903" s="1"/>
      <c r="G1903" s="1"/>
      <c r="H1903" s="1"/>
      <c r="I1903" s="1"/>
      <c r="J1903" s="1"/>
      <c r="K1903" s="1"/>
      <c r="L1903" s="1"/>
      <c r="M1903" s="1"/>
      <c r="N1903" s="1"/>
      <c r="O1903" s="1"/>
      <c r="P1903" s="1"/>
      <c r="Q1903" s="1"/>
      <c r="R1903"/>
      <c r="S1903" s="1"/>
      <c r="T1903" s="24"/>
      <c r="U1903"/>
      <c r="V1903" s="1"/>
      <c r="W1903" s="24"/>
      <c r="X1903"/>
      <c r="Y1903" s="1"/>
      <c r="Z1903" s="24"/>
      <c r="AA1903"/>
      <c r="AB1903" s="1"/>
      <c r="AC1903" s="24"/>
      <c r="AD1903"/>
      <c r="AE1903"/>
      <c r="AF1903"/>
      <c r="AG1903"/>
      <c r="AH1903"/>
      <c r="AI1903"/>
      <c r="AJ1903"/>
      <c r="AK1903"/>
      <c r="AL1903"/>
      <c r="AM1903"/>
      <c r="AN1903"/>
      <c r="AO1903"/>
      <c r="AP1903"/>
      <c r="AQ1903"/>
      <c r="AR1903"/>
      <c r="AS1903"/>
      <c r="AT1903"/>
      <c r="AU1903"/>
      <c r="AV1903"/>
      <c r="AW1903"/>
      <c r="AX1903"/>
      <c r="AY1903"/>
      <c r="AZ1903"/>
      <c r="BA1903"/>
      <c r="BB1903"/>
      <c r="BC1903"/>
      <c r="BD1903"/>
      <c r="BE1903"/>
      <c r="BF1903"/>
      <c r="BG1903"/>
      <c r="BH1903"/>
      <c r="BI1903"/>
      <c r="BJ1903"/>
      <c r="BK1903"/>
      <c r="BL1903"/>
      <c r="BM1903"/>
      <c r="BN1903"/>
      <c r="BO1903"/>
      <c r="BP1903"/>
      <c r="BQ1903"/>
      <c r="BR1903"/>
      <c r="BS1903"/>
      <c r="BT1903"/>
      <c r="BU1903"/>
      <c r="BV1903"/>
      <c r="BW1903"/>
      <c r="BX1903"/>
      <c r="BY1903"/>
      <c r="BZ1903"/>
      <c r="CA1903"/>
      <c r="CB1903"/>
      <c r="CC1903"/>
      <c r="CD1903"/>
      <c r="CE1903"/>
      <c r="CF1903"/>
      <c r="CG1903"/>
      <c r="CH1903"/>
      <c r="CI1903"/>
      <c r="CJ1903"/>
      <c r="CK1903"/>
      <c r="CL1903"/>
      <c r="CM1903"/>
      <c r="CN1903"/>
      <c r="CO1903"/>
      <c r="CP1903"/>
      <c r="CQ1903"/>
      <c r="CR1903"/>
      <c r="CS1903"/>
    </row>
    <row r="1904" spans="2:97">
      <c r="B1904"/>
      <c r="C1904" s="1"/>
      <c r="D1904" s="1"/>
      <c r="E1904" s="1"/>
      <c r="F1904" s="1"/>
      <c r="G1904" s="1"/>
      <c r="H1904" s="1"/>
      <c r="I1904" s="1"/>
      <c r="J1904" s="1"/>
      <c r="K1904" s="1"/>
      <c r="L1904" s="1"/>
      <c r="M1904" s="1"/>
      <c r="N1904" s="1"/>
      <c r="O1904" s="1"/>
      <c r="P1904" s="1"/>
      <c r="Q1904" s="1"/>
      <c r="R1904"/>
      <c r="S1904" s="1"/>
      <c r="T1904" s="24"/>
      <c r="U1904"/>
      <c r="V1904" s="1"/>
      <c r="W1904" s="24"/>
      <c r="X1904"/>
      <c r="Y1904" s="1"/>
      <c r="Z1904" s="24"/>
      <c r="AA1904"/>
      <c r="AB1904" s="1"/>
      <c r="AC1904" s="24"/>
      <c r="AD1904"/>
      <c r="AE1904"/>
      <c r="AF1904"/>
      <c r="AG1904"/>
      <c r="AH1904"/>
      <c r="AI1904"/>
      <c r="AJ1904"/>
      <c r="AK1904"/>
      <c r="AL1904"/>
      <c r="AM1904"/>
      <c r="AN1904"/>
      <c r="AO1904"/>
      <c r="AP1904"/>
      <c r="AQ1904"/>
      <c r="AR1904"/>
      <c r="AS1904"/>
      <c r="AT1904"/>
      <c r="AU1904"/>
      <c r="AV1904"/>
      <c r="AW1904"/>
      <c r="AX1904"/>
      <c r="AY1904"/>
      <c r="AZ1904"/>
      <c r="BA1904"/>
      <c r="BB1904"/>
      <c r="BC1904"/>
      <c r="BD1904"/>
      <c r="BE1904"/>
      <c r="BF1904"/>
      <c r="BG1904"/>
      <c r="BH1904"/>
      <c r="BI1904"/>
      <c r="BJ1904"/>
      <c r="BK1904"/>
      <c r="BL1904"/>
      <c r="BM1904"/>
      <c r="BN1904"/>
      <c r="BO1904"/>
      <c r="BP1904"/>
      <c r="BQ1904"/>
      <c r="BR1904"/>
      <c r="BS1904"/>
      <c r="BT1904"/>
      <c r="BU1904"/>
      <c r="BV1904"/>
      <c r="BW1904"/>
      <c r="BX1904"/>
      <c r="BY1904"/>
      <c r="BZ1904"/>
      <c r="CA1904"/>
      <c r="CB1904"/>
      <c r="CC1904"/>
      <c r="CD1904"/>
      <c r="CE1904"/>
      <c r="CF1904"/>
      <c r="CG1904"/>
      <c r="CH1904"/>
      <c r="CI1904"/>
      <c r="CJ1904"/>
      <c r="CK1904"/>
      <c r="CL1904"/>
      <c r="CM1904"/>
      <c r="CN1904"/>
      <c r="CO1904"/>
      <c r="CP1904"/>
      <c r="CQ1904"/>
      <c r="CR1904"/>
      <c r="CS1904"/>
    </row>
    <row r="1905" spans="2:97">
      <c r="B1905"/>
      <c r="C1905" s="1"/>
      <c r="D1905" s="1"/>
      <c r="E1905" s="1"/>
      <c r="F1905" s="1"/>
      <c r="G1905" s="1"/>
      <c r="H1905" s="1"/>
      <c r="I1905" s="1"/>
      <c r="J1905" s="1"/>
      <c r="K1905" s="1"/>
      <c r="L1905" s="1"/>
      <c r="M1905" s="1"/>
      <c r="N1905" s="1"/>
      <c r="O1905" s="1"/>
      <c r="P1905" s="1"/>
      <c r="Q1905" s="1"/>
      <c r="R1905"/>
      <c r="S1905" s="1"/>
      <c r="T1905" s="24"/>
      <c r="U1905"/>
      <c r="V1905" s="1"/>
      <c r="W1905" s="24"/>
      <c r="X1905"/>
      <c r="Y1905" s="1"/>
      <c r="Z1905" s="24"/>
      <c r="AA1905"/>
      <c r="AB1905" s="1"/>
      <c r="AC1905" s="24"/>
      <c r="AD1905"/>
      <c r="AE1905"/>
      <c r="AF1905"/>
      <c r="AG1905"/>
      <c r="AH1905"/>
      <c r="AI1905"/>
      <c r="AJ1905"/>
      <c r="AK1905"/>
      <c r="AL1905"/>
      <c r="AM1905"/>
      <c r="AN1905"/>
      <c r="AO1905"/>
      <c r="AP1905"/>
      <c r="AQ1905"/>
      <c r="AR1905"/>
      <c r="AS1905"/>
      <c r="AT1905"/>
      <c r="AU1905"/>
      <c r="AV1905"/>
      <c r="AW1905"/>
      <c r="AX1905"/>
      <c r="AY1905"/>
      <c r="AZ1905"/>
      <c r="BA1905"/>
      <c r="BB1905"/>
      <c r="BC1905"/>
      <c r="BD1905"/>
      <c r="BE1905"/>
      <c r="BF1905"/>
      <c r="BG1905"/>
      <c r="BH1905"/>
      <c r="BI1905"/>
      <c r="BJ1905"/>
      <c r="BK1905"/>
      <c r="BL1905"/>
      <c r="BM1905"/>
      <c r="BN1905"/>
      <c r="BO1905"/>
      <c r="BP1905"/>
      <c r="BQ1905"/>
      <c r="BR1905"/>
      <c r="BS1905"/>
      <c r="BT1905"/>
      <c r="BU1905"/>
      <c r="BV1905"/>
      <c r="BW1905"/>
      <c r="BX1905"/>
      <c r="BY1905"/>
      <c r="BZ1905"/>
      <c r="CA1905"/>
      <c r="CB1905"/>
      <c r="CC1905"/>
      <c r="CD1905"/>
      <c r="CE1905"/>
      <c r="CF1905"/>
      <c r="CG1905"/>
      <c r="CH1905"/>
      <c r="CI1905"/>
      <c r="CJ1905"/>
      <c r="CK1905"/>
      <c r="CL1905"/>
      <c r="CM1905"/>
      <c r="CN1905"/>
      <c r="CO1905"/>
      <c r="CP1905"/>
      <c r="CQ1905"/>
      <c r="CR1905"/>
      <c r="CS1905"/>
    </row>
    <row r="1906" spans="2:97">
      <c r="B1906"/>
      <c r="C1906" s="1"/>
      <c r="D1906" s="1"/>
      <c r="E1906" s="1"/>
      <c r="F1906" s="1"/>
      <c r="G1906" s="1"/>
      <c r="H1906" s="1"/>
      <c r="I1906" s="1"/>
      <c r="J1906" s="1"/>
      <c r="K1906" s="1"/>
      <c r="L1906" s="1"/>
      <c r="M1906" s="1"/>
      <c r="N1906" s="1"/>
      <c r="O1906" s="1"/>
      <c r="P1906" s="1"/>
      <c r="Q1906" s="1"/>
      <c r="R1906"/>
      <c r="S1906" s="1"/>
      <c r="T1906" s="24"/>
      <c r="U1906"/>
      <c r="V1906" s="1"/>
      <c r="W1906" s="24"/>
      <c r="X1906"/>
      <c r="Y1906" s="1"/>
      <c r="Z1906" s="24"/>
      <c r="AA1906"/>
      <c r="AB1906" s="1"/>
      <c r="AC1906" s="24"/>
      <c r="AD1906"/>
      <c r="AE1906"/>
      <c r="AF1906"/>
      <c r="AG1906"/>
      <c r="AH1906"/>
      <c r="AI1906"/>
      <c r="AJ1906"/>
      <c r="AK1906"/>
      <c r="AL1906"/>
      <c r="AM1906"/>
      <c r="AN1906"/>
      <c r="AO1906"/>
      <c r="AP1906"/>
      <c r="AQ1906"/>
      <c r="AR1906"/>
      <c r="AS1906"/>
      <c r="AT1906"/>
      <c r="AU1906"/>
      <c r="AV1906"/>
      <c r="AW1906"/>
      <c r="AX1906"/>
      <c r="AY1906"/>
      <c r="AZ1906"/>
      <c r="BA1906"/>
      <c r="BB1906"/>
      <c r="BC1906"/>
      <c r="BD1906"/>
      <c r="BE1906"/>
      <c r="BF1906"/>
      <c r="BG1906"/>
      <c r="BH1906"/>
      <c r="BI1906"/>
      <c r="BJ1906"/>
      <c r="BK1906"/>
      <c r="BL1906"/>
      <c r="BM1906"/>
      <c r="BN1906"/>
      <c r="BO1906"/>
      <c r="BP1906"/>
      <c r="BQ1906"/>
      <c r="BR1906"/>
      <c r="BS1906"/>
      <c r="BT1906"/>
      <c r="BU1906"/>
      <c r="BV1906"/>
      <c r="BW1906"/>
      <c r="BX1906"/>
      <c r="BY1906"/>
      <c r="BZ1906"/>
      <c r="CA1906"/>
      <c r="CB1906"/>
      <c r="CC1906"/>
      <c r="CD1906"/>
      <c r="CE1906"/>
      <c r="CF1906"/>
      <c r="CG1906"/>
      <c r="CH1906"/>
      <c r="CI1906"/>
      <c r="CJ1906"/>
      <c r="CK1906"/>
      <c r="CL1906"/>
      <c r="CM1906"/>
      <c r="CN1906"/>
      <c r="CO1906"/>
      <c r="CP1906"/>
      <c r="CQ1906"/>
      <c r="CR1906"/>
      <c r="CS1906"/>
    </row>
    <row r="1907" spans="2:97">
      <c r="B1907"/>
      <c r="C1907" s="1"/>
      <c r="D1907" s="1"/>
      <c r="E1907" s="1"/>
      <c r="F1907" s="1"/>
      <c r="G1907" s="1"/>
      <c r="H1907" s="1"/>
      <c r="I1907" s="1"/>
      <c r="J1907" s="1"/>
      <c r="K1907" s="1"/>
      <c r="L1907" s="1"/>
      <c r="M1907" s="1"/>
      <c r="N1907" s="1"/>
      <c r="O1907" s="1"/>
      <c r="P1907" s="1"/>
      <c r="Q1907" s="1"/>
      <c r="R1907"/>
      <c r="S1907" s="1"/>
      <c r="T1907" s="24"/>
      <c r="U1907"/>
      <c r="V1907" s="1"/>
      <c r="W1907" s="24"/>
      <c r="X1907"/>
      <c r="Y1907" s="1"/>
      <c r="Z1907" s="24"/>
      <c r="AA1907"/>
      <c r="AB1907" s="1"/>
      <c r="AC1907" s="24"/>
      <c r="AD1907"/>
      <c r="AE1907"/>
      <c r="AF1907"/>
      <c r="AG1907"/>
      <c r="AH1907"/>
      <c r="AI1907"/>
      <c r="AJ1907"/>
      <c r="AK1907"/>
      <c r="AL1907"/>
      <c r="AM1907"/>
      <c r="AN1907"/>
      <c r="AO1907"/>
      <c r="AP1907"/>
      <c r="AQ1907"/>
      <c r="AR1907"/>
      <c r="AS1907"/>
      <c r="AT1907"/>
      <c r="AU1907"/>
      <c r="AV1907"/>
      <c r="AW1907"/>
      <c r="AX1907"/>
      <c r="AY1907"/>
      <c r="AZ1907"/>
      <c r="BA1907"/>
      <c r="BB1907"/>
      <c r="BC1907"/>
      <c r="BD1907"/>
      <c r="BE1907"/>
      <c r="BF1907"/>
      <c r="BG1907"/>
      <c r="BH1907"/>
      <c r="BI1907"/>
      <c r="BJ1907"/>
      <c r="BK1907"/>
      <c r="BL1907"/>
      <c r="BM1907"/>
      <c r="BN1907"/>
      <c r="BO1907"/>
      <c r="BP1907"/>
      <c r="BQ1907"/>
      <c r="BR1907"/>
      <c r="BS1907"/>
      <c r="BT1907"/>
      <c r="BU1907"/>
      <c r="BV1907"/>
      <c r="BW1907"/>
      <c r="BX1907"/>
      <c r="BY1907"/>
      <c r="BZ1907"/>
      <c r="CA1907"/>
      <c r="CB1907"/>
      <c r="CC1907"/>
      <c r="CD1907"/>
      <c r="CE1907"/>
      <c r="CF1907"/>
      <c r="CG1907"/>
      <c r="CH1907"/>
      <c r="CI1907"/>
      <c r="CJ1907"/>
      <c r="CK1907"/>
      <c r="CL1907"/>
      <c r="CM1907"/>
      <c r="CN1907"/>
      <c r="CO1907"/>
      <c r="CP1907"/>
      <c r="CQ1907"/>
      <c r="CR1907"/>
      <c r="CS1907"/>
    </row>
    <row r="1908" spans="2:97">
      <c r="B1908"/>
      <c r="C1908" s="1"/>
      <c r="D1908" s="1"/>
      <c r="E1908" s="1"/>
      <c r="F1908" s="1"/>
      <c r="G1908" s="1"/>
      <c r="H1908" s="1"/>
      <c r="I1908" s="1"/>
      <c r="J1908" s="1"/>
      <c r="K1908" s="1"/>
      <c r="L1908" s="1"/>
      <c r="M1908" s="1"/>
      <c r="N1908" s="1"/>
      <c r="O1908" s="1"/>
      <c r="P1908" s="1"/>
      <c r="Q1908" s="1"/>
      <c r="R1908"/>
      <c r="S1908" s="1"/>
      <c r="T1908" s="24"/>
      <c r="U1908"/>
      <c r="V1908" s="1"/>
      <c r="W1908" s="24"/>
      <c r="X1908"/>
      <c r="Y1908" s="1"/>
      <c r="Z1908" s="24"/>
      <c r="AA1908"/>
      <c r="AB1908" s="1"/>
      <c r="AC1908" s="24"/>
      <c r="AD1908"/>
      <c r="AE1908"/>
      <c r="AF1908"/>
      <c r="AG1908"/>
      <c r="AH1908"/>
      <c r="AI1908"/>
      <c r="AJ1908"/>
      <c r="AK1908"/>
      <c r="AL1908"/>
      <c r="AM1908"/>
      <c r="AN1908"/>
      <c r="AO1908"/>
      <c r="AP1908"/>
      <c r="AQ1908"/>
      <c r="AR1908"/>
      <c r="AS1908"/>
      <c r="AT1908"/>
      <c r="AU1908"/>
      <c r="AV1908"/>
      <c r="AW1908"/>
      <c r="AX1908"/>
      <c r="AY1908"/>
      <c r="AZ1908"/>
      <c r="BA1908"/>
      <c r="BB1908"/>
      <c r="BC1908"/>
      <c r="BD1908"/>
      <c r="BE1908"/>
      <c r="BF1908"/>
      <c r="BG1908"/>
      <c r="BH1908"/>
      <c r="BI1908"/>
      <c r="BJ1908"/>
      <c r="BK1908"/>
      <c r="BL1908"/>
      <c r="BM1908"/>
      <c r="BN1908"/>
      <c r="BO1908"/>
      <c r="BP1908"/>
      <c r="BQ1908"/>
      <c r="BR1908"/>
      <c r="BS1908"/>
      <c r="BT1908"/>
      <c r="BU1908"/>
      <c r="BV1908"/>
      <c r="BW1908"/>
      <c r="BX1908"/>
      <c r="BY1908"/>
      <c r="BZ1908"/>
      <c r="CA1908"/>
      <c r="CB1908"/>
      <c r="CC1908"/>
      <c r="CD1908"/>
      <c r="CE1908"/>
      <c r="CF1908"/>
      <c r="CG1908"/>
      <c r="CH1908"/>
      <c r="CI1908"/>
      <c r="CJ1908"/>
      <c r="CK1908"/>
      <c r="CL1908"/>
      <c r="CM1908"/>
      <c r="CN1908"/>
      <c r="CO1908"/>
      <c r="CP1908"/>
      <c r="CQ1908"/>
      <c r="CR1908"/>
      <c r="CS1908"/>
    </row>
    <row r="1909" spans="2:97">
      <c r="B1909"/>
      <c r="C1909" s="1"/>
      <c r="D1909" s="1"/>
      <c r="E1909" s="1"/>
      <c r="F1909" s="1"/>
      <c r="G1909" s="1"/>
      <c r="H1909" s="1"/>
      <c r="I1909" s="1"/>
      <c r="J1909" s="1"/>
      <c r="K1909" s="1"/>
      <c r="L1909" s="1"/>
      <c r="M1909" s="1"/>
      <c r="N1909" s="1"/>
      <c r="O1909" s="1"/>
      <c r="P1909" s="1"/>
      <c r="Q1909" s="1"/>
      <c r="R1909"/>
      <c r="S1909" s="1"/>
      <c r="T1909" s="24"/>
      <c r="U1909"/>
      <c r="V1909" s="1"/>
      <c r="W1909" s="24"/>
      <c r="X1909"/>
      <c r="Y1909" s="1"/>
      <c r="Z1909" s="24"/>
      <c r="AA1909"/>
      <c r="AB1909" s="1"/>
      <c r="AC1909" s="24"/>
      <c r="AD1909"/>
      <c r="AE1909"/>
      <c r="AF1909"/>
      <c r="AG1909"/>
      <c r="AH1909"/>
      <c r="AI1909"/>
      <c r="AJ1909"/>
      <c r="AK1909"/>
      <c r="AL1909"/>
      <c r="AM1909"/>
      <c r="AN1909"/>
      <c r="AO1909"/>
      <c r="AP1909"/>
      <c r="AQ1909"/>
      <c r="AR1909"/>
      <c r="AS1909"/>
      <c r="AT1909"/>
      <c r="AU1909"/>
      <c r="AV1909"/>
      <c r="AW1909"/>
      <c r="AX1909"/>
      <c r="AY1909"/>
      <c r="AZ1909"/>
      <c r="BA1909"/>
      <c r="BB1909"/>
      <c r="BC1909"/>
      <c r="BD1909"/>
      <c r="BE1909"/>
      <c r="BF1909"/>
      <c r="BG1909"/>
      <c r="BH1909"/>
      <c r="BI1909"/>
      <c r="BJ1909"/>
      <c r="BK1909"/>
      <c r="BL1909"/>
      <c r="BM1909"/>
      <c r="BN1909"/>
      <c r="BO1909"/>
      <c r="BP1909"/>
      <c r="BQ1909"/>
      <c r="BR1909"/>
      <c r="BS1909"/>
      <c r="BT1909"/>
      <c r="BU1909"/>
      <c r="BV1909"/>
      <c r="BW1909"/>
      <c r="BX1909"/>
      <c r="BY1909"/>
      <c r="BZ1909"/>
      <c r="CA1909"/>
      <c r="CB1909"/>
      <c r="CC1909"/>
      <c r="CD1909"/>
      <c r="CE1909"/>
      <c r="CF1909"/>
      <c r="CG1909"/>
      <c r="CH1909"/>
      <c r="CI1909"/>
      <c r="CJ1909"/>
      <c r="CK1909"/>
      <c r="CL1909"/>
      <c r="CM1909"/>
      <c r="CN1909"/>
      <c r="CO1909"/>
      <c r="CP1909"/>
      <c r="CQ1909"/>
      <c r="CR1909"/>
      <c r="CS1909"/>
    </row>
    <row r="1910" spans="2:97">
      <c r="B1910"/>
      <c r="C1910" s="1"/>
      <c r="D1910" s="1"/>
      <c r="E1910" s="1"/>
      <c r="F1910" s="1"/>
      <c r="G1910" s="1"/>
      <c r="H1910" s="1"/>
      <c r="I1910" s="1"/>
      <c r="J1910" s="1"/>
      <c r="K1910" s="1"/>
      <c r="L1910" s="1"/>
      <c r="M1910" s="1"/>
      <c r="N1910" s="1"/>
      <c r="O1910" s="1"/>
      <c r="P1910" s="1"/>
      <c r="Q1910" s="1"/>
      <c r="R1910"/>
      <c r="S1910" s="1"/>
      <c r="T1910" s="24"/>
      <c r="U1910"/>
      <c r="V1910" s="1"/>
      <c r="W1910" s="24"/>
      <c r="X1910"/>
      <c r="Y1910" s="1"/>
      <c r="Z1910" s="24"/>
      <c r="AA1910"/>
      <c r="AB1910" s="1"/>
      <c r="AC1910" s="24"/>
      <c r="AD1910"/>
      <c r="AE1910"/>
      <c r="AF1910"/>
      <c r="AG1910"/>
      <c r="AH1910"/>
      <c r="AI1910"/>
      <c r="AJ1910"/>
      <c r="AK1910"/>
      <c r="AL1910"/>
      <c r="AM1910"/>
      <c r="AN1910"/>
      <c r="AO1910"/>
      <c r="AP1910"/>
      <c r="AQ1910"/>
      <c r="AR1910"/>
      <c r="AS1910"/>
      <c r="AT1910"/>
      <c r="AU1910"/>
      <c r="AV1910"/>
      <c r="AW1910"/>
      <c r="AX1910"/>
      <c r="AY1910"/>
      <c r="AZ1910"/>
      <c r="BA1910"/>
      <c r="BB1910"/>
      <c r="BC1910"/>
      <c r="BD1910"/>
      <c r="BE1910"/>
      <c r="BF1910"/>
      <c r="BG1910"/>
      <c r="BH1910"/>
      <c r="BI1910"/>
      <c r="BJ1910"/>
      <c r="BK1910"/>
      <c r="BL1910"/>
      <c r="BM1910"/>
      <c r="BN1910"/>
      <c r="BO1910"/>
      <c r="BP1910"/>
      <c r="BQ1910"/>
      <c r="BR1910"/>
      <c r="BS1910"/>
      <c r="BT1910"/>
      <c r="BU1910"/>
      <c r="BV1910"/>
      <c r="BW1910"/>
      <c r="BX1910"/>
      <c r="BY1910"/>
      <c r="BZ1910"/>
      <c r="CA1910"/>
      <c r="CB1910"/>
      <c r="CC1910"/>
      <c r="CD1910"/>
      <c r="CE1910"/>
      <c r="CF1910"/>
      <c r="CG1910"/>
      <c r="CH1910"/>
      <c r="CI1910"/>
      <c r="CJ1910"/>
      <c r="CK1910"/>
      <c r="CL1910"/>
      <c r="CM1910"/>
      <c r="CN1910"/>
      <c r="CO1910"/>
      <c r="CP1910"/>
      <c r="CQ1910"/>
      <c r="CR1910"/>
      <c r="CS1910"/>
    </row>
    <row r="1911" spans="2:97">
      <c r="B1911"/>
      <c r="C1911" s="1"/>
      <c r="D1911" s="1"/>
      <c r="E1911" s="1"/>
      <c r="F1911" s="1"/>
      <c r="G1911" s="1"/>
      <c r="H1911" s="1"/>
      <c r="I1911" s="1"/>
      <c r="J1911" s="1"/>
      <c r="K1911" s="1"/>
      <c r="L1911" s="1"/>
      <c r="M1911" s="1"/>
      <c r="N1911" s="1"/>
      <c r="O1911" s="1"/>
      <c r="P1911" s="1"/>
      <c r="Q1911" s="1"/>
      <c r="R1911"/>
      <c r="S1911" s="1"/>
      <c r="T1911" s="24"/>
      <c r="U1911"/>
      <c r="V1911" s="1"/>
      <c r="W1911" s="24"/>
      <c r="X1911"/>
      <c r="Y1911" s="1"/>
      <c r="Z1911" s="24"/>
      <c r="AA1911"/>
      <c r="AB1911" s="1"/>
      <c r="AC1911" s="24"/>
      <c r="AD1911"/>
      <c r="AE1911"/>
      <c r="AF1911"/>
      <c r="AG1911"/>
      <c r="AH1911"/>
      <c r="AI1911"/>
      <c r="AJ1911"/>
      <c r="AK1911"/>
      <c r="AL1911"/>
      <c r="AM1911"/>
      <c r="AN1911"/>
      <c r="AO1911"/>
      <c r="AP1911"/>
      <c r="AQ1911"/>
      <c r="AR1911"/>
      <c r="AS1911"/>
      <c r="AT1911"/>
      <c r="AU1911"/>
      <c r="AV1911"/>
      <c r="AW1911"/>
      <c r="AX1911"/>
      <c r="AY1911"/>
      <c r="AZ1911"/>
      <c r="BA1911"/>
      <c r="BB1911"/>
      <c r="BC1911"/>
      <c r="BD1911"/>
      <c r="BE1911"/>
      <c r="BF1911"/>
      <c r="BG1911"/>
      <c r="BH1911"/>
      <c r="BI1911"/>
      <c r="BJ1911"/>
      <c r="BK1911"/>
      <c r="BL1911"/>
      <c r="BM1911"/>
      <c r="BN1911"/>
      <c r="BO1911"/>
      <c r="BP1911"/>
      <c r="BQ1911"/>
      <c r="BR1911"/>
      <c r="BS1911"/>
      <c r="BT1911"/>
      <c r="BU1911"/>
      <c r="BV1911"/>
      <c r="BW1911"/>
      <c r="BX1911"/>
      <c r="BY1911"/>
      <c r="BZ1911"/>
      <c r="CA1911"/>
      <c r="CB1911"/>
      <c r="CC1911"/>
      <c r="CD1911"/>
      <c r="CE1911"/>
      <c r="CF1911"/>
      <c r="CG1911"/>
      <c r="CH1911"/>
      <c r="CI1911"/>
      <c r="CJ1911"/>
      <c r="CK1911"/>
      <c r="CL1911"/>
      <c r="CM1911"/>
      <c r="CN1911"/>
      <c r="CO1911"/>
      <c r="CP1911"/>
      <c r="CQ1911"/>
      <c r="CR1911"/>
      <c r="CS1911"/>
    </row>
    <row r="1912" spans="2:97">
      <c r="B1912"/>
      <c r="C1912" s="1"/>
      <c r="D1912" s="1"/>
      <c r="E1912" s="1"/>
      <c r="F1912" s="1"/>
      <c r="G1912" s="1"/>
      <c r="H1912" s="1"/>
      <c r="I1912" s="1"/>
      <c r="J1912" s="1"/>
      <c r="K1912" s="1"/>
      <c r="L1912" s="1"/>
      <c r="M1912" s="1"/>
      <c r="N1912" s="1"/>
      <c r="O1912" s="1"/>
      <c r="P1912" s="1"/>
      <c r="Q1912" s="1"/>
      <c r="R1912"/>
      <c r="S1912" s="1"/>
      <c r="T1912" s="24"/>
      <c r="U1912"/>
      <c r="V1912" s="1"/>
      <c r="W1912" s="24"/>
      <c r="X1912"/>
      <c r="Y1912" s="1"/>
      <c r="Z1912" s="24"/>
      <c r="AA1912"/>
      <c r="AB1912" s="1"/>
      <c r="AC1912" s="24"/>
      <c r="AD1912"/>
      <c r="AE1912"/>
      <c r="AF1912"/>
      <c r="AG1912"/>
      <c r="AH1912"/>
      <c r="AI1912"/>
      <c r="AJ1912"/>
      <c r="AK1912"/>
      <c r="AL1912"/>
      <c r="AM1912"/>
      <c r="AN1912"/>
      <c r="AO1912"/>
      <c r="AP1912"/>
      <c r="AQ1912"/>
      <c r="AR1912"/>
      <c r="AS1912"/>
      <c r="AT1912"/>
      <c r="AU1912"/>
      <c r="AV1912"/>
      <c r="AW1912"/>
      <c r="AX1912"/>
      <c r="AY1912"/>
      <c r="AZ1912"/>
      <c r="BA1912"/>
      <c r="BB1912"/>
      <c r="BC1912"/>
      <c r="BD1912"/>
      <c r="BE1912"/>
      <c r="BF1912"/>
      <c r="BG1912"/>
      <c r="BH1912"/>
      <c r="BI1912"/>
      <c r="BJ1912"/>
      <c r="BK1912"/>
      <c r="BL1912"/>
      <c r="BM1912"/>
      <c r="BN1912"/>
      <c r="BO1912"/>
      <c r="BP1912"/>
      <c r="BQ1912"/>
      <c r="BR1912"/>
      <c r="BS1912"/>
      <c r="BT1912"/>
      <c r="BU1912"/>
      <c r="BV1912"/>
      <c r="BW1912"/>
      <c r="BX1912"/>
      <c r="BY1912"/>
      <c r="BZ1912"/>
      <c r="CA1912"/>
      <c r="CB1912"/>
      <c r="CC1912"/>
      <c r="CD1912"/>
      <c r="CE1912"/>
      <c r="CF1912"/>
      <c r="CG1912"/>
      <c r="CH1912"/>
      <c r="CI1912"/>
      <c r="CJ1912"/>
      <c r="CK1912"/>
      <c r="CL1912"/>
      <c r="CM1912"/>
      <c r="CN1912"/>
      <c r="CO1912"/>
      <c r="CP1912"/>
      <c r="CQ1912"/>
      <c r="CR1912"/>
      <c r="CS1912"/>
    </row>
    <row r="1913" spans="2:97">
      <c r="B1913"/>
      <c r="C1913" s="1"/>
      <c r="D1913" s="1"/>
      <c r="E1913" s="1"/>
      <c r="F1913" s="1"/>
      <c r="G1913" s="1"/>
      <c r="H1913" s="1"/>
      <c r="I1913" s="1"/>
      <c r="J1913" s="1"/>
      <c r="K1913" s="1"/>
      <c r="L1913" s="1"/>
      <c r="M1913" s="1"/>
      <c r="N1913" s="1"/>
      <c r="O1913" s="1"/>
      <c r="P1913" s="1"/>
      <c r="Q1913" s="1"/>
      <c r="R1913"/>
      <c r="S1913" s="1"/>
      <c r="T1913" s="24"/>
      <c r="U1913"/>
      <c r="V1913" s="1"/>
      <c r="W1913" s="24"/>
      <c r="X1913"/>
      <c r="Y1913" s="1"/>
      <c r="Z1913" s="24"/>
      <c r="AA1913"/>
      <c r="AB1913" s="1"/>
      <c r="AC1913" s="24"/>
      <c r="AD1913"/>
      <c r="AE1913"/>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c r="BM1913"/>
      <c r="BN1913"/>
      <c r="BO1913"/>
      <c r="BP1913"/>
      <c r="BQ1913"/>
      <c r="BR1913"/>
      <c r="BS1913"/>
      <c r="BT1913"/>
      <c r="BU1913"/>
      <c r="BV1913"/>
      <c r="BW1913"/>
      <c r="BX1913"/>
      <c r="BY1913"/>
      <c r="BZ1913"/>
      <c r="CA1913"/>
      <c r="CB1913"/>
      <c r="CC1913"/>
      <c r="CD1913"/>
      <c r="CE1913"/>
      <c r="CF1913"/>
      <c r="CG1913"/>
      <c r="CH1913"/>
      <c r="CI1913"/>
      <c r="CJ1913"/>
      <c r="CK1913"/>
      <c r="CL1913"/>
      <c r="CM1913"/>
      <c r="CN1913"/>
      <c r="CO1913"/>
      <c r="CP1913"/>
      <c r="CQ1913"/>
      <c r="CR1913"/>
      <c r="CS1913"/>
    </row>
    <row r="1914" spans="2:97">
      <c r="B1914"/>
      <c r="C1914" s="1"/>
      <c r="D1914" s="1"/>
      <c r="E1914" s="1"/>
      <c r="F1914" s="1"/>
      <c r="G1914" s="1"/>
      <c r="H1914" s="1"/>
      <c r="I1914" s="1"/>
      <c r="J1914" s="1"/>
      <c r="K1914" s="1"/>
      <c r="L1914" s="1"/>
      <c r="M1914" s="1"/>
      <c r="N1914" s="1"/>
      <c r="O1914" s="1"/>
      <c r="P1914" s="1"/>
      <c r="Q1914" s="1"/>
      <c r="R1914"/>
      <c r="S1914" s="1"/>
      <c r="T1914" s="24"/>
      <c r="U1914"/>
      <c r="V1914" s="1"/>
      <c r="W1914" s="24"/>
      <c r="X1914"/>
      <c r="Y1914" s="1"/>
      <c r="Z1914" s="24"/>
      <c r="AA1914"/>
      <c r="AB1914" s="1"/>
      <c r="AC1914" s="24"/>
      <c r="AD1914"/>
      <c r="AE1914"/>
      <c r="AF1914"/>
      <c r="AG1914"/>
      <c r="AH1914"/>
      <c r="AI1914"/>
      <c r="AJ1914"/>
      <c r="AK1914"/>
      <c r="AL1914"/>
      <c r="AM1914"/>
      <c r="AN1914"/>
      <c r="AO1914"/>
      <c r="AP1914"/>
      <c r="AQ1914"/>
      <c r="AR1914"/>
      <c r="AS1914"/>
      <c r="AT1914"/>
      <c r="AU1914"/>
      <c r="AV1914"/>
      <c r="AW1914"/>
      <c r="AX1914"/>
      <c r="AY1914"/>
      <c r="AZ1914"/>
      <c r="BA1914"/>
      <c r="BB1914"/>
      <c r="BC1914"/>
      <c r="BD1914"/>
      <c r="BE1914"/>
      <c r="BF1914"/>
      <c r="BG1914"/>
      <c r="BH1914"/>
      <c r="BI1914"/>
      <c r="BJ1914"/>
      <c r="BK1914"/>
      <c r="BL1914"/>
      <c r="BM1914"/>
      <c r="BN1914"/>
      <c r="BO1914"/>
      <c r="BP1914"/>
      <c r="BQ1914"/>
      <c r="BR1914"/>
      <c r="BS1914"/>
      <c r="BT1914"/>
      <c r="BU1914"/>
      <c r="BV1914"/>
      <c r="BW1914"/>
      <c r="BX1914"/>
      <c r="BY1914"/>
      <c r="BZ1914"/>
      <c r="CA1914"/>
      <c r="CB1914"/>
      <c r="CC1914"/>
      <c r="CD1914"/>
      <c r="CE1914"/>
      <c r="CF1914"/>
      <c r="CG1914"/>
      <c r="CH1914"/>
      <c r="CI1914"/>
      <c r="CJ1914"/>
      <c r="CK1914"/>
      <c r="CL1914"/>
      <c r="CM1914"/>
      <c r="CN1914"/>
      <c r="CO1914"/>
      <c r="CP1914"/>
      <c r="CQ1914"/>
      <c r="CR1914"/>
      <c r="CS1914"/>
    </row>
    <row r="1915" spans="2:97">
      <c r="B1915"/>
      <c r="C1915" s="1"/>
      <c r="D1915" s="1"/>
      <c r="E1915" s="1"/>
      <c r="F1915" s="1"/>
      <c r="G1915" s="1"/>
      <c r="H1915" s="1"/>
      <c r="I1915" s="1"/>
      <c r="J1915" s="1"/>
      <c r="K1915" s="1"/>
      <c r="L1915" s="1"/>
      <c r="M1915" s="1"/>
      <c r="N1915" s="1"/>
      <c r="O1915" s="1"/>
      <c r="P1915" s="1"/>
      <c r="Q1915" s="1"/>
      <c r="R1915"/>
      <c r="S1915" s="1"/>
      <c r="T1915" s="24"/>
      <c r="U1915"/>
      <c r="V1915" s="1"/>
      <c r="W1915" s="24"/>
      <c r="X1915"/>
      <c r="Y1915" s="1"/>
      <c r="Z1915" s="24"/>
      <c r="AA1915"/>
      <c r="AB1915" s="1"/>
      <c r="AC1915" s="24"/>
      <c r="AD1915"/>
      <c r="AE1915"/>
      <c r="AF1915"/>
      <c r="AG1915"/>
      <c r="AH1915"/>
      <c r="AI1915"/>
      <c r="AJ1915"/>
      <c r="AK1915"/>
      <c r="AL1915"/>
      <c r="AM1915"/>
      <c r="AN1915"/>
      <c r="AO1915"/>
      <c r="AP1915"/>
      <c r="AQ1915"/>
      <c r="AR1915"/>
      <c r="AS1915"/>
      <c r="AT1915"/>
      <c r="AU1915"/>
      <c r="AV1915"/>
      <c r="AW1915"/>
      <c r="AX1915"/>
      <c r="AY1915"/>
      <c r="AZ1915"/>
      <c r="BA1915"/>
      <c r="BB1915"/>
      <c r="BC1915"/>
      <c r="BD1915"/>
      <c r="BE1915"/>
      <c r="BF1915"/>
      <c r="BG1915"/>
      <c r="BH1915"/>
      <c r="BI1915"/>
      <c r="BJ1915"/>
      <c r="BK1915"/>
      <c r="BL1915"/>
      <c r="BM1915"/>
      <c r="BN1915"/>
      <c r="BO1915"/>
      <c r="BP1915"/>
      <c r="BQ1915"/>
      <c r="BR1915"/>
      <c r="BS1915"/>
      <c r="BT1915"/>
      <c r="BU1915"/>
      <c r="BV1915"/>
      <c r="BW1915"/>
      <c r="BX1915"/>
      <c r="BY1915"/>
      <c r="BZ1915"/>
      <c r="CA1915"/>
      <c r="CB1915"/>
      <c r="CC1915"/>
      <c r="CD1915"/>
      <c r="CE1915"/>
      <c r="CF1915"/>
      <c r="CG1915"/>
      <c r="CH1915"/>
      <c r="CI1915"/>
      <c r="CJ1915"/>
      <c r="CK1915"/>
      <c r="CL1915"/>
      <c r="CM1915"/>
      <c r="CN1915"/>
      <c r="CO1915"/>
      <c r="CP1915"/>
      <c r="CQ1915"/>
      <c r="CR1915"/>
      <c r="CS1915"/>
    </row>
    <row r="1916" spans="2:97">
      <c r="B1916"/>
      <c r="C1916" s="1"/>
      <c r="D1916" s="1"/>
      <c r="E1916" s="1"/>
      <c r="F1916" s="1"/>
      <c r="G1916" s="1"/>
      <c r="H1916" s="1"/>
      <c r="I1916" s="1"/>
      <c r="J1916" s="1"/>
      <c r="K1916" s="1"/>
      <c r="L1916" s="1"/>
      <c r="M1916" s="1"/>
      <c r="N1916" s="1"/>
      <c r="O1916" s="1"/>
      <c r="P1916" s="1"/>
      <c r="Q1916" s="1"/>
      <c r="R1916"/>
      <c r="S1916" s="1"/>
      <c r="T1916" s="24"/>
      <c r="U1916"/>
      <c r="V1916" s="1"/>
      <c r="W1916" s="24"/>
      <c r="X1916"/>
      <c r="Y1916" s="1"/>
      <c r="Z1916" s="24"/>
      <c r="AA1916"/>
      <c r="AB1916" s="1"/>
      <c r="AC1916" s="24"/>
      <c r="AD1916"/>
      <c r="AE1916"/>
      <c r="AF1916"/>
      <c r="AG1916"/>
      <c r="AH1916"/>
      <c r="AI1916"/>
      <c r="AJ1916"/>
      <c r="AK1916"/>
      <c r="AL1916"/>
      <c r="AM1916"/>
      <c r="AN1916"/>
      <c r="AO1916"/>
      <c r="AP1916"/>
      <c r="AQ1916"/>
      <c r="AR1916"/>
      <c r="AS1916"/>
      <c r="AT1916"/>
      <c r="AU1916"/>
      <c r="AV1916"/>
      <c r="AW1916"/>
      <c r="AX1916"/>
      <c r="AY1916"/>
      <c r="AZ1916"/>
      <c r="BA1916"/>
      <c r="BB1916"/>
      <c r="BC1916"/>
      <c r="BD1916"/>
      <c r="BE1916"/>
      <c r="BF1916"/>
      <c r="BG1916"/>
      <c r="BH1916"/>
      <c r="BI1916"/>
      <c r="BJ1916"/>
      <c r="BK1916"/>
      <c r="BL1916"/>
      <c r="BM1916"/>
      <c r="BN1916"/>
      <c r="BO1916"/>
      <c r="BP1916"/>
      <c r="BQ1916"/>
      <c r="BR1916"/>
      <c r="BS1916"/>
      <c r="BT1916"/>
      <c r="BU1916"/>
      <c r="BV1916"/>
      <c r="BW1916"/>
      <c r="BX1916"/>
      <c r="BY1916"/>
      <c r="BZ1916"/>
      <c r="CA1916"/>
      <c r="CB1916"/>
      <c r="CC1916"/>
      <c r="CD1916"/>
      <c r="CE1916"/>
      <c r="CF1916"/>
      <c r="CG1916"/>
      <c r="CH1916"/>
      <c r="CI1916"/>
      <c r="CJ1916"/>
      <c r="CK1916"/>
      <c r="CL1916"/>
      <c r="CM1916"/>
      <c r="CN1916"/>
      <c r="CO1916"/>
      <c r="CP1916"/>
      <c r="CQ1916"/>
      <c r="CR1916"/>
      <c r="CS1916"/>
    </row>
    <row r="1917" spans="2:97">
      <c r="B1917"/>
      <c r="C1917" s="1"/>
      <c r="D1917" s="1"/>
      <c r="E1917" s="1"/>
      <c r="F1917" s="1"/>
      <c r="G1917" s="1"/>
      <c r="H1917" s="1"/>
      <c r="I1917" s="1"/>
      <c r="J1917" s="1"/>
      <c r="K1917" s="1"/>
      <c r="L1917" s="1"/>
      <c r="M1917" s="1"/>
      <c r="N1917" s="1"/>
      <c r="O1917" s="1"/>
      <c r="P1917" s="1"/>
      <c r="Q1917" s="1"/>
      <c r="R1917"/>
      <c r="S1917" s="1"/>
      <c r="T1917" s="24"/>
      <c r="U1917"/>
      <c r="V1917" s="1"/>
      <c r="W1917" s="24"/>
      <c r="X1917"/>
      <c r="Y1917" s="1"/>
      <c r="Z1917" s="24"/>
      <c r="AA1917"/>
      <c r="AB1917" s="1"/>
      <c r="AC1917" s="24"/>
      <c r="AD1917"/>
      <c r="AE1917"/>
      <c r="AF1917"/>
      <c r="AG1917"/>
      <c r="AH1917"/>
      <c r="AI1917"/>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c r="BM1917"/>
      <c r="BN1917"/>
      <c r="BO1917"/>
      <c r="BP1917"/>
      <c r="BQ1917"/>
      <c r="BR1917"/>
      <c r="BS1917"/>
      <c r="BT1917"/>
      <c r="BU1917"/>
      <c r="BV1917"/>
      <c r="BW1917"/>
      <c r="BX1917"/>
      <c r="BY1917"/>
      <c r="BZ1917"/>
      <c r="CA1917"/>
      <c r="CB1917"/>
      <c r="CC1917"/>
      <c r="CD1917"/>
      <c r="CE1917"/>
      <c r="CF1917"/>
      <c r="CG1917"/>
      <c r="CH1917"/>
      <c r="CI1917"/>
      <c r="CJ1917"/>
      <c r="CK1917"/>
      <c r="CL1917"/>
      <c r="CM1917"/>
      <c r="CN1917"/>
      <c r="CO1917"/>
      <c r="CP1917"/>
      <c r="CQ1917"/>
      <c r="CR1917"/>
      <c r="CS1917"/>
    </row>
    <row r="1918" spans="2:97">
      <c r="B1918"/>
      <c r="C1918" s="1"/>
      <c r="D1918" s="1"/>
      <c r="E1918" s="1"/>
      <c r="F1918" s="1"/>
      <c r="G1918" s="1"/>
      <c r="H1918" s="1"/>
      <c r="I1918" s="1"/>
      <c r="J1918" s="1"/>
      <c r="K1918" s="1"/>
      <c r="L1918" s="1"/>
      <c r="M1918" s="1"/>
      <c r="N1918" s="1"/>
      <c r="O1918" s="1"/>
      <c r="P1918" s="1"/>
      <c r="Q1918" s="1"/>
      <c r="R1918"/>
      <c r="S1918" s="1"/>
      <c r="T1918" s="24"/>
      <c r="U1918"/>
      <c r="V1918" s="1"/>
      <c r="W1918" s="24"/>
      <c r="X1918"/>
      <c r="Y1918" s="1"/>
      <c r="Z1918" s="24"/>
      <c r="AA1918"/>
      <c r="AB1918" s="1"/>
      <c r="AC1918" s="24"/>
      <c r="AD1918"/>
      <c r="AE1918"/>
      <c r="AF1918"/>
      <c r="AG1918"/>
      <c r="AH1918"/>
      <c r="AI1918"/>
      <c r="AJ1918"/>
      <c r="AK1918"/>
      <c r="AL1918"/>
      <c r="AM1918"/>
      <c r="AN1918"/>
      <c r="AO1918"/>
      <c r="AP1918"/>
      <c r="AQ1918"/>
      <c r="AR1918"/>
      <c r="AS1918"/>
      <c r="AT1918"/>
      <c r="AU1918"/>
      <c r="AV1918"/>
      <c r="AW1918"/>
      <c r="AX1918"/>
      <c r="AY1918"/>
      <c r="AZ1918"/>
      <c r="BA1918"/>
      <c r="BB1918"/>
      <c r="BC1918"/>
      <c r="BD1918"/>
      <c r="BE1918"/>
      <c r="BF1918"/>
      <c r="BG1918"/>
      <c r="BH1918"/>
      <c r="BI1918"/>
      <c r="BJ1918"/>
      <c r="BK1918"/>
      <c r="BL1918"/>
      <c r="BM1918"/>
      <c r="BN1918"/>
      <c r="BO1918"/>
      <c r="BP1918"/>
      <c r="BQ1918"/>
      <c r="BR1918"/>
      <c r="BS1918"/>
      <c r="BT1918"/>
      <c r="BU1918"/>
      <c r="BV1918"/>
      <c r="BW1918"/>
      <c r="BX1918"/>
      <c r="BY1918"/>
      <c r="BZ1918"/>
      <c r="CA1918"/>
      <c r="CB1918"/>
      <c r="CC1918"/>
      <c r="CD1918"/>
      <c r="CE1918"/>
      <c r="CF1918"/>
      <c r="CG1918"/>
      <c r="CH1918"/>
      <c r="CI1918"/>
      <c r="CJ1918"/>
      <c r="CK1918"/>
      <c r="CL1918"/>
      <c r="CM1918"/>
      <c r="CN1918"/>
      <c r="CO1918"/>
      <c r="CP1918"/>
      <c r="CQ1918"/>
      <c r="CR1918"/>
      <c r="CS1918"/>
    </row>
    <row r="1919" spans="2:97">
      <c r="B1919"/>
      <c r="C1919" s="1"/>
      <c r="D1919" s="1"/>
      <c r="E1919" s="1"/>
      <c r="F1919" s="1"/>
      <c r="G1919" s="1"/>
      <c r="H1919" s="1"/>
      <c r="I1919" s="1"/>
      <c r="J1919" s="1"/>
      <c r="K1919" s="1"/>
      <c r="L1919" s="1"/>
      <c r="M1919" s="1"/>
      <c r="N1919" s="1"/>
      <c r="O1919" s="1"/>
      <c r="P1919" s="1"/>
      <c r="Q1919" s="1"/>
      <c r="R1919"/>
      <c r="S1919" s="1"/>
      <c r="T1919" s="24"/>
      <c r="U1919"/>
      <c r="V1919" s="1"/>
      <c r="W1919" s="24"/>
      <c r="X1919"/>
      <c r="Y1919" s="1"/>
      <c r="Z1919" s="24"/>
      <c r="AA1919"/>
      <c r="AB1919" s="1"/>
      <c r="AC1919" s="24"/>
      <c r="AD1919"/>
      <c r="AE1919"/>
      <c r="AF1919"/>
      <c r="AG1919"/>
      <c r="AH1919"/>
      <c r="AI1919"/>
      <c r="AJ1919"/>
      <c r="AK1919"/>
      <c r="AL1919"/>
      <c r="AM1919"/>
      <c r="AN1919"/>
      <c r="AO1919"/>
      <c r="AP1919"/>
      <c r="AQ1919"/>
      <c r="AR1919"/>
      <c r="AS1919"/>
      <c r="AT1919"/>
      <c r="AU1919"/>
      <c r="AV1919"/>
      <c r="AW1919"/>
      <c r="AX1919"/>
      <c r="AY1919"/>
      <c r="AZ1919"/>
      <c r="BA1919"/>
      <c r="BB1919"/>
      <c r="BC1919"/>
      <c r="BD1919"/>
      <c r="BE1919"/>
      <c r="BF1919"/>
      <c r="BG1919"/>
      <c r="BH1919"/>
      <c r="BI1919"/>
      <c r="BJ1919"/>
      <c r="BK1919"/>
      <c r="BL1919"/>
      <c r="BM1919"/>
      <c r="BN1919"/>
      <c r="BO1919"/>
      <c r="BP1919"/>
      <c r="BQ1919"/>
      <c r="BR1919"/>
      <c r="BS1919"/>
      <c r="BT1919"/>
      <c r="BU1919"/>
      <c r="BV1919"/>
      <c r="BW1919"/>
      <c r="BX1919"/>
      <c r="BY1919"/>
      <c r="BZ1919"/>
      <c r="CA1919"/>
      <c r="CB1919"/>
      <c r="CC1919"/>
      <c r="CD1919"/>
      <c r="CE1919"/>
      <c r="CF1919"/>
      <c r="CG1919"/>
      <c r="CH1919"/>
      <c r="CI1919"/>
      <c r="CJ1919"/>
      <c r="CK1919"/>
      <c r="CL1919"/>
      <c r="CM1919"/>
      <c r="CN1919"/>
      <c r="CO1919"/>
      <c r="CP1919"/>
      <c r="CQ1919"/>
      <c r="CR1919"/>
      <c r="CS1919"/>
    </row>
    <row r="1920" spans="2:97">
      <c r="B1920"/>
      <c r="C1920" s="1"/>
      <c r="D1920" s="1"/>
      <c r="E1920" s="1"/>
      <c r="F1920" s="1"/>
      <c r="G1920" s="1"/>
      <c r="H1920" s="1"/>
      <c r="I1920" s="1"/>
      <c r="J1920" s="1"/>
      <c r="K1920" s="1"/>
      <c r="L1920" s="1"/>
      <c r="M1920" s="1"/>
      <c r="N1920" s="1"/>
      <c r="O1920" s="1"/>
      <c r="P1920" s="1"/>
      <c r="Q1920" s="1"/>
      <c r="R1920"/>
      <c r="S1920" s="1"/>
      <c r="T1920" s="24"/>
      <c r="U1920"/>
      <c r="V1920" s="1"/>
      <c r="W1920" s="24"/>
      <c r="X1920"/>
      <c r="Y1920" s="1"/>
      <c r="Z1920" s="24"/>
      <c r="AA1920"/>
      <c r="AB1920" s="1"/>
      <c r="AC1920" s="24"/>
      <c r="AD1920"/>
      <c r="AE1920"/>
      <c r="AF1920"/>
      <c r="AG1920"/>
      <c r="AH1920"/>
      <c r="AI1920"/>
      <c r="AJ1920"/>
      <c r="AK1920"/>
      <c r="AL1920"/>
      <c r="AM1920"/>
      <c r="AN1920"/>
      <c r="AO1920"/>
      <c r="AP1920"/>
      <c r="AQ1920"/>
      <c r="AR1920"/>
      <c r="AS1920"/>
      <c r="AT1920"/>
      <c r="AU1920"/>
      <c r="AV1920"/>
      <c r="AW1920"/>
      <c r="AX1920"/>
      <c r="AY1920"/>
      <c r="AZ1920"/>
      <c r="BA1920"/>
      <c r="BB1920"/>
      <c r="BC1920"/>
      <c r="BD1920"/>
      <c r="BE1920"/>
      <c r="BF1920"/>
      <c r="BG1920"/>
      <c r="BH1920"/>
      <c r="BI1920"/>
      <c r="BJ1920"/>
      <c r="BK1920"/>
      <c r="BL1920"/>
      <c r="BM1920"/>
      <c r="BN1920"/>
      <c r="BO1920"/>
      <c r="BP1920"/>
      <c r="BQ1920"/>
      <c r="BR1920"/>
      <c r="BS1920"/>
      <c r="BT1920"/>
      <c r="BU1920"/>
      <c r="BV1920"/>
      <c r="BW1920"/>
      <c r="BX1920"/>
      <c r="BY1920"/>
      <c r="BZ1920"/>
      <c r="CA1920"/>
      <c r="CB1920"/>
      <c r="CC1920"/>
      <c r="CD1920"/>
      <c r="CE1920"/>
      <c r="CF1920"/>
      <c r="CG1920"/>
      <c r="CH1920"/>
      <c r="CI1920"/>
      <c r="CJ1920"/>
      <c r="CK1920"/>
      <c r="CL1920"/>
      <c r="CM1920"/>
      <c r="CN1920"/>
      <c r="CO1920"/>
      <c r="CP1920"/>
      <c r="CQ1920"/>
      <c r="CR1920"/>
      <c r="CS1920"/>
    </row>
    <row r="1921" spans="2:97">
      <c r="B1921"/>
      <c r="C1921" s="1"/>
      <c r="D1921" s="1"/>
      <c r="E1921" s="1"/>
      <c r="F1921" s="1"/>
      <c r="G1921" s="1"/>
      <c r="H1921" s="1"/>
      <c r="I1921" s="1"/>
      <c r="J1921" s="1"/>
      <c r="K1921" s="1"/>
      <c r="L1921" s="1"/>
      <c r="M1921" s="1"/>
      <c r="N1921" s="1"/>
      <c r="O1921" s="1"/>
      <c r="P1921" s="1"/>
      <c r="Q1921" s="1"/>
      <c r="R1921"/>
      <c r="S1921" s="1"/>
      <c r="T1921" s="24"/>
      <c r="U1921"/>
      <c r="V1921" s="1"/>
      <c r="W1921" s="24"/>
      <c r="X1921"/>
      <c r="Y1921" s="1"/>
      <c r="Z1921" s="24"/>
      <c r="AA1921"/>
      <c r="AB1921" s="1"/>
      <c r="AC1921" s="24"/>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c r="CE1921"/>
      <c r="CF1921"/>
      <c r="CG1921"/>
      <c r="CH1921"/>
      <c r="CI1921"/>
      <c r="CJ1921"/>
      <c r="CK1921"/>
      <c r="CL1921"/>
      <c r="CM1921"/>
      <c r="CN1921"/>
      <c r="CO1921"/>
      <c r="CP1921"/>
      <c r="CQ1921"/>
      <c r="CR1921"/>
      <c r="CS1921"/>
    </row>
    <row r="1922" spans="2:97">
      <c r="B1922"/>
      <c r="C1922" s="1"/>
      <c r="D1922" s="1"/>
      <c r="E1922" s="1"/>
      <c r="F1922" s="1"/>
      <c r="G1922" s="1"/>
      <c r="H1922" s="1"/>
      <c r="I1922" s="1"/>
      <c r="J1922" s="1"/>
      <c r="K1922" s="1"/>
      <c r="L1922" s="1"/>
      <c r="M1922" s="1"/>
      <c r="N1922" s="1"/>
      <c r="O1922" s="1"/>
      <c r="P1922" s="1"/>
      <c r="Q1922" s="1"/>
      <c r="R1922"/>
      <c r="S1922" s="1"/>
      <c r="T1922" s="24"/>
      <c r="U1922"/>
      <c r="V1922" s="1"/>
      <c r="W1922" s="24"/>
      <c r="X1922"/>
      <c r="Y1922" s="1"/>
      <c r="Z1922" s="24"/>
      <c r="AA1922"/>
      <c r="AB1922" s="1"/>
      <c r="AC1922" s="24"/>
      <c r="AD1922"/>
      <c r="AE1922"/>
      <c r="AF1922"/>
      <c r="AG1922"/>
      <c r="AH1922"/>
      <c r="AI1922"/>
      <c r="AJ1922"/>
      <c r="AK1922"/>
      <c r="AL1922"/>
      <c r="AM1922"/>
      <c r="AN1922"/>
      <c r="AO1922"/>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c r="BR1922"/>
      <c r="BS1922"/>
      <c r="BT1922"/>
      <c r="BU1922"/>
      <c r="BV1922"/>
      <c r="BW1922"/>
      <c r="BX1922"/>
      <c r="BY1922"/>
      <c r="BZ1922"/>
      <c r="CA1922"/>
      <c r="CB1922"/>
      <c r="CC1922"/>
      <c r="CD1922"/>
      <c r="CE1922"/>
      <c r="CF1922"/>
      <c r="CG1922"/>
      <c r="CH1922"/>
      <c r="CI1922"/>
      <c r="CJ1922"/>
      <c r="CK1922"/>
      <c r="CL1922"/>
      <c r="CM1922"/>
      <c r="CN1922"/>
      <c r="CO1922"/>
      <c r="CP1922"/>
      <c r="CQ1922"/>
      <c r="CR1922"/>
      <c r="CS1922"/>
    </row>
    <row r="1923" spans="2:97">
      <c r="B1923"/>
      <c r="C1923" s="1"/>
      <c r="D1923" s="1"/>
      <c r="E1923" s="1"/>
      <c r="F1923" s="1"/>
      <c r="G1923" s="1"/>
      <c r="H1923" s="1"/>
      <c r="I1923" s="1"/>
      <c r="J1923" s="1"/>
      <c r="K1923" s="1"/>
      <c r="L1923" s="1"/>
      <c r="M1923" s="1"/>
      <c r="N1923" s="1"/>
      <c r="O1923" s="1"/>
      <c r="P1923" s="1"/>
      <c r="Q1923" s="1"/>
      <c r="R1923"/>
      <c r="S1923" s="1"/>
      <c r="T1923" s="24"/>
      <c r="U1923"/>
      <c r="V1923" s="1"/>
      <c r="W1923" s="24"/>
      <c r="X1923"/>
      <c r="Y1923" s="1"/>
      <c r="Z1923" s="24"/>
      <c r="AA1923"/>
      <c r="AB1923" s="1"/>
      <c r="AC1923" s="24"/>
      <c r="AD1923"/>
      <c r="AE1923"/>
      <c r="AF1923"/>
      <c r="AG1923"/>
      <c r="AH1923"/>
      <c r="AI1923"/>
      <c r="AJ1923"/>
      <c r="AK1923"/>
      <c r="AL1923"/>
      <c r="AM1923"/>
      <c r="AN1923"/>
      <c r="AO1923"/>
      <c r="AP1923"/>
      <c r="AQ1923"/>
      <c r="AR1923"/>
      <c r="AS1923"/>
      <c r="AT1923"/>
      <c r="AU1923"/>
      <c r="AV1923"/>
      <c r="AW1923"/>
      <c r="AX1923"/>
      <c r="AY1923"/>
      <c r="AZ1923"/>
      <c r="BA1923"/>
      <c r="BB1923"/>
      <c r="BC1923"/>
      <c r="BD1923"/>
      <c r="BE1923"/>
      <c r="BF1923"/>
      <c r="BG1923"/>
      <c r="BH1923"/>
      <c r="BI1923"/>
      <c r="BJ1923"/>
      <c r="BK1923"/>
      <c r="BL1923"/>
      <c r="BM1923"/>
      <c r="BN1923"/>
      <c r="BO1923"/>
      <c r="BP1923"/>
      <c r="BQ1923"/>
      <c r="BR1923"/>
      <c r="BS1923"/>
      <c r="BT1923"/>
      <c r="BU1923"/>
      <c r="BV1923"/>
      <c r="BW1923"/>
      <c r="BX1923"/>
      <c r="BY1923"/>
      <c r="BZ1923"/>
      <c r="CA1923"/>
      <c r="CB1923"/>
      <c r="CC1923"/>
      <c r="CD1923"/>
      <c r="CE1923"/>
      <c r="CF1923"/>
      <c r="CG1923"/>
      <c r="CH1923"/>
      <c r="CI1923"/>
      <c r="CJ1923"/>
      <c r="CK1923"/>
      <c r="CL1923"/>
      <c r="CM1923"/>
      <c r="CN1923"/>
      <c r="CO1923"/>
      <c r="CP1923"/>
      <c r="CQ1923"/>
      <c r="CR1923"/>
      <c r="CS1923"/>
    </row>
    <row r="1924" spans="2:97">
      <c r="B1924"/>
      <c r="C1924" s="1"/>
      <c r="D1924" s="1"/>
      <c r="E1924" s="1"/>
      <c r="F1924" s="1"/>
      <c r="G1924" s="1"/>
      <c r="H1924" s="1"/>
      <c r="I1924" s="1"/>
      <c r="J1924" s="1"/>
      <c r="K1924" s="1"/>
      <c r="L1924" s="1"/>
      <c r="M1924" s="1"/>
      <c r="N1924" s="1"/>
      <c r="O1924" s="1"/>
      <c r="P1924" s="1"/>
      <c r="Q1924" s="1"/>
      <c r="R1924"/>
      <c r="S1924" s="1"/>
      <c r="T1924" s="24"/>
      <c r="U1924"/>
      <c r="V1924" s="1"/>
      <c r="W1924" s="24"/>
      <c r="X1924"/>
      <c r="Y1924" s="1"/>
      <c r="Z1924" s="24"/>
      <c r="AA1924"/>
      <c r="AB1924" s="1"/>
      <c r="AC1924" s="24"/>
      <c r="AD1924"/>
      <c r="AE1924"/>
      <c r="AF1924"/>
      <c r="AG1924"/>
      <c r="AH1924"/>
      <c r="AI1924"/>
      <c r="AJ1924"/>
      <c r="AK1924"/>
      <c r="AL1924"/>
      <c r="AM1924"/>
      <c r="AN1924"/>
      <c r="AO1924"/>
      <c r="AP1924"/>
      <c r="AQ1924"/>
      <c r="AR1924"/>
      <c r="AS1924"/>
      <c r="AT1924"/>
      <c r="AU1924"/>
      <c r="AV1924"/>
      <c r="AW1924"/>
      <c r="AX1924"/>
      <c r="AY1924"/>
      <c r="AZ1924"/>
      <c r="BA1924"/>
      <c r="BB1924"/>
      <c r="BC1924"/>
      <c r="BD1924"/>
      <c r="BE1924"/>
      <c r="BF1924"/>
      <c r="BG1924"/>
      <c r="BH1924"/>
      <c r="BI1924"/>
      <c r="BJ1924"/>
      <c r="BK1924"/>
      <c r="BL1924"/>
      <c r="BM1924"/>
      <c r="BN1924"/>
      <c r="BO1924"/>
      <c r="BP1924"/>
      <c r="BQ1924"/>
      <c r="BR1924"/>
      <c r="BS1924"/>
      <c r="BT1924"/>
      <c r="BU1924"/>
      <c r="BV1924"/>
      <c r="BW1924"/>
      <c r="BX1924"/>
      <c r="BY1924"/>
      <c r="BZ1924"/>
      <c r="CA1924"/>
      <c r="CB1924"/>
      <c r="CC1924"/>
      <c r="CD1924"/>
      <c r="CE1924"/>
      <c r="CF1924"/>
      <c r="CG1924"/>
      <c r="CH1924"/>
      <c r="CI1924"/>
      <c r="CJ1924"/>
      <c r="CK1924"/>
      <c r="CL1924"/>
      <c r="CM1924"/>
      <c r="CN1924"/>
      <c r="CO1924"/>
      <c r="CP1924"/>
      <c r="CQ1924"/>
      <c r="CR1924"/>
      <c r="CS1924"/>
    </row>
    <row r="1925" spans="2:97">
      <c r="B1925"/>
      <c r="C1925" s="1"/>
      <c r="D1925" s="1"/>
      <c r="E1925" s="1"/>
      <c r="F1925" s="1"/>
      <c r="G1925" s="1"/>
      <c r="H1925" s="1"/>
      <c r="I1925" s="1"/>
      <c r="J1925" s="1"/>
      <c r="K1925" s="1"/>
      <c r="L1925" s="1"/>
      <c r="M1925" s="1"/>
      <c r="N1925" s="1"/>
      <c r="O1925" s="1"/>
      <c r="P1925" s="1"/>
      <c r="Q1925" s="1"/>
      <c r="R1925"/>
      <c r="S1925" s="1"/>
      <c r="T1925" s="24"/>
      <c r="U1925"/>
      <c r="V1925" s="1"/>
      <c r="W1925" s="24"/>
      <c r="X1925"/>
      <c r="Y1925" s="1"/>
      <c r="Z1925" s="24"/>
      <c r="AA1925"/>
      <c r="AB1925" s="1"/>
      <c r="AC1925" s="24"/>
      <c r="AD1925"/>
      <c r="AE1925"/>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c r="BM1925"/>
      <c r="BN1925"/>
      <c r="BO1925"/>
      <c r="BP1925"/>
      <c r="BQ1925"/>
      <c r="BR1925"/>
      <c r="BS1925"/>
      <c r="BT1925"/>
      <c r="BU1925"/>
      <c r="BV1925"/>
      <c r="BW1925"/>
      <c r="BX1925"/>
      <c r="BY1925"/>
      <c r="BZ1925"/>
      <c r="CA1925"/>
      <c r="CB1925"/>
      <c r="CC1925"/>
      <c r="CD1925"/>
      <c r="CE1925"/>
      <c r="CF1925"/>
      <c r="CG1925"/>
      <c r="CH1925"/>
      <c r="CI1925"/>
      <c r="CJ1925"/>
      <c r="CK1925"/>
      <c r="CL1925"/>
      <c r="CM1925"/>
      <c r="CN1925"/>
      <c r="CO1925"/>
      <c r="CP1925"/>
      <c r="CQ1925"/>
      <c r="CR1925"/>
      <c r="CS1925"/>
    </row>
    <row r="1926" spans="2:97">
      <c r="B1926"/>
      <c r="C1926" s="1"/>
      <c r="D1926" s="1"/>
      <c r="E1926" s="1"/>
      <c r="F1926" s="1"/>
      <c r="G1926" s="1"/>
      <c r="H1926" s="1"/>
      <c r="I1926" s="1"/>
      <c r="J1926" s="1"/>
      <c r="K1926" s="1"/>
      <c r="L1926" s="1"/>
      <c r="M1926" s="1"/>
      <c r="N1926" s="1"/>
      <c r="O1926" s="1"/>
      <c r="P1926" s="1"/>
      <c r="Q1926" s="1"/>
      <c r="R1926"/>
      <c r="S1926" s="1"/>
      <c r="T1926" s="24"/>
      <c r="U1926"/>
      <c r="V1926" s="1"/>
      <c r="W1926" s="24"/>
      <c r="X1926"/>
      <c r="Y1926" s="1"/>
      <c r="Z1926" s="24"/>
      <c r="AA1926"/>
      <c r="AB1926" s="1"/>
      <c r="AC1926" s="24"/>
      <c r="AD1926"/>
      <c r="AE1926"/>
      <c r="AF1926"/>
      <c r="AG1926"/>
      <c r="AH1926"/>
      <c r="AI1926"/>
      <c r="AJ1926"/>
      <c r="AK1926"/>
      <c r="AL1926"/>
      <c r="AM1926"/>
      <c r="AN1926"/>
      <c r="AO1926"/>
      <c r="AP1926"/>
      <c r="AQ1926"/>
      <c r="AR1926"/>
      <c r="AS1926"/>
      <c r="AT1926"/>
      <c r="AU1926"/>
      <c r="AV1926"/>
      <c r="AW1926"/>
      <c r="AX1926"/>
      <c r="AY1926"/>
      <c r="AZ1926"/>
      <c r="BA1926"/>
      <c r="BB1926"/>
      <c r="BC1926"/>
      <c r="BD1926"/>
      <c r="BE1926"/>
      <c r="BF1926"/>
      <c r="BG1926"/>
      <c r="BH1926"/>
      <c r="BI1926"/>
      <c r="BJ1926"/>
      <c r="BK1926"/>
      <c r="BL1926"/>
      <c r="BM1926"/>
      <c r="BN1926"/>
      <c r="BO1926"/>
      <c r="BP1926"/>
      <c r="BQ1926"/>
      <c r="BR1926"/>
      <c r="BS1926"/>
      <c r="BT1926"/>
      <c r="BU1926"/>
      <c r="BV1926"/>
      <c r="BW1926"/>
      <c r="BX1926"/>
      <c r="BY1926"/>
      <c r="BZ1926"/>
      <c r="CA1926"/>
      <c r="CB1926"/>
      <c r="CC1926"/>
      <c r="CD1926"/>
      <c r="CE1926"/>
      <c r="CF1926"/>
      <c r="CG1926"/>
      <c r="CH1926"/>
      <c r="CI1926"/>
      <c r="CJ1926"/>
      <c r="CK1926"/>
      <c r="CL1926"/>
      <c r="CM1926"/>
      <c r="CN1926"/>
      <c r="CO1926"/>
      <c r="CP1926"/>
      <c r="CQ1926"/>
      <c r="CR1926"/>
      <c r="CS1926"/>
    </row>
    <row r="1927" spans="2:97">
      <c r="B1927"/>
      <c r="C1927" s="1"/>
      <c r="D1927" s="1"/>
      <c r="E1927" s="1"/>
      <c r="F1927" s="1"/>
      <c r="G1927" s="1"/>
      <c r="H1927" s="1"/>
      <c r="I1927" s="1"/>
      <c r="J1927" s="1"/>
      <c r="K1927" s="1"/>
      <c r="L1927" s="1"/>
      <c r="M1927" s="1"/>
      <c r="N1927" s="1"/>
      <c r="O1927" s="1"/>
      <c r="P1927" s="1"/>
      <c r="Q1927" s="1"/>
      <c r="R1927"/>
      <c r="S1927" s="1"/>
      <c r="T1927" s="24"/>
      <c r="U1927"/>
      <c r="V1927" s="1"/>
      <c r="W1927" s="24"/>
      <c r="X1927"/>
      <c r="Y1927" s="1"/>
      <c r="Z1927" s="24"/>
      <c r="AA1927"/>
      <c r="AB1927" s="1"/>
      <c r="AC1927" s="24"/>
      <c r="AD1927"/>
      <c r="AE1927"/>
      <c r="AF1927"/>
      <c r="AG1927"/>
      <c r="AH1927"/>
      <c r="AI1927"/>
      <c r="AJ1927"/>
      <c r="AK1927"/>
      <c r="AL1927"/>
      <c r="AM1927"/>
      <c r="AN1927"/>
      <c r="AO1927"/>
      <c r="AP1927"/>
      <c r="AQ1927"/>
      <c r="AR1927"/>
      <c r="AS1927"/>
      <c r="AT1927"/>
      <c r="AU1927"/>
      <c r="AV1927"/>
      <c r="AW1927"/>
      <c r="AX1927"/>
      <c r="AY1927"/>
      <c r="AZ1927"/>
      <c r="BA1927"/>
      <c r="BB1927"/>
      <c r="BC1927"/>
      <c r="BD1927"/>
      <c r="BE1927"/>
      <c r="BF1927"/>
      <c r="BG1927"/>
      <c r="BH1927"/>
      <c r="BI1927"/>
      <c r="BJ1927"/>
      <c r="BK1927"/>
      <c r="BL1927"/>
      <c r="BM1927"/>
      <c r="BN1927"/>
      <c r="BO1927"/>
      <c r="BP1927"/>
      <c r="BQ1927"/>
      <c r="BR1927"/>
      <c r="BS1927"/>
      <c r="BT1927"/>
      <c r="BU1927"/>
      <c r="BV1927"/>
      <c r="BW1927"/>
      <c r="BX1927"/>
      <c r="BY1927"/>
      <c r="BZ1927"/>
      <c r="CA1927"/>
      <c r="CB1927"/>
      <c r="CC1927"/>
      <c r="CD1927"/>
      <c r="CE1927"/>
      <c r="CF1927"/>
      <c r="CG1927"/>
      <c r="CH1927"/>
      <c r="CI1927"/>
      <c r="CJ1927"/>
      <c r="CK1927"/>
      <c r="CL1927"/>
      <c r="CM1927"/>
      <c r="CN1927"/>
      <c r="CO1927"/>
      <c r="CP1927"/>
      <c r="CQ1927"/>
      <c r="CR1927"/>
      <c r="CS1927"/>
    </row>
    <row r="1928" spans="2:97">
      <c r="B1928"/>
      <c r="C1928" s="1"/>
      <c r="D1928" s="1"/>
      <c r="E1928" s="1"/>
      <c r="F1928" s="1"/>
      <c r="G1928" s="1"/>
      <c r="H1928" s="1"/>
      <c r="I1928" s="1"/>
      <c r="J1928" s="1"/>
      <c r="K1928" s="1"/>
      <c r="L1928" s="1"/>
      <c r="M1928" s="1"/>
      <c r="N1928" s="1"/>
      <c r="O1928" s="1"/>
      <c r="P1928" s="1"/>
      <c r="Q1928" s="1"/>
      <c r="R1928"/>
      <c r="S1928" s="1"/>
      <c r="T1928" s="24"/>
      <c r="U1928"/>
      <c r="V1928" s="1"/>
      <c r="W1928" s="24"/>
      <c r="X1928"/>
      <c r="Y1928" s="1"/>
      <c r="Z1928" s="24"/>
      <c r="AA1928"/>
      <c r="AB1928" s="1"/>
      <c r="AC1928" s="24"/>
      <c r="AD1928"/>
      <c r="AE1928"/>
      <c r="AF1928"/>
      <c r="AG1928"/>
      <c r="AH1928"/>
      <c r="AI1928"/>
      <c r="AJ1928"/>
      <c r="AK1928"/>
      <c r="AL1928"/>
      <c r="AM1928"/>
      <c r="AN1928"/>
      <c r="AO1928"/>
      <c r="AP1928"/>
      <c r="AQ1928"/>
      <c r="AR1928"/>
      <c r="AS1928"/>
      <c r="AT1928"/>
      <c r="AU1928"/>
      <c r="AV1928"/>
      <c r="AW1928"/>
      <c r="AX1928"/>
      <c r="AY1928"/>
      <c r="AZ1928"/>
      <c r="BA1928"/>
      <c r="BB1928"/>
      <c r="BC1928"/>
      <c r="BD1928"/>
      <c r="BE1928"/>
      <c r="BF1928"/>
      <c r="BG1928"/>
      <c r="BH1928"/>
      <c r="BI1928"/>
      <c r="BJ1928"/>
      <c r="BK1928"/>
      <c r="BL1928"/>
      <c r="BM1928"/>
      <c r="BN1928"/>
      <c r="BO1928"/>
      <c r="BP1928"/>
      <c r="BQ1928"/>
      <c r="BR1928"/>
      <c r="BS1928"/>
      <c r="BT1928"/>
      <c r="BU1928"/>
      <c r="BV1928"/>
      <c r="BW1928"/>
      <c r="BX1928"/>
      <c r="BY1928"/>
      <c r="BZ1928"/>
      <c r="CA1928"/>
      <c r="CB1928"/>
      <c r="CC1928"/>
      <c r="CD1928"/>
      <c r="CE1928"/>
      <c r="CF1928"/>
      <c r="CG1928"/>
      <c r="CH1928"/>
      <c r="CI1928"/>
      <c r="CJ1928"/>
      <c r="CK1928"/>
      <c r="CL1928"/>
      <c r="CM1928"/>
      <c r="CN1928"/>
      <c r="CO1928"/>
      <c r="CP1928"/>
      <c r="CQ1928"/>
      <c r="CR1928"/>
      <c r="CS1928"/>
    </row>
    <row r="1929" spans="2:97">
      <c r="B1929"/>
      <c r="C1929" s="1"/>
      <c r="D1929" s="1"/>
      <c r="E1929" s="1"/>
      <c r="F1929" s="1"/>
      <c r="G1929" s="1"/>
      <c r="H1929" s="1"/>
      <c r="I1929" s="1"/>
      <c r="J1929" s="1"/>
      <c r="K1929" s="1"/>
      <c r="L1929" s="1"/>
      <c r="M1929" s="1"/>
      <c r="N1929" s="1"/>
      <c r="O1929" s="1"/>
      <c r="P1929" s="1"/>
      <c r="Q1929" s="1"/>
      <c r="R1929"/>
      <c r="S1929" s="1"/>
      <c r="T1929" s="24"/>
      <c r="U1929"/>
      <c r="V1929" s="1"/>
      <c r="W1929" s="24"/>
      <c r="X1929"/>
      <c r="Y1929" s="1"/>
      <c r="Z1929" s="24"/>
      <c r="AA1929"/>
      <c r="AB1929" s="1"/>
      <c r="AC1929" s="24"/>
      <c r="AD1929"/>
      <c r="AE1929"/>
      <c r="AF1929"/>
      <c r="AG1929"/>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c r="BM1929"/>
      <c r="BN1929"/>
      <c r="BO1929"/>
      <c r="BP1929"/>
      <c r="BQ1929"/>
      <c r="BR1929"/>
      <c r="BS1929"/>
      <c r="BT1929"/>
      <c r="BU1929"/>
      <c r="BV1929"/>
      <c r="BW1929"/>
      <c r="BX1929"/>
      <c r="BY1929"/>
      <c r="BZ1929"/>
      <c r="CA1929"/>
      <c r="CB1929"/>
      <c r="CC1929"/>
      <c r="CD1929"/>
      <c r="CE1929"/>
      <c r="CF1929"/>
      <c r="CG1929"/>
      <c r="CH1929"/>
      <c r="CI1929"/>
      <c r="CJ1929"/>
      <c r="CK1929"/>
      <c r="CL1929"/>
      <c r="CM1929"/>
      <c r="CN1929"/>
      <c r="CO1929"/>
      <c r="CP1929"/>
      <c r="CQ1929"/>
      <c r="CR1929"/>
      <c r="CS1929"/>
    </row>
    <row r="1930" spans="2:97">
      <c r="B1930"/>
      <c r="C1930" s="1"/>
      <c r="D1930" s="1"/>
      <c r="E1930" s="1"/>
      <c r="F1930" s="1"/>
      <c r="G1930" s="1"/>
      <c r="H1930" s="1"/>
      <c r="I1930" s="1"/>
      <c r="J1930" s="1"/>
      <c r="K1930" s="1"/>
      <c r="L1930" s="1"/>
      <c r="M1930" s="1"/>
      <c r="N1930" s="1"/>
      <c r="O1930" s="1"/>
      <c r="P1930" s="1"/>
      <c r="Q1930" s="1"/>
      <c r="R1930"/>
      <c r="S1930" s="1"/>
      <c r="T1930" s="24"/>
      <c r="U1930"/>
      <c r="V1930" s="1"/>
      <c r="W1930" s="24"/>
      <c r="X1930"/>
      <c r="Y1930" s="1"/>
      <c r="Z1930" s="24"/>
      <c r="AA1930"/>
      <c r="AB1930" s="1"/>
      <c r="AC1930" s="24"/>
      <c r="AD1930"/>
      <c r="AE1930"/>
      <c r="AF1930"/>
      <c r="AG1930"/>
      <c r="AH1930"/>
      <c r="AI1930"/>
      <c r="AJ1930"/>
      <c r="AK1930"/>
      <c r="AL1930"/>
      <c r="AM1930"/>
      <c r="AN1930"/>
      <c r="AO1930"/>
      <c r="AP1930"/>
      <c r="AQ1930"/>
      <c r="AR1930"/>
      <c r="AS1930"/>
      <c r="AT1930"/>
      <c r="AU1930"/>
      <c r="AV1930"/>
      <c r="AW1930"/>
      <c r="AX1930"/>
      <c r="AY1930"/>
      <c r="AZ1930"/>
      <c r="BA1930"/>
      <c r="BB1930"/>
      <c r="BC1930"/>
      <c r="BD1930"/>
      <c r="BE1930"/>
      <c r="BF1930"/>
      <c r="BG1930"/>
      <c r="BH1930"/>
      <c r="BI1930"/>
      <c r="BJ1930"/>
      <c r="BK1930"/>
      <c r="BL1930"/>
      <c r="BM1930"/>
      <c r="BN1930"/>
      <c r="BO1930"/>
      <c r="BP1930"/>
      <c r="BQ1930"/>
      <c r="BR1930"/>
      <c r="BS1930"/>
      <c r="BT1930"/>
      <c r="BU1930"/>
      <c r="BV1930"/>
      <c r="BW1930"/>
      <c r="BX1930"/>
      <c r="BY1930"/>
      <c r="BZ1930"/>
      <c r="CA1930"/>
      <c r="CB1930"/>
      <c r="CC1930"/>
      <c r="CD1930"/>
      <c r="CE1930"/>
      <c r="CF1930"/>
      <c r="CG1930"/>
      <c r="CH1930"/>
      <c r="CI1930"/>
      <c r="CJ1930"/>
      <c r="CK1930"/>
      <c r="CL1930"/>
      <c r="CM1930"/>
      <c r="CN1930"/>
      <c r="CO1930"/>
      <c r="CP1930"/>
      <c r="CQ1930"/>
      <c r="CR1930"/>
      <c r="CS1930"/>
    </row>
    <row r="1931" spans="2:97">
      <c r="B1931"/>
      <c r="C1931" s="1"/>
      <c r="D1931" s="1"/>
      <c r="E1931" s="1"/>
      <c r="F1931" s="1"/>
      <c r="G1931" s="1"/>
      <c r="H1931" s="1"/>
      <c r="I1931" s="1"/>
      <c r="J1931" s="1"/>
      <c r="K1931" s="1"/>
      <c r="L1931" s="1"/>
      <c r="M1931" s="1"/>
      <c r="N1931" s="1"/>
      <c r="O1931" s="1"/>
      <c r="P1931" s="1"/>
      <c r="Q1931" s="1"/>
      <c r="R1931"/>
      <c r="S1931" s="1"/>
      <c r="T1931" s="24"/>
      <c r="U1931"/>
      <c r="V1931" s="1"/>
      <c r="W1931" s="24"/>
      <c r="X1931"/>
      <c r="Y1931" s="1"/>
      <c r="Z1931" s="24"/>
      <c r="AA1931"/>
      <c r="AB1931" s="1"/>
      <c r="AC1931" s="24"/>
      <c r="AD1931"/>
      <c r="AE1931"/>
      <c r="AF1931"/>
      <c r="AG1931"/>
      <c r="AH1931"/>
      <c r="AI1931"/>
      <c r="AJ1931"/>
      <c r="AK1931"/>
      <c r="AL1931"/>
      <c r="AM1931"/>
      <c r="AN1931"/>
      <c r="AO1931"/>
      <c r="AP1931"/>
      <c r="AQ1931"/>
      <c r="AR1931"/>
      <c r="AS1931"/>
      <c r="AT1931"/>
      <c r="AU1931"/>
      <c r="AV1931"/>
      <c r="AW1931"/>
      <c r="AX1931"/>
      <c r="AY1931"/>
      <c r="AZ1931"/>
      <c r="BA1931"/>
      <c r="BB1931"/>
      <c r="BC1931"/>
      <c r="BD1931"/>
      <c r="BE1931"/>
      <c r="BF1931"/>
      <c r="BG1931"/>
      <c r="BH1931"/>
      <c r="BI1931"/>
      <c r="BJ1931"/>
      <c r="BK1931"/>
      <c r="BL1931"/>
      <c r="BM1931"/>
      <c r="BN1931"/>
      <c r="BO1931"/>
      <c r="BP1931"/>
      <c r="BQ1931"/>
      <c r="BR1931"/>
      <c r="BS1931"/>
      <c r="BT1931"/>
      <c r="BU1931"/>
      <c r="BV1931"/>
      <c r="BW1931"/>
      <c r="BX1931"/>
      <c r="BY1931"/>
      <c r="BZ1931"/>
      <c r="CA1931"/>
      <c r="CB1931"/>
      <c r="CC1931"/>
      <c r="CD1931"/>
      <c r="CE1931"/>
      <c r="CF1931"/>
      <c r="CG1931"/>
      <c r="CH1931"/>
      <c r="CI1931"/>
      <c r="CJ1931"/>
      <c r="CK1931"/>
      <c r="CL1931"/>
      <c r="CM1931"/>
      <c r="CN1931"/>
      <c r="CO1931"/>
      <c r="CP1931"/>
      <c r="CQ1931"/>
      <c r="CR1931"/>
      <c r="CS1931"/>
    </row>
    <row r="1932" spans="2:97">
      <c r="B1932"/>
      <c r="C1932" s="1"/>
      <c r="D1932" s="1"/>
      <c r="E1932" s="1"/>
      <c r="F1932" s="1"/>
      <c r="G1932" s="1"/>
      <c r="H1932" s="1"/>
      <c r="I1932" s="1"/>
      <c r="J1932" s="1"/>
      <c r="K1932" s="1"/>
      <c r="L1932" s="1"/>
      <c r="M1932" s="1"/>
      <c r="N1932" s="1"/>
      <c r="O1932" s="1"/>
      <c r="P1932" s="1"/>
      <c r="Q1932" s="1"/>
      <c r="R1932"/>
      <c r="S1932" s="1"/>
      <c r="T1932" s="24"/>
      <c r="U1932"/>
      <c r="V1932" s="1"/>
      <c r="W1932" s="24"/>
      <c r="X1932"/>
      <c r="Y1932" s="1"/>
      <c r="Z1932" s="24"/>
      <c r="AA1932"/>
      <c r="AB1932" s="1"/>
      <c r="AC1932" s="24"/>
      <c r="AD1932"/>
      <c r="AE1932"/>
      <c r="AF1932"/>
      <c r="AG1932"/>
      <c r="AH1932"/>
      <c r="AI1932"/>
      <c r="AJ1932"/>
      <c r="AK1932"/>
      <c r="AL1932"/>
      <c r="AM1932"/>
      <c r="AN1932"/>
      <c r="AO1932"/>
      <c r="AP1932"/>
      <c r="AQ1932"/>
      <c r="AR1932"/>
      <c r="AS1932"/>
      <c r="AT1932"/>
      <c r="AU1932"/>
      <c r="AV1932"/>
      <c r="AW1932"/>
      <c r="AX1932"/>
      <c r="AY1932"/>
      <c r="AZ1932"/>
      <c r="BA1932"/>
      <c r="BB1932"/>
      <c r="BC1932"/>
      <c r="BD1932"/>
      <c r="BE1932"/>
      <c r="BF1932"/>
      <c r="BG1932"/>
      <c r="BH1932"/>
      <c r="BI1932"/>
      <c r="BJ1932"/>
      <c r="BK1932"/>
      <c r="BL1932"/>
      <c r="BM1932"/>
      <c r="BN1932"/>
      <c r="BO1932"/>
      <c r="BP1932"/>
      <c r="BQ1932"/>
      <c r="BR1932"/>
      <c r="BS1932"/>
      <c r="BT1932"/>
      <c r="BU1932"/>
      <c r="BV1932"/>
      <c r="BW1932"/>
      <c r="BX1932"/>
      <c r="BY1932"/>
      <c r="BZ1932"/>
      <c r="CA1932"/>
      <c r="CB1932"/>
      <c r="CC1932"/>
      <c r="CD1932"/>
      <c r="CE1932"/>
      <c r="CF1932"/>
      <c r="CG1932"/>
      <c r="CH1932"/>
      <c r="CI1932"/>
      <c r="CJ1932"/>
      <c r="CK1932"/>
      <c r="CL1932"/>
      <c r="CM1932"/>
      <c r="CN1932"/>
      <c r="CO1932"/>
      <c r="CP1932"/>
      <c r="CQ1932"/>
      <c r="CR1932"/>
      <c r="CS1932"/>
    </row>
    <row r="1933" spans="2:97">
      <c r="B1933"/>
      <c r="C1933" s="1"/>
      <c r="D1933" s="1"/>
      <c r="E1933" s="1"/>
      <c r="F1933" s="1"/>
      <c r="G1933" s="1"/>
      <c r="H1933" s="1"/>
      <c r="I1933" s="1"/>
      <c r="J1933" s="1"/>
      <c r="K1933" s="1"/>
      <c r="L1933" s="1"/>
      <c r="M1933" s="1"/>
      <c r="N1933" s="1"/>
      <c r="O1933" s="1"/>
      <c r="P1933" s="1"/>
      <c r="Q1933" s="1"/>
      <c r="R1933"/>
      <c r="S1933" s="1"/>
      <c r="T1933" s="24"/>
      <c r="U1933"/>
      <c r="V1933" s="1"/>
      <c r="W1933" s="24"/>
      <c r="X1933"/>
      <c r="Y1933" s="1"/>
      <c r="Z1933" s="24"/>
      <c r="AA1933"/>
      <c r="AB1933" s="1"/>
      <c r="AC1933" s="24"/>
      <c r="AD1933"/>
      <c r="AE1933"/>
      <c r="AF1933"/>
      <c r="AG1933"/>
      <c r="AH1933"/>
      <c r="AI1933"/>
      <c r="AJ1933"/>
      <c r="AK1933"/>
      <c r="AL1933"/>
      <c r="AM1933"/>
      <c r="AN1933"/>
      <c r="AO1933"/>
      <c r="AP1933"/>
      <c r="AQ1933"/>
      <c r="AR1933"/>
      <c r="AS1933"/>
      <c r="AT1933"/>
      <c r="AU1933"/>
      <c r="AV1933"/>
      <c r="AW1933"/>
      <c r="AX1933"/>
      <c r="AY1933"/>
      <c r="AZ1933"/>
      <c r="BA1933"/>
      <c r="BB1933"/>
      <c r="BC1933"/>
      <c r="BD1933"/>
      <c r="BE1933"/>
      <c r="BF1933"/>
      <c r="BG1933"/>
      <c r="BH1933"/>
      <c r="BI1933"/>
      <c r="BJ1933"/>
      <c r="BK1933"/>
      <c r="BL1933"/>
      <c r="BM1933"/>
      <c r="BN1933"/>
      <c r="BO1933"/>
      <c r="BP1933"/>
      <c r="BQ1933"/>
      <c r="BR1933"/>
      <c r="BS1933"/>
      <c r="BT1933"/>
      <c r="BU1933"/>
      <c r="BV1933"/>
      <c r="BW1933"/>
      <c r="BX1933"/>
      <c r="BY1933"/>
      <c r="BZ1933"/>
      <c r="CA1933"/>
      <c r="CB1933"/>
      <c r="CC1933"/>
      <c r="CD1933"/>
      <c r="CE1933"/>
      <c r="CF1933"/>
      <c r="CG1933"/>
      <c r="CH1933"/>
      <c r="CI1933"/>
      <c r="CJ1933"/>
      <c r="CK1933"/>
      <c r="CL1933"/>
      <c r="CM1933"/>
      <c r="CN1933"/>
      <c r="CO1933"/>
      <c r="CP1933"/>
      <c r="CQ1933"/>
      <c r="CR1933"/>
      <c r="CS1933"/>
    </row>
    <row r="1934" spans="2:97">
      <c r="B1934"/>
      <c r="C1934" s="1"/>
      <c r="D1934" s="1"/>
      <c r="E1934" s="1"/>
      <c r="F1934" s="1"/>
      <c r="G1934" s="1"/>
      <c r="H1934" s="1"/>
      <c r="I1934" s="1"/>
      <c r="J1934" s="1"/>
      <c r="K1934" s="1"/>
      <c r="L1934" s="1"/>
      <c r="M1934" s="1"/>
      <c r="N1934" s="1"/>
      <c r="O1934" s="1"/>
      <c r="P1934" s="1"/>
      <c r="Q1934" s="1"/>
      <c r="R1934"/>
      <c r="S1934" s="1"/>
      <c r="T1934" s="24"/>
      <c r="U1934"/>
      <c r="V1934" s="1"/>
      <c r="W1934" s="24"/>
      <c r="X1934"/>
      <c r="Y1934" s="1"/>
      <c r="Z1934" s="24"/>
      <c r="AA1934"/>
      <c r="AB1934" s="1"/>
      <c r="AC1934" s="24"/>
      <c r="AD1934"/>
      <c r="AE1934"/>
      <c r="AF1934"/>
      <c r="AG1934"/>
      <c r="AH1934"/>
      <c r="AI1934"/>
      <c r="AJ1934"/>
      <c r="AK1934"/>
      <c r="AL1934"/>
      <c r="AM1934"/>
      <c r="AN1934"/>
      <c r="AO1934"/>
      <c r="AP1934"/>
      <c r="AQ1934"/>
      <c r="AR1934"/>
      <c r="AS1934"/>
      <c r="AT1934"/>
      <c r="AU1934"/>
      <c r="AV1934"/>
      <c r="AW1934"/>
      <c r="AX1934"/>
      <c r="AY1934"/>
      <c r="AZ1934"/>
      <c r="BA1934"/>
      <c r="BB1934"/>
      <c r="BC1934"/>
      <c r="BD1934"/>
      <c r="BE1934"/>
      <c r="BF1934"/>
      <c r="BG1934"/>
      <c r="BH1934"/>
      <c r="BI1934"/>
      <c r="BJ1934"/>
      <c r="BK1934"/>
      <c r="BL1934"/>
      <c r="BM1934"/>
      <c r="BN1934"/>
      <c r="BO1934"/>
      <c r="BP1934"/>
      <c r="BQ1934"/>
      <c r="BR1934"/>
      <c r="BS1934"/>
      <c r="BT1934"/>
      <c r="BU1934"/>
      <c r="BV1934"/>
      <c r="BW1934"/>
      <c r="BX1934"/>
      <c r="BY1934"/>
      <c r="BZ1934"/>
      <c r="CA1934"/>
      <c r="CB1934"/>
      <c r="CC1934"/>
      <c r="CD1934"/>
      <c r="CE1934"/>
      <c r="CF1934"/>
      <c r="CG1934"/>
      <c r="CH1934"/>
      <c r="CI1934"/>
      <c r="CJ1934"/>
      <c r="CK1934"/>
      <c r="CL1934"/>
      <c r="CM1934"/>
      <c r="CN1934"/>
      <c r="CO1934"/>
      <c r="CP1934"/>
      <c r="CQ1934"/>
      <c r="CR1934"/>
      <c r="CS1934"/>
    </row>
    <row r="1935" spans="2:97">
      <c r="B1935"/>
      <c r="C1935" s="1"/>
      <c r="D1935" s="1"/>
      <c r="E1935" s="1"/>
      <c r="F1935" s="1"/>
      <c r="G1935" s="1"/>
      <c r="H1935" s="1"/>
      <c r="I1935" s="1"/>
      <c r="J1935" s="1"/>
      <c r="K1935" s="1"/>
      <c r="L1935" s="1"/>
      <c r="M1935" s="1"/>
      <c r="N1935" s="1"/>
      <c r="O1935" s="1"/>
      <c r="P1935" s="1"/>
      <c r="Q1935" s="1"/>
      <c r="R1935"/>
      <c r="S1935" s="1"/>
      <c r="T1935" s="24"/>
      <c r="U1935"/>
      <c r="V1935" s="1"/>
      <c r="W1935" s="24"/>
      <c r="X1935"/>
      <c r="Y1935" s="1"/>
      <c r="Z1935" s="24"/>
      <c r="AA1935"/>
      <c r="AB1935" s="1"/>
      <c r="AC1935" s="24"/>
      <c r="AD1935"/>
      <c r="AE1935"/>
      <c r="AF1935"/>
      <c r="AG1935"/>
      <c r="AH1935"/>
      <c r="AI1935"/>
      <c r="AJ1935"/>
      <c r="AK1935"/>
      <c r="AL1935"/>
      <c r="AM1935"/>
      <c r="AN1935"/>
      <c r="AO1935"/>
      <c r="AP1935"/>
      <c r="AQ1935"/>
      <c r="AR1935"/>
      <c r="AS1935"/>
      <c r="AT1935"/>
      <c r="AU1935"/>
      <c r="AV1935"/>
      <c r="AW1935"/>
      <c r="AX1935"/>
      <c r="AY1935"/>
      <c r="AZ1935"/>
      <c r="BA1935"/>
      <c r="BB1935"/>
      <c r="BC1935"/>
      <c r="BD1935"/>
      <c r="BE1935"/>
      <c r="BF1935"/>
      <c r="BG1935"/>
      <c r="BH1935"/>
      <c r="BI1935"/>
      <c r="BJ1935"/>
      <c r="BK1935"/>
      <c r="BL1935"/>
      <c r="BM1935"/>
      <c r="BN1935"/>
      <c r="BO1935"/>
      <c r="BP1935"/>
      <c r="BQ1935"/>
      <c r="BR1935"/>
      <c r="BS1935"/>
      <c r="BT1935"/>
      <c r="BU1935"/>
      <c r="BV1935"/>
      <c r="BW1935"/>
      <c r="BX1935"/>
      <c r="BY1935"/>
      <c r="BZ1935"/>
      <c r="CA1935"/>
      <c r="CB1935"/>
      <c r="CC1935"/>
      <c r="CD1935"/>
      <c r="CE1935"/>
      <c r="CF1935"/>
      <c r="CG1935"/>
      <c r="CH1935"/>
      <c r="CI1935"/>
      <c r="CJ1935"/>
      <c r="CK1935"/>
      <c r="CL1935"/>
      <c r="CM1935"/>
      <c r="CN1935"/>
      <c r="CO1935"/>
      <c r="CP1935"/>
      <c r="CQ1935"/>
      <c r="CR1935"/>
      <c r="CS1935"/>
    </row>
    <row r="1936" spans="2:97">
      <c r="B1936"/>
      <c r="C1936" s="1"/>
      <c r="D1936" s="1"/>
      <c r="E1936" s="1"/>
      <c r="F1936" s="1"/>
      <c r="G1936" s="1"/>
      <c r="H1936" s="1"/>
      <c r="I1936" s="1"/>
      <c r="J1936" s="1"/>
      <c r="K1936" s="1"/>
      <c r="L1936" s="1"/>
      <c r="M1936" s="1"/>
      <c r="N1936" s="1"/>
      <c r="O1936" s="1"/>
      <c r="P1936" s="1"/>
      <c r="Q1936" s="1"/>
      <c r="R1936"/>
      <c r="S1936" s="1"/>
      <c r="T1936" s="24"/>
      <c r="U1936"/>
      <c r="V1936" s="1"/>
      <c r="W1936" s="24"/>
      <c r="X1936"/>
      <c r="Y1936" s="1"/>
      <c r="Z1936" s="24"/>
      <c r="AA1936"/>
      <c r="AB1936" s="1"/>
      <c r="AC1936" s="24"/>
      <c r="AD1936"/>
      <c r="AE1936"/>
      <c r="AF1936"/>
      <c r="AG1936"/>
      <c r="AH1936"/>
      <c r="AI1936"/>
      <c r="AJ1936"/>
      <c r="AK1936"/>
      <c r="AL1936"/>
      <c r="AM1936"/>
      <c r="AN1936"/>
      <c r="AO1936"/>
      <c r="AP1936"/>
      <c r="AQ1936"/>
      <c r="AR1936"/>
      <c r="AS1936"/>
      <c r="AT1936"/>
      <c r="AU1936"/>
      <c r="AV1936"/>
      <c r="AW1936"/>
      <c r="AX1936"/>
      <c r="AY1936"/>
      <c r="AZ1936"/>
      <c r="BA1936"/>
      <c r="BB1936"/>
      <c r="BC1936"/>
      <c r="BD1936"/>
      <c r="BE1936"/>
      <c r="BF1936"/>
      <c r="BG1936"/>
      <c r="BH1936"/>
      <c r="BI1936"/>
      <c r="BJ1936"/>
      <c r="BK1936"/>
      <c r="BL1936"/>
      <c r="BM1936"/>
      <c r="BN1936"/>
      <c r="BO1936"/>
      <c r="BP1936"/>
      <c r="BQ1936"/>
      <c r="BR1936"/>
      <c r="BS1936"/>
      <c r="BT1936"/>
      <c r="BU1936"/>
      <c r="BV1936"/>
      <c r="BW1936"/>
      <c r="BX1936"/>
      <c r="BY1936"/>
      <c r="BZ1936"/>
      <c r="CA1936"/>
      <c r="CB1936"/>
      <c r="CC1936"/>
      <c r="CD1936"/>
      <c r="CE1936"/>
      <c r="CF1936"/>
      <c r="CG1936"/>
      <c r="CH1936"/>
      <c r="CI1936"/>
      <c r="CJ1936"/>
      <c r="CK1936"/>
      <c r="CL1936"/>
      <c r="CM1936"/>
      <c r="CN1936"/>
      <c r="CO1936"/>
      <c r="CP1936"/>
      <c r="CQ1936"/>
      <c r="CR1936"/>
      <c r="CS1936"/>
    </row>
    <row r="1937" spans="2:97">
      <c r="B1937"/>
      <c r="C1937" s="1"/>
      <c r="D1937" s="1"/>
      <c r="E1937" s="1"/>
      <c r="F1937" s="1"/>
      <c r="G1937" s="1"/>
      <c r="H1937" s="1"/>
      <c r="I1937" s="1"/>
      <c r="J1937" s="1"/>
      <c r="K1937" s="1"/>
      <c r="L1937" s="1"/>
      <c r="M1937" s="1"/>
      <c r="N1937" s="1"/>
      <c r="O1937" s="1"/>
      <c r="P1937" s="1"/>
      <c r="Q1937" s="1"/>
      <c r="R1937"/>
      <c r="S1937" s="1"/>
      <c r="T1937" s="24"/>
      <c r="U1937"/>
      <c r="V1937" s="1"/>
      <c r="W1937" s="24"/>
      <c r="X1937"/>
      <c r="Y1937" s="1"/>
      <c r="Z1937" s="24"/>
      <c r="AA1937"/>
      <c r="AB1937" s="1"/>
      <c r="AC1937" s="24"/>
      <c r="AD1937"/>
      <c r="AE1937"/>
      <c r="AF1937"/>
      <c r="AG1937"/>
      <c r="AH1937"/>
      <c r="AI1937"/>
      <c r="AJ1937"/>
      <c r="AK1937"/>
      <c r="AL1937"/>
      <c r="AM1937"/>
      <c r="AN1937"/>
      <c r="AO1937"/>
      <c r="AP1937"/>
      <c r="AQ1937"/>
      <c r="AR1937"/>
      <c r="AS1937"/>
      <c r="AT1937"/>
      <c r="AU1937"/>
      <c r="AV1937"/>
      <c r="AW1937"/>
      <c r="AX1937"/>
      <c r="AY1937"/>
      <c r="AZ1937"/>
      <c r="BA1937"/>
      <c r="BB1937"/>
      <c r="BC1937"/>
      <c r="BD1937"/>
      <c r="BE1937"/>
      <c r="BF1937"/>
      <c r="BG1937"/>
      <c r="BH1937"/>
      <c r="BI1937"/>
      <c r="BJ1937"/>
      <c r="BK1937"/>
      <c r="BL1937"/>
      <c r="BM1937"/>
      <c r="BN1937"/>
      <c r="BO1937"/>
      <c r="BP1937"/>
      <c r="BQ1937"/>
      <c r="BR1937"/>
      <c r="BS1937"/>
      <c r="BT1937"/>
      <c r="BU1937"/>
      <c r="BV1937"/>
      <c r="BW1937"/>
      <c r="BX1937"/>
      <c r="BY1937"/>
      <c r="BZ1937"/>
      <c r="CA1937"/>
      <c r="CB1937"/>
      <c r="CC1937"/>
      <c r="CD1937"/>
      <c r="CE1937"/>
      <c r="CF1937"/>
      <c r="CG1937"/>
      <c r="CH1937"/>
      <c r="CI1937"/>
      <c r="CJ1937"/>
      <c r="CK1937"/>
      <c r="CL1937"/>
      <c r="CM1937"/>
      <c r="CN1937"/>
      <c r="CO1937"/>
      <c r="CP1937"/>
      <c r="CQ1937"/>
      <c r="CR1937"/>
      <c r="CS1937"/>
    </row>
    <row r="1938" spans="2:97">
      <c r="B1938"/>
      <c r="C1938" s="1"/>
      <c r="D1938" s="1"/>
      <c r="E1938" s="1"/>
      <c r="F1938" s="1"/>
      <c r="G1938" s="1"/>
      <c r="H1938" s="1"/>
      <c r="I1938" s="1"/>
      <c r="J1938" s="1"/>
      <c r="K1938" s="1"/>
      <c r="L1938" s="1"/>
      <c r="M1938" s="1"/>
      <c r="N1938" s="1"/>
      <c r="O1938" s="1"/>
      <c r="P1938" s="1"/>
      <c r="Q1938" s="1"/>
      <c r="R1938"/>
      <c r="S1938" s="1"/>
      <c r="T1938" s="24"/>
      <c r="U1938"/>
      <c r="V1938" s="1"/>
      <c r="W1938" s="24"/>
      <c r="X1938"/>
      <c r="Y1938" s="1"/>
      <c r="Z1938" s="24"/>
      <c r="AA1938"/>
      <c r="AB1938" s="1"/>
      <c r="AC1938" s="24"/>
      <c r="AD1938"/>
      <c r="AE1938"/>
      <c r="AF1938"/>
      <c r="AG1938"/>
      <c r="AH1938"/>
      <c r="AI1938"/>
      <c r="AJ1938"/>
      <c r="AK1938"/>
      <c r="AL1938"/>
      <c r="AM1938"/>
      <c r="AN1938"/>
      <c r="AO1938"/>
      <c r="AP1938"/>
      <c r="AQ1938"/>
      <c r="AR1938"/>
      <c r="AS1938"/>
      <c r="AT1938"/>
      <c r="AU1938"/>
      <c r="AV1938"/>
      <c r="AW1938"/>
      <c r="AX1938"/>
      <c r="AY1938"/>
      <c r="AZ1938"/>
      <c r="BA1938"/>
      <c r="BB1938"/>
      <c r="BC1938"/>
      <c r="BD1938"/>
      <c r="BE1938"/>
      <c r="BF1938"/>
      <c r="BG1938"/>
      <c r="BH1938"/>
      <c r="BI1938"/>
      <c r="BJ1938"/>
      <c r="BK1938"/>
      <c r="BL1938"/>
      <c r="BM1938"/>
      <c r="BN1938"/>
      <c r="BO1938"/>
      <c r="BP1938"/>
      <c r="BQ1938"/>
      <c r="BR1938"/>
      <c r="BS1938"/>
      <c r="BT1938"/>
      <c r="BU1938"/>
      <c r="BV1938"/>
      <c r="BW1938"/>
      <c r="BX1938"/>
      <c r="BY1938"/>
      <c r="BZ1938"/>
      <c r="CA1938"/>
      <c r="CB1938"/>
      <c r="CC1938"/>
      <c r="CD1938"/>
      <c r="CE1938"/>
      <c r="CF1938"/>
      <c r="CG1938"/>
      <c r="CH1938"/>
      <c r="CI1938"/>
      <c r="CJ1938"/>
      <c r="CK1938"/>
      <c r="CL1938"/>
      <c r="CM1938"/>
      <c r="CN1938"/>
      <c r="CO1938"/>
      <c r="CP1938"/>
      <c r="CQ1938"/>
      <c r="CR1938"/>
      <c r="CS1938"/>
    </row>
    <row r="1939" spans="2:97">
      <c r="B1939"/>
      <c r="C1939" s="1"/>
      <c r="D1939" s="1"/>
      <c r="E1939" s="1"/>
      <c r="F1939" s="1"/>
      <c r="G1939" s="1"/>
      <c r="H1939" s="1"/>
      <c r="I1939" s="1"/>
      <c r="J1939" s="1"/>
      <c r="K1939" s="1"/>
      <c r="L1939" s="1"/>
      <c r="M1939" s="1"/>
      <c r="N1939" s="1"/>
      <c r="O1939" s="1"/>
      <c r="P1939" s="1"/>
      <c r="Q1939" s="1"/>
      <c r="R1939"/>
      <c r="S1939" s="1"/>
      <c r="T1939" s="24"/>
      <c r="U1939"/>
      <c r="V1939" s="1"/>
      <c r="W1939" s="24"/>
      <c r="X1939"/>
      <c r="Y1939" s="1"/>
      <c r="Z1939" s="24"/>
      <c r="AA1939"/>
      <c r="AB1939" s="1"/>
      <c r="AC1939" s="24"/>
      <c r="AD1939"/>
      <c r="AE1939"/>
      <c r="AF1939"/>
      <c r="AG1939"/>
      <c r="AH1939"/>
      <c r="AI1939"/>
      <c r="AJ1939"/>
      <c r="AK1939"/>
      <c r="AL1939"/>
      <c r="AM1939"/>
      <c r="AN1939"/>
      <c r="AO1939"/>
      <c r="AP1939"/>
      <c r="AQ1939"/>
      <c r="AR1939"/>
      <c r="AS1939"/>
      <c r="AT1939"/>
      <c r="AU1939"/>
      <c r="AV1939"/>
      <c r="AW1939"/>
      <c r="AX1939"/>
      <c r="AY1939"/>
      <c r="AZ1939"/>
      <c r="BA1939"/>
      <c r="BB1939"/>
      <c r="BC1939"/>
      <c r="BD1939"/>
      <c r="BE1939"/>
      <c r="BF1939"/>
      <c r="BG1939"/>
      <c r="BH1939"/>
      <c r="BI1939"/>
      <c r="BJ1939"/>
      <c r="BK1939"/>
      <c r="BL1939"/>
      <c r="BM1939"/>
      <c r="BN1939"/>
      <c r="BO1939"/>
      <c r="BP1939"/>
      <c r="BQ1939"/>
      <c r="BR1939"/>
      <c r="BS1939"/>
      <c r="BT1939"/>
      <c r="BU1939"/>
      <c r="BV1939"/>
      <c r="BW1939"/>
      <c r="BX1939"/>
      <c r="BY1939"/>
      <c r="BZ1939"/>
      <c r="CA1939"/>
      <c r="CB1939"/>
      <c r="CC1939"/>
      <c r="CD1939"/>
      <c r="CE1939"/>
      <c r="CF1939"/>
      <c r="CG1939"/>
      <c r="CH1939"/>
      <c r="CI1939"/>
      <c r="CJ1939"/>
      <c r="CK1939"/>
      <c r="CL1939"/>
      <c r="CM1939"/>
      <c r="CN1939"/>
      <c r="CO1939"/>
      <c r="CP1939"/>
      <c r="CQ1939"/>
      <c r="CR1939"/>
      <c r="CS1939"/>
    </row>
    <row r="1940" spans="2:97">
      <c r="B1940"/>
      <c r="C1940" s="1"/>
      <c r="D1940" s="1"/>
      <c r="E1940" s="1"/>
      <c r="F1940" s="1"/>
      <c r="G1940" s="1"/>
      <c r="H1940" s="1"/>
      <c r="I1940" s="1"/>
      <c r="J1940" s="1"/>
      <c r="K1940" s="1"/>
      <c r="L1940" s="1"/>
      <c r="M1940" s="1"/>
      <c r="N1940" s="1"/>
      <c r="O1940" s="1"/>
      <c r="P1940" s="1"/>
      <c r="Q1940" s="1"/>
      <c r="R1940"/>
      <c r="S1940" s="1"/>
      <c r="T1940" s="24"/>
      <c r="U1940"/>
      <c r="V1940" s="1"/>
      <c r="W1940" s="24"/>
      <c r="X1940"/>
      <c r="Y1940" s="1"/>
      <c r="Z1940" s="24"/>
      <c r="AA1940"/>
      <c r="AB1940" s="1"/>
      <c r="AC1940" s="24"/>
      <c r="AD1940"/>
      <c r="AE1940"/>
      <c r="AF1940"/>
      <c r="AG1940"/>
      <c r="AH1940"/>
      <c r="AI1940"/>
      <c r="AJ1940"/>
      <c r="AK1940"/>
      <c r="AL1940"/>
      <c r="AM1940"/>
      <c r="AN1940"/>
      <c r="AO1940"/>
      <c r="AP1940"/>
      <c r="AQ1940"/>
      <c r="AR1940"/>
      <c r="AS1940"/>
      <c r="AT1940"/>
      <c r="AU1940"/>
      <c r="AV1940"/>
      <c r="AW1940"/>
      <c r="AX1940"/>
      <c r="AY1940"/>
      <c r="AZ1940"/>
      <c r="BA1940"/>
      <c r="BB1940"/>
      <c r="BC1940"/>
      <c r="BD1940"/>
      <c r="BE1940"/>
      <c r="BF1940"/>
      <c r="BG1940"/>
      <c r="BH1940"/>
      <c r="BI1940"/>
      <c r="BJ1940"/>
      <c r="BK1940"/>
      <c r="BL1940"/>
      <c r="BM1940"/>
      <c r="BN1940"/>
      <c r="BO1940"/>
      <c r="BP1940"/>
      <c r="BQ1940"/>
      <c r="BR1940"/>
      <c r="BS1940"/>
      <c r="BT1940"/>
      <c r="BU1940"/>
      <c r="BV1940"/>
      <c r="BW1940"/>
      <c r="BX1940"/>
      <c r="BY1940"/>
      <c r="BZ1940"/>
      <c r="CA1940"/>
      <c r="CB1940"/>
      <c r="CC1940"/>
      <c r="CD1940"/>
      <c r="CE1940"/>
      <c r="CF1940"/>
      <c r="CG1940"/>
      <c r="CH1940"/>
      <c r="CI1940"/>
      <c r="CJ1940"/>
      <c r="CK1940"/>
      <c r="CL1940"/>
      <c r="CM1940"/>
      <c r="CN1940"/>
      <c r="CO1940"/>
      <c r="CP1940"/>
      <c r="CQ1940"/>
      <c r="CR1940"/>
      <c r="CS1940"/>
    </row>
    <row r="1941" spans="2:97">
      <c r="B1941"/>
      <c r="C1941" s="1"/>
      <c r="D1941" s="1"/>
      <c r="E1941" s="1"/>
      <c r="F1941" s="1"/>
      <c r="G1941" s="1"/>
      <c r="H1941" s="1"/>
      <c r="I1941" s="1"/>
      <c r="J1941" s="1"/>
      <c r="K1941" s="1"/>
      <c r="L1941" s="1"/>
      <c r="M1941" s="1"/>
      <c r="N1941" s="1"/>
      <c r="O1941" s="1"/>
      <c r="P1941" s="1"/>
      <c r="Q1941" s="1"/>
      <c r="R1941"/>
      <c r="S1941" s="1"/>
      <c r="T1941" s="24"/>
      <c r="U1941"/>
      <c r="V1941" s="1"/>
      <c r="W1941" s="24"/>
      <c r="X1941"/>
      <c r="Y1941" s="1"/>
      <c r="Z1941" s="24"/>
      <c r="AA1941"/>
      <c r="AB1941" s="1"/>
      <c r="AC1941" s="24"/>
      <c r="AD1941"/>
      <c r="AE1941"/>
      <c r="AF1941"/>
      <c r="AG1941"/>
      <c r="AH1941"/>
      <c r="AI1941"/>
      <c r="AJ1941"/>
      <c r="AK1941"/>
      <c r="AL1941"/>
      <c r="AM1941"/>
      <c r="AN1941"/>
      <c r="AO1941"/>
      <c r="AP1941"/>
      <c r="AQ1941"/>
      <c r="AR1941"/>
      <c r="AS1941"/>
      <c r="AT1941"/>
      <c r="AU1941"/>
      <c r="AV1941"/>
      <c r="AW1941"/>
      <c r="AX1941"/>
      <c r="AY1941"/>
      <c r="AZ1941"/>
      <c r="BA1941"/>
      <c r="BB1941"/>
      <c r="BC1941"/>
      <c r="BD1941"/>
      <c r="BE1941"/>
      <c r="BF1941"/>
      <c r="BG1941"/>
      <c r="BH1941"/>
      <c r="BI1941"/>
      <c r="BJ1941"/>
      <c r="BK1941"/>
      <c r="BL1941"/>
      <c r="BM1941"/>
      <c r="BN1941"/>
      <c r="BO1941"/>
      <c r="BP1941"/>
      <c r="BQ1941"/>
      <c r="BR1941"/>
      <c r="BS1941"/>
      <c r="BT1941"/>
      <c r="BU1941"/>
      <c r="BV1941"/>
      <c r="BW1941"/>
      <c r="BX1941"/>
      <c r="BY1941"/>
      <c r="BZ1941"/>
      <c r="CA1941"/>
      <c r="CB1941"/>
      <c r="CC1941"/>
      <c r="CD1941"/>
      <c r="CE1941"/>
      <c r="CF1941"/>
      <c r="CG1941"/>
      <c r="CH1941"/>
      <c r="CI1941"/>
      <c r="CJ1941"/>
      <c r="CK1941"/>
      <c r="CL1941"/>
      <c r="CM1941"/>
      <c r="CN1941"/>
      <c r="CO1941"/>
      <c r="CP1941"/>
      <c r="CQ1941"/>
      <c r="CR1941"/>
      <c r="CS1941"/>
    </row>
    <row r="1942" spans="2:97">
      <c r="B1942"/>
      <c r="C1942" s="1"/>
      <c r="D1942" s="1"/>
      <c r="E1942" s="1"/>
      <c r="F1942" s="1"/>
      <c r="G1942" s="1"/>
      <c r="H1942" s="1"/>
      <c r="I1942" s="1"/>
      <c r="J1942" s="1"/>
      <c r="K1942" s="1"/>
      <c r="L1942" s="1"/>
      <c r="M1942" s="1"/>
      <c r="N1942" s="1"/>
      <c r="O1942" s="1"/>
      <c r="P1942" s="1"/>
      <c r="Q1942" s="1"/>
      <c r="R1942"/>
      <c r="S1942" s="1"/>
      <c r="T1942" s="24"/>
      <c r="U1942"/>
      <c r="V1942" s="1"/>
      <c r="W1942" s="24"/>
      <c r="X1942"/>
      <c r="Y1942" s="1"/>
      <c r="Z1942" s="24"/>
      <c r="AA1942"/>
      <c r="AB1942" s="1"/>
      <c r="AC1942" s="24"/>
      <c r="AD1942"/>
      <c r="AE1942"/>
      <c r="AF1942"/>
      <c r="AG1942"/>
      <c r="AH1942"/>
      <c r="AI1942"/>
      <c r="AJ1942"/>
      <c r="AK1942"/>
      <c r="AL1942"/>
      <c r="AM1942"/>
      <c r="AN1942"/>
      <c r="AO1942"/>
      <c r="AP1942"/>
      <c r="AQ1942"/>
      <c r="AR1942"/>
      <c r="AS1942"/>
      <c r="AT1942"/>
      <c r="AU1942"/>
      <c r="AV1942"/>
      <c r="AW1942"/>
      <c r="AX1942"/>
      <c r="AY1942"/>
      <c r="AZ1942"/>
      <c r="BA1942"/>
      <c r="BB1942"/>
      <c r="BC1942"/>
      <c r="BD1942"/>
      <c r="BE1942"/>
      <c r="BF1942"/>
      <c r="BG1942"/>
      <c r="BH1942"/>
      <c r="BI1942"/>
      <c r="BJ1942"/>
      <c r="BK1942"/>
      <c r="BL1942"/>
      <c r="BM1942"/>
      <c r="BN1942"/>
      <c r="BO1942"/>
      <c r="BP1942"/>
      <c r="BQ1942"/>
      <c r="BR1942"/>
      <c r="BS1942"/>
      <c r="BT1942"/>
      <c r="BU1942"/>
      <c r="BV1942"/>
      <c r="BW1942"/>
      <c r="BX1942"/>
      <c r="BY1942"/>
      <c r="BZ1942"/>
      <c r="CA1942"/>
      <c r="CB1942"/>
      <c r="CC1942"/>
      <c r="CD1942"/>
      <c r="CE1942"/>
      <c r="CF1942"/>
      <c r="CG1942"/>
      <c r="CH1942"/>
      <c r="CI1942"/>
      <c r="CJ1942"/>
      <c r="CK1942"/>
      <c r="CL1942"/>
      <c r="CM1942"/>
      <c r="CN1942"/>
      <c r="CO1942"/>
      <c r="CP1942"/>
      <c r="CQ1942"/>
      <c r="CR1942"/>
      <c r="CS1942"/>
    </row>
    <row r="1943" spans="2:97">
      <c r="B1943"/>
      <c r="C1943" s="1"/>
      <c r="D1943" s="1"/>
      <c r="E1943" s="1"/>
      <c r="F1943" s="1"/>
      <c r="G1943" s="1"/>
      <c r="H1943" s="1"/>
      <c r="I1943" s="1"/>
      <c r="J1943" s="1"/>
      <c r="K1943" s="1"/>
      <c r="L1943" s="1"/>
      <c r="M1943" s="1"/>
      <c r="N1943" s="1"/>
      <c r="O1943" s="1"/>
      <c r="P1943" s="1"/>
      <c r="Q1943" s="1"/>
      <c r="R1943"/>
      <c r="S1943" s="1"/>
      <c r="T1943" s="24"/>
      <c r="U1943"/>
      <c r="V1943" s="1"/>
      <c r="W1943" s="24"/>
      <c r="X1943"/>
      <c r="Y1943" s="1"/>
      <c r="Z1943" s="24"/>
      <c r="AA1943"/>
      <c r="AB1943" s="1"/>
      <c r="AC1943" s="24"/>
      <c r="AD1943"/>
      <c r="AE1943"/>
      <c r="AF1943"/>
      <c r="AG1943"/>
      <c r="AH1943"/>
      <c r="AI1943"/>
      <c r="AJ1943"/>
      <c r="AK1943"/>
      <c r="AL1943"/>
      <c r="AM1943"/>
      <c r="AN1943"/>
      <c r="AO1943"/>
      <c r="AP1943"/>
      <c r="AQ1943"/>
      <c r="AR1943"/>
      <c r="AS1943"/>
      <c r="AT1943"/>
      <c r="AU1943"/>
      <c r="AV1943"/>
      <c r="AW1943"/>
      <c r="AX1943"/>
      <c r="AY1943"/>
      <c r="AZ1943"/>
      <c r="BA1943"/>
      <c r="BB1943"/>
      <c r="BC1943"/>
      <c r="BD1943"/>
      <c r="BE1943"/>
      <c r="BF1943"/>
      <c r="BG1943"/>
      <c r="BH1943"/>
      <c r="BI1943"/>
      <c r="BJ1943"/>
      <c r="BK1943"/>
      <c r="BL1943"/>
      <c r="BM1943"/>
      <c r="BN1943"/>
      <c r="BO1943"/>
      <c r="BP1943"/>
      <c r="BQ1943"/>
      <c r="BR1943"/>
      <c r="BS1943"/>
      <c r="BT1943"/>
      <c r="BU1943"/>
      <c r="BV1943"/>
      <c r="BW1943"/>
      <c r="BX1943"/>
      <c r="BY1943"/>
      <c r="BZ1943"/>
      <c r="CA1943"/>
      <c r="CB1943"/>
      <c r="CC1943"/>
      <c r="CD1943"/>
      <c r="CE1943"/>
      <c r="CF1943"/>
      <c r="CG1943"/>
      <c r="CH1943"/>
      <c r="CI1943"/>
      <c r="CJ1943"/>
      <c r="CK1943"/>
      <c r="CL1943"/>
      <c r="CM1943"/>
      <c r="CN1943"/>
      <c r="CO1943"/>
      <c r="CP1943"/>
      <c r="CQ1943"/>
      <c r="CR1943"/>
      <c r="CS1943"/>
    </row>
    <row r="1944" spans="2:97">
      <c r="B1944"/>
      <c r="C1944" s="1"/>
      <c r="D1944" s="1"/>
      <c r="E1944" s="1"/>
      <c r="F1944" s="1"/>
      <c r="G1944" s="1"/>
      <c r="H1944" s="1"/>
      <c r="I1944" s="1"/>
      <c r="J1944" s="1"/>
      <c r="K1944" s="1"/>
      <c r="L1944" s="1"/>
      <c r="M1944" s="1"/>
      <c r="N1944" s="1"/>
      <c r="O1944" s="1"/>
      <c r="P1944" s="1"/>
      <c r="Q1944" s="1"/>
      <c r="R1944"/>
      <c r="S1944" s="1"/>
      <c r="T1944" s="24"/>
      <c r="U1944"/>
      <c r="V1944" s="1"/>
      <c r="W1944" s="24"/>
      <c r="X1944"/>
      <c r="Y1944" s="1"/>
      <c r="Z1944" s="24"/>
      <c r="AA1944"/>
      <c r="AB1944" s="1"/>
      <c r="AC1944" s="24"/>
      <c r="AD1944"/>
      <c r="AE1944"/>
      <c r="AF1944"/>
      <c r="AG1944"/>
      <c r="AH1944"/>
      <c r="AI1944"/>
      <c r="AJ1944"/>
      <c r="AK1944"/>
      <c r="AL1944"/>
      <c r="AM1944"/>
      <c r="AN1944"/>
      <c r="AO1944"/>
      <c r="AP1944"/>
      <c r="AQ1944"/>
      <c r="AR1944"/>
      <c r="AS1944"/>
      <c r="AT1944"/>
      <c r="AU1944"/>
      <c r="AV1944"/>
      <c r="AW1944"/>
      <c r="AX1944"/>
      <c r="AY1944"/>
      <c r="AZ1944"/>
      <c r="BA1944"/>
      <c r="BB1944"/>
      <c r="BC1944"/>
      <c r="BD1944"/>
      <c r="BE1944"/>
      <c r="BF1944"/>
      <c r="BG1944"/>
      <c r="BH1944"/>
      <c r="BI1944"/>
      <c r="BJ1944"/>
      <c r="BK1944"/>
      <c r="BL1944"/>
      <c r="BM1944"/>
      <c r="BN1944"/>
      <c r="BO1944"/>
      <c r="BP1944"/>
      <c r="BQ1944"/>
      <c r="BR1944"/>
      <c r="BS1944"/>
      <c r="BT1944"/>
      <c r="BU1944"/>
      <c r="BV1944"/>
      <c r="BW1944"/>
      <c r="BX1944"/>
      <c r="BY1944"/>
      <c r="BZ1944"/>
      <c r="CA1944"/>
      <c r="CB1944"/>
      <c r="CC1944"/>
      <c r="CD1944"/>
      <c r="CE1944"/>
      <c r="CF1944"/>
      <c r="CG1944"/>
      <c r="CH1944"/>
      <c r="CI1944"/>
      <c r="CJ1944"/>
      <c r="CK1944"/>
      <c r="CL1944"/>
      <c r="CM1944"/>
      <c r="CN1944"/>
      <c r="CO1944"/>
      <c r="CP1944"/>
      <c r="CQ1944"/>
      <c r="CR1944"/>
      <c r="CS1944"/>
    </row>
    <row r="1945" spans="2:97">
      <c r="B1945"/>
      <c r="C1945" s="1"/>
      <c r="D1945" s="1"/>
      <c r="E1945" s="1"/>
      <c r="F1945" s="1"/>
      <c r="G1945" s="1"/>
      <c r="H1945" s="1"/>
      <c r="I1945" s="1"/>
      <c r="J1945" s="1"/>
      <c r="K1945" s="1"/>
      <c r="L1945" s="1"/>
      <c r="M1945" s="1"/>
      <c r="N1945" s="1"/>
      <c r="O1945" s="1"/>
      <c r="P1945" s="1"/>
      <c r="Q1945" s="1"/>
      <c r="R1945"/>
      <c r="S1945" s="1"/>
      <c r="T1945" s="24"/>
      <c r="U1945"/>
      <c r="V1945" s="1"/>
      <c r="W1945" s="24"/>
      <c r="X1945"/>
      <c r="Y1945" s="1"/>
      <c r="Z1945" s="24"/>
      <c r="AA1945"/>
      <c r="AB1945" s="1"/>
      <c r="AC1945" s="24"/>
      <c r="AD1945"/>
      <c r="AE1945"/>
      <c r="AF1945"/>
      <c r="AG1945"/>
      <c r="AH1945"/>
      <c r="AI1945"/>
      <c r="AJ1945"/>
      <c r="AK1945"/>
      <c r="AL1945"/>
      <c r="AM1945"/>
      <c r="AN1945"/>
      <c r="AO1945"/>
      <c r="AP1945"/>
      <c r="AQ1945"/>
      <c r="AR1945"/>
      <c r="AS1945"/>
      <c r="AT1945"/>
      <c r="AU1945"/>
      <c r="AV1945"/>
      <c r="AW1945"/>
      <c r="AX1945"/>
      <c r="AY1945"/>
      <c r="AZ1945"/>
      <c r="BA1945"/>
      <c r="BB1945"/>
      <c r="BC1945"/>
      <c r="BD1945"/>
      <c r="BE1945"/>
      <c r="BF1945"/>
      <c r="BG1945"/>
      <c r="BH1945"/>
      <c r="BI1945"/>
      <c r="BJ1945"/>
      <c r="BK1945"/>
      <c r="BL1945"/>
      <c r="BM1945"/>
      <c r="BN1945"/>
      <c r="BO1945"/>
      <c r="BP1945"/>
      <c r="BQ1945"/>
      <c r="BR1945"/>
      <c r="BS1945"/>
      <c r="BT1945"/>
      <c r="BU1945"/>
      <c r="BV1945"/>
      <c r="BW1945"/>
      <c r="BX1945"/>
      <c r="BY1945"/>
      <c r="BZ1945"/>
      <c r="CA1945"/>
      <c r="CB1945"/>
      <c r="CC1945"/>
      <c r="CD1945"/>
      <c r="CE1945"/>
      <c r="CF1945"/>
      <c r="CG1945"/>
      <c r="CH1945"/>
      <c r="CI1945"/>
      <c r="CJ1945"/>
      <c r="CK1945"/>
      <c r="CL1945"/>
      <c r="CM1945"/>
      <c r="CN1945"/>
      <c r="CO1945"/>
      <c r="CP1945"/>
      <c r="CQ1945"/>
      <c r="CR1945"/>
      <c r="CS1945"/>
    </row>
    <row r="1946" spans="2:97">
      <c r="B1946"/>
      <c r="C1946" s="1"/>
      <c r="D1946" s="1"/>
      <c r="E1946" s="1"/>
      <c r="F1946" s="1"/>
      <c r="G1946" s="1"/>
      <c r="H1946" s="1"/>
      <c r="I1946" s="1"/>
      <c r="J1946" s="1"/>
      <c r="K1946" s="1"/>
      <c r="L1946" s="1"/>
      <c r="M1946" s="1"/>
      <c r="N1946" s="1"/>
      <c r="O1946" s="1"/>
      <c r="P1946" s="1"/>
      <c r="Q1946" s="1"/>
      <c r="R1946"/>
      <c r="S1946" s="1"/>
      <c r="T1946" s="24"/>
      <c r="U1946"/>
      <c r="V1946" s="1"/>
      <c r="W1946" s="24"/>
      <c r="X1946"/>
      <c r="Y1946" s="1"/>
      <c r="Z1946" s="24"/>
      <c r="AA1946"/>
      <c r="AB1946" s="1"/>
      <c r="AC1946" s="24"/>
      <c r="AD1946"/>
      <c r="AE1946"/>
      <c r="AF1946"/>
      <c r="AG1946"/>
      <c r="AH1946"/>
      <c r="AI1946"/>
      <c r="AJ1946"/>
      <c r="AK1946"/>
      <c r="AL1946"/>
      <c r="AM1946"/>
      <c r="AN1946"/>
      <c r="AO1946"/>
      <c r="AP1946"/>
      <c r="AQ1946"/>
      <c r="AR1946"/>
      <c r="AS1946"/>
      <c r="AT1946"/>
      <c r="AU1946"/>
      <c r="AV1946"/>
      <c r="AW1946"/>
      <c r="AX1946"/>
      <c r="AY1946"/>
      <c r="AZ1946"/>
      <c r="BA1946"/>
      <c r="BB1946"/>
      <c r="BC1946"/>
      <c r="BD1946"/>
      <c r="BE1946"/>
      <c r="BF1946"/>
      <c r="BG1946"/>
      <c r="BH1946"/>
      <c r="BI1946"/>
      <c r="BJ1946"/>
      <c r="BK1946"/>
      <c r="BL1946"/>
      <c r="BM1946"/>
      <c r="BN1946"/>
      <c r="BO1946"/>
      <c r="BP1946"/>
      <c r="BQ1946"/>
      <c r="BR1946"/>
      <c r="BS1946"/>
      <c r="BT1946"/>
      <c r="BU1946"/>
      <c r="BV1946"/>
      <c r="BW1946"/>
      <c r="BX1946"/>
      <c r="BY1946"/>
      <c r="BZ1946"/>
      <c r="CA1946"/>
      <c r="CB1946"/>
      <c r="CC1946"/>
      <c r="CD1946"/>
      <c r="CE1946"/>
      <c r="CF1946"/>
      <c r="CG1946"/>
      <c r="CH1946"/>
      <c r="CI1946"/>
      <c r="CJ1946"/>
      <c r="CK1946"/>
      <c r="CL1946"/>
      <c r="CM1946"/>
      <c r="CN1946"/>
      <c r="CO1946"/>
      <c r="CP1946"/>
      <c r="CQ1946"/>
      <c r="CR1946"/>
      <c r="CS1946"/>
    </row>
    <row r="1947" spans="2:97">
      <c r="B1947"/>
      <c r="C1947" s="1"/>
      <c r="D1947" s="1"/>
      <c r="E1947" s="1"/>
      <c r="F1947" s="1"/>
      <c r="G1947" s="1"/>
      <c r="H1947" s="1"/>
      <c r="I1947" s="1"/>
      <c r="J1947" s="1"/>
      <c r="K1947" s="1"/>
      <c r="L1947" s="1"/>
      <c r="M1947" s="1"/>
      <c r="N1947" s="1"/>
      <c r="O1947" s="1"/>
      <c r="P1947" s="1"/>
      <c r="Q1947" s="1"/>
      <c r="R1947"/>
      <c r="S1947" s="1"/>
      <c r="T1947" s="24"/>
      <c r="U1947"/>
      <c r="V1947" s="1"/>
      <c r="W1947" s="24"/>
      <c r="X1947"/>
      <c r="Y1947" s="1"/>
      <c r="Z1947" s="24"/>
      <c r="AA1947"/>
      <c r="AB1947" s="1"/>
      <c r="AC1947" s="24"/>
      <c r="AD1947"/>
      <c r="AE1947"/>
      <c r="AF1947"/>
      <c r="AG1947"/>
      <c r="AH1947"/>
      <c r="AI1947"/>
      <c r="AJ1947"/>
      <c r="AK1947"/>
      <c r="AL1947"/>
      <c r="AM1947"/>
      <c r="AN1947"/>
      <c r="AO1947"/>
      <c r="AP1947"/>
      <c r="AQ1947"/>
      <c r="AR1947"/>
      <c r="AS1947"/>
      <c r="AT1947"/>
      <c r="AU1947"/>
      <c r="AV1947"/>
      <c r="AW1947"/>
      <c r="AX1947"/>
      <c r="AY1947"/>
      <c r="AZ1947"/>
      <c r="BA1947"/>
      <c r="BB1947"/>
      <c r="BC1947"/>
      <c r="BD1947"/>
      <c r="BE1947"/>
      <c r="BF1947"/>
      <c r="BG1947"/>
      <c r="BH1947"/>
      <c r="BI1947"/>
      <c r="BJ1947"/>
      <c r="BK1947"/>
      <c r="BL1947"/>
      <c r="BM1947"/>
      <c r="BN1947"/>
      <c r="BO1947"/>
      <c r="BP1947"/>
      <c r="BQ1947"/>
      <c r="BR1947"/>
      <c r="BS1947"/>
      <c r="BT1947"/>
      <c r="BU1947"/>
      <c r="BV1947"/>
      <c r="BW1947"/>
      <c r="BX1947"/>
      <c r="BY1947"/>
      <c r="BZ1947"/>
      <c r="CA1947"/>
      <c r="CB1947"/>
      <c r="CC1947"/>
      <c r="CD1947"/>
      <c r="CE1947"/>
      <c r="CF1947"/>
      <c r="CG1947"/>
      <c r="CH1947"/>
      <c r="CI1947"/>
      <c r="CJ1947"/>
      <c r="CK1947"/>
      <c r="CL1947"/>
      <c r="CM1947"/>
      <c r="CN1947"/>
      <c r="CO1947"/>
      <c r="CP1947"/>
      <c r="CQ1947"/>
      <c r="CR1947"/>
      <c r="CS1947"/>
    </row>
    <row r="1948" spans="2:97">
      <c r="B1948"/>
      <c r="C1948" s="1"/>
      <c r="D1948" s="1"/>
      <c r="E1948" s="1"/>
      <c r="F1948" s="1"/>
      <c r="G1948" s="1"/>
      <c r="H1948" s="1"/>
      <c r="I1948" s="1"/>
      <c r="J1948" s="1"/>
      <c r="K1948" s="1"/>
      <c r="L1948" s="1"/>
      <c r="M1948" s="1"/>
      <c r="N1948" s="1"/>
      <c r="O1948" s="1"/>
      <c r="P1948" s="1"/>
      <c r="Q1948" s="1"/>
      <c r="R1948"/>
      <c r="S1948" s="1"/>
      <c r="T1948" s="24"/>
      <c r="U1948"/>
      <c r="V1948" s="1"/>
      <c r="W1948" s="24"/>
      <c r="X1948"/>
      <c r="Y1948" s="1"/>
      <c r="Z1948" s="24"/>
      <c r="AA1948"/>
      <c r="AB1948" s="1"/>
      <c r="AC1948" s="24"/>
      <c r="AD1948"/>
      <c r="AE1948"/>
      <c r="AF1948"/>
      <c r="AG1948"/>
      <c r="AH1948"/>
      <c r="AI1948"/>
      <c r="AJ1948"/>
      <c r="AK1948"/>
      <c r="AL1948"/>
      <c r="AM1948"/>
      <c r="AN1948"/>
      <c r="AO1948"/>
      <c r="AP1948"/>
      <c r="AQ1948"/>
      <c r="AR1948"/>
      <c r="AS1948"/>
      <c r="AT1948"/>
      <c r="AU1948"/>
      <c r="AV1948"/>
      <c r="AW1948"/>
      <c r="AX1948"/>
      <c r="AY1948"/>
      <c r="AZ1948"/>
      <c r="BA1948"/>
      <c r="BB1948"/>
      <c r="BC1948"/>
      <c r="BD1948"/>
      <c r="BE1948"/>
      <c r="BF1948"/>
      <c r="BG1948"/>
      <c r="BH1948"/>
      <c r="BI1948"/>
      <c r="BJ1948"/>
      <c r="BK1948"/>
      <c r="BL1948"/>
      <c r="BM1948"/>
      <c r="BN1948"/>
      <c r="BO1948"/>
      <c r="BP1948"/>
      <c r="BQ1948"/>
      <c r="BR1948"/>
      <c r="BS1948"/>
      <c r="BT1948"/>
      <c r="BU1948"/>
      <c r="BV1948"/>
      <c r="BW1948"/>
      <c r="BX1948"/>
      <c r="BY1948"/>
      <c r="BZ1948"/>
      <c r="CA1948"/>
      <c r="CB1948"/>
      <c r="CC1948"/>
      <c r="CD1948"/>
      <c r="CE1948"/>
      <c r="CF1948"/>
      <c r="CG1948"/>
      <c r="CH1948"/>
      <c r="CI1948"/>
      <c r="CJ1948"/>
      <c r="CK1948"/>
      <c r="CL1948"/>
      <c r="CM1948"/>
      <c r="CN1948"/>
      <c r="CO1948"/>
      <c r="CP1948"/>
      <c r="CQ1948"/>
      <c r="CR1948"/>
      <c r="CS1948"/>
    </row>
    <row r="1949" spans="2:97">
      <c r="B1949"/>
      <c r="C1949" s="1"/>
      <c r="D1949" s="1"/>
      <c r="E1949" s="1"/>
      <c r="F1949" s="1"/>
      <c r="G1949" s="1"/>
      <c r="H1949" s="1"/>
      <c r="I1949" s="1"/>
      <c r="J1949" s="1"/>
      <c r="K1949" s="1"/>
      <c r="L1949" s="1"/>
      <c r="M1949" s="1"/>
      <c r="N1949" s="1"/>
      <c r="O1949" s="1"/>
      <c r="P1949" s="1"/>
      <c r="Q1949" s="1"/>
      <c r="R1949"/>
      <c r="S1949" s="1"/>
      <c r="T1949" s="24"/>
      <c r="U1949"/>
      <c r="V1949" s="1"/>
      <c r="W1949" s="24"/>
      <c r="X1949"/>
      <c r="Y1949" s="1"/>
      <c r="Z1949" s="24"/>
      <c r="AA1949"/>
      <c r="AB1949" s="1"/>
      <c r="AC1949" s="24"/>
      <c r="AD1949"/>
      <c r="AE1949"/>
      <c r="AF1949"/>
      <c r="AG1949"/>
      <c r="AH1949"/>
      <c r="AI1949"/>
      <c r="AJ1949"/>
      <c r="AK1949"/>
      <c r="AL1949"/>
      <c r="AM1949"/>
      <c r="AN1949"/>
      <c r="AO1949"/>
      <c r="AP1949"/>
      <c r="AQ1949"/>
      <c r="AR1949"/>
      <c r="AS1949"/>
      <c r="AT1949"/>
      <c r="AU1949"/>
      <c r="AV1949"/>
      <c r="AW1949"/>
      <c r="AX1949"/>
      <c r="AY1949"/>
      <c r="AZ1949"/>
      <c r="BA1949"/>
      <c r="BB1949"/>
      <c r="BC1949"/>
      <c r="BD1949"/>
      <c r="BE1949"/>
      <c r="BF1949"/>
      <c r="BG1949"/>
      <c r="BH1949"/>
      <c r="BI1949"/>
      <c r="BJ1949"/>
      <c r="BK1949"/>
      <c r="BL1949"/>
      <c r="BM1949"/>
      <c r="BN1949"/>
      <c r="BO1949"/>
      <c r="BP1949"/>
      <c r="BQ1949"/>
      <c r="BR1949"/>
      <c r="BS1949"/>
      <c r="BT1949"/>
      <c r="BU1949"/>
      <c r="BV1949"/>
      <c r="BW1949"/>
      <c r="BX1949"/>
      <c r="BY1949"/>
      <c r="BZ1949"/>
      <c r="CA1949"/>
      <c r="CB1949"/>
      <c r="CC1949"/>
      <c r="CD1949"/>
      <c r="CE1949"/>
      <c r="CF1949"/>
      <c r="CG1949"/>
      <c r="CH1949"/>
      <c r="CI1949"/>
      <c r="CJ1949"/>
      <c r="CK1949"/>
      <c r="CL1949"/>
      <c r="CM1949"/>
      <c r="CN1949"/>
      <c r="CO1949"/>
      <c r="CP1949"/>
      <c r="CQ1949"/>
      <c r="CR1949"/>
      <c r="CS1949"/>
    </row>
    <row r="1950" spans="2:97">
      <c r="B1950"/>
      <c r="C1950" s="1"/>
      <c r="D1950" s="1"/>
      <c r="E1950" s="1"/>
      <c r="F1950" s="1"/>
      <c r="G1950" s="1"/>
      <c r="H1950" s="1"/>
      <c r="I1950" s="1"/>
      <c r="J1950" s="1"/>
      <c r="K1950" s="1"/>
      <c r="L1950" s="1"/>
      <c r="M1950" s="1"/>
      <c r="N1950" s="1"/>
      <c r="O1950" s="1"/>
      <c r="P1950" s="1"/>
      <c r="Q1950" s="1"/>
      <c r="R1950"/>
      <c r="S1950" s="1"/>
      <c r="T1950" s="24"/>
      <c r="U1950"/>
      <c r="V1950" s="1"/>
      <c r="W1950" s="24"/>
      <c r="X1950"/>
      <c r="Y1950" s="1"/>
      <c r="Z1950" s="24"/>
      <c r="AA1950"/>
      <c r="AB1950" s="1"/>
      <c r="AC1950" s="24"/>
      <c r="AD1950"/>
      <c r="AE1950"/>
      <c r="AF1950"/>
      <c r="AG1950"/>
      <c r="AH1950"/>
      <c r="AI1950"/>
      <c r="AJ1950"/>
      <c r="AK1950"/>
      <c r="AL1950"/>
      <c r="AM1950"/>
      <c r="AN1950"/>
      <c r="AO1950"/>
      <c r="AP1950"/>
      <c r="AQ1950"/>
      <c r="AR1950"/>
      <c r="AS1950"/>
      <c r="AT1950"/>
      <c r="AU1950"/>
      <c r="AV1950"/>
      <c r="AW1950"/>
      <c r="AX1950"/>
      <c r="AY1950"/>
      <c r="AZ1950"/>
      <c r="BA1950"/>
      <c r="BB1950"/>
      <c r="BC1950"/>
      <c r="BD1950"/>
      <c r="BE1950"/>
      <c r="BF1950"/>
      <c r="BG1950"/>
      <c r="BH1950"/>
      <c r="BI1950"/>
      <c r="BJ1950"/>
      <c r="BK1950"/>
      <c r="BL1950"/>
      <c r="BM1950"/>
      <c r="BN1950"/>
      <c r="BO1950"/>
      <c r="BP1950"/>
      <c r="BQ1950"/>
      <c r="BR1950"/>
      <c r="BS1950"/>
      <c r="BT1950"/>
      <c r="BU1950"/>
      <c r="BV1950"/>
      <c r="BW1950"/>
      <c r="BX1950"/>
      <c r="BY1950"/>
      <c r="BZ1950"/>
      <c r="CA1950"/>
      <c r="CB1950"/>
      <c r="CC1950"/>
      <c r="CD1950"/>
      <c r="CE1950"/>
      <c r="CF1950"/>
      <c r="CG1950"/>
      <c r="CH1950"/>
      <c r="CI1950"/>
      <c r="CJ1950"/>
      <c r="CK1950"/>
      <c r="CL1950"/>
      <c r="CM1950"/>
      <c r="CN1950"/>
      <c r="CO1950"/>
      <c r="CP1950"/>
      <c r="CQ1950"/>
      <c r="CR1950"/>
      <c r="CS1950"/>
    </row>
    <row r="1951" spans="2:97">
      <c r="B1951"/>
      <c r="C1951" s="1"/>
      <c r="D1951" s="1"/>
      <c r="E1951" s="1"/>
      <c r="F1951" s="1"/>
      <c r="G1951" s="1"/>
      <c r="H1951" s="1"/>
      <c r="I1951" s="1"/>
      <c r="J1951" s="1"/>
      <c r="K1951" s="1"/>
      <c r="L1951" s="1"/>
      <c r="M1951" s="1"/>
      <c r="N1951" s="1"/>
      <c r="O1951" s="1"/>
      <c r="P1951" s="1"/>
      <c r="Q1951" s="1"/>
      <c r="R1951"/>
      <c r="S1951" s="1"/>
      <c r="T1951" s="24"/>
      <c r="U1951"/>
      <c r="V1951" s="1"/>
      <c r="W1951" s="24"/>
      <c r="X1951"/>
      <c r="Y1951" s="1"/>
      <c r="Z1951" s="24"/>
      <c r="AA1951"/>
      <c r="AB1951" s="1"/>
      <c r="AC1951" s="24"/>
      <c r="AD1951"/>
      <c r="AE1951"/>
      <c r="AF1951"/>
      <c r="AG1951"/>
      <c r="AH1951"/>
      <c r="AI1951"/>
      <c r="AJ1951"/>
      <c r="AK1951"/>
      <c r="AL1951"/>
      <c r="AM1951"/>
      <c r="AN1951"/>
      <c r="AO1951"/>
      <c r="AP1951"/>
      <c r="AQ1951"/>
      <c r="AR1951"/>
      <c r="AS1951"/>
      <c r="AT1951"/>
      <c r="AU1951"/>
      <c r="AV1951"/>
      <c r="AW1951"/>
      <c r="AX1951"/>
      <c r="AY1951"/>
      <c r="AZ1951"/>
      <c r="BA1951"/>
      <c r="BB1951"/>
      <c r="BC1951"/>
      <c r="BD1951"/>
      <c r="BE1951"/>
      <c r="BF1951"/>
      <c r="BG1951"/>
      <c r="BH1951"/>
      <c r="BI1951"/>
      <c r="BJ1951"/>
      <c r="BK1951"/>
      <c r="BL1951"/>
      <c r="BM1951"/>
      <c r="BN1951"/>
      <c r="BO1951"/>
      <c r="BP1951"/>
      <c r="BQ1951"/>
      <c r="BR1951"/>
      <c r="BS1951"/>
      <c r="BT1951"/>
      <c r="BU1951"/>
      <c r="BV1951"/>
      <c r="BW1951"/>
      <c r="BX1951"/>
      <c r="BY1951"/>
      <c r="BZ1951"/>
      <c r="CA1951"/>
      <c r="CB1951"/>
      <c r="CC1951"/>
      <c r="CD1951"/>
      <c r="CE1951"/>
      <c r="CF1951"/>
      <c r="CG1951"/>
      <c r="CH1951"/>
      <c r="CI1951"/>
      <c r="CJ1951"/>
      <c r="CK1951"/>
      <c r="CL1951"/>
      <c r="CM1951"/>
      <c r="CN1951"/>
      <c r="CO1951"/>
      <c r="CP1951"/>
      <c r="CQ1951"/>
      <c r="CR1951"/>
      <c r="CS1951"/>
    </row>
    <row r="1952" spans="2:97">
      <c r="B1952"/>
      <c r="C1952" s="1"/>
      <c r="D1952" s="1"/>
      <c r="E1952" s="1"/>
      <c r="F1952" s="1"/>
      <c r="G1952" s="1"/>
      <c r="H1952" s="1"/>
      <c r="I1952" s="1"/>
      <c r="J1952" s="1"/>
      <c r="K1952" s="1"/>
      <c r="L1952" s="1"/>
      <c r="M1952" s="1"/>
      <c r="N1952" s="1"/>
      <c r="O1952" s="1"/>
      <c r="P1952" s="1"/>
      <c r="Q1952" s="1"/>
      <c r="R1952"/>
      <c r="S1952" s="1"/>
      <c r="T1952" s="24"/>
      <c r="U1952"/>
      <c r="V1952" s="1"/>
      <c r="W1952" s="24"/>
      <c r="X1952"/>
      <c r="Y1952" s="1"/>
      <c r="Z1952" s="24"/>
      <c r="AA1952"/>
      <c r="AB1952" s="1"/>
      <c r="AC1952" s="24"/>
      <c r="AD1952"/>
      <c r="AE1952"/>
      <c r="AF1952"/>
      <c r="AG1952"/>
      <c r="AH1952"/>
      <c r="AI1952"/>
      <c r="AJ1952"/>
      <c r="AK1952"/>
      <c r="AL1952"/>
      <c r="AM1952"/>
      <c r="AN1952"/>
      <c r="AO1952"/>
      <c r="AP1952"/>
      <c r="AQ1952"/>
      <c r="AR1952"/>
      <c r="AS1952"/>
      <c r="AT1952"/>
      <c r="AU1952"/>
      <c r="AV1952"/>
      <c r="AW1952"/>
      <c r="AX1952"/>
      <c r="AY1952"/>
      <c r="AZ1952"/>
      <c r="BA1952"/>
      <c r="BB1952"/>
      <c r="BC1952"/>
      <c r="BD1952"/>
      <c r="BE1952"/>
      <c r="BF1952"/>
      <c r="BG1952"/>
      <c r="BH1952"/>
      <c r="BI1952"/>
      <c r="BJ1952"/>
      <c r="BK1952"/>
      <c r="BL1952"/>
      <c r="BM1952"/>
      <c r="BN1952"/>
      <c r="BO1952"/>
      <c r="BP1952"/>
      <c r="BQ1952"/>
      <c r="BR1952"/>
      <c r="BS1952"/>
      <c r="BT1952"/>
      <c r="BU1952"/>
      <c r="BV1952"/>
      <c r="BW1952"/>
      <c r="BX1952"/>
      <c r="BY1952"/>
      <c r="BZ1952"/>
      <c r="CA1952"/>
      <c r="CB1952"/>
      <c r="CC1952"/>
      <c r="CD1952"/>
      <c r="CE1952"/>
      <c r="CF1952"/>
      <c r="CG1952"/>
      <c r="CH1952"/>
      <c r="CI1952"/>
      <c r="CJ1952"/>
      <c r="CK1952"/>
      <c r="CL1952"/>
      <c r="CM1952"/>
      <c r="CN1952"/>
      <c r="CO1952"/>
      <c r="CP1952"/>
      <c r="CQ1952"/>
      <c r="CR1952"/>
      <c r="CS1952"/>
    </row>
    <row r="1953" spans="2:97">
      <c r="B1953"/>
      <c r="C1953" s="1"/>
      <c r="D1953" s="1"/>
      <c r="E1953" s="1"/>
      <c r="F1953" s="1"/>
      <c r="G1953" s="1"/>
      <c r="H1953" s="1"/>
      <c r="I1953" s="1"/>
      <c r="J1953" s="1"/>
      <c r="K1953" s="1"/>
      <c r="L1953" s="1"/>
      <c r="M1953" s="1"/>
      <c r="N1953" s="1"/>
      <c r="O1953" s="1"/>
      <c r="P1953" s="1"/>
      <c r="Q1953" s="1"/>
      <c r="R1953"/>
      <c r="S1953" s="1"/>
      <c r="T1953" s="24"/>
      <c r="U1953"/>
      <c r="V1953" s="1"/>
      <c r="W1953" s="24"/>
      <c r="X1953"/>
      <c r="Y1953" s="1"/>
      <c r="Z1953" s="24"/>
      <c r="AA1953"/>
      <c r="AB1953" s="1"/>
      <c r="AC1953" s="24"/>
      <c r="AD1953"/>
      <c r="AE1953"/>
      <c r="AF1953"/>
      <c r="AG1953"/>
      <c r="AH1953"/>
      <c r="AI1953"/>
      <c r="AJ1953"/>
      <c r="AK1953"/>
      <c r="AL1953"/>
      <c r="AM1953"/>
      <c r="AN1953"/>
      <c r="AO1953"/>
      <c r="AP1953"/>
      <c r="AQ1953"/>
      <c r="AR1953"/>
      <c r="AS1953"/>
      <c r="AT1953"/>
      <c r="AU1953"/>
      <c r="AV1953"/>
      <c r="AW1953"/>
      <c r="AX1953"/>
      <c r="AY1953"/>
      <c r="AZ1953"/>
      <c r="BA1953"/>
      <c r="BB1953"/>
      <c r="BC1953"/>
      <c r="BD1953"/>
      <c r="BE1953"/>
      <c r="BF1953"/>
      <c r="BG1953"/>
      <c r="BH1953"/>
      <c r="BI1953"/>
      <c r="BJ1953"/>
      <c r="BK1953"/>
      <c r="BL1953"/>
      <c r="BM1953"/>
      <c r="BN1953"/>
      <c r="BO1953"/>
      <c r="BP1953"/>
      <c r="BQ1953"/>
      <c r="BR1953"/>
      <c r="BS1953"/>
      <c r="BT1953"/>
      <c r="BU1953"/>
      <c r="BV1953"/>
      <c r="BW1953"/>
      <c r="BX1953"/>
      <c r="BY1953"/>
      <c r="BZ1953"/>
      <c r="CA1953"/>
      <c r="CB1953"/>
      <c r="CC1953"/>
      <c r="CD1953"/>
      <c r="CE1953"/>
      <c r="CF1953"/>
      <c r="CG1953"/>
      <c r="CH1953"/>
      <c r="CI1953"/>
      <c r="CJ1953"/>
      <c r="CK1953"/>
      <c r="CL1953"/>
      <c r="CM1953"/>
      <c r="CN1953"/>
      <c r="CO1953"/>
      <c r="CP1953"/>
      <c r="CQ1953"/>
      <c r="CR1953"/>
      <c r="CS1953"/>
    </row>
    <row r="1954" spans="2:97">
      <c r="B1954"/>
      <c r="C1954" s="1"/>
      <c r="D1954" s="1"/>
      <c r="E1954" s="1"/>
      <c r="F1954" s="1"/>
      <c r="G1954" s="1"/>
      <c r="H1954" s="1"/>
      <c r="I1954" s="1"/>
      <c r="J1954" s="1"/>
      <c r="K1954" s="1"/>
      <c r="L1954" s="1"/>
      <c r="M1954" s="1"/>
      <c r="N1954" s="1"/>
      <c r="O1954" s="1"/>
      <c r="P1954" s="1"/>
      <c r="Q1954" s="1"/>
      <c r="R1954"/>
      <c r="S1954" s="1"/>
      <c r="T1954" s="24"/>
      <c r="U1954"/>
      <c r="V1954" s="1"/>
      <c r="W1954" s="24"/>
      <c r="X1954"/>
      <c r="Y1954" s="1"/>
      <c r="Z1954" s="24"/>
      <c r="AA1954"/>
      <c r="AB1954" s="1"/>
      <c r="AC1954" s="24"/>
      <c r="AD1954"/>
      <c r="AE1954"/>
      <c r="AF1954"/>
      <c r="AG1954"/>
      <c r="AH1954"/>
      <c r="AI1954"/>
      <c r="AJ1954"/>
      <c r="AK1954"/>
      <c r="AL1954"/>
      <c r="AM1954"/>
      <c r="AN1954"/>
      <c r="AO1954"/>
      <c r="AP1954"/>
      <c r="AQ1954"/>
      <c r="AR1954"/>
      <c r="AS1954"/>
      <c r="AT1954"/>
      <c r="AU1954"/>
      <c r="AV1954"/>
      <c r="AW1954"/>
      <c r="AX1954"/>
      <c r="AY1954"/>
      <c r="AZ1954"/>
      <c r="BA1954"/>
      <c r="BB1954"/>
      <c r="BC1954"/>
      <c r="BD1954"/>
      <c r="BE1954"/>
      <c r="BF1954"/>
      <c r="BG1954"/>
      <c r="BH1954"/>
      <c r="BI1954"/>
      <c r="BJ1954"/>
      <c r="BK1954"/>
      <c r="BL1954"/>
      <c r="BM1954"/>
      <c r="BN1954"/>
      <c r="BO1954"/>
      <c r="BP1954"/>
      <c r="BQ1954"/>
      <c r="BR1954"/>
      <c r="BS1954"/>
      <c r="BT1954"/>
      <c r="BU1954"/>
      <c r="BV1954"/>
      <c r="BW1954"/>
      <c r="BX1954"/>
      <c r="BY1954"/>
      <c r="BZ1954"/>
      <c r="CA1954"/>
      <c r="CB1954"/>
      <c r="CC1954"/>
      <c r="CD1954"/>
      <c r="CE1954"/>
      <c r="CF1954"/>
      <c r="CG1954"/>
      <c r="CH1954"/>
      <c r="CI1954"/>
      <c r="CJ1954"/>
      <c r="CK1954"/>
      <c r="CL1954"/>
      <c r="CM1954"/>
      <c r="CN1954"/>
      <c r="CO1954"/>
      <c r="CP1954"/>
      <c r="CQ1954"/>
      <c r="CR1954"/>
      <c r="CS1954"/>
    </row>
    <row r="1955" spans="2:97">
      <c r="B1955"/>
      <c r="C1955" s="1"/>
      <c r="D1955" s="1"/>
      <c r="E1955" s="1"/>
      <c r="F1955" s="1"/>
      <c r="G1955" s="1"/>
      <c r="H1955" s="1"/>
      <c r="I1955" s="1"/>
      <c r="J1955" s="1"/>
      <c r="K1955" s="1"/>
      <c r="L1955" s="1"/>
      <c r="M1955" s="1"/>
      <c r="N1955" s="1"/>
      <c r="O1955" s="1"/>
      <c r="P1955" s="1"/>
      <c r="Q1955" s="1"/>
      <c r="R1955"/>
      <c r="S1955" s="1"/>
      <c r="T1955" s="24"/>
      <c r="U1955"/>
      <c r="V1955" s="1"/>
      <c r="W1955" s="24"/>
      <c r="X1955"/>
      <c r="Y1955" s="1"/>
      <c r="Z1955" s="24"/>
      <c r="AA1955"/>
      <c r="AB1955" s="1"/>
      <c r="AC1955" s="24"/>
      <c r="AD1955"/>
      <c r="AE1955"/>
      <c r="AF1955"/>
      <c r="AG1955"/>
      <c r="AH1955"/>
      <c r="AI1955"/>
      <c r="AJ1955"/>
      <c r="AK1955"/>
      <c r="AL1955"/>
      <c r="AM1955"/>
      <c r="AN1955"/>
      <c r="AO1955"/>
      <c r="AP1955"/>
      <c r="AQ1955"/>
      <c r="AR1955"/>
      <c r="AS1955"/>
      <c r="AT1955"/>
      <c r="AU1955"/>
      <c r="AV1955"/>
      <c r="AW1955"/>
      <c r="AX1955"/>
      <c r="AY1955"/>
      <c r="AZ1955"/>
      <c r="BA1955"/>
      <c r="BB1955"/>
      <c r="BC1955"/>
      <c r="BD1955"/>
      <c r="BE1955"/>
      <c r="BF1955"/>
      <c r="BG1955"/>
      <c r="BH1955"/>
      <c r="BI1955"/>
      <c r="BJ1955"/>
      <c r="BK1955"/>
      <c r="BL1955"/>
      <c r="BM1955"/>
      <c r="BN1955"/>
      <c r="BO1955"/>
      <c r="BP1955"/>
      <c r="BQ1955"/>
      <c r="BR1955"/>
      <c r="BS1955"/>
      <c r="BT1955"/>
      <c r="BU1955"/>
      <c r="BV1955"/>
      <c r="BW1955"/>
      <c r="BX1955"/>
      <c r="BY1955"/>
      <c r="BZ1955"/>
      <c r="CA1955"/>
      <c r="CB1955"/>
      <c r="CC1955"/>
      <c r="CD1955"/>
      <c r="CE1955"/>
      <c r="CF1955"/>
      <c r="CG1955"/>
      <c r="CH1955"/>
      <c r="CI1955"/>
      <c r="CJ1955"/>
      <c r="CK1955"/>
      <c r="CL1955"/>
      <c r="CM1955"/>
      <c r="CN1955"/>
      <c r="CO1955"/>
      <c r="CP1955"/>
      <c r="CQ1955"/>
      <c r="CR1955"/>
      <c r="CS1955"/>
    </row>
    <row r="1956" spans="2:97">
      <c r="B1956"/>
      <c r="C1956" s="1"/>
      <c r="D1956" s="1"/>
      <c r="E1956" s="1"/>
      <c r="F1956" s="1"/>
      <c r="G1956" s="1"/>
      <c r="H1956" s="1"/>
      <c r="I1956" s="1"/>
      <c r="J1956" s="1"/>
      <c r="K1956" s="1"/>
      <c r="L1956" s="1"/>
      <c r="M1956" s="1"/>
      <c r="N1956" s="1"/>
      <c r="O1956" s="1"/>
      <c r="P1956" s="1"/>
      <c r="Q1956" s="1"/>
      <c r="R1956"/>
      <c r="S1956" s="1"/>
      <c r="T1956" s="24"/>
      <c r="U1956"/>
      <c r="V1956" s="1"/>
      <c r="W1956" s="24"/>
      <c r="X1956"/>
      <c r="Y1956" s="1"/>
      <c r="Z1956" s="24"/>
      <c r="AA1956"/>
      <c r="AB1956" s="1"/>
      <c r="AC1956" s="24"/>
      <c r="AD1956"/>
      <c r="AE1956"/>
      <c r="AF1956"/>
      <c r="AG1956"/>
      <c r="AH1956"/>
      <c r="AI1956"/>
      <c r="AJ1956"/>
      <c r="AK1956"/>
      <c r="AL1956"/>
      <c r="AM1956"/>
      <c r="AN1956"/>
      <c r="AO1956"/>
      <c r="AP1956"/>
      <c r="AQ1956"/>
      <c r="AR1956"/>
      <c r="AS1956"/>
      <c r="AT1956"/>
      <c r="AU1956"/>
      <c r="AV1956"/>
      <c r="AW1956"/>
      <c r="AX1956"/>
      <c r="AY1956"/>
      <c r="AZ1956"/>
      <c r="BA1956"/>
      <c r="BB1956"/>
      <c r="BC1956"/>
      <c r="BD1956"/>
      <c r="BE1956"/>
      <c r="BF1956"/>
      <c r="BG1956"/>
      <c r="BH1956"/>
      <c r="BI1956"/>
      <c r="BJ1956"/>
      <c r="BK1956"/>
      <c r="BL1956"/>
      <c r="BM1956"/>
      <c r="BN1956"/>
      <c r="BO1956"/>
      <c r="BP1956"/>
      <c r="BQ1956"/>
      <c r="BR1956"/>
      <c r="BS1956"/>
      <c r="BT1956"/>
      <c r="BU1956"/>
      <c r="BV1956"/>
      <c r="BW1956"/>
      <c r="BX1956"/>
      <c r="BY1956"/>
      <c r="BZ1956"/>
      <c r="CA1956"/>
      <c r="CB1956"/>
      <c r="CC1956"/>
      <c r="CD1956"/>
      <c r="CE1956"/>
      <c r="CF1956"/>
      <c r="CG1956"/>
      <c r="CH1956"/>
      <c r="CI1956"/>
      <c r="CJ1956"/>
      <c r="CK1956"/>
      <c r="CL1956"/>
      <c r="CM1956"/>
      <c r="CN1956"/>
      <c r="CO1956"/>
      <c r="CP1956"/>
      <c r="CQ1956"/>
      <c r="CR1956"/>
      <c r="CS1956"/>
    </row>
    <row r="1957" spans="2:97">
      <c r="B1957"/>
      <c r="C1957" s="1"/>
      <c r="D1957" s="1"/>
      <c r="E1957" s="1"/>
      <c r="F1957" s="1"/>
      <c r="G1957" s="1"/>
      <c r="H1957" s="1"/>
      <c r="I1957" s="1"/>
      <c r="J1957" s="1"/>
      <c r="K1957" s="1"/>
      <c r="L1957" s="1"/>
      <c r="M1957" s="1"/>
      <c r="N1957" s="1"/>
      <c r="O1957" s="1"/>
      <c r="P1957" s="1"/>
      <c r="Q1957" s="1"/>
      <c r="R1957"/>
      <c r="S1957" s="1"/>
      <c r="T1957" s="24"/>
      <c r="U1957"/>
      <c r="V1957" s="1"/>
      <c r="W1957" s="24"/>
      <c r="X1957"/>
      <c r="Y1957" s="1"/>
      <c r="Z1957" s="24"/>
      <c r="AA1957"/>
      <c r="AB1957" s="1"/>
      <c r="AC1957" s="24"/>
      <c r="AD1957"/>
      <c r="AE1957"/>
      <c r="AF1957"/>
      <c r="AG1957"/>
      <c r="AH1957"/>
      <c r="AI1957"/>
      <c r="AJ1957"/>
      <c r="AK1957"/>
      <c r="AL1957"/>
      <c r="AM1957"/>
      <c r="AN1957"/>
      <c r="AO1957"/>
      <c r="AP1957"/>
      <c r="AQ1957"/>
      <c r="AR1957"/>
      <c r="AS1957"/>
      <c r="AT1957"/>
      <c r="AU1957"/>
      <c r="AV1957"/>
      <c r="AW1957"/>
      <c r="AX1957"/>
      <c r="AY1957"/>
      <c r="AZ1957"/>
      <c r="BA1957"/>
      <c r="BB1957"/>
      <c r="BC1957"/>
      <c r="BD1957"/>
      <c r="BE1957"/>
      <c r="BF1957"/>
      <c r="BG1957"/>
      <c r="BH1957"/>
      <c r="BI1957"/>
      <c r="BJ1957"/>
      <c r="BK1957"/>
      <c r="BL1957"/>
      <c r="BM1957"/>
      <c r="BN1957"/>
      <c r="BO1957"/>
      <c r="BP1957"/>
      <c r="BQ1957"/>
      <c r="BR1957"/>
      <c r="BS1957"/>
      <c r="BT1957"/>
      <c r="BU1957"/>
      <c r="BV1957"/>
      <c r="BW1957"/>
      <c r="BX1957"/>
      <c r="BY1957"/>
      <c r="BZ1957"/>
      <c r="CA1957"/>
      <c r="CB1957"/>
      <c r="CC1957"/>
      <c r="CD1957"/>
      <c r="CE1957"/>
      <c r="CF1957"/>
      <c r="CG1957"/>
      <c r="CH1957"/>
      <c r="CI1957"/>
      <c r="CJ1957"/>
      <c r="CK1957"/>
      <c r="CL1957"/>
      <c r="CM1957"/>
      <c r="CN1957"/>
      <c r="CO1957"/>
      <c r="CP1957"/>
      <c r="CQ1957"/>
      <c r="CR1957"/>
      <c r="CS1957"/>
    </row>
    <row r="1958" spans="2:97">
      <c r="B1958"/>
      <c r="C1958" s="1"/>
      <c r="D1958" s="1"/>
      <c r="E1958" s="1"/>
      <c r="F1958" s="1"/>
      <c r="G1958" s="1"/>
      <c r="H1958" s="1"/>
      <c r="I1958" s="1"/>
      <c r="J1958" s="1"/>
      <c r="K1958" s="1"/>
      <c r="L1958" s="1"/>
      <c r="M1958" s="1"/>
      <c r="N1958" s="1"/>
      <c r="O1958" s="1"/>
      <c r="P1958" s="1"/>
      <c r="Q1958" s="1"/>
      <c r="R1958"/>
      <c r="S1958" s="1"/>
      <c r="T1958" s="24"/>
      <c r="U1958"/>
      <c r="V1958" s="1"/>
      <c r="W1958" s="24"/>
      <c r="X1958"/>
      <c r="Y1958" s="1"/>
      <c r="Z1958" s="24"/>
      <c r="AA1958"/>
      <c r="AB1958" s="1"/>
      <c r="AC1958" s="24"/>
      <c r="AD1958"/>
      <c r="AE1958"/>
      <c r="AF1958"/>
      <c r="AG1958"/>
      <c r="AH1958"/>
      <c r="AI1958"/>
      <c r="AJ1958"/>
      <c r="AK1958"/>
      <c r="AL1958"/>
      <c r="AM1958"/>
      <c r="AN1958"/>
      <c r="AO1958"/>
      <c r="AP1958"/>
      <c r="AQ1958"/>
      <c r="AR1958"/>
      <c r="AS1958"/>
      <c r="AT1958"/>
      <c r="AU1958"/>
      <c r="AV1958"/>
      <c r="AW1958"/>
      <c r="AX1958"/>
      <c r="AY1958"/>
      <c r="AZ1958"/>
      <c r="BA1958"/>
      <c r="BB1958"/>
      <c r="BC1958"/>
      <c r="BD1958"/>
      <c r="BE1958"/>
      <c r="BF1958"/>
      <c r="BG1958"/>
      <c r="BH1958"/>
      <c r="BI1958"/>
      <c r="BJ1958"/>
      <c r="BK1958"/>
      <c r="BL1958"/>
      <c r="BM1958"/>
      <c r="BN1958"/>
      <c r="BO1958"/>
      <c r="BP1958"/>
      <c r="BQ1958"/>
      <c r="BR1958"/>
      <c r="BS1958"/>
      <c r="BT1958"/>
      <c r="BU1958"/>
      <c r="BV1958"/>
      <c r="BW1958"/>
      <c r="BX1958"/>
      <c r="BY1958"/>
      <c r="BZ1958"/>
      <c r="CA1958"/>
      <c r="CB1958"/>
      <c r="CC1958"/>
      <c r="CD1958"/>
      <c r="CE1958"/>
      <c r="CF1958"/>
      <c r="CG1958"/>
      <c r="CH1958"/>
      <c r="CI1958"/>
      <c r="CJ1958"/>
      <c r="CK1958"/>
      <c r="CL1958"/>
      <c r="CM1958"/>
      <c r="CN1958"/>
      <c r="CO1958"/>
      <c r="CP1958"/>
      <c r="CQ1958"/>
      <c r="CR1958"/>
      <c r="CS1958"/>
    </row>
    <row r="1959" spans="2:97">
      <c r="B1959"/>
      <c r="C1959" s="1"/>
      <c r="D1959" s="1"/>
      <c r="E1959" s="1"/>
      <c r="F1959" s="1"/>
      <c r="G1959" s="1"/>
      <c r="H1959" s="1"/>
      <c r="I1959" s="1"/>
      <c r="J1959" s="1"/>
      <c r="K1959" s="1"/>
      <c r="L1959" s="1"/>
      <c r="M1959" s="1"/>
      <c r="N1959" s="1"/>
      <c r="O1959" s="1"/>
      <c r="P1959" s="1"/>
      <c r="Q1959" s="1"/>
      <c r="R1959"/>
      <c r="S1959" s="1"/>
      <c r="T1959" s="24"/>
      <c r="U1959"/>
      <c r="V1959" s="1"/>
      <c r="W1959" s="24"/>
      <c r="X1959"/>
      <c r="Y1959" s="1"/>
      <c r="Z1959" s="24"/>
      <c r="AA1959"/>
      <c r="AB1959" s="1"/>
      <c r="AC1959" s="24"/>
      <c r="AD1959"/>
      <c r="AE1959"/>
      <c r="AF1959"/>
      <c r="AG1959"/>
      <c r="AH1959"/>
      <c r="AI1959"/>
      <c r="AJ1959"/>
      <c r="AK1959"/>
      <c r="AL1959"/>
      <c r="AM1959"/>
      <c r="AN1959"/>
      <c r="AO1959"/>
      <c r="AP1959"/>
      <c r="AQ1959"/>
      <c r="AR1959"/>
      <c r="AS1959"/>
      <c r="AT1959"/>
      <c r="AU1959"/>
      <c r="AV1959"/>
      <c r="AW1959"/>
      <c r="AX1959"/>
      <c r="AY1959"/>
      <c r="AZ1959"/>
      <c r="BA1959"/>
      <c r="BB1959"/>
      <c r="BC1959"/>
      <c r="BD1959"/>
      <c r="BE1959"/>
      <c r="BF1959"/>
      <c r="BG1959"/>
      <c r="BH1959"/>
      <c r="BI1959"/>
      <c r="BJ1959"/>
      <c r="BK1959"/>
      <c r="BL1959"/>
      <c r="BM1959"/>
      <c r="BN1959"/>
      <c r="BO1959"/>
      <c r="BP1959"/>
      <c r="BQ1959"/>
      <c r="BR1959"/>
      <c r="BS1959"/>
      <c r="BT1959"/>
      <c r="BU1959"/>
      <c r="BV1959"/>
      <c r="BW1959"/>
      <c r="BX1959"/>
      <c r="BY1959"/>
      <c r="BZ1959"/>
      <c r="CA1959"/>
      <c r="CB1959"/>
      <c r="CC1959"/>
      <c r="CD1959"/>
      <c r="CE1959"/>
      <c r="CF1959"/>
      <c r="CG1959"/>
      <c r="CH1959"/>
      <c r="CI1959"/>
      <c r="CJ1959"/>
      <c r="CK1959"/>
      <c r="CL1959"/>
      <c r="CM1959"/>
      <c r="CN1959"/>
      <c r="CO1959"/>
      <c r="CP1959"/>
      <c r="CQ1959"/>
      <c r="CR1959"/>
      <c r="CS1959"/>
    </row>
    <row r="1960" spans="2:97">
      <c r="B1960"/>
      <c r="C1960" s="1"/>
      <c r="D1960" s="1"/>
      <c r="E1960" s="1"/>
      <c r="F1960" s="1"/>
      <c r="G1960" s="1"/>
      <c r="H1960" s="1"/>
      <c r="I1960" s="1"/>
      <c r="J1960" s="1"/>
      <c r="K1960" s="1"/>
      <c r="L1960" s="1"/>
      <c r="M1960" s="1"/>
      <c r="N1960" s="1"/>
      <c r="O1960" s="1"/>
      <c r="P1960" s="1"/>
      <c r="Q1960" s="1"/>
      <c r="R1960"/>
      <c r="S1960" s="1"/>
      <c r="T1960" s="24"/>
      <c r="U1960"/>
      <c r="V1960" s="1"/>
      <c r="W1960" s="24"/>
      <c r="X1960"/>
      <c r="Y1960" s="1"/>
      <c r="Z1960" s="24"/>
      <c r="AA1960"/>
      <c r="AB1960" s="1"/>
      <c r="AC1960" s="24"/>
      <c r="AD1960"/>
      <c r="AE1960"/>
      <c r="AF1960"/>
      <c r="AG1960"/>
      <c r="AH1960"/>
      <c r="AI1960"/>
      <c r="AJ1960"/>
      <c r="AK1960"/>
      <c r="AL1960"/>
      <c r="AM1960"/>
      <c r="AN1960"/>
      <c r="AO1960"/>
      <c r="AP1960"/>
      <c r="AQ1960"/>
      <c r="AR1960"/>
      <c r="AS1960"/>
      <c r="AT1960"/>
      <c r="AU1960"/>
      <c r="AV1960"/>
      <c r="AW1960"/>
      <c r="AX1960"/>
      <c r="AY1960"/>
      <c r="AZ1960"/>
      <c r="BA1960"/>
      <c r="BB1960"/>
      <c r="BC1960"/>
      <c r="BD1960"/>
      <c r="BE1960"/>
      <c r="BF1960"/>
      <c r="BG1960"/>
      <c r="BH1960"/>
      <c r="BI1960"/>
      <c r="BJ1960"/>
      <c r="BK1960"/>
      <c r="BL1960"/>
      <c r="BM1960"/>
      <c r="BN1960"/>
      <c r="BO1960"/>
      <c r="BP1960"/>
      <c r="BQ1960"/>
      <c r="BR1960"/>
      <c r="BS1960"/>
      <c r="BT1960"/>
      <c r="BU1960"/>
      <c r="BV1960"/>
      <c r="BW1960"/>
      <c r="BX1960"/>
      <c r="BY1960"/>
      <c r="BZ1960"/>
      <c r="CA1960"/>
      <c r="CB1960"/>
      <c r="CC1960"/>
      <c r="CD1960"/>
      <c r="CE1960"/>
      <c r="CF1960"/>
      <c r="CG1960"/>
      <c r="CH1960"/>
      <c r="CI1960"/>
      <c r="CJ1960"/>
      <c r="CK1960"/>
      <c r="CL1960"/>
      <c r="CM1960"/>
      <c r="CN1960"/>
      <c r="CO1960"/>
      <c r="CP1960"/>
      <c r="CQ1960"/>
      <c r="CR1960"/>
      <c r="CS1960"/>
    </row>
    <row r="1961" spans="2:97">
      <c r="B1961"/>
      <c r="C1961" s="1"/>
      <c r="D1961" s="1"/>
      <c r="E1961" s="1"/>
      <c r="F1961" s="1"/>
      <c r="G1961" s="1"/>
      <c r="H1961" s="1"/>
      <c r="I1961" s="1"/>
      <c r="J1961" s="1"/>
      <c r="K1961" s="1"/>
      <c r="L1961" s="1"/>
      <c r="M1961" s="1"/>
      <c r="N1961" s="1"/>
      <c r="O1961" s="1"/>
      <c r="P1961" s="1"/>
      <c r="Q1961" s="1"/>
      <c r="R1961"/>
      <c r="S1961" s="1"/>
      <c r="T1961" s="24"/>
      <c r="U1961"/>
      <c r="V1961" s="1"/>
      <c r="W1961" s="24"/>
      <c r="X1961"/>
      <c r="Y1961" s="1"/>
      <c r="Z1961" s="24"/>
      <c r="AA1961"/>
      <c r="AB1961" s="1"/>
      <c r="AC1961" s="24"/>
      <c r="AD1961"/>
      <c r="AE1961"/>
      <c r="AF1961"/>
      <c r="AG1961"/>
      <c r="AH1961"/>
      <c r="AI1961"/>
      <c r="AJ1961"/>
      <c r="AK1961"/>
      <c r="AL1961"/>
      <c r="AM1961"/>
      <c r="AN1961"/>
      <c r="AO1961"/>
      <c r="AP1961"/>
      <c r="AQ1961"/>
      <c r="AR1961"/>
      <c r="AS1961"/>
      <c r="AT1961"/>
      <c r="AU1961"/>
      <c r="AV1961"/>
      <c r="AW1961"/>
      <c r="AX1961"/>
      <c r="AY1961"/>
      <c r="AZ1961"/>
      <c r="BA1961"/>
      <c r="BB1961"/>
      <c r="BC1961"/>
      <c r="BD1961"/>
      <c r="BE1961"/>
      <c r="BF1961"/>
      <c r="BG1961"/>
      <c r="BH1961"/>
      <c r="BI1961"/>
      <c r="BJ1961"/>
      <c r="BK1961"/>
      <c r="BL1961"/>
      <c r="BM1961"/>
      <c r="BN1961"/>
      <c r="BO1961"/>
      <c r="BP1961"/>
      <c r="BQ1961"/>
      <c r="BR1961"/>
      <c r="BS1961"/>
      <c r="BT1961"/>
      <c r="BU1961"/>
      <c r="BV1961"/>
      <c r="BW1961"/>
      <c r="BX1961"/>
      <c r="BY1961"/>
      <c r="BZ1961"/>
      <c r="CA1961"/>
      <c r="CB1961"/>
      <c r="CC1961"/>
      <c r="CD1961"/>
      <c r="CE1961"/>
      <c r="CF1961"/>
      <c r="CG1961"/>
      <c r="CH1961"/>
      <c r="CI1961"/>
      <c r="CJ1961"/>
      <c r="CK1961"/>
      <c r="CL1961"/>
      <c r="CM1961"/>
      <c r="CN1961"/>
      <c r="CO1961"/>
      <c r="CP1961"/>
      <c r="CQ1961"/>
      <c r="CR1961"/>
      <c r="CS1961"/>
    </row>
    <row r="1962" spans="2:97">
      <c r="B1962"/>
      <c r="C1962" s="1"/>
      <c r="D1962" s="1"/>
      <c r="E1962" s="1"/>
      <c r="F1962" s="1"/>
      <c r="G1962" s="1"/>
      <c r="H1962" s="1"/>
      <c r="I1962" s="1"/>
      <c r="J1962" s="1"/>
      <c r="K1962" s="1"/>
      <c r="L1962" s="1"/>
      <c r="M1962" s="1"/>
      <c r="N1962" s="1"/>
      <c r="O1962" s="1"/>
      <c r="P1962" s="1"/>
      <c r="Q1962" s="1"/>
      <c r="R1962"/>
      <c r="S1962" s="1"/>
      <c r="T1962" s="24"/>
      <c r="U1962"/>
      <c r="V1962" s="1"/>
      <c r="W1962" s="24"/>
      <c r="X1962"/>
      <c r="Y1962" s="1"/>
      <c r="Z1962" s="24"/>
      <c r="AA1962"/>
      <c r="AB1962" s="1"/>
      <c r="AC1962" s="24"/>
      <c r="AD1962"/>
      <c r="AE1962"/>
      <c r="AF1962"/>
      <c r="AG1962"/>
      <c r="AH1962"/>
      <c r="AI1962"/>
      <c r="AJ1962"/>
      <c r="AK1962"/>
      <c r="AL1962"/>
      <c r="AM1962"/>
      <c r="AN1962"/>
      <c r="AO1962"/>
      <c r="AP1962"/>
      <c r="AQ1962"/>
      <c r="AR1962"/>
      <c r="AS1962"/>
      <c r="AT1962"/>
      <c r="AU1962"/>
      <c r="AV1962"/>
      <c r="AW1962"/>
      <c r="AX1962"/>
      <c r="AY1962"/>
      <c r="AZ1962"/>
      <c r="BA1962"/>
      <c r="BB1962"/>
      <c r="BC1962"/>
      <c r="BD1962"/>
      <c r="BE1962"/>
      <c r="BF1962"/>
      <c r="BG1962"/>
      <c r="BH1962"/>
      <c r="BI1962"/>
      <c r="BJ1962"/>
      <c r="BK1962"/>
      <c r="BL1962"/>
      <c r="BM1962"/>
      <c r="BN1962"/>
      <c r="BO1962"/>
      <c r="BP1962"/>
      <c r="BQ1962"/>
      <c r="BR1962"/>
      <c r="BS1962"/>
      <c r="BT1962"/>
      <c r="BU1962"/>
      <c r="BV1962"/>
      <c r="BW1962"/>
      <c r="BX1962"/>
      <c r="BY1962"/>
      <c r="BZ1962"/>
      <c r="CA1962"/>
      <c r="CB1962"/>
      <c r="CC1962"/>
      <c r="CD1962"/>
      <c r="CE1962"/>
      <c r="CF1962"/>
      <c r="CG1962"/>
      <c r="CH1962"/>
      <c r="CI1962"/>
      <c r="CJ1962"/>
      <c r="CK1962"/>
      <c r="CL1962"/>
      <c r="CM1962"/>
      <c r="CN1962"/>
      <c r="CO1962"/>
      <c r="CP1962"/>
      <c r="CQ1962"/>
      <c r="CR1962"/>
      <c r="CS1962"/>
    </row>
    <row r="1963" spans="2:97">
      <c r="B1963"/>
      <c r="C1963" s="1"/>
      <c r="D1963" s="1"/>
      <c r="E1963" s="1"/>
      <c r="F1963" s="1"/>
      <c r="G1963" s="1"/>
      <c r="H1963" s="1"/>
      <c r="I1963" s="1"/>
      <c r="J1963" s="1"/>
      <c r="K1963" s="1"/>
      <c r="L1963" s="1"/>
      <c r="M1963" s="1"/>
      <c r="N1963" s="1"/>
      <c r="O1963" s="1"/>
      <c r="P1963" s="1"/>
      <c r="Q1963" s="1"/>
      <c r="R1963"/>
      <c r="S1963" s="1"/>
      <c r="T1963" s="24"/>
      <c r="U1963"/>
      <c r="V1963" s="1"/>
      <c r="W1963" s="24"/>
      <c r="X1963"/>
      <c r="Y1963" s="1"/>
      <c r="Z1963" s="24"/>
      <c r="AA1963"/>
      <c r="AB1963" s="1"/>
      <c r="AC1963" s="24"/>
      <c r="AD1963"/>
      <c r="AE1963"/>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c r="BI1963"/>
      <c r="BJ1963"/>
      <c r="BK1963"/>
      <c r="BL1963"/>
      <c r="BM1963"/>
      <c r="BN1963"/>
      <c r="BO1963"/>
      <c r="BP1963"/>
      <c r="BQ1963"/>
      <c r="BR1963"/>
      <c r="BS1963"/>
      <c r="BT1963"/>
      <c r="BU1963"/>
      <c r="BV1963"/>
      <c r="BW1963"/>
      <c r="BX1963"/>
      <c r="BY1963"/>
      <c r="BZ1963"/>
      <c r="CA1963"/>
      <c r="CB1963"/>
      <c r="CC1963"/>
      <c r="CD1963"/>
      <c r="CE1963"/>
      <c r="CF1963"/>
      <c r="CG1963"/>
      <c r="CH1963"/>
      <c r="CI1963"/>
      <c r="CJ1963"/>
      <c r="CK1963"/>
      <c r="CL1963"/>
      <c r="CM1963"/>
      <c r="CN1963"/>
      <c r="CO1963"/>
      <c r="CP1963"/>
      <c r="CQ1963"/>
      <c r="CR1963"/>
      <c r="CS1963"/>
    </row>
    <row r="1964" spans="2:97">
      <c r="B1964"/>
      <c r="C1964" s="1"/>
      <c r="D1964" s="1"/>
      <c r="E1964" s="1"/>
      <c r="F1964" s="1"/>
      <c r="G1964" s="1"/>
      <c r="H1964" s="1"/>
      <c r="I1964" s="1"/>
      <c r="J1964" s="1"/>
      <c r="K1964" s="1"/>
      <c r="L1964" s="1"/>
      <c r="M1964" s="1"/>
      <c r="N1964" s="1"/>
      <c r="O1964" s="1"/>
      <c r="P1964" s="1"/>
      <c r="Q1964" s="1"/>
      <c r="R1964"/>
      <c r="S1964" s="1"/>
      <c r="T1964" s="24"/>
      <c r="U1964"/>
      <c r="V1964" s="1"/>
      <c r="W1964" s="24"/>
      <c r="X1964"/>
      <c r="Y1964" s="1"/>
      <c r="Z1964" s="24"/>
      <c r="AA1964"/>
      <c r="AB1964" s="1"/>
      <c r="AC1964" s="24"/>
      <c r="AD1964"/>
      <c r="AE1964"/>
      <c r="AF1964"/>
      <c r="AG1964"/>
      <c r="AH1964"/>
      <c r="AI1964"/>
      <c r="AJ1964"/>
      <c r="AK1964"/>
      <c r="AL1964"/>
      <c r="AM1964"/>
      <c r="AN1964"/>
      <c r="AO1964"/>
      <c r="AP1964"/>
      <c r="AQ1964"/>
      <c r="AR1964"/>
      <c r="AS1964"/>
      <c r="AT1964"/>
      <c r="AU1964"/>
      <c r="AV1964"/>
      <c r="AW1964"/>
      <c r="AX1964"/>
      <c r="AY1964"/>
      <c r="AZ1964"/>
      <c r="BA1964"/>
      <c r="BB1964"/>
      <c r="BC1964"/>
      <c r="BD1964"/>
      <c r="BE1964"/>
      <c r="BF1964"/>
      <c r="BG1964"/>
      <c r="BH1964"/>
      <c r="BI1964"/>
      <c r="BJ1964"/>
      <c r="BK1964"/>
      <c r="BL1964"/>
      <c r="BM1964"/>
      <c r="BN1964"/>
      <c r="BO1964"/>
      <c r="BP1964"/>
      <c r="BQ1964"/>
      <c r="BR1964"/>
      <c r="BS1964"/>
      <c r="BT1964"/>
      <c r="BU1964"/>
      <c r="BV1964"/>
      <c r="BW1964"/>
      <c r="BX1964"/>
      <c r="BY1964"/>
      <c r="BZ1964"/>
      <c r="CA1964"/>
      <c r="CB1964"/>
      <c r="CC1964"/>
      <c r="CD1964"/>
      <c r="CE1964"/>
      <c r="CF1964"/>
      <c r="CG1964"/>
      <c r="CH1964"/>
      <c r="CI1964"/>
      <c r="CJ1964"/>
      <c r="CK1964"/>
      <c r="CL1964"/>
      <c r="CM1964"/>
      <c r="CN1964"/>
      <c r="CO1964"/>
      <c r="CP1964"/>
      <c r="CQ1964"/>
      <c r="CR1964"/>
      <c r="CS1964"/>
    </row>
    <row r="1965" spans="2:97">
      <c r="B1965"/>
      <c r="C1965" s="1"/>
      <c r="D1965" s="1"/>
      <c r="E1965" s="1"/>
      <c r="F1965" s="1"/>
      <c r="G1965" s="1"/>
      <c r="H1965" s="1"/>
      <c r="I1965" s="1"/>
      <c r="J1965" s="1"/>
      <c r="K1965" s="1"/>
      <c r="L1965" s="1"/>
      <c r="M1965" s="1"/>
      <c r="N1965" s="1"/>
      <c r="O1965" s="1"/>
      <c r="P1965" s="1"/>
      <c r="Q1965" s="1"/>
      <c r="R1965"/>
      <c r="S1965" s="1"/>
      <c r="T1965" s="24"/>
      <c r="U1965"/>
      <c r="V1965" s="1"/>
      <c r="W1965" s="24"/>
      <c r="X1965"/>
      <c r="Y1965" s="1"/>
      <c r="Z1965" s="24"/>
      <c r="AA1965"/>
      <c r="AB1965" s="1"/>
      <c r="AC1965" s="24"/>
      <c r="AD1965"/>
      <c r="AE1965"/>
      <c r="AF1965"/>
      <c r="AG1965"/>
      <c r="AH1965"/>
      <c r="AI1965"/>
      <c r="AJ1965"/>
      <c r="AK1965"/>
      <c r="AL1965"/>
      <c r="AM1965"/>
      <c r="AN1965"/>
      <c r="AO1965"/>
      <c r="AP1965"/>
      <c r="AQ1965"/>
      <c r="AR1965"/>
      <c r="AS1965"/>
      <c r="AT1965"/>
      <c r="AU1965"/>
      <c r="AV1965"/>
      <c r="AW1965"/>
      <c r="AX1965"/>
      <c r="AY1965"/>
      <c r="AZ1965"/>
      <c r="BA1965"/>
      <c r="BB1965"/>
      <c r="BC1965"/>
      <c r="BD1965"/>
      <c r="BE1965"/>
      <c r="BF1965"/>
      <c r="BG1965"/>
      <c r="BH1965"/>
      <c r="BI1965"/>
      <c r="BJ1965"/>
      <c r="BK1965"/>
      <c r="BL1965"/>
      <c r="BM1965"/>
      <c r="BN1965"/>
      <c r="BO1965"/>
      <c r="BP1965"/>
      <c r="BQ1965"/>
      <c r="BR1965"/>
      <c r="BS1965"/>
      <c r="BT1965"/>
      <c r="BU1965"/>
      <c r="BV1965"/>
      <c r="BW1965"/>
      <c r="BX1965"/>
      <c r="BY1965"/>
      <c r="BZ1965"/>
      <c r="CA1965"/>
      <c r="CB1965"/>
      <c r="CC1965"/>
      <c r="CD1965"/>
      <c r="CE1965"/>
      <c r="CF1965"/>
      <c r="CG1965"/>
      <c r="CH1965"/>
      <c r="CI1965"/>
      <c r="CJ1965"/>
      <c r="CK1965"/>
      <c r="CL1965"/>
      <c r="CM1965"/>
      <c r="CN1965"/>
      <c r="CO1965"/>
      <c r="CP1965"/>
      <c r="CQ1965"/>
      <c r="CR1965"/>
      <c r="CS1965"/>
    </row>
    <row r="1966" spans="2:97">
      <c r="B1966"/>
      <c r="C1966" s="1"/>
      <c r="D1966" s="1"/>
      <c r="E1966" s="1"/>
      <c r="F1966" s="1"/>
      <c r="G1966" s="1"/>
      <c r="H1966" s="1"/>
      <c r="I1966" s="1"/>
      <c r="J1966" s="1"/>
      <c r="K1966" s="1"/>
      <c r="L1966" s="1"/>
      <c r="M1966" s="1"/>
      <c r="N1966" s="1"/>
      <c r="O1966" s="1"/>
      <c r="P1966" s="1"/>
      <c r="Q1966" s="1"/>
      <c r="R1966"/>
      <c r="S1966" s="1"/>
      <c r="T1966" s="24"/>
      <c r="U1966"/>
      <c r="V1966" s="1"/>
      <c r="W1966" s="24"/>
      <c r="X1966"/>
      <c r="Y1966" s="1"/>
      <c r="Z1966" s="24"/>
      <c r="AA1966"/>
      <c r="AB1966" s="1"/>
      <c r="AC1966" s="24"/>
      <c r="AD1966"/>
      <c r="AE1966"/>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c r="BI1966"/>
      <c r="BJ1966"/>
      <c r="BK1966"/>
      <c r="BL1966"/>
      <c r="BM1966"/>
      <c r="BN1966"/>
      <c r="BO1966"/>
      <c r="BP1966"/>
      <c r="BQ1966"/>
      <c r="BR1966"/>
      <c r="BS1966"/>
      <c r="BT1966"/>
      <c r="BU1966"/>
      <c r="BV1966"/>
      <c r="BW1966"/>
      <c r="BX1966"/>
      <c r="BY1966"/>
      <c r="BZ1966"/>
      <c r="CA1966"/>
      <c r="CB1966"/>
      <c r="CC1966"/>
      <c r="CD1966"/>
      <c r="CE1966"/>
      <c r="CF1966"/>
      <c r="CG1966"/>
      <c r="CH1966"/>
      <c r="CI1966"/>
      <c r="CJ1966"/>
      <c r="CK1966"/>
      <c r="CL1966"/>
      <c r="CM1966"/>
      <c r="CN1966"/>
      <c r="CO1966"/>
      <c r="CP1966"/>
      <c r="CQ1966"/>
      <c r="CR1966"/>
      <c r="CS1966"/>
    </row>
    <row r="1967" spans="2:97">
      <c r="B1967"/>
      <c r="C1967" s="1"/>
      <c r="D1967" s="1"/>
      <c r="E1967" s="1"/>
      <c r="F1967" s="1"/>
      <c r="G1967" s="1"/>
      <c r="H1967" s="1"/>
      <c r="I1967" s="1"/>
      <c r="J1967" s="1"/>
      <c r="K1967" s="1"/>
      <c r="L1967" s="1"/>
      <c r="M1967" s="1"/>
      <c r="N1967" s="1"/>
      <c r="O1967" s="1"/>
      <c r="P1967" s="1"/>
      <c r="Q1967" s="1"/>
      <c r="R1967"/>
      <c r="S1967" s="1"/>
      <c r="T1967" s="24"/>
      <c r="U1967"/>
      <c r="V1967" s="1"/>
      <c r="W1967" s="24"/>
      <c r="X1967"/>
      <c r="Y1967" s="1"/>
      <c r="Z1967" s="24"/>
      <c r="AA1967"/>
      <c r="AB1967" s="1"/>
      <c r="AC1967" s="24"/>
      <c r="AD1967"/>
      <c r="AE1967"/>
      <c r="AF1967"/>
      <c r="AG1967"/>
      <c r="AH1967"/>
      <c r="AI1967"/>
      <c r="AJ1967"/>
      <c r="AK1967"/>
      <c r="AL1967"/>
      <c r="AM1967"/>
      <c r="AN1967"/>
      <c r="AO1967"/>
      <c r="AP1967"/>
      <c r="AQ1967"/>
      <c r="AR1967"/>
      <c r="AS1967"/>
      <c r="AT1967"/>
      <c r="AU1967"/>
      <c r="AV1967"/>
      <c r="AW1967"/>
      <c r="AX1967"/>
      <c r="AY1967"/>
      <c r="AZ1967"/>
      <c r="BA1967"/>
      <c r="BB1967"/>
      <c r="BC1967"/>
      <c r="BD1967"/>
      <c r="BE1967"/>
      <c r="BF1967"/>
      <c r="BG1967"/>
      <c r="BH1967"/>
      <c r="BI1967"/>
      <c r="BJ1967"/>
      <c r="BK1967"/>
      <c r="BL1967"/>
      <c r="BM1967"/>
      <c r="BN1967"/>
      <c r="BO1967"/>
      <c r="BP1967"/>
      <c r="BQ1967"/>
      <c r="BR1967"/>
      <c r="BS1967"/>
      <c r="BT1967"/>
      <c r="BU1967"/>
      <c r="BV1967"/>
      <c r="BW1967"/>
      <c r="BX1967"/>
      <c r="BY1967"/>
      <c r="BZ1967"/>
      <c r="CA1967"/>
      <c r="CB1967"/>
      <c r="CC1967"/>
      <c r="CD1967"/>
      <c r="CE1967"/>
      <c r="CF1967"/>
      <c r="CG1967"/>
      <c r="CH1967"/>
      <c r="CI1967"/>
      <c r="CJ1967"/>
      <c r="CK1967"/>
      <c r="CL1967"/>
      <c r="CM1967"/>
      <c r="CN1967"/>
      <c r="CO1967"/>
      <c r="CP1967"/>
      <c r="CQ1967"/>
      <c r="CR1967"/>
      <c r="CS1967"/>
    </row>
    <row r="1968" spans="2:97">
      <c r="B1968"/>
      <c r="C1968" s="1"/>
      <c r="D1968" s="1"/>
      <c r="E1968" s="1"/>
      <c r="F1968" s="1"/>
      <c r="G1968" s="1"/>
      <c r="H1968" s="1"/>
      <c r="I1968" s="1"/>
      <c r="J1968" s="1"/>
      <c r="K1968" s="1"/>
      <c r="L1968" s="1"/>
      <c r="M1968" s="1"/>
      <c r="N1968" s="1"/>
      <c r="O1968" s="1"/>
      <c r="P1968" s="1"/>
      <c r="Q1968" s="1"/>
      <c r="R1968"/>
      <c r="S1968" s="1"/>
      <c r="T1968" s="24"/>
      <c r="U1968"/>
      <c r="V1968" s="1"/>
      <c r="W1968" s="24"/>
      <c r="X1968"/>
      <c r="Y1968" s="1"/>
      <c r="Z1968" s="24"/>
      <c r="AA1968"/>
      <c r="AB1968" s="1"/>
      <c r="AC1968" s="24"/>
      <c r="AD1968"/>
      <c r="AE1968"/>
      <c r="AF1968"/>
      <c r="AG1968"/>
      <c r="AH1968"/>
      <c r="AI1968"/>
      <c r="AJ1968"/>
      <c r="AK1968"/>
      <c r="AL1968"/>
      <c r="AM1968"/>
      <c r="AN1968"/>
      <c r="AO1968"/>
      <c r="AP1968"/>
      <c r="AQ1968"/>
      <c r="AR1968"/>
      <c r="AS1968"/>
      <c r="AT1968"/>
      <c r="AU1968"/>
      <c r="AV1968"/>
      <c r="AW1968"/>
      <c r="AX1968"/>
      <c r="AY1968"/>
      <c r="AZ1968"/>
      <c r="BA1968"/>
      <c r="BB1968"/>
      <c r="BC1968"/>
      <c r="BD1968"/>
      <c r="BE1968"/>
      <c r="BF1968"/>
      <c r="BG1968"/>
      <c r="BH1968"/>
      <c r="BI1968"/>
      <c r="BJ1968"/>
      <c r="BK1968"/>
      <c r="BL1968"/>
      <c r="BM1968"/>
      <c r="BN1968"/>
      <c r="BO1968"/>
      <c r="BP1968"/>
      <c r="BQ1968"/>
      <c r="BR1968"/>
      <c r="BS1968"/>
      <c r="BT1968"/>
      <c r="BU1968"/>
      <c r="BV1968"/>
      <c r="BW1968"/>
      <c r="BX1968"/>
      <c r="BY1968"/>
      <c r="BZ1968"/>
      <c r="CA1968"/>
      <c r="CB1968"/>
      <c r="CC1968"/>
      <c r="CD1968"/>
      <c r="CE1968"/>
      <c r="CF1968"/>
      <c r="CG1968"/>
      <c r="CH1968"/>
      <c r="CI1968"/>
      <c r="CJ1968"/>
      <c r="CK1968"/>
      <c r="CL1968"/>
      <c r="CM1968"/>
      <c r="CN1968"/>
      <c r="CO1968"/>
      <c r="CP1968"/>
      <c r="CQ1968"/>
      <c r="CR1968"/>
      <c r="CS1968"/>
    </row>
    <row r="1969" spans="2:97">
      <c r="B1969"/>
      <c r="C1969" s="1"/>
      <c r="D1969" s="1"/>
      <c r="E1969" s="1"/>
      <c r="F1969" s="1"/>
      <c r="G1969" s="1"/>
      <c r="H1969" s="1"/>
      <c r="I1969" s="1"/>
      <c r="J1969" s="1"/>
      <c r="K1969" s="1"/>
      <c r="L1969" s="1"/>
      <c r="M1969" s="1"/>
      <c r="N1969" s="1"/>
      <c r="O1969" s="1"/>
      <c r="P1969" s="1"/>
      <c r="Q1969" s="1"/>
      <c r="R1969"/>
      <c r="S1969" s="1"/>
      <c r="T1969" s="24"/>
      <c r="U1969"/>
      <c r="V1969" s="1"/>
      <c r="W1969" s="24"/>
      <c r="X1969"/>
      <c r="Y1969" s="1"/>
      <c r="Z1969" s="24"/>
      <c r="AA1969"/>
      <c r="AB1969" s="1"/>
      <c r="AC1969" s="24"/>
      <c r="AD1969"/>
      <c r="AE1969"/>
      <c r="AF1969"/>
      <c r="AG1969"/>
      <c r="AH1969"/>
      <c r="AI1969"/>
      <c r="AJ1969"/>
      <c r="AK1969"/>
      <c r="AL1969"/>
      <c r="AM1969"/>
      <c r="AN1969"/>
      <c r="AO1969"/>
      <c r="AP1969"/>
      <c r="AQ1969"/>
      <c r="AR1969"/>
      <c r="AS1969"/>
      <c r="AT1969"/>
      <c r="AU1969"/>
      <c r="AV1969"/>
      <c r="AW1969"/>
      <c r="AX1969"/>
      <c r="AY1969"/>
      <c r="AZ1969"/>
      <c r="BA1969"/>
      <c r="BB1969"/>
      <c r="BC1969"/>
      <c r="BD1969"/>
      <c r="BE1969"/>
      <c r="BF1969"/>
      <c r="BG1969"/>
      <c r="BH1969"/>
      <c r="BI1969"/>
      <c r="BJ1969"/>
      <c r="BK1969"/>
      <c r="BL1969"/>
      <c r="BM1969"/>
      <c r="BN1969"/>
      <c r="BO1969"/>
      <c r="BP1969"/>
      <c r="BQ1969"/>
      <c r="BR1969"/>
      <c r="BS1969"/>
      <c r="BT1969"/>
      <c r="BU1969"/>
      <c r="BV1969"/>
      <c r="BW1969"/>
      <c r="BX1969"/>
      <c r="BY1969"/>
      <c r="BZ1969"/>
      <c r="CA1969"/>
      <c r="CB1969"/>
      <c r="CC1969"/>
      <c r="CD1969"/>
      <c r="CE1969"/>
      <c r="CF1969"/>
      <c r="CG1969"/>
      <c r="CH1969"/>
      <c r="CI1969"/>
      <c r="CJ1969"/>
      <c r="CK1969"/>
      <c r="CL1969"/>
      <c r="CM1969"/>
      <c r="CN1969"/>
      <c r="CO1969"/>
      <c r="CP1969"/>
      <c r="CQ1969"/>
      <c r="CR1969"/>
      <c r="CS1969"/>
    </row>
    <row r="1970" spans="2:97">
      <c r="B1970"/>
      <c r="C1970" s="1"/>
      <c r="D1970" s="1"/>
      <c r="E1970" s="1"/>
      <c r="F1970" s="1"/>
      <c r="G1970" s="1"/>
      <c r="H1970" s="1"/>
      <c r="I1970" s="1"/>
      <c r="J1970" s="1"/>
      <c r="K1970" s="1"/>
      <c r="L1970" s="1"/>
      <c r="M1970" s="1"/>
      <c r="N1970" s="1"/>
      <c r="O1970" s="1"/>
      <c r="P1970" s="1"/>
      <c r="Q1970" s="1"/>
      <c r="R1970"/>
      <c r="S1970" s="1"/>
      <c r="T1970" s="24"/>
      <c r="U1970"/>
      <c r="V1970" s="1"/>
      <c r="W1970" s="24"/>
      <c r="X1970"/>
      <c r="Y1970" s="1"/>
      <c r="Z1970" s="24"/>
      <c r="AA1970"/>
      <c r="AB1970" s="1"/>
      <c r="AC1970" s="24"/>
      <c r="AD1970"/>
      <c r="AE1970"/>
      <c r="AF1970"/>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c r="BJ1970"/>
      <c r="BK1970"/>
      <c r="BL1970"/>
      <c r="BM1970"/>
      <c r="BN1970"/>
      <c r="BO1970"/>
      <c r="BP1970"/>
      <c r="BQ1970"/>
      <c r="BR1970"/>
      <c r="BS1970"/>
      <c r="BT1970"/>
      <c r="BU1970"/>
      <c r="BV1970"/>
      <c r="BW1970"/>
      <c r="BX1970"/>
      <c r="BY1970"/>
      <c r="BZ1970"/>
      <c r="CA1970"/>
      <c r="CB1970"/>
      <c r="CC1970"/>
      <c r="CD1970"/>
      <c r="CE1970"/>
      <c r="CF1970"/>
      <c r="CG1970"/>
      <c r="CH1970"/>
      <c r="CI1970"/>
      <c r="CJ1970"/>
      <c r="CK1970"/>
      <c r="CL1970"/>
      <c r="CM1970"/>
      <c r="CN1970"/>
      <c r="CO1970"/>
      <c r="CP1970"/>
      <c r="CQ1970"/>
      <c r="CR1970"/>
      <c r="CS1970"/>
    </row>
    <row r="1971" spans="2:97">
      <c r="B1971"/>
      <c r="C1971" s="1"/>
      <c r="D1971" s="1"/>
      <c r="E1971" s="1"/>
      <c r="F1971" s="1"/>
      <c r="G1971" s="1"/>
      <c r="H1971" s="1"/>
      <c r="I1971" s="1"/>
      <c r="J1971" s="1"/>
      <c r="K1971" s="1"/>
      <c r="L1971" s="1"/>
      <c r="M1971" s="1"/>
      <c r="N1971" s="1"/>
      <c r="O1971" s="1"/>
      <c r="P1971" s="1"/>
      <c r="Q1971" s="1"/>
      <c r="R1971"/>
      <c r="S1971" s="1"/>
      <c r="T1971" s="24"/>
      <c r="U1971"/>
      <c r="V1971" s="1"/>
      <c r="W1971" s="24"/>
      <c r="X1971"/>
      <c r="Y1971" s="1"/>
      <c r="Z1971" s="24"/>
      <c r="AA1971"/>
      <c r="AB1971" s="1"/>
      <c r="AC1971" s="24"/>
      <c r="AD1971"/>
      <c r="AE1971"/>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c r="BI1971"/>
      <c r="BJ1971"/>
      <c r="BK1971"/>
      <c r="BL1971"/>
      <c r="BM1971"/>
      <c r="BN1971"/>
      <c r="BO1971"/>
      <c r="BP1971"/>
      <c r="BQ1971"/>
      <c r="BR1971"/>
      <c r="BS1971"/>
      <c r="BT1971"/>
      <c r="BU1971"/>
      <c r="BV1971"/>
      <c r="BW1971"/>
      <c r="BX1971"/>
      <c r="BY1971"/>
      <c r="BZ1971"/>
      <c r="CA1971"/>
      <c r="CB1971"/>
      <c r="CC1971"/>
      <c r="CD1971"/>
      <c r="CE1971"/>
      <c r="CF1971"/>
      <c r="CG1971"/>
      <c r="CH1971"/>
      <c r="CI1971"/>
      <c r="CJ1971"/>
      <c r="CK1971"/>
      <c r="CL1971"/>
      <c r="CM1971"/>
      <c r="CN1971"/>
      <c r="CO1971"/>
      <c r="CP1971"/>
      <c r="CQ1971"/>
      <c r="CR1971"/>
      <c r="CS1971"/>
    </row>
    <row r="1972" spans="2:97">
      <c r="B1972"/>
      <c r="C1972" s="1"/>
      <c r="D1972" s="1"/>
      <c r="E1972" s="1"/>
      <c r="F1972" s="1"/>
      <c r="G1972" s="1"/>
      <c r="H1972" s="1"/>
      <c r="I1972" s="1"/>
      <c r="J1972" s="1"/>
      <c r="K1972" s="1"/>
      <c r="L1972" s="1"/>
      <c r="M1972" s="1"/>
      <c r="N1972" s="1"/>
      <c r="O1972" s="1"/>
      <c r="P1972" s="1"/>
      <c r="Q1972" s="1"/>
      <c r="R1972"/>
      <c r="S1972" s="1"/>
      <c r="T1972" s="24"/>
      <c r="U1972"/>
      <c r="V1972" s="1"/>
      <c r="W1972" s="24"/>
      <c r="X1972"/>
      <c r="Y1972" s="1"/>
      <c r="Z1972" s="24"/>
      <c r="AA1972"/>
      <c r="AB1972" s="1"/>
      <c r="AC1972" s="24"/>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c r="CE1972"/>
      <c r="CF1972"/>
      <c r="CG1972"/>
      <c r="CH1972"/>
      <c r="CI1972"/>
      <c r="CJ1972"/>
      <c r="CK1972"/>
      <c r="CL1972"/>
      <c r="CM1972"/>
      <c r="CN1972"/>
      <c r="CO1972"/>
      <c r="CP1972"/>
      <c r="CQ1972"/>
      <c r="CR1972"/>
      <c r="CS1972"/>
    </row>
    <row r="1973" spans="2:97">
      <c r="B1973"/>
      <c r="C1973" s="1"/>
      <c r="D1973" s="1"/>
      <c r="E1973" s="1"/>
      <c r="F1973" s="1"/>
      <c r="G1973" s="1"/>
      <c r="H1973" s="1"/>
      <c r="I1973" s="1"/>
      <c r="J1973" s="1"/>
      <c r="K1973" s="1"/>
      <c r="L1973" s="1"/>
      <c r="M1973" s="1"/>
      <c r="N1973" s="1"/>
      <c r="O1973" s="1"/>
      <c r="P1973" s="1"/>
      <c r="Q1973" s="1"/>
      <c r="R1973"/>
      <c r="S1973" s="1"/>
      <c r="T1973" s="24"/>
      <c r="U1973"/>
      <c r="V1973" s="1"/>
      <c r="W1973" s="24"/>
      <c r="X1973"/>
      <c r="Y1973" s="1"/>
      <c r="Z1973" s="24"/>
      <c r="AA1973"/>
      <c r="AB1973" s="1"/>
      <c r="AC1973" s="24"/>
      <c r="AD1973"/>
      <c r="AE1973"/>
      <c r="AF1973"/>
      <c r="AG1973"/>
      <c r="AH1973"/>
      <c r="AI1973"/>
      <c r="AJ1973"/>
      <c r="AK1973"/>
      <c r="AL1973"/>
      <c r="AM1973"/>
      <c r="AN1973"/>
      <c r="AO1973"/>
      <c r="AP1973"/>
      <c r="AQ1973"/>
      <c r="AR1973"/>
      <c r="AS1973"/>
      <c r="AT1973"/>
      <c r="AU1973"/>
      <c r="AV1973"/>
      <c r="AW1973"/>
      <c r="AX1973"/>
      <c r="AY1973"/>
      <c r="AZ1973"/>
      <c r="BA1973"/>
      <c r="BB1973"/>
      <c r="BC1973"/>
      <c r="BD1973"/>
      <c r="BE1973"/>
      <c r="BF1973"/>
      <c r="BG1973"/>
      <c r="BH1973"/>
      <c r="BI1973"/>
      <c r="BJ1973"/>
      <c r="BK1973"/>
      <c r="BL1973"/>
      <c r="BM1973"/>
      <c r="BN1973"/>
      <c r="BO1973"/>
      <c r="BP1973"/>
      <c r="BQ1973"/>
      <c r="BR1973"/>
      <c r="BS1973"/>
      <c r="BT1973"/>
      <c r="BU1973"/>
      <c r="BV1973"/>
      <c r="BW1973"/>
      <c r="BX1973"/>
      <c r="BY1973"/>
      <c r="BZ1973"/>
      <c r="CA1973"/>
      <c r="CB1973"/>
      <c r="CC1973"/>
      <c r="CD1973"/>
      <c r="CE1973"/>
      <c r="CF1973"/>
      <c r="CG1973"/>
      <c r="CH1973"/>
      <c r="CI1973"/>
      <c r="CJ1973"/>
      <c r="CK1973"/>
      <c r="CL1973"/>
      <c r="CM1973"/>
      <c r="CN1973"/>
      <c r="CO1973"/>
      <c r="CP1973"/>
      <c r="CQ1973"/>
      <c r="CR1973"/>
      <c r="CS1973"/>
    </row>
    <row r="1974" spans="2:97">
      <c r="B1974"/>
      <c r="C1974" s="1"/>
      <c r="D1974" s="1"/>
      <c r="E1974" s="1"/>
      <c r="F1974" s="1"/>
      <c r="G1974" s="1"/>
      <c r="H1974" s="1"/>
      <c r="I1974" s="1"/>
      <c r="J1974" s="1"/>
      <c r="K1974" s="1"/>
      <c r="L1974" s="1"/>
      <c r="M1974" s="1"/>
      <c r="N1974" s="1"/>
      <c r="O1974" s="1"/>
      <c r="P1974" s="1"/>
      <c r="Q1974" s="1"/>
      <c r="R1974"/>
      <c r="S1974" s="1"/>
      <c r="T1974" s="24"/>
      <c r="U1974"/>
      <c r="V1974" s="1"/>
      <c r="W1974" s="24"/>
      <c r="X1974"/>
      <c r="Y1974" s="1"/>
      <c r="Z1974" s="24"/>
      <c r="AA1974"/>
      <c r="AB1974" s="1"/>
      <c r="AC1974" s="24"/>
      <c r="AD1974"/>
      <c r="AE1974"/>
      <c r="AF1974"/>
      <c r="AG1974"/>
      <c r="AH1974"/>
      <c r="AI1974"/>
      <c r="AJ1974"/>
      <c r="AK1974"/>
      <c r="AL1974"/>
      <c r="AM1974"/>
      <c r="AN1974"/>
      <c r="AO1974"/>
      <c r="AP1974"/>
      <c r="AQ1974"/>
      <c r="AR1974"/>
      <c r="AS1974"/>
      <c r="AT1974"/>
      <c r="AU1974"/>
      <c r="AV1974"/>
      <c r="AW1974"/>
      <c r="AX1974"/>
      <c r="AY1974"/>
      <c r="AZ1974"/>
      <c r="BA1974"/>
      <c r="BB1974"/>
      <c r="BC1974"/>
      <c r="BD1974"/>
      <c r="BE1974"/>
      <c r="BF1974"/>
      <c r="BG1974"/>
      <c r="BH1974"/>
      <c r="BI1974"/>
      <c r="BJ1974"/>
      <c r="BK1974"/>
      <c r="BL1974"/>
      <c r="BM1974"/>
      <c r="BN1974"/>
      <c r="BO1974"/>
      <c r="BP1974"/>
      <c r="BQ1974"/>
      <c r="BR1974"/>
      <c r="BS1974"/>
      <c r="BT1974"/>
      <c r="BU1974"/>
      <c r="BV1974"/>
      <c r="BW1974"/>
      <c r="BX1974"/>
      <c r="BY1974"/>
      <c r="BZ1974"/>
      <c r="CA1974"/>
      <c r="CB1974"/>
      <c r="CC1974"/>
      <c r="CD1974"/>
      <c r="CE1974"/>
      <c r="CF1974"/>
      <c r="CG1974"/>
      <c r="CH1974"/>
      <c r="CI1974"/>
      <c r="CJ1974"/>
      <c r="CK1974"/>
      <c r="CL1974"/>
      <c r="CM1974"/>
      <c r="CN1974"/>
      <c r="CO1974"/>
      <c r="CP1974"/>
      <c r="CQ1974"/>
      <c r="CR1974"/>
      <c r="CS1974"/>
    </row>
    <row r="1975" spans="2:97">
      <c r="B1975"/>
      <c r="C1975" s="1"/>
      <c r="D1975" s="1"/>
      <c r="E1975" s="1"/>
      <c r="F1975" s="1"/>
      <c r="G1975" s="1"/>
      <c r="H1975" s="1"/>
      <c r="I1975" s="1"/>
      <c r="J1975" s="1"/>
      <c r="K1975" s="1"/>
      <c r="L1975" s="1"/>
      <c r="M1975" s="1"/>
      <c r="N1975" s="1"/>
      <c r="O1975" s="1"/>
      <c r="P1975" s="1"/>
      <c r="Q1975" s="1"/>
      <c r="R1975"/>
      <c r="S1975" s="1"/>
      <c r="T1975" s="24"/>
      <c r="U1975"/>
      <c r="V1975" s="1"/>
      <c r="W1975" s="24"/>
      <c r="X1975"/>
      <c r="Y1975" s="1"/>
      <c r="Z1975" s="24"/>
      <c r="AA1975"/>
      <c r="AB1975" s="1"/>
      <c r="AC1975" s="24"/>
      <c r="AD1975"/>
      <c r="AE1975"/>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c r="BJ1975"/>
      <c r="BK1975"/>
      <c r="BL1975"/>
      <c r="BM1975"/>
      <c r="BN1975"/>
      <c r="BO1975"/>
      <c r="BP1975"/>
      <c r="BQ1975"/>
      <c r="BR1975"/>
      <c r="BS1975"/>
      <c r="BT1975"/>
      <c r="BU1975"/>
      <c r="BV1975"/>
      <c r="BW1975"/>
      <c r="BX1975"/>
      <c r="BY1975"/>
      <c r="BZ1975"/>
      <c r="CA1975"/>
      <c r="CB1975"/>
      <c r="CC1975"/>
      <c r="CD1975"/>
      <c r="CE1975"/>
      <c r="CF1975"/>
      <c r="CG1975"/>
      <c r="CH1975"/>
      <c r="CI1975"/>
      <c r="CJ1975"/>
      <c r="CK1975"/>
      <c r="CL1975"/>
      <c r="CM1975"/>
      <c r="CN1975"/>
      <c r="CO1975"/>
      <c r="CP1975"/>
      <c r="CQ1975"/>
      <c r="CR1975"/>
      <c r="CS1975"/>
    </row>
    <row r="1976" spans="2:97">
      <c r="B1976"/>
      <c r="C1976" s="1"/>
      <c r="D1976" s="1"/>
      <c r="E1976" s="1"/>
      <c r="F1976" s="1"/>
      <c r="G1976" s="1"/>
      <c r="H1976" s="1"/>
      <c r="I1976" s="1"/>
      <c r="J1976" s="1"/>
      <c r="K1976" s="1"/>
      <c r="L1976" s="1"/>
      <c r="M1976" s="1"/>
      <c r="N1976" s="1"/>
      <c r="O1976" s="1"/>
      <c r="P1976" s="1"/>
      <c r="Q1976" s="1"/>
      <c r="R1976"/>
      <c r="S1976" s="1"/>
      <c r="T1976" s="24"/>
      <c r="U1976"/>
      <c r="V1976" s="1"/>
      <c r="W1976" s="24"/>
      <c r="X1976"/>
      <c r="Y1976" s="1"/>
      <c r="Z1976" s="24"/>
      <c r="AA1976"/>
      <c r="AB1976" s="1"/>
      <c r="AC1976" s="24"/>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c r="BF1976"/>
      <c r="BG1976"/>
      <c r="BH1976"/>
      <c r="BI1976"/>
      <c r="BJ1976"/>
      <c r="BK1976"/>
      <c r="BL1976"/>
      <c r="BM1976"/>
      <c r="BN1976"/>
      <c r="BO1976"/>
      <c r="BP1976"/>
      <c r="BQ1976"/>
      <c r="BR1976"/>
      <c r="BS1976"/>
      <c r="BT1976"/>
      <c r="BU1976"/>
      <c r="BV1976"/>
      <c r="BW1976"/>
      <c r="BX1976"/>
      <c r="BY1976"/>
      <c r="BZ1976"/>
      <c r="CA1976"/>
      <c r="CB1976"/>
      <c r="CC1976"/>
      <c r="CD1976"/>
      <c r="CE1976"/>
      <c r="CF1976"/>
      <c r="CG1976"/>
      <c r="CH1976"/>
      <c r="CI1976"/>
      <c r="CJ1976"/>
      <c r="CK1976"/>
      <c r="CL1976"/>
      <c r="CM1976"/>
      <c r="CN1976"/>
      <c r="CO1976"/>
      <c r="CP1976"/>
      <c r="CQ1976"/>
      <c r="CR1976"/>
      <c r="CS1976"/>
    </row>
    <row r="1977" spans="2:97">
      <c r="B1977"/>
      <c r="C1977" s="1"/>
      <c r="D1977" s="1"/>
      <c r="E1977" s="1"/>
      <c r="F1977" s="1"/>
      <c r="G1977" s="1"/>
      <c r="H1977" s="1"/>
      <c r="I1977" s="1"/>
      <c r="J1977" s="1"/>
      <c r="K1977" s="1"/>
      <c r="L1977" s="1"/>
      <c r="M1977" s="1"/>
      <c r="N1977" s="1"/>
      <c r="O1977" s="1"/>
      <c r="P1977" s="1"/>
      <c r="Q1977" s="1"/>
      <c r="R1977"/>
      <c r="S1977" s="1"/>
      <c r="T1977" s="24"/>
      <c r="U1977"/>
      <c r="V1977" s="1"/>
      <c r="W1977" s="24"/>
      <c r="X1977"/>
      <c r="Y1977" s="1"/>
      <c r="Z1977" s="24"/>
      <c r="AA1977"/>
      <c r="AB1977" s="1"/>
      <c r="AC1977" s="24"/>
      <c r="AD1977"/>
      <c r="AE1977"/>
      <c r="AF1977"/>
      <c r="AG1977"/>
      <c r="AH1977"/>
      <c r="AI1977"/>
      <c r="AJ1977"/>
      <c r="AK1977"/>
      <c r="AL1977"/>
      <c r="AM1977"/>
      <c r="AN1977"/>
      <c r="AO1977"/>
      <c r="AP1977"/>
      <c r="AQ1977"/>
      <c r="AR1977"/>
      <c r="AS1977"/>
      <c r="AT1977"/>
      <c r="AU1977"/>
      <c r="AV1977"/>
      <c r="AW1977"/>
      <c r="AX1977"/>
      <c r="AY1977"/>
      <c r="AZ1977"/>
      <c r="BA1977"/>
      <c r="BB1977"/>
      <c r="BC1977"/>
      <c r="BD1977"/>
      <c r="BE1977"/>
      <c r="BF1977"/>
      <c r="BG1977"/>
      <c r="BH1977"/>
      <c r="BI1977"/>
      <c r="BJ1977"/>
      <c r="BK1977"/>
      <c r="BL1977"/>
      <c r="BM1977"/>
      <c r="BN1977"/>
      <c r="BO1977"/>
      <c r="BP1977"/>
      <c r="BQ1977"/>
      <c r="BR1977"/>
      <c r="BS1977"/>
      <c r="BT1977"/>
      <c r="BU1977"/>
      <c r="BV1977"/>
      <c r="BW1977"/>
      <c r="BX1977"/>
      <c r="BY1977"/>
      <c r="BZ1977"/>
      <c r="CA1977"/>
      <c r="CB1977"/>
      <c r="CC1977"/>
      <c r="CD1977"/>
      <c r="CE1977"/>
      <c r="CF1977"/>
      <c r="CG1977"/>
      <c r="CH1977"/>
      <c r="CI1977"/>
      <c r="CJ1977"/>
      <c r="CK1977"/>
      <c r="CL1977"/>
      <c r="CM1977"/>
      <c r="CN1977"/>
      <c r="CO1977"/>
      <c r="CP1977"/>
      <c r="CQ1977"/>
      <c r="CR1977"/>
      <c r="CS1977"/>
    </row>
    <row r="1978" spans="2:97">
      <c r="B1978"/>
      <c r="C1978" s="1"/>
      <c r="D1978" s="1"/>
      <c r="E1978" s="1"/>
      <c r="F1978" s="1"/>
      <c r="G1978" s="1"/>
      <c r="H1978" s="1"/>
      <c r="I1978" s="1"/>
      <c r="J1978" s="1"/>
      <c r="K1978" s="1"/>
      <c r="L1978" s="1"/>
      <c r="M1978" s="1"/>
      <c r="N1978" s="1"/>
      <c r="O1978" s="1"/>
      <c r="P1978" s="1"/>
      <c r="Q1978" s="1"/>
      <c r="R1978"/>
      <c r="S1978" s="1"/>
      <c r="T1978" s="24"/>
      <c r="U1978"/>
      <c r="V1978" s="1"/>
      <c r="W1978" s="24"/>
      <c r="X1978"/>
      <c r="Y1978" s="1"/>
      <c r="Z1978" s="24"/>
      <c r="AA1978"/>
      <c r="AB1978" s="1"/>
      <c r="AC1978" s="24"/>
      <c r="AD1978"/>
      <c r="AE1978"/>
      <c r="AF1978"/>
      <c r="AG1978"/>
      <c r="AH1978"/>
      <c r="AI1978"/>
      <c r="AJ1978"/>
      <c r="AK1978"/>
      <c r="AL1978"/>
      <c r="AM1978"/>
      <c r="AN1978"/>
      <c r="AO1978"/>
      <c r="AP1978"/>
      <c r="AQ1978"/>
      <c r="AR1978"/>
      <c r="AS1978"/>
      <c r="AT1978"/>
      <c r="AU1978"/>
      <c r="AV1978"/>
      <c r="AW1978"/>
      <c r="AX1978"/>
      <c r="AY1978"/>
      <c r="AZ1978"/>
      <c r="BA1978"/>
      <c r="BB1978"/>
      <c r="BC1978"/>
      <c r="BD1978"/>
      <c r="BE1978"/>
      <c r="BF1978"/>
      <c r="BG1978"/>
      <c r="BH1978"/>
      <c r="BI1978"/>
      <c r="BJ1978"/>
      <c r="BK1978"/>
      <c r="BL1978"/>
      <c r="BM1978"/>
      <c r="BN1978"/>
      <c r="BO1978"/>
      <c r="BP1978"/>
      <c r="BQ1978"/>
      <c r="BR1978"/>
      <c r="BS1978"/>
      <c r="BT1978"/>
      <c r="BU1978"/>
      <c r="BV1978"/>
      <c r="BW1978"/>
      <c r="BX1978"/>
      <c r="BY1978"/>
      <c r="BZ1978"/>
      <c r="CA1978"/>
      <c r="CB1978"/>
      <c r="CC1978"/>
      <c r="CD1978"/>
      <c r="CE1978"/>
      <c r="CF1978"/>
      <c r="CG1978"/>
      <c r="CH1978"/>
      <c r="CI1978"/>
      <c r="CJ1978"/>
      <c r="CK1978"/>
      <c r="CL1978"/>
      <c r="CM1978"/>
      <c r="CN1978"/>
      <c r="CO1978"/>
      <c r="CP1978"/>
      <c r="CQ1978"/>
      <c r="CR1978"/>
      <c r="CS1978"/>
    </row>
    <row r="1979" spans="2:97">
      <c r="B1979"/>
      <c r="C1979" s="1"/>
      <c r="D1979" s="1"/>
      <c r="E1979" s="1"/>
      <c r="F1979" s="1"/>
      <c r="G1979" s="1"/>
      <c r="H1979" s="1"/>
      <c r="I1979" s="1"/>
      <c r="J1979" s="1"/>
      <c r="K1979" s="1"/>
      <c r="L1979" s="1"/>
      <c r="M1979" s="1"/>
      <c r="N1979" s="1"/>
      <c r="O1979" s="1"/>
      <c r="P1979" s="1"/>
      <c r="Q1979" s="1"/>
      <c r="R1979"/>
      <c r="S1979" s="1"/>
      <c r="T1979" s="24"/>
      <c r="U1979"/>
      <c r="V1979" s="1"/>
      <c r="W1979" s="24"/>
      <c r="X1979"/>
      <c r="Y1979" s="1"/>
      <c r="Z1979" s="24"/>
      <c r="AA1979"/>
      <c r="AB1979" s="1"/>
      <c r="AC1979" s="24"/>
      <c r="AD1979"/>
      <c r="AE1979"/>
      <c r="AF1979"/>
      <c r="AG1979"/>
      <c r="AH1979"/>
      <c r="AI1979"/>
      <c r="AJ1979"/>
      <c r="AK1979"/>
      <c r="AL1979"/>
      <c r="AM1979"/>
      <c r="AN1979"/>
      <c r="AO1979"/>
      <c r="AP1979"/>
      <c r="AQ1979"/>
      <c r="AR1979"/>
      <c r="AS1979"/>
      <c r="AT1979"/>
      <c r="AU1979"/>
      <c r="AV1979"/>
      <c r="AW1979"/>
      <c r="AX1979"/>
      <c r="AY1979"/>
      <c r="AZ1979"/>
      <c r="BA1979"/>
      <c r="BB1979"/>
      <c r="BC1979"/>
      <c r="BD1979"/>
      <c r="BE1979"/>
      <c r="BF1979"/>
      <c r="BG1979"/>
      <c r="BH1979"/>
      <c r="BI1979"/>
      <c r="BJ1979"/>
      <c r="BK1979"/>
      <c r="BL1979"/>
      <c r="BM1979"/>
      <c r="BN1979"/>
      <c r="BO1979"/>
      <c r="BP1979"/>
      <c r="BQ1979"/>
      <c r="BR1979"/>
      <c r="BS1979"/>
      <c r="BT1979"/>
      <c r="BU1979"/>
      <c r="BV1979"/>
      <c r="BW1979"/>
      <c r="BX1979"/>
      <c r="BY1979"/>
      <c r="BZ1979"/>
      <c r="CA1979"/>
      <c r="CB1979"/>
      <c r="CC1979"/>
      <c r="CD1979"/>
      <c r="CE1979"/>
      <c r="CF1979"/>
      <c r="CG1979"/>
      <c r="CH1979"/>
      <c r="CI1979"/>
      <c r="CJ1979"/>
      <c r="CK1979"/>
      <c r="CL1979"/>
      <c r="CM1979"/>
      <c r="CN1979"/>
      <c r="CO1979"/>
      <c r="CP1979"/>
      <c r="CQ1979"/>
      <c r="CR1979"/>
      <c r="CS1979"/>
    </row>
    <row r="1980" spans="2:97">
      <c r="B1980"/>
      <c r="C1980" s="1"/>
      <c r="D1980" s="1"/>
      <c r="E1980" s="1"/>
      <c r="F1980" s="1"/>
      <c r="G1980" s="1"/>
      <c r="H1980" s="1"/>
      <c r="I1980" s="1"/>
      <c r="J1980" s="1"/>
      <c r="K1980" s="1"/>
      <c r="L1980" s="1"/>
      <c r="M1980" s="1"/>
      <c r="N1980" s="1"/>
      <c r="O1980" s="1"/>
      <c r="P1980" s="1"/>
      <c r="Q1980" s="1"/>
      <c r="R1980"/>
      <c r="S1980" s="1"/>
      <c r="T1980" s="24"/>
      <c r="U1980"/>
      <c r="V1980" s="1"/>
      <c r="W1980" s="24"/>
      <c r="X1980"/>
      <c r="Y1980" s="1"/>
      <c r="Z1980" s="24"/>
      <c r="AA1980"/>
      <c r="AB1980" s="1"/>
      <c r="AC1980" s="24"/>
      <c r="AD1980"/>
      <c r="AE1980"/>
      <c r="AF1980"/>
      <c r="AG1980"/>
      <c r="AH1980"/>
      <c r="AI1980"/>
      <c r="AJ1980"/>
      <c r="AK1980"/>
      <c r="AL1980"/>
      <c r="AM1980"/>
      <c r="AN1980"/>
      <c r="AO1980"/>
      <c r="AP1980"/>
      <c r="AQ1980"/>
      <c r="AR1980"/>
      <c r="AS1980"/>
      <c r="AT1980"/>
      <c r="AU1980"/>
      <c r="AV1980"/>
      <c r="AW1980"/>
      <c r="AX1980"/>
      <c r="AY1980"/>
      <c r="AZ1980"/>
      <c r="BA1980"/>
      <c r="BB1980"/>
      <c r="BC1980"/>
      <c r="BD1980"/>
      <c r="BE1980"/>
      <c r="BF1980"/>
      <c r="BG1980"/>
      <c r="BH1980"/>
      <c r="BI1980"/>
      <c r="BJ1980"/>
      <c r="BK1980"/>
      <c r="BL1980"/>
      <c r="BM1980"/>
      <c r="BN1980"/>
      <c r="BO1980"/>
      <c r="BP1980"/>
      <c r="BQ1980"/>
      <c r="BR1980"/>
      <c r="BS1980"/>
      <c r="BT1980"/>
      <c r="BU1980"/>
      <c r="BV1980"/>
      <c r="BW1980"/>
      <c r="BX1980"/>
      <c r="BY1980"/>
      <c r="BZ1980"/>
      <c r="CA1980"/>
      <c r="CB1980"/>
      <c r="CC1980"/>
      <c r="CD1980"/>
      <c r="CE1980"/>
      <c r="CF1980"/>
      <c r="CG1980"/>
      <c r="CH1980"/>
      <c r="CI1980"/>
      <c r="CJ1980"/>
      <c r="CK1980"/>
      <c r="CL1980"/>
      <c r="CM1980"/>
      <c r="CN1980"/>
      <c r="CO1980"/>
      <c r="CP1980"/>
      <c r="CQ1980"/>
      <c r="CR1980"/>
      <c r="CS1980"/>
    </row>
    <row r="1981" spans="2:97">
      <c r="B1981"/>
      <c r="C1981" s="1"/>
      <c r="D1981" s="1"/>
      <c r="E1981" s="1"/>
      <c r="F1981" s="1"/>
      <c r="G1981" s="1"/>
      <c r="H1981" s="1"/>
      <c r="I1981" s="1"/>
      <c r="J1981" s="1"/>
      <c r="K1981" s="1"/>
      <c r="L1981" s="1"/>
      <c r="M1981" s="1"/>
      <c r="N1981" s="1"/>
      <c r="O1981" s="1"/>
      <c r="P1981" s="1"/>
      <c r="Q1981" s="1"/>
      <c r="R1981"/>
      <c r="S1981" s="1"/>
      <c r="T1981" s="24"/>
      <c r="U1981"/>
      <c r="V1981" s="1"/>
      <c r="W1981" s="24"/>
      <c r="X1981"/>
      <c r="Y1981" s="1"/>
      <c r="Z1981" s="24"/>
      <c r="AA1981"/>
      <c r="AB1981" s="1"/>
      <c r="AC1981" s="24"/>
      <c r="AD1981"/>
      <c r="AE1981"/>
      <c r="AF1981"/>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c r="BJ1981"/>
      <c r="BK1981"/>
      <c r="BL1981"/>
      <c r="BM1981"/>
      <c r="BN1981"/>
      <c r="BO1981"/>
      <c r="BP1981"/>
      <c r="BQ1981"/>
      <c r="BR1981"/>
      <c r="BS1981"/>
      <c r="BT1981"/>
      <c r="BU1981"/>
      <c r="BV1981"/>
      <c r="BW1981"/>
      <c r="BX1981"/>
      <c r="BY1981"/>
      <c r="BZ1981"/>
      <c r="CA1981"/>
      <c r="CB1981"/>
      <c r="CC1981"/>
      <c r="CD1981"/>
      <c r="CE1981"/>
      <c r="CF1981"/>
      <c r="CG1981"/>
      <c r="CH1981"/>
      <c r="CI1981"/>
      <c r="CJ1981"/>
      <c r="CK1981"/>
      <c r="CL1981"/>
      <c r="CM1981"/>
      <c r="CN1981"/>
      <c r="CO1981"/>
      <c r="CP1981"/>
      <c r="CQ1981"/>
      <c r="CR1981"/>
      <c r="CS1981"/>
    </row>
    <row r="1982" spans="2:97">
      <c r="B1982"/>
      <c r="C1982" s="1"/>
      <c r="D1982" s="1"/>
      <c r="E1982" s="1"/>
      <c r="F1982" s="1"/>
      <c r="G1982" s="1"/>
      <c r="H1982" s="1"/>
      <c r="I1982" s="1"/>
      <c r="J1982" s="1"/>
      <c r="K1982" s="1"/>
      <c r="L1982" s="1"/>
      <c r="M1982" s="1"/>
      <c r="N1982" s="1"/>
      <c r="O1982" s="1"/>
      <c r="P1982" s="1"/>
      <c r="Q1982" s="1"/>
      <c r="R1982"/>
      <c r="S1982" s="1"/>
      <c r="T1982" s="24"/>
      <c r="U1982"/>
      <c r="V1982" s="1"/>
      <c r="W1982" s="24"/>
      <c r="X1982"/>
      <c r="Y1982" s="1"/>
      <c r="Z1982" s="24"/>
      <c r="AA1982"/>
      <c r="AB1982" s="1"/>
      <c r="AC1982" s="24"/>
      <c r="AD1982"/>
      <c r="AE1982"/>
      <c r="AF1982"/>
      <c r="AG1982"/>
      <c r="AH1982"/>
      <c r="AI1982"/>
      <c r="AJ1982"/>
      <c r="AK1982"/>
      <c r="AL1982"/>
      <c r="AM1982"/>
      <c r="AN1982"/>
      <c r="AO1982"/>
      <c r="AP1982"/>
      <c r="AQ1982"/>
      <c r="AR1982"/>
      <c r="AS1982"/>
      <c r="AT1982"/>
      <c r="AU1982"/>
      <c r="AV1982"/>
      <c r="AW1982"/>
      <c r="AX1982"/>
      <c r="AY1982"/>
      <c r="AZ1982"/>
      <c r="BA1982"/>
      <c r="BB1982"/>
      <c r="BC1982"/>
      <c r="BD1982"/>
      <c r="BE1982"/>
      <c r="BF1982"/>
      <c r="BG1982"/>
      <c r="BH1982"/>
      <c r="BI1982"/>
      <c r="BJ1982"/>
      <c r="BK1982"/>
      <c r="BL1982"/>
      <c r="BM1982"/>
      <c r="BN1982"/>
      <c r="BO1982"/>
      <c r="BP1982"/>
      <c r="BQ1982"/>
      <c r="BR1982"/>
      <c r="BS1982"/>
      <c r="BT1982"/>
      <c r="BU1982"/>
      <c r="BV1982"/>
      <c r="BW1982"/>
      <c r="BX1982"/>
      <c r="BY1982"/>
      <c r="BZ1982"/>
      <c r="CA1982"/>
      <c r="CB1982"/>
      <c r="CC1982"/>
      <c r="CD1982"/>
      <c r="CE1982"/>
      <c r="CF1982"/>
      <c r="CG1982"/>
      <c r="CH1982"/>
      <c r="CI1982"/>
      <c r="CJ1982"/>
      <c r="CK1982"/>
      <c r="CL1982"/>
      <c r="CM1982"/>
      <c r="CN1982"/>
      <c r="CO1982"/>
      <c r="CP1982"/>
      <c r="CQ1982"/>
      <c r="CR1982"/>
      <c r="CS1982"/>
    </row>
    <row r="1983" spans="2:97">
      <c r="B1983"/>
      <c r="C1983" s="1"/>
      <c r="D1983" s="1"/>
      <c r="E1983" s="1"/>
      <c r="F1983" s="1"/>
      <c r="G1983" s="1"/>
      <c r="H1983" s="1"/>
      <c r="I1983" s="1"/>
      <c r="J1983" s="1"/>
      <c r="K1983" s="1"/>
      <c r="L1983" s="1"/>
      <c r="M1983" s="1"/>
      <c r="N1983" s="1"/>
      <c r="O1983" s="1"/>
      <c r="P1983" s="1"/>
      <c r="Q1983" s="1"/>
      <c r="R1983"/>
      <c r="S1983" s="1"/>
      <c r="T1983" s="24"/>
      <c r="U1983"/>
      <c r="V1983" s="1"/>
      <c r="W1983" s="24"/>
      <c r="X1983"/>
      <c r="Y1983" s="1"/>
      <c r="Z1983" s="24"/>
      <c r="AA1983"/>
      <c r="AB1983" s="1"/>
      <c r="AC1983" s="24"/>
      <c r="AD1983"/>
      <c r="AE1983"/>
      <c r="AF1983"/>
      <c r="AG1983"/>
      <c r="AH1983"/>
      <c r="AI1983"/>
      <c r="AJ1983"/>
      <c r="AK1983"/>
      <c r="AL1983"/>
      <c r="AM1983"/>
      <c r="AN1983"/>
      <c r="AO1983"/>
      <c r="AP1983"/>
      <c r="AQ1983"/>
      <c r="AR1983"/>
      <c r="AS1983"/>
      <c r="AT1983"/>
      <c r="AU1983"/>
      <c r="AV1983"/>
      <c r="AW1983"/>
      <c r="AX1983"/>
      <c r="AY1983"/>
      <c r="AZ1983"/>
      <c r="BA1983"/>
      <c r="BB1983"/>
      <c r="BC1983"/>
      <c r="BD1983"/>
      <c r="BE1983"/>
      <c r="BF1983"/>
      <c r="BG1983"/>
      <c r="BH1983"/>
      <c r="BI1983"/>
      <c r="BJ1983"/>
      <c r="BK1983"/>
      <c r="BL1983"/>
      <c r="BM1983"/>
      <c r="BN1983"/>
      <c r="BO1983"/>
      <c r="BP1983"/>
      <c r="BQ1983"/>
      <c r="BR1983"/>
      <c r="BS1983"/>
      <c r="BT1983"/>
      <c r="BU1983"/>
      <c r="BV1983"/>
      <c r="BW1983"/>
      <c r="BX1983"/>
      <c r="BY1983"/>
      <c r="BZ1983"/>
      <c r="CA1983"/>
      <c r="CB1983"/>
      <c r="CC1983"/>
      <c r="CD1983"/>
      <c r="CE1983"/>
      <c r="CF1983"/>
      <c r="CG1983"/>
      <c r="CH1983"/>
      <c r="CI1983"/>
      <c r="CJ1983"/>
      <c r="CK1983"/>
      <c r="CL1983"/>
      <c r="CM1983"/>
      <c r="CN1983"/>
      <c r="CO1983"/>
      <c r="CP1983"/>
      <c r="CQ1983"/>
      <c r="CR1983"/>
      <c r="CS1983"/>
    </row>
    <row r="1984" spans="2:97">
      <c r="B1984"/>
      <c r="C1984" s="1"/>
      <c r="D1984" s="1"/>
      <c r="E1984" s="1"/>
      <c r="F1984" s="1"/>
      <c r="G1984" s="1"/>
      <c r="H1984" s="1"/>
      <c r="I1984" s="1"/>
      <c r="J1984" s="1"/>
      <c r="K1984" s="1"/>
      <c r="L1984" s="1"/>
      <c r="M1984" s="1"/>
      <c r="N1984" s="1"/>
      <c r="O1984" s="1"/>
      <c r="P1984" s="1"/>
      <c r="Q1984" s="1"/>
      <c r="R1984"/>
      <c r="S1984" s="1"/>
      <c r="T1984" s="24"/>
      <c r="U1984"/>
      <c r="V1984" s="1"/>
      <c r="W1984" s="24"/>
      <c r="X1984"/>
      <c r="Y1984" s="1"/>
      <c r="Z1984" s="24"/>
      <c r="AA1984"/>
      <c r="AB1984" s="1"/>
      <c r="AC1984" s="24"/>
      <c r="AD1984"/>
      <c r="AE1984"/>
      <c r="AF1984"/>
      <c r="AG1984"/>
      <c r="AH1984"/>
      <c r="AI1984"/>
      <c r="AJ1984"/>
      <c r="AK1984"/>
      <c r="AL1984"/>
      <c r="AM1984"/>
      <c r="AN1984"/>
      <c r="AO1984"/>
      <c r="AP1984"/>
      <c r="AQ1984"/>
      <c r="AR1984"/>
      <c r="AS1984"/>
      <c r="AT1984"/>
      <c r="AU1984"/>
      <c r="AV1984"/>
      <c r="AW1984"/>
      <c r="AX1984"/>
      <c r="AY1984"/>
      <c r="AZ1984"/>
      <c r="BA1984"/>
      <c r="BB1984"/>
      <c r="BC1984"/>
      <c r="BD1984"/>
      <c r="BE1984"/>
      <c r="BF1984"/>
      <c r="BG1984"/>
      <c r="BH1984"/>
      <c r="BI1984"/>
      <c r="BJ1984"/>
      <c r="BK1984"/>
      <c r="BL1984"/>
      <c r="BM1984"/>
      <c r="BN1984"/>
      <c r="BO1984"/>
      <c r="BP1984"/>
      <c r="BQ1984"/>
      <c r="BR1984"/>
      <c r="BS1984"/>
      <c r="BT1984"/>
      <c r="BU1984"/>
      <c r="BV1984"/>
      <c r="BW1984"/>
      <c r="BX1984"/>
      <c r="BY1984"/>
      <c r="BZ1984"/>
      <c r="CA1984"/>
      <c r="CB1984"/>
      <c r="CC1984"/>
      <c r="CD1984"/>
      <c r="CE1984"/>
      <c r="CF1984"/>
      <c r="CG1984"/>
      <c r="CH1984"/>
      <c r="CI1984"/>
      <c r="CJ1984"/>
      <c r="CK1984"/>
      <c r="CL1984"/>
      <c r="CM1984"/>
      <c r="CN1984"/>
      <c r="CO1984"/>
      <c r="CP1984"/>
      <c r="CQ1984"/>
      <c r="CR1984"/>
      <c r="CS1984"/>
    </row>
    <row r="1985" spans="2:97">
      <c r="B1985"/>
      <c r="C1985" s="1"/>
      <c r="D1985" s="1"/>
      <c r="E1985" s="1"/>
      <c r="F1985" s="1"/>
      <c r="G1985" s="1"/>
      <c r="H1985" s="1"/>
      <c r="I1985" s="1"/>
      <c r="J1985" s="1"/>
      <c r="K1985" s="1"/>
      <c r="L1985" s="1"/>
      <c r="M1985" s="1"/>
      <c r="N1985" s="1"/>
      <c r="O1985" s="1"/>
      <c r="P1985" s="1"/>
      <c r="Q1985" s="1"/>
      <c r="R1985"/>
      <c r="S1985" s="1"/>
      <c r="T1985" s="24"/>
      <c r="U1985"/>
      <c r="V1985" s="1"/>
      <c r="W1985" s="24"/>
      <c r="X1985"/>
      <c r="Y1985" s="1"/>
      <c r="Z1985" s="24"/>
      <c r="AA1985"/>
      <c r="AB1985" s="1"/>
      <c r="AC1985" s="24"/>
      <c r="AD1985"/>
      <c r="AE1985"/>
      <c r="AF1985"/>
      <c r="AG1985"/>
      <c r="AH1985"/>
      <c r="AI1985"/>
      <c r="AJ1985"/>
      <c r="AK1985"/>
      <c r="AL1985"/>
      <c r="AM1985"/>
      <c r="AN1985"/>
      <c r="AO1985"/>
      <c r="AP1985"/>
      <c r="AQ1985"/>
      <c r="AR1985"/>
      <c r="AS1985"/>
      <c r="AT1985"/>
      <c r="AU1985"/>
      <c r="AV1985"/>
      <c r="AW1985"/>
      <c r="AX1985"/>
      <c r="AY1985"/>
      <c r="AZ1985"/>
      <c r="BA1985"/>
      <c r="BB1985"/>
      <c r="BC1985"/>
      <c r="BD1985"/>
      <c r="BE1985"/>
      <c r="BF1985"/>
      <c r="BG1985"/>
      <c r="BH1985"/>
      <c r="BI1985"/>
      <c r="BJ1985"/>
      <c r="BK1985"/>
      <c r="BL1985"/>
      <c r="BM1985"/>
      <c r="BN1985"/>
      <c r="BO1985"/>
      <c r="BP1985"/>
      <c r="BQ1985"/>
      <c r="BR1985"/>
      <c r="BS1985"/>
      <c r="BT1985"/>
      <c r="BU1985"/>
      <c r="BV1985"/>
      <c r="BW1985"/>
      <c r="BX1985"/>
      <c r="BY1985"/>
      <c r="BZ1985"/>
      <c r="CA1985"/>
      <c r="CB1985"/>
      <c r="CC1985"/>
      <c r="CD1985"/>
      <c r="CE1985"/>
      <c r="CF1985"/>
      <c r="CG1985"/>
      <c r="CH1985"/>
      <c r="CI1985"/>
      <c r="CJ1985"/>
      <c r="CK1985"/>
      <c r="CL1985"/>
      <c r="CM1985"/>
      <c r="CN1985"/>
      <c r="CO1985"/>
      <c r="CP1985"/>
      <c r="CQ1985"/>
      <c r="CR1985"/>
      <c r="CS1985"/>
    </row>
    <row r="1986" spans="2:97">
      <c r="B1986"/>
      <c r="C1986" s="1"/>
      <c r="D1986" s="1"/>
      <c r="E1986" s="1"/>
      <c r="F1986" s="1"/>
      <c r="G1986" s="1"/>
      <c r="H1986" s="1"/>
      <c r="I1986" s="1"/>
      <c r="J1986" s="1"/>
      <c r="K1986" s="1"/>
      <c r="L1986" s="1"/>
      <c r="M1986" s="1"/>
      <c r="N1986" s="1"/>
      <c r="O1986" s="1"/>
      <c r="P1986" s="1"/>
      <c r="Q1986" s="1"/>
      <c r="R1986"/>
      <c r="S1986" s="1"/>
      <c r="T1986" s="24"/>
      <c r="U1986"/>
      <c r="V1986" s="1"/>
      <c r="W1986" s="24"/>
      <c r="X1986"/>
      <c r="Y1986" s="1"/>
      <c r="Z1986" s="24"/>
      <c r="AA1986"/>
      <c r="AB1986" s="1"/>
      <c r="AC1986" s="24"/>
      <c r="AD1986"/>
      <c r="AE1986"/>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c r="BJ1986"/>
      <c r="BK1986"/>
      <c r="BL1986"/>
      <c r="BM1986"/>
      <c r="BN1986"/>
      <c r="BO1986"/>
      <c r="BP1986"/>
      <c r="BQ1986"/>
      <c r="BR1986"/>
      <c r="BS1986"/>
      <c r="BT1986"/>
      <c r="BU1986"/>
      <c r="BV1986"/>
      <c r="BW1986"/>
      <c r="BX1986"/>
      <c r="BY1986"/>
      <c r="BZ1986"/>
      <c r="CA1986"/>
      <c r="CB1986"/>
      <c r="CC1986"/>
      <c r="CD1986"/>
      <c r="CE1986"/>
      <c r="CF1986"/>
      <c r="CG1986"/>
      <c r="CH1986"/>
      <c r="CI1986"/>
      <c r="CJ1986"/>
      <c r="CK1986"/>
      <c r="CL1986"/>
      <c r="CM1986"/>
      <c r="CN1986"/>
      <c r="CO1986"/>
      <c r="CP1986"/>
      <c r="CQ1986"/>
      <c r="CR1986"/>
      <c r="CS1986"/>
    </row>
    <row r="1987" spans="2:97">
      <c r="B1987"/>
      <c r="C1987" s="1"/>
      <c r="D1987" s="1"/>
      <c r="E1987" s="1"/>
      <c r="F1987" s="1"/>
      <c r="G1987" s="1"/>
      <c r="H1987" s="1"/>
      <c r="I1987" s="1"/>
      <c r="J1987" s="1"/>
      <c r="K1987" s="1"/>
      <c r="L1987" s="1"/>
      <c r="M1987" s="1"/>
      <c r="N1987" s="1"/>
      <c r="O1987" s="1"/>
      <c r="P1987" s="1"/>
      <c r="Q1987" s="1"/>
      <c r="R1987"/>
      <c r="S1987" s="1"/>
      <c r="T1987" s="24"/>
      <c r="U1987"/>
      <c r="V1987" s="1"/>
      <c r="W1987" s="24"/>
      <c r="X1987"/>
      <c r="Y1987" s="1"/>
      <c r="Z1987" s="24"/>
      <c r="AA1987"/>
      <c r="AB1987" s="1"/>
      <c r="AC1987" s="24"/>
      <c r="AD1987"/>
      <c r="AE1987"/>
      <c r="AF1987"/>
      <c r="AG1987"/>
      <c r="AH1987"/>
      <c r="AI1987"/>
      <c r="AJ1987"/>
      <c r="AK1987"/>
      <c r="AL1987"/>
      <c r="AM1987"/>
      <c r="AN1987"/>
      <c r="AO1987"/>
      <c r="AP1987"/>
      <c r="AQ1987"/>
      <c r="AR1987"/>
      <c r="AS1987"/>
      <c r="AT1987"/>
      <c r="AU1987"/>
      <c r="AV1987"/>
      <c r="AW1987"/>
      <c r="AX1987"/>
      <c r="AY1987"/>
      <c r="AZ1987"/>
      <c r="BA1987"/>
      <c r="BB1987"/>
      <c r="BC1987"/>
      <c r="BD1987"/>
      <c r="BE1987"/>
      <c r="BF1987"/>
      <c r="BG1987"/>
      <c r="BH1987"/>
      <c r="BI1987"/>
      <c r="BJ1987"/>
      <c r="BK1987"/>
      <c r="BL1987"/>
      <c r="BM1987"/>
      <c r="BN1987"/>
      <c r="BO1987"/>
      <c r="BP1987"/>
      <c r="BQ1987"/>
      <c r="BR1987"/>
      <c r="BS1987"/>
      <c r="BT1987"/>
      <c r="BU1987"/>
      <c r="BV1987"/>
      <c r="BW1987"/>
      <c r="BX1987"/>
      <c r="BY1987"/>
      <c r="BZ1987"/>
      <c r="CA1987"/>
      <c r="CB1987"/>
      <c r="CC1987"/>
      <c r="CD1987"/>
      <c r="CE1987"/>
      <c r="CF1987"/>
      <c r="CG1987"/>
      <c r="CH1987"/>
      <c r="CI1987"/>
      <c r="CJ1987"/>
      <c r="CK1987"/>
      <c r="CL1987"/>
      <c r="CM1987"/>
      <c r="CN1987"/>
      <c r="CO1987"/>
      <c r="CP1987"/>
      <c r="CQ1987"/>
      <c r="CR1987"/>
      <c r="CS1987"/>
    </row>
    <row r="1988" spans="2:97">
      <c r="B1988"/>
      <c r="C1988" s="1"/>
      <c r="D1988" s="1"/>
      <c r="E1988" s="1"/>
      <c r="F1988" s="1"/>
      <c r="G1988" s="1"/>
      <c r="H1988" s="1"/>
      <c r="I1988" s="1"/>
      <c r="J1988" s="1"/>
      <c r="K1988" s="1"/>
      <c r="L1988" s="1"/>
      <c r="M1988" s="1"/>
      <c r="N1988" s="1"/>
      <c r="O1988" s="1"/>
      <c r="P1988" s="1"/>
      <c r="Q1988" s="1"/>
      <c r="R1988"/>
      <c r="S1988" s="1"/>
      <c r="T1988" s="24"/>
      <c r="U1988"/>
      <c r="V1988" s="1"/>
      <c r="W1988" s="24"/>
      <c r="X1988"/>
      <c r="Y1988" s="1"/>
      <c r="Z1988" s="24"/>
      <c r="AA1988"/>
      <c r="AB1988" s="1"/>
      <c r="AC1988" s="24"/>
      <c r="AD1988"/>
      <c r="AE1988"/>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c r="BI1988"/>
      <c r="BJ1988"/>
      <c r="BK1988"/>
      <c r="BL1988"/>
      <c r="BM1988"/>
      <c r="BN1988"/>
      <c r="BO1988"/>
      <c r="BP1988"/>
      <c r="BQ1988"/>
      <c r="BR1988"/>
      <c r="BS1988"/>
      <c r="BT1988"/>
      <c r="BU1988"/>
      <c r="BV1988"/>
      <c r="BW1988"/>
      <c r="BX1988"/>
      <c r="BY1988"/>
      <c r="BZ1988"/>
      <c r="CA1988"/>
      <c r="CB1988"/>
      <c r="CC1988"/>
      <c r="CD1988"/>
      <c r="CE1988"/>
      <c r="CF1988"/>
      <c r="CG1988"/>
      <c r="CH1988"/>
      <c r="CI1988"/>
      <c r="CJ1988"/>
      <c r="CK1988"/>
      <c r="CL1988"/>
      <c r="CM1988"/>
      <c r="CN1988"/>
      <c r="CO1988"/>
      <c r="CP1988"/>
      <c r="CQ1988"/>
      <c r="CR1988"/>
      <c r="CS1988"/>
    </row>
    <row r="1989" spans="2:97">
      <c r="B1989"/>
      <c r="C1989" s="1"/>
      <c r="D1989" s="1"/>
      <c r="E1989" s="1"/>
      <c r="F1989" s="1"/>
      <c r="G1989" s="1"/>
      <c r="H1989" s="1"/>
      <c r="I1989" s="1"/>
      <c r="J1989" s="1"/>
      <c r="K1989" s="1"/>
      <c r="L1989" s="1"/>
      <c r="M1989" s="1"/>
      <c r="N1989" s="1"/>
      <c r="O1989" s="1"/>
      <c r="P1989" s="1"/>
      <c r="Q1989" s="1"/>
      <c r="R1989"/>
      <c r="S1989" s="1"/>
      <c r="T1989" s="24"/>
      <c r="U1989"/>
      <c r="V1989" s="1"/>
      <c r="W1989" s="24"/>
      <c r="X1989"/>
      <c r="Y1989" s="1"/>
      <c r="Z1989" s="24"/>
      <c r="AA1989"/>
      <c r="AB1989" s="1"/>
      <c r="AC1989" s="24"/>
      <c r="AD1989"/>
      <c r="AE1989"/>
      <c r="AF1989"/>
      <c r="AG1989"/>
      <c r="AH1989"/>
      <c r="AI1989"/>
      <c r="AJ1989"/>
      <c r="AK1989"/>
      <c r="AL1989"/>
      <c r="AM1989"/>
      <c r="AN1989"/>
      <c r="AO1989"/>
      <c r="AP1989"/>
      <c r="AQ1989"/>
      <c r="AR1989"/>
      <c r="AS1989"/>
      <c r="AT1989"/>
      <c r="AU1989"/>
      <c r="AV1989"/>
      <c r="AW1989"/>
      <c r="AX1989"/>
      <c r="AY1989"/>
      <c r="AZ1989"/>
      <c r="BA1989"/>
      <c r="BB1989"/>
      <c r="BC1989"/>
      <c r="BD1989"/>
      <c r="BE1989"/>
      <c r="BF1989"/>
      <c r="BG1989"/>
      <c r="BH1989"/>
      <c r="BI1989"/>
      <c r="BJ1989"/>
      <c r="BK1989"/>
      <c r="BL1989"/>
      <c r="BM1989"/>
      <c r="BN1989"/>
      <c r="BO1989"/>
      <c r="BP1989"/>
      <c r="BQ1989"/>
      <c r="BR1989"/>
      <c r="BS1989"/>
      <c r="BT1989"/>
      <c r="BU1989"/>
      <c r="BV1989"/>
      <c r="BW1989"/>
      <c r="BX1989"/>
      <c r="BY1989"/>
      <c r="BZ1989"/>
      <c r="CA1989"/>
      <c r="CB1989"/>
      <c r="CC1989"/>
      <c r="CD1989"/>
      <c r="CE1989"/>
      <c r="CF1989"/>
      <c r="CG1989"/>
      <c r="CH1989"/>
      <c r="CI1989"/>
      <c r="CJ1989"/>
      <c r="CK1989"/>
      <c r="CL1989"/>
      <c r="CM1989"/>
      <c r="CN1989"/>
      <c r="CO1989"/>
      <c r="CP1989"/>
      <c r="CQ1989"/>
      <c r="CR1989"/>
      <c r="CS1989"/>
    </row>
    <row r="1990" spans="2:97">
      <c r="B1990"/>
      <c r="C1990" s="1"/>
      <c r="D1990" s="1"/>
      <c r="E1990" s="1"/>
      <c r="F1990" s="1"/>
      <c r="G1990" s="1"/>
      <c r="H1990" s="1"/>
      <c r="I1990" s="1"/>
      <c r="J1990" s="1"/>
      <c r="K1990" s="1"/>
      <c r="L1990" s="1"/>
      <c r="M1990" s="1"/>
      <c r="N1990" s="1"/>
      <c r="O1990" s="1"/>
      <c r="P1990" s="1"/>
      <c r="Q1990" s="1"/>
      <c r="R1990"/>
      <c r="S1990" s="1"/>
      <c r="T1990" s="24"/>
      <c r="U1990"/>
      <c r="V1990" s="1"/>
      <c r="W1990" s="24"/>
      <c r="X1990"/>
      <c r="Y1990" s="1"/>
      <c r="Z1990" s="24"/>
      <c r="AA1990"/>
      <c r="AB1990" s="1"/>
      <c r="AC1990" s="24"/>
      <c r="AD1990"/>
      <c r="AE1990"/>
      <c r="AF1990"/>
      <c r="AG1990"/>
      <c r="AH1990"/>
      <c r="AI1990"/>
      <c r="AJ1990"/>
      <c r="AK1990"/>
      <c r="AL1990"/>
      <c r="AM1990"/>
      <c r="AN1990"/>
      <c r="AO1990"/>
      <c r="AP1990"/>
      <c r="AQ1990"/>
      <c r="AR1990"/>
      <c r="AS1990"/>
      <c r="AT1990"/>
      <c r="AU1990"/>
      <c r="AV1990"/>
      <c r="AW1990"/>
      <c r="AX1990"/>
      <c r="AY1990"/>
      <c r="AZ1990"/>
      <c r="BA1990"/>
      <c r="BB1990"/>
      <c r="BC1990"/>
      <c r="BD1990"/>
      <c r="BE1990"/>
      <c r="BF1990"/>
      <c r="BG1990"/>
      <c r="BH1990"/>
      <c r="BI1990"/>
      <c r="BJ1990"/>
      <c r="BK1990"/>
      <c r="BL1990"/>
      <c r="BM1990"/>
      <c r="BN1990"/>
      <c r="BO1990"/>
      <c r="BP1990"/>
      <c r="BQ1990"/>
      <c r="BR1990"/>
      <c r="BS1990"/>
      <c r="BT1990"/>
      <c r="BU1990"/>
      <c r="BV1990"/>
      <c r="BW1990"/>
      <c r="BX1990"/>
      <c r="BY1990"/>
      <c r="BZ1990"/>
      <c r="CA1990"/>
      <c r="CB1990"/>
      <c r="CC1990"/>
      <c r="CD1990"/>
      <c r="CE1990"/>
      <c r="CF1990"/>
      <c r="CG1990"/>
      <c r="CH1990"/>
      <c r="CI1990"/>
      <c r="CJ1990"/>
      <c r="CK1990"/>
      <c r="CL1990"/>
      <c r="CM1990"/>
      <c r="CN1990"/>
      <c r="CO1990"/>
      <c r="CP1990"/>
      <c r="CQ1990"/>
      <c r="CR1990"/>
      <c r="CS1990"/>
    </row>
    <row r="1991" spans="2:97">
      <c r="B1991"/>
      <c r="C1991" s="1"/>
      <c r="D1991" s="1"/>
      <c r="E1991" s="1"/>
      <c r="F1991" s="1"/>
      <c r="G1991" s="1"/>
      <c r="H1991" s="1"/>
      <c r="I1991" s="1"/>
      <c r="J1991" s="1"/>
      <c r="K1991" s="1"/>
      <c r="L1991" s="1"/>
      <c r="M1991" s="1"/>
      <c r="N1991" s="1"/>
      <c r="O1991" s="1"/>
      <c r="P1991" s="1"/>
      <c r="Q1991" s="1"/>
      <c r="R1991"/>
      <c r="S1991" s="1"/>
      <c r="T1991" s="24"/>
      <c r="U1991"/>
      <c r="V1991" s="1"/>
      <c r="W1991" s="24"/>
      <c r="X1991"/>
      <c r="Y1991" s="1"/>
      <c r="Z1991" s="24"/>
      <c r="AA1991"/>
      <c r="AB1991" s="1"/>
      <c r="AC1991" s="24"/>
      <c r="AD1991"/>
      <c r="AE1991"/>
      <c r="AF1991"/>
      <c r="AG1991"/>
      <c r="AH1991"/>
      <c r="AI1991"/>
      <c r="AJ1991"/>
      <c r="AK1991"/>
      <c r="AL1991"/>
      <c r="AM1991"/>
      <c r="AN1991"/>
      <c r="AO1991"/>
      <c r="AP1991"/>
      <c r="AQ1991"/>
      <c r="AR1991"/>
      <c r="AS1991"/>
      <c r="AT1991"/>
      <c r="AU1991"/>
      <c r="AV1991"/>
      <c r="AW1991"/>
      <c r="AX1991"/>
      <c r="AY1991"/>
      <c r="AZ1991"/>
      <c r="BA1991"/>
      <c r="BB1991"/>
      <c r="BC1991"/>
      <c r="BD1991"/>
      <c r="BE1991"/>
      <c r="BF1991"/>
      <c r="BG1991"/>
      <c r="BH1991"/>
      <c r="BI1991"/>
      <c r="BJ1991"/>
      <c r="BK1991"/>
      <c r="BL1991"/>
      <c r="BM1991"/>
      <c r="BN1991"/>
      <c r="BO1991"/>
      <c r="BP1991"/>
      <c r="BQ1991"/>
      <c r="BR1991"/>
      <c r="BS1991"/>
      <c r="BT1991"/>
      <c r="BU1991"/>
      <c r="BV1991"/>
      <c r="BW1991"/>
      <c r="BX1991"/>
      <c r="BY1991"/>
      <c r="BZ1991"/>
      <c r="CA1991"/>
      <c r="CB1991"/>
      <c r="CC1991"/>
      <c r="CD1991"/>
      <c r="CE1991"/>
      <c r="CF1991"/>
      <c r="CG1991"/>
      <c r="CH1991"/>
      <c r="CI1991"/>
      <c r="CJ1991"/>
      <c r="CK1991"/>
      <c r="CL1991"/>
      <c r="CM1991"/>
      <c r="CN1991"/>
      <c r="CO1991"/>
      <c r="CP1991"/>
      <c r="CQ1991"/>
      <c r="CR1991"/>
      <c r="CS1991"/>
    </row>
    <row r="1992" spans="2:97">
      <c r="B1992"/>
      <c r="C1992" s="1"/>
      <c r="D1992" s="1"/>
      <c r="E1992" s="1"/>
      <c r="F1992" s="1"/>
      <c r="G1992" s="1"/>
      <c r="H1992" s="1"/>
      <c r="I1992" s="1"/>
      <c r="J1992" s="1"/>
      <c r="K1992" s="1"/>
      <c r="L1992" s="1"/>
      <c r="M1992" s="1"/>
      <c r="N1992" s="1"/>
      <c r="O1992" s="1"/>
      <c r="P1992" s="1"/>
      <c r="Q1992" s="1"/>
      <c r="R1992"/>
      <c r="S1992" s="1"/>
      <c r="T1992" s="24"/>
      <c r="U1992"/>
      <c r="V1992" s="1"/>
      <c r="W1992" s="24"/>
      <c r="X1992"/>
      <c r="Y1992" s="1"/>
      <c r="Z1992" s="24"/>
      <c r="AA1992"/>
      <c r="AB1992" s="1"/>
      <c r="AC1992" s="24"/>
      <c r="AD1992"/>
      <c r="AE1992"/>
      <c r="AF1992"/>
      <c r="AG1992"/>
      <c r="AH1992"/>
      <c r="AI1992"/>
      <c r="AJ1992"/>
      <c r="AK1992"/>
      <c r="AL1992"/>
      <c r="AM1992"/>
      <c r="AN1992"/>
      <c r="AO1992"/>
      <c r="AP1992"/>
      <c r="AQ1992"/>
      <c r="AR1992"/>
      <c r="AS1992"/>
      <c r="AT1992"/>
      <c r="AU1992"/>
      <c r="AV1992"/>
      <c r="AW1992"/>
      <c r="AX1992"/>
      <c r="AY1992"/>
      <c r="AZ1992"/>
      <c r="BA1992"/>
      <c r="BB1992"/>
      <c r="BC1992"/>
      <c r="BD1992"/>
      <c r="BE1992"/>
      <c r="BF1992"/>
      <c r="BG1992"/>
      <c r="BH1992"/>
      <c r="BI1992"/>
      <c r="BJ1992"/>
      <c r="BK1992"/>
      <c r="BL1992"/>
      <c r="BM1992"/>
      <c r="BN1992"/>
      <c r="BO1992"/>
      <c r="BP1992"/>
      <c r="BQ1992"/>
      <c r="BR1992"/>
      <c r="BS1992"/>
      <c r="BT1992"/>
      <c r="BU1992"/>
      <c r="BV1992"/>
      <c r="BW1992"/>
      <c r="BX1992"/>
      <c r="BY1992"/>
      <c r="BZ1992"/>
      <c r="CA1992"/>
      <c r="CB1992"/>
      <c r="CC1992"/>
      <c r="CD1992"/>
      <c r="CE1992"/>
      <c r="CF1992"/>
      <c r="CG1992"/>
      <c r="CH1992"/>
      <c r="CI1992"/>
      <c r="CJ1992"/>
      <c r="CK1992"/>
      <c r="CL1992"/>
      <c r="CM1992"/>
      <c r="CN1992"/>
      <c r="CO1992"/>
      <c r="CP1992"/>
      <c r="CQ1992"/>
      <c r="CR1992"/>
      <c r="CS1992"/>
    </row>
    <row r="1993" spans="2:97">
      <c r="B1993"/>
      <c r="C1993" s="1"/>
      <c r="D1993" s="1"/>
      <c r="E1993" s="1"/>
      <c r="F1993" s="1"/>
      <c r="G1993" s="1"/>
      <c r="H1993" s="1"/>
      <c r="I1993" s="1"/>
      <c r="J1993" s="1"/>
      <c r="K1993" s="1"/>
      <c r="L1993" s="1"/>
      <c r="M1993" s="1"/>
      <c r="N1993" s="1"/>
      <c r="O1993" s="1"/>
      <c r="P1993" s="1"/>
      <c r="Q1993" s="1"/>
      <c r="R1993"/>
      <c r="S1993" s="1"/>
      <c r="T1993" s="24"/>
      <c r="U1993"/>
      <c r="V1993" s="1"/>
      <c r="W1993" s="24"/>
      <c r="X1993"/>
      <c r="Y1993" s="1"/>
      <c r="Z1993" s="24"/>
      <c r="AA1993"/>
      <c r="AB1993" s="1"/>
      <c r="AC1993" s="24"/>
      <c r="AD1993"/>
      <c r="AE1993"/>
      <c r="AF1993"/>
      <c r="AG1993"/>
      <c r="AH1993"/>
      <c r="AI1993"/>
      <c r="AJ1993"/>
      <c r="AK1993"/>
      <c r="AL1993"/>
      <c r="AM1993"/>
      <c r="AN1993"/>
      <c r="AO1993"/>
      <c r="AP1993"/>
      <c r="AQ1993"/>
      <c r="AR1993"/>
      <c r="AS1993"/>
      <c r="AT1993"/>
      <c r="AU1993"/>
      <c r="AV1993"/>
      <c r="AW1993"/>
      <c r="AX1993"/>
      <c r="AY1993"/>
      <c r="AZ1993"/>
      <c r="BA1993"/>
      <c r="BB1993"/>
      <c r="BC1993"/>
      <c r="BD1993"/>
      <c r="BE1993"/>
      <c r="BF1993"/>
      <c r="BG1993"/>
      <c r="BH1993"/>
      <c r="BI1993"/>
      <c r="BJ1993"/>
      <c r="BK1993"/>
      <c r="BL1993"/>
      <c r="BM1993"/>
      <c r="BN1993"/>
      <c r="BO1993"/>
      <c r="BP1993"/>
      <c r="BQ1993"/>
      <c r="BR1993"/>
      <c r="BS1993"/>
      <c r="BT1993"/>
      <c r="BU1993"/>
      <c r="BV1993"/>
      <c r="BW1993"/>
      <c r="BX1993"/>
      <c r="BY1993"/>
      <c r="BZ1993"/>
      <c r="CA1993"/>
      <c r="CB1993"/>
      <c r="CC1993"/>
      <c r="CD1993"/>
      <c r="CE1993"/>
      <c r="CF1993"/>
      <c r="CG1993"/>
      <c r="CH1993"/>
      <c r="CI1993"/>
      <c r="CJ1993"/>
      <c r="CK1993"/>
      <c r="CL1993"/>
      <c r="CM1993"/>
      <c r="CN1993"/>
      <c r="CO1993"/>
      <c r="CP1993"/>
      <c r="CQ1993"/>
      <c r="CR1993"/>
      <c r="CS1993"/>
    </row>
    <row r="1994" spans="2:97">
      <c r="B1994"/>
      <c r="C1994" s="1"/>
      <c r="D1994" s="1"/>
      <c r="E1994" s="1"/>
      <c r="F1994" s="1"/>
      <c r="G1994" s="1"/>
      <c r="H1994" s="1"/>
      <c r="I1994" s="1"/>
      <c r="J1994" s="1"/>
      <c r="K1994" s="1"/>
      <c r="L1994" s="1"/>
      <c r="M1994" s="1"/>
      <c r="N1994" s="1"/>
      <c r="O1994" s="1"/>
      <c r="P1994" s="1"/>
      <c r="Q1994" s="1"/>
      <c r="R1994"/>
      <c r="S1994" s="1"/>
      <c r="T1994" s="24"/>
      <c r="U1994"/>
      <c r="V1994" s="1"/>
      <c r="W1994" s="24"/>
      <c r="X1994"/>
      <c r="Y1994" s="1"/>
      <c r="Z1994" s="24"/>
      <c r="AA1994"/>
      <c r="AB1994" s="1"/>
      <c r="AC1994" s="24"/>
      <c r="AD1994"/>
      <c r="AE1994"/>
      <c r="AF1994"/>
      <c r="AG1994"/>
      <c r="AH1994"/>
      <c r="AI1994"/>
      <c r="AJ1994"/>
      <c r="AK1994"/>
      <c r="AL1994"/>
      <c r="AM1994"/>
      <c r="AN1994"/>
      <c r="AO1994"/>
      <c r="AP1994"/>
      <c r="AQ1994"/>
      <c r="AR1994"/>
      <c r="AS1994"/>
      <c r="AT1994"/>
      <c r="AU1994"/>
      <c r="AV1994"/>
      <c r="AW1994"/>
      <c r="AX1994"/>
      <c r="AY1994"/>
      <c r="AZ1994"/>
      <c r="BA1994"/>
      <c r="BB1994"/>
      <c r="BC1994"/>
      <c r="BD1994"/>
      <c r="BE1994"/>
      <c r="BF1994"/>
      <c r="BG1994"/>
      <c r="BH1994"/>
      <c r="BI1994"/>
      <c r="BJ1994"/>
      <c r="BK1994"/>
      <c r="BL1994"/>
      <c r="BM1994"/>
      <c r="BN1994"/>
      <c r="BO1994"/>
      <c r="BP1994"/>
      <c r="BQ1994"/>
      <c r="BR1994"/>
      <c r="BS1994"/>
      <c r="BT1994"/>
      <c r="BU1994"/>
      <c r="BV1994"/>
      <c r="BW1994"/>
      <c r="BX1994"/>
      <c r="BY1994"/>
      <c r="BZ1994"/>
      <c r="CA1994"/>
      <c r="CB1994"/>
      <c r="CC1994"/>
      <c r="CD1994"/>
      <c r="CE1994"/>
      <c r="CF1994"/>
      <c r="CG1994"/>
      <c r="CH1994"/>
      <c r="CI1994"/>
      <c r="CJ1994"/>
      <c r="CK1994"/>
      <c r="CL1994"/>
      <c r="CM1994"/>
      <c r="CN1994"/>
      <c r="CO1994"/>
      <c r="CP1994"/>
      <c r="CQ1994"/>
      <c r="CR1994"/>
      <c r="CS1994"/>
    </row>
    <row r="1995" spans="2:97">
      <c r="B1995"/>
      <c r="C1995" s="1"/>
      <c r="D1995" s="1"/>
      <c r="E1995" s="1"/>
      <c r="F1995" s="1"/>
      <c r="G1995" s="1"/>
      <c r="H1995" s="1"/>
      <c r="I1995" s="1"/>
      <c r="J1995" s="1"/>
      <c r="K1995" s="1"/>
      <c r="L1995" s="1"/>
      <c r="M1995" s="1"/>
      <c r="N1995" s="1"/>
      <c r="O1995" s="1"/>
      <c r="P1995" s="1"/>
      <c r="Q1995" s="1"/>
      <c r="R1995"/>
      <c r="S1995" s="1"/>
      <c r="T1995" s="24"/>
      <c r="U1995"/>
      <c r="V1995" s="1"/>
      <c r="W1995" s="24"/>
      <c r="X1995"/>
      <c r="Y1995" s="1"/>
      <c r="Z1995" s="24"/>
      <c r="AA1995"/>
      <c r="AB1995" s="1"/>
      <c r="AC1995" s="24"/>
      <c r="AD1995"/>
      <c r="AE1995"/>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c r="BJ1995"/>
      <c r="BK1995"/>
      <c r="BL1995"/>
      <c r="BM1995"/>
      <c r="BN1995"/>
      <c r="BO1995"/>
      <c r="BP1995"/>
      <c r="BQ1995"/>
      <c r="BR1995"/>
      <c r="BS1995"/>
      <c r="BT1995"/>
      <c r="BU1995"/>
      <c r="BV1995"/>
      <c r="BW1995"/>
      <c r="BX1995"/>
      <c r="BY1995"/>
      <c r="BZ1995"/>
      <c r="CA1995"/>
      <c r="CB1995"/>
      <c r="CC1995"/>
      <c r="CD1995"/>
      <c r="CE1995"/>
      <c r="CF1995"/>
      <c r="CG1995"/>
      <c r="CH1995"/>
      <c r="CI1995"/>
      <c r="CJ1995"/>
      <c r="CK1995"/>
      <c r="CL1995"/>
      <c r="CM1995"/>
      <c r="CN1995"/>
      <c r="CO1995"/>
      <c r="CP1995"/>
      <c r="CQ1995"/>
      <c r="CR1995"/>
      <c r="CS1995"/>
    </row>
    <row r="1996" spans="2:97">
      <c r="B1996"/>
      <c r="C1996" s="1"/>
      <c r="D1996" s="1"/>
      <c r="E1996" s="1"/>
      <c r="F1996" s="1"/>
      <c r="G1996" s="1"/>
      <c r="H1996" s="1"/>
      <c r="I1996" s="1"/>
      <c r="J1996" s="1"/>
      <c r="K1996" s="1"/>
      <c r="L1996" s="1"/>
      <c r="M1996" s="1"/>
      <c r="N1996" s="1"/>
      <c r="O1996" s="1"/>
      <c r="P1996" s="1"/>
      <c r="Q1996" s="1"/>
      <c r="R1996"/>
      <c r="S1996" s="1"/>
      <c r="T1996" s="24"/>
      <c r="U1996"/>
      <c r="V1996" s="1"/>
      <c r="W1996" s="24"/>
      <c r="X1996"/>
      <c r="Y1996" s="1"/>
      <c r="Z1996" s="24"/>
      <c r="AA1996"/>
      <c r="AB1996" s="1"/>
      <c r="AC1996" s="24"/>
      <c r="AD1996"/>
      <c r="AE1996"/>
      <c r="AF1996"/>
      <c r="AG1996"/>
      <c r="AH1996"/>
      <c r="AI1996"/>
      <c r="AJ1996"/>
      <c r="AK1996"/>
      <c r="AL1996"/>
      <c r="AM1996"/>
      <c r="AN1996"/>
      <c r="AO1996"/>
      <c r="AP1996"/>
      <c r="AQ1996"/>
      <c r="AR1996"/>
      <c r="AS1996"/>
      <c r="AT1996"/>
      <c r="AU1996"/>
      <c r="AV1996"/>
      <c r="AW1996"/>
      <c r="AX1996"/>
      <c r="AY1996"/>
      <c r="AZ1996"/>
      <c r="BA1996"/>
      <c r="BB1996"/>
      <c r="BC1996"/>
      <c r="BD1996"/>
      <c r="BE1996"/>
      <c r="BF1996"/>
      <c r="BG1996"/>
      <c r="BH1996"/>
      <c r="BI1996"/>
      <c r="BJ1996"/>
      <c r="BK1996"/>
      <c r="BL1996"/>
      <c r="BM1996"/>
      <c r="BN1996"/>
      <c r="BO1996"/>
      <c r="BP1996"/>
      <c r="BQ1996"/>
      <c r="BR1996"/>
      <c r="BS1996"/>
      <c r="BT1996"/>
      <c r="BU1996"/>
      <c r="BV1996"/>
      <c r="BW1996"/>
      <c r="BX1996"/>
      <c r="BY1996"/>
      <c r="BZ1996"/>
      <c r="CA1996"/>
      <c r="CB1996"/>
      <c r="CC1996"/>
      <c r="CD1996"/>
      <c r="CE1996"/>
      <c r="CF1996"/>
      <c r="CG1996"/>
      <c r="CH1996"/>
      <c r="CI1996"/>
      <c r="CJ1996"/>
      <c r="CK1996"/>
      <c r="CL1996"/>
      <c r="CM1996"/>
      <c r="CN1996"/>
      <c r="CO1996"/>
      <c r="CP1996"/>
      <c r="CQ1996"/>
      <c r="CR1996"/>
      <c r="CS1996"/>
    </row>
    <row r="1997" spans="2:97">
      <c r="B1997"/>
      <c r="C1997" s="1"/>
      <c r="D1997" s="1"/>
      <c r="E1997" s="1"/>
      <c r="F1997" s="1"/>
      <c r="G1997" s="1"/>
      <c r="H1997" s="1"/>
      <c r="I1997" s="1"/>
      <c r="J1997" s="1"/>
      <c r="K1997" s="1"/>
      <c r="L1997" s="1"/>
      <c r="M1997" s="1"/>
      <c r="N1997" s="1"/>
      <c r="O1997" s="1"/>
      <c r="P1997" s="1"/>
      <c r="Q1997" s="1"/>
      <c r="R1997"/>
      <c r="S1997" s="1"/>
      <c r="T1997" s="24"/>
      <c r="U1997"/>
      <c r="V1997" s="1"/>
      <c r="W1997" s="24"/>
      <c r="X1997"/>
      <c r="Y1997" s="1"/>
      <c r="Z1997" s="24"/>
      <c r="AA1997"/>
      <c r="AB1997" s="1"/>
      <c r="AC1997" s="24"/>
      <c r="AD1997"/>
      <c r="AE1997"/>
      <c r="AF1997"/>
      <c r="AG1997"/>
      <c r="AH1997"/>
      <c r="AI1997"/>
      <c r="AJ1997"/>
      <c r="AK1997"/>
      <c r="AL1997"/>
      <c r="AM1997"/>
      <c r="AN1997"/>
      <c r="AO1997"/>
      <c r="AP1997"/>
      <c r="AQ1997"/>
      <c r="AR1997"/>
      <c r="AS1997"/>
      <c r="AT1997"/>
      <c r="AU1997"/>
      <c r="AV1997"/>
      <c r="AW1997"/>
      <c r="AX1997"/>
      <c r="AY1997"/>
      <c r="AZ1997"/>
      <c r="BA1997"/>
      <c r="BB1997"/>
      <c r="BC1997"/>
      <c r="BD1997"/>
      <c r="BE1997"/>
      <c r="BF1997"/>
      <c r="BG1997"/>
      <c r="BH1997"/>
      <c r="BI1997"/>
      <c r="BJ1997"/>
      <c r="BK1997"/>
      <c r="BL1997"/>
      <c r="BM1997"/>
      <c r="BN1997"/>
      <c r="BO1997"/>
      <c r="BP1997"/>
      <c r="BQ1997"/>
      <c r="BR1997"/>
      <c r="BS1997"/>
      <c r="BT1997"/>
      <c r="BU1997"/>
      <c r="BV1997"/>
      <c r="BW1997"/>
      <c r="BX1997"/>
      <c r="BY1997"/>
      <c r="BZ1997"/>
      <c r="CA1997"/>
      <c r="CB1997"/>
      <c r="CC1997"/>
      <c r="CD1997"/>
      <c r="CE1997"/>
      <c r="CF1997"/>
      <c r="CG1997"/>
      <c r="CH1997"/>
      <c r="CI1997"/>
      <c r="CJ1997"/>
      <c r="CK1997"/>
      <c r="CL1997"/>
      <c r="CM1997"/>
      <c r="CN1997"/>
      <c r="CO1997"/>
      <c r="CP1997"/>
      <c r="CQ1997"/>
      <c r="CR1997"/>
      <c r="CS1997"/>
    </row>
    <row r="1998" spans="2:97">
      <c r="B1998"/>
      <c r="C1998" s="1"/>
      <c r="D1998" s="1"/>
      <c r="E1998" s="1"/>
      <c r="F1998" s="1"/>
      <c r="G1998" s="1"/>
      <c r="H1998" s="1"/>
      <c r="I1998" s="1"/>
      <c r="J1998" s="1"/>
      <c r="K1998" s="1"/>
      <c r="L1998" s="1"/>
      <c r="M1998" s="1"/>
      <c r="N1998" s="1"/>
      <c r="O1998" s="1"/>
      <c r="P1998" s="1"/>
      <c r="Q1998" s="1"/>
      <c r="R1998"/>
      <c r="S1998" s="1"/>
      <c r="T1998" s="24"/>
      <c r="U1998"/>
      <c r="V1998" s="1"/>
      <c r="W1998" s="24"/>
      <c r="X1998"/>
      <c r="Y1998" s="1"/>
      <c r="Z1998" s="24"/>
      <c r="AA1998"/>
      <c r="AB1998" s="1"/>
      <c r="AC1998" s="24"/>
      <c r="AD1998"/>
      <c r="AE1998"/>
      <c r="AF1998"/>
      <c r="AG1998"/>
      <c r="AH1998"/>
      <c r="AI1998"/>
      <c r="AJ1998"/>
      <c r="AK1998"/>
      <c r="AL1998"/>
      <c r="AM1998"/>
      <c r="AN1998"/>
      <c r="AO1998"/>
      <c r="AP1998"/>
      <c r="AQ1998"/>
      <c r="AR1998"/>
      <c r="AS1998"/>
      <c r="AT1998"/>
      <c r="AU1998"/>
      <c r="AV1998"/>
      <c r="AW1998"/>
      <c r="AX1998"/>
      <c r="AY1998"/>
      <c r="AZ1998"/>
      <c r="BA1998"/>
      <c r="BB1998"/>
      <c r="BC1998"/>
      <c r="BD1998"/>
      <c r="BE1998"/>
      <c r="BF1998"/>
      <c r="BG1998"/>
      <c r="BH1998"/>
      <c r="BI1998"/>
      <c r="BJ1998"/>
      <c r="BK1998"/>
      <c r="BL1998"/>
      <c r="BM1998"/>
      <c r="BN1998"/>
      <c r="BO1998"/>
      <c r="BP1998"/>
      <c r="BQ1998"/>
      <c r="BR1998"/>
      <c r="BS1998"/>
      <c r="BT1998"/>
      <c r="BU1998"/>
      <c r="BV1998"/>
      <c r="BW1998"/>
      <c r="BX1998"/>
      <c r="BY1998"/>
      <c r="BZ1998"/>
      <c r="CA1998"/>
      <c r="CB1998"/>
      <c r="CC1998"/>
      <c r="CD1998"/>
      <c r="CE1998"/>
      <c r="CF1998"/>
      <c r="CG1998"/>
      <c r="CH1998"/>
      <c r="CI1998"/>
      <c r="CJ1998"/>
      <c r="CK1998"/>
      <c r="CL1998"/>
      <c r="CM1998"/>
      <c r="CN1998"/>
      <c r="CO1998"/>
      <c r="CP1998"/>
      <c r="CQ1998"/>
      <c r="CR1998"/>
      <c r="CS1998"/>
    </row>
    <row r="1999" spans="2:97">
      <c r="B1999"/>
      <c r="C1999" s="1"/>
      <c r="D1999" s="1"/>
      <c r="E1999" s="1"/>
      <c r="F1999" s="1"/>
      <c r="G1999" s="1"/>
      <c r="H1999" s="1"/>
      <c r="I1999" s="1"/>
      <c r="J1999" s="1"/>
      <c r="K1999" s="1"/>
      <c r="L1999" s="1"/>
      <c r="M1999" s="1"/>
      <c r="N1999" s="1"/>
      <c r="O1999" s="1"/>
      <c r="P1999" s="1"/>
      <c r="Q1999" s="1"/>
      <c r="R1999"/>
      <c r="S1999" s="1"/>
      <c r="T1999" s="24"/>
      <c r="U1999"/>
      <c r="V1999" s="1"/>
      <c r="W1999" s="24"/>
      <c r="X1999"/>
      <c r="Y1999" s="1"/>
      <c r="Z1999" s="24"/>
      <c r="AA1999"/>
      <c r="AB1999" s="1"/>
      <c r="AC1999" s="24"/>
      <c r="AD1999"/>
      <c r="AE1999"/>
      <c r="AF1999"/>
      <c r="AG1999"/>
      <c r="AH1999"/>
      <c r="AI1999"/>
      <c r="AJ1999"/>
      <c r="AK1999"/>
      <c r="AL1999"/>
      <c r="AM1999"/>
      <c r="AN1999"/>
      <c r="AO1999"/>
      <c r="AP1999"/>
      <c r="AQ1999"/>
      <c r="AR1999"/>
      <c r="AS1999"/>
      <c r="AT1999"/>
      <c r="AU1999"/>
      <c r="AV1999"/>
      <c r="AW1999"/>
      <c r="AX1999"/>
      <c r="AY1999"/>
      <c r="AZ1999"/>
      <c r="BA1999"/>
      <c r="BB1999"/>
      <c r="BC1999"/>
      <c r="BD1999"/>
      <c r="BE1999"/>
      <c r="BF1999"/>
      <c r="BG1999"/>
      <c r="BH1999"/>
      <c r="BI1999"/>
      <c r="BJ1999"/>
      <c r="BK1999"/>
      <c r="BL1999"/>
      <c r="BM1999"/>
      <c r="BN1999"/>
      <c r="BO1999"/>
      <c r="BP1999"/>
      <c r="BQ1999"/>
      <c r="BR1999"/>
      <c r="BS1999"/>
      <c r="BT1999"/>
      <c r="BU1999"/>
      <c r="BV1999"/>
      <c r="BW1999"/>
      <c r="BX1999"/>
      <c r="BY1999"/>
      <c r="BZ1999"/>
      <c r="CA1999"/>
      <c r="CB1999"/>
      <c r="CC1999"/>
      <c r="CD1999"/>
      <c r="CE1999"/>
      <c r="CF1999"/>
      <c r="CG1999"/>
      <c r="CH1999"/>
      <c r="CI1999"/>
      <c r="CJ1999"/>
      <c r="CK1999"/>
      <c r="CL1999"/>
      <c r="CM1999"/>
      <c r="CN1999"/>
      <c r="CO1999"/>
      <c r="CP1999"/>
      <c r="CQ1999"/>
      <c r="CR1999"/>
      <c r="CS1999"/>
    </row>
    <row r="2000" spans="2:97">
      <c r="B2000"/>
      <c r="C2000" s="1"/>
      <c r="D2000" s="1"/>
      <c r="E2000" s="1"/>
      <c r="F2000" s="1"/>
      <c r="G2000" s="1"/>
      <c r="H2000" s="1"/>
      <c r="I2000" s="1"/>
      <c r="J2000" s="1"/>
      <c r="K2000" s="1"/>
      <c r="L2000" s="1"/>
      <c r="M2000" s="1"/>
      <c r="N2000" s="1"/>
      <c r="O2000" s="1"/>
      <c r="P2000" s="1"/>
      <c r="Q2000" s="1"/>
      <c r="R2000"/>
      <c r="S2000" s="1"/>
      <c r="T2000" s="24"/>
      <c r="U2000"/>
      <c r="V2000" s="1"/>
      <c r="W2000" s="24"/>
      <c r="X2000"/>
      <c r="Y2000" s="1"/>
      <c r="Z2000" s="24"/>
      <c r="AA2000"/>
      <c r="AB2000" s="1"/>
      <c r="AC2000" s="24"/>
      <c r="AD2000"/>
      <c r="AE2000"/>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c r="BM2000"/>
      <c r="BN2000"/>
      <c r="BO2000"/>
      <c r="BP2000"/>
      <c r="BQ2000"/>
      <c r="BR2000"/>
      <c r="BS2000"/>
      <c r="BT2000"/>
      <c r="BU2000"/>
      <c r="BV2000"/>
      <c r="BW2000"/>
      <c r="BX2000"/>
      <c r="BY2000"/>
      <c r="BZ2000"/>
      <c r="CA2000"/>
      <c r="CB2000"/>
      <c r="CC2000"/>
      <c r="CD2000"/>
      <c r="CE2000"/>
      <c r="CF2000"/>
      <c r="CG2000"/>
      <c r="CH2000"/>
      <c r="CI2000"/>
      <c r="CJ2000"/>
      <c r="CK2000"/>
      <c r="CL2000"/>
      <c r="CM2000"/>
      <c r="CN2000"/>
      <c r="CO2000"/>
      <c r="CP2000"/>
      <c r="CQ2000"/>
      <c r="CR2000"/>
      <c r="CS2000"/>
    </row>
    <row r="2001" spans="2:97">
      <c r="B2001"/>
      <c r="C2001" s="1"/>
      <c r="D2001" s="1"/>
      <c r="E2001" s="1"/>
      <c r="F2001" s="1"/>
      <c r="G2001" s="1"/>
      <c r="H2001" s="1"/>
      <c r="I2001" s="1"/>
      <c r="J2001" s="1"/>
      <c r="K2001" s="1"/>
      <c r="L2001" s="1"/>
      <c r="M2001" s="1"/>
      <c r="N2001" s="1"/>
      <c r="O2001" s="1"/>
      <c r="P2001" s="1"/>
      <c r="Q2001" s="1"/>
      <c r="R2001"/>
      <c r="S2001" s="1"/>
      <c r="T2001" s="24"/>
      <c r="U2001"/>
      <c r="V2001" s="1"/>
      <c r="W2001" s="24"/>
      <c r="X2001"/>
      <c r="Y2001" s="1"/>
      <c r="Z2001" s="24"/>
      <c r="AA2001"/>
      <c r="AB2001" s="1"/>
      <c r="AC2001" s="24"/>
      <c r="AD2001"/>
      <c r="AE2001"/>
      <c r="AF2001"/>
      <c r="AG2001"/>
      <c r="AH2001"/>
      <c r="AI2001"/>
      <c r="AJ2001"/>
      <c r="AK2001"/>
      <c r="AL2001"/>
      <c r="AM2001"/>
      <c r="AN2001"/>
      <c r="AO2001"/>
      <c r="AP2001"/>
      <c r="AQ2001"/>
      <c r="AR2001"/>
      <c r="AS2001"/>
      <c r="AT2001"/>
      <c r="AU2001"/>
      <c r="AV2001"/>
      <c r="AW2001"/>
      <c r="AX2001"/>
      <c r="AY2001"/>
      <c r="AZ2001"/>
      <c r="BA2001"/>
      <c r="BB2001"/>
      <c r="BC2001"/>
      <c r="BD2001"/>
      <c r="BE2001"/>
      <c r="BF2001"/>
      <c r="BG2001"/>
      <c r="BH2001"/>
      <c r="BI2001"/>
      <c r="BJ2001"/>
      <c r="BK2001"/>
      <c r="BL2001"/>
      <c r="BM2001"/>
      <c r="BN2001"/>
      <c r="BO2001"/>
      <c r="BP2001"/>
      <c r="BQ2001"/>
      <c r="BR2001"/>
      <c r="BS2001"/>
      <c r="BT2001"/>
      <c r="BU2001"/>
      <c r="BV2001"/>
      <c r="BW2001"/>
      <c r="BX2001"/>
      <c r="BY2001"/>
      <c r="BZ2001"/>
      <c r="CA2001"/>
      <c r="CB2001"/>
      <c r="CC2001"/>
      <c r="CD2001"/>
      <c r="CE2001"/>
      <c r="CF2001"/>
      <c r="CG2001"/>
      <c r="CH2001"/>
      <c r="CI2001"/>
      <c r="CJ2001"/>
      <c r="CK2001"/>
      <c r="CL2001"/>
      <c r="CM2001"/>
      <c r="CN2001"/>
      <c r="CO2001"/>
      <c r="CP2001"/>
      <c r="CQ2001"/>
      <c r="CR2001"/>
      <c r="CS2001"/>
    </row>
    <row r="2002" spans="2:97">
      <c r="B2002"/>
      <c r="C2002" s="1"/>
      <c r="D2002" s="1"/>
      <c r="E2002" s="1"/>
      <c r="F2002" s="1"/>
      <c r="G2002" s="1"/>
      <c r="H2002" s="1"/>
      <c r="I2002" s="1"/>
      <c r="J2002" s="1"/>
      <c r="K2002" s="1"/>
      <c r="L2002" s="1"/>
      <c r="M2002" s="1"/>
      <c r="N2002" s="1"/>
      <c r="O2002" s="1"/>
      <c r="P2002" s="1"/>
      <c r="Q2002" s="1"/>
      <c r="R2002"/>
      <c r="S2002" s="1"/>
      <c r="T2002" s="24"/>
      <c r="U2002"/>
      <c r="V2002" s="1"/>
      <c r="W2002" s="24"/>
      <c r="X2002"/>
      <c r="Y2002" s="1"/>
      <c r="Z2002" s="24"/>
      <c r="AA2002"/>
      <c r="AB2002" s="1"/>
      <c r="AC2002" s="24"/>
      <c r="AD2002"/>
      <c r="AE2002"/>
      <c r="AF2002"/>
      <c r="AG2002"/>
      <c r="AH2002"/>
      <c r="AI2002"/>
      <c r="AJ2002"/>
      <c r="AK2002"/>
      <c r="AL2002"/>
      <c r="AM2002"/>
      <c r="AN2002"/>
      <c r="AO2002"/>
      <c r="AP2002"/>
      <c r="AQ2002"/>
      <c r="AR2002"/>
      <c r="AS2002"/>
      <c r="AT2002"/>
      <c r="AU2002"/>
      <c r="AV2002"/>
      <c r="AW2002"/>
      <c r="AX2002"/>
      <c r="AY2002"/>
      <c r="AZ2002"/>
      <c r="BA2002"/>
      <c r="BB2002"/>
      <c r="BC2002"/>
      <c r="BD2002"/>
      <c r="BE2002"/>
      <c r="BF2002"/>
      <c r="BG2002"/>
      <c r="BH2002"/>
      <c r="BI2002"/>
      <c r="BJ2002"/>
      <c r="BK2002"/>
      <c r="BL2002"/>
      <c r="BM2002"/>
      <c r="BN2002"/>
      <c r="BO2002"/>
      <c r="BP2002"/>
      <c r="BQ2002"/>
      <c r="BR2002"/>
      <c r="BS2002"/>
      <c r="BT2002"/>
      <c r="BU2002"/>
      <c r="BV2002"/>
      <c r="BW2002"/>
      <c r="BX2002"/>
      <c r="BY2002"/>
      <c r="BZ2002"/>
      <c r="CA2002"/>
      <c r="CB2002"/>
      <c r="CC2002"/>
      <c r="CD2002"/>
      <c r="CE2002"/>
      <c r="CF2002"/>
      <c r="CG2002"/>
      <c r="CH2002"/>
      <c r="CI2002"/>
      <c r="CJ2002"/>
      <c r="CK2002"/>
      <c r="CL2002"/>
      <c r="CM2002"/>
      <c r="CN2002"/>
      <c r="CO2002"/>
      <c r="CP2002"/>
      <c r="CQ2002"/>
      <c r="CR2002"/>
      <c r="CS2002"/>
    </row>
    <row r="2003" spans="2:97">
      <c r="B2003"/>
      <c r="C2003" s="1"/>
      <c r="D2003" s="1"/>
      <c r="E2003" s="1"/>
      <c r="F2003" s="1"/>
      <c r="G2003" s="1"/>
      <c r="H2003" s="1"/>
      <c r="I2003" s="1"/>
      <c r="J2003" s="1"/>
      <c r="K2003" s="1"/>
      <c r="L2003" s="1"/>
      <c r="M2003" s="1"/>
      <c r="N2003" s="1"/>
      <c r="O2003" s="1"/>
      <c r="P2003" s="1"/>
      <c r="Q2003" s="1"/>
      <c r="R2003"/>
      <c r="S2003" s="1"/>
      <c r="T2003" s="24"/>
      <c r="U2003"/>
      <c r="V2003" s="1"/>
      <c r="W2003" s="24"/>
      <c r="X2003"/>
      <c r="Y2003" s="1"/>
      <c r="Z2003" s="24"/>
      <c r="AA2003"/>
      <c r="AB2003" s="1"/>
      <c r="AC2003" s="24"/>
      <c r="AD2003"/>
      <c r="AE2003"/>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c r="BM2003"/>
      <c r="BN2003"/>
      <c r="BO2003"/>
      <c r="BP2003"/>
      <c r="BQ2003"/>
      <c r="BR2003"/>
      <c r="BS2003"/>
      <c r="BT2003"/>
      <c r="BU2003"/>
      <c r="BV2003"/>
      <c r="BW2003"/>
      <c r="BX2003"/>
      <c r="BY2003"/>
      <c r="BZ2003"/>
      <c r="CA2003"/>
      <c r="CB2003"/>
      <c r="CC2003"/>
      <c r="CD2003"/>
      <c r="CE2003"/>
      <c r="CF2003"/>
      <c r="CG2003"/>
      <c r="CH2003"/>
      <c r="CI2003"/>
      <c r="CJ2003"/>
      <c r="CK2003"/>
      <c r="CL2003"/>
      <c r="CM2003"/>
      <c r="CN2003"/>
      <c r="CO2003"/>
      <c r="CP2003"/>
      <c r="CQ2003"/>
      <c r="CR2003"/>
      <c r="CS2003"/>
    </row>
    <row r="2004" spans="2:97">
      <c r="B2004"/>
      <c r="C2004" s="1"/>
      <c r="D2004" s="1"/>
      <c r="E2004" s="1"/>
      <c r="F2004" s="1"/>
      <c r="G2004" s="1"/>
      <c r="H2004" s="1"/>
      <c r="I2004" s="1"/>
      <c r="J2004" s="1"/>
      <c r="K2004" s="1"/>
      <c r="L2004" s="1"/>
      <c r="M2004" s="1"/>
      <c r="N2004" s="1"/>
      <c r="O2004" s="1"/>
      <c r="P2004" s="1"/>
      <c r="Q2004" s="1"/>
      <c r="R2004"/>
      <c r="S2004" s="1"/>
      <c r="T2004" s="24"/>
      <c r="U2004"/>
      <c r="V2004" s="1"/>
      <c r="W2004" s="24"/>
      <c r="X2004"/>
      <c r="Y2004" s="1"/>
      <c r="Z2004" s="24"/>
      <c r="AA2004"/>
      <c r="AB2004" s="1"/>
      <c r="AC2004" s="24"/>
      <c r="AD2004"/>
      <c r="AE2004"/>
      <c r="AF2004"/>
      <c r="AG2004"/>
      <c r="AH2004"/>
      <c r="AI2004"/>
      <c r="AJ2004"/>
      <c r="AK2004"/>
      <c r="AL2004"/>
      <c r="AM2004"/>
      <c r="AN2004"/>
      <c r="AO2004"/>
      <c r="AP2004"/>
      <c r="AQ2004"/>
      <c r="AR2004"/>
      <c r="AS2004"/>
      <c r="AT2004"/>
      <c r="AU2004"/>
      <c r="AV2004"/>
      <c r="AW2004"/>
      <c r="AX2004"/>
      <c r="AY2004"/>
      <c r="AZ2004"/>
      <c r="BA2004"/>
      <c r="BB2004"/>
      <c r="BC2004"/>
      <c r="BD2004"/>
      <c r="BE2004"/>
      <c r="BF2004"/>
      <c r="BG2004"/>
      <c r="BH2004"/>
      <c r="BI2004"/>
      <c r="BJ2004"/>
      <c r="BK2004"/>
      <c r="BL2004"/>
      <c r="BM2004"/>
      <c r="BN2004"/>
      <c r="BO2004"/>
      <c r="BP2004"/>
      <c r="BQ2004"/>
      <c r="BR2004"/>
      <c r="BS2004"/>
      <c r="BT2004"/>
      <c r="BU2004"/>
      <c r="BV2004"/>
      <c r="BW2004"/>
      <c r="BX2004"/>
      <c r="BY2004"/>
      <c r="BZ2004"/>
      <c r="CA2004"/>
      <c r="CB2004"/>
      <c r="CC2004"/>
      <c r="CD2004"/>
      <c r="CE2004"/>
      <c r="CF2004"/>
      <c r="CG2004"/>
      <c r="CH2004"/>
      <c r="CI2004"/>
      <c r="CJ2004"/>
      <c r="CK2004"/>
      <c r="CL2004"/>
      <c r="CM2004"/>
      <c r="CN2004"/>
      <c r="CO2004"/>
      <c r="CP2004"/>
      <c r="CQ2004"/>
      <c r="CR2004"/>
      <c r="CS2004"/>
    </row>
    <row r="2005" spans="2:97">
      <c r="B2005"/>
      <c r="C2005" s="1"/>
      <c r="D2005" s="1"/>
      <c r="E2005" s="1"/>
      <c r="F2005" s="1"/>
      <c r="G2005" s="1"/>
      <c r="H2005" s="1"/>
      <c r="I2005" s="1"/>
      <c r="J2005" s="1"/>
      <c r="K2005" s="1"/>
      <c r="L2005" s="1"/>
      <c r="M2005" s="1"/>
      <c r="N2005" s="1"/>
      <c r="O2005" s="1"/>
      <c r="P2005" s="1"/>
      <c r="Q2005" s="1"/>
      <c r="R2005"/>
      <c r="S2005" s="1"/>
      <c r="T2005" s="24"/>
      <c r="U2005"/>
      <c r="V2005" s="1"/>
      <c r="W2005" s="24"/>
      <c r="X2005"/>
      <c r="Y2005" s="1"/>
      <c r="Z2005" s="24"/>
      <c r="AA2005"/>
      <c r="AB2005" s="1"/>
      <c r="AC2005" s="24"/>
      <c r="AD2005"/>
      <c r="AE2005"/>
      <c r="AF2005"/>
      <c r="AG2005"/>
      <c r="AH2005"/>
      <c r="AI2005"/>
      <c r="AJ2005"/>
      <c r="AK2005"/>
      <c r="AL2005"/>
      <c r="AM2005"/>
      <c r="AN2005"/>
      <c r="AO2005"/>
      <c r="AP2005"/>
      <c r="AQ2005"/>
      <c r="AR2005"/>
      <c r="AS2005"/>
      <c r="AT2005"/>
      <c r="AU2005"/>
      <c r="AV2005"/>
      <c r="AW2005"/>
      <c r="AX2005"/>
      <c r="AY2005"/>
      <c r="AZ2005"/>
      <c r="BA2005"/>
      <c r="BB2005"/>
      <c r="BC2005"/>
      <c r="BD2005"/>
      <c r="BE2005"/>
      <c r="BF2005"/>
      <c r="BG2005"/>
      <c r="BH2005"/>
      <c r="BI2005"/>
      <c r="BJ2005"/>
      <c r="BK2005"/>
      <c r="BL2005"/>
      <c r="BM2005"/>
      <c r="BN2005"/>
      <c r="BO2005"/>
      <c r="BP2005"/>
      <c r="BQ2005"/>
      <c r="BR2005"/>
      <c r="BS2005"/>
      <c r="BT2005"/>
      <c r="BU2005"/>
      <c r="BV2005"/>
      <c r="BW2005"/>
      <c r="BX2005"/>
      <c r="BY2005"/>
      <c r="BZ2005"/>
      <c r="CA2005"/>
      <c r="CB2005"/>
      <c r="CC2005"/>
      <c r="CD2005"/>
      <c r="CE2005"/>
      <c r="CF2005"/>
      <c r="CG2005"/>
      <c r="CH2005"/>
      <c r="CI2005"/>
      <c r="CJ2005"/>
      <c r="CK2005"/>
      <c r="CL2005"/>
      <c r="CM2005"/>
      <c r="CN2005"/>
      <c r="CO2005"/>
      <c r="CP2005"/>
      <c r="CQ2005"/>
      <c r="CR2005"/>
      <c r="CS2005"/>
    </row>
    <row r="2006" spans="2:97">
      <c r="B2006"/>
      <c r="C2006" s="1"/>
      <c r="D2006" s="1"/>
      <c r="E2006" s="1"/>
      <c r="F2006" s="1"/>
      <c r="G2006" s="1"/>
      <c r="H2006" s="1"/>
      <c r="I2006" s="1"/>
      <c r="J2006" s="1"/>
      <c r="K2006" s="1"/>
      <c r="L2006" s="1"/>
      <c r="M2006" s="1"/>
      <c r="N2006" s="1"/>
      <c r="O2006" s="1"/>
      <c r="P2006" s="1"/>
      <c r="Q2006" s="1"/>
      <c r="R2006"/>
      <c r="S2006" s="1"/>
      <c r="T2006" s="24"/>
      <c r="U2006"/>
      <c r="V2006" s="1"/>
      <c r="W2006" s="24"/>
      <c r="X2006"/>
      <c r="Y2006" s="1"/>
      <c r="Z2006" s="24"/>
      <c r="AA2006"/>
      <c r="AB2006" s="1"/>
      <c r="AC2006" s="24"/>
      <c r="AD2006"/>
      <c r="AE2006"/>
      <c r="AF2006"/>
      <c r="AG2006"/>
      <c r="AH2006"/>
      <c r="AI2006"/>
      <c r="AJ2006"/>
      <c r="AK2006"/>
      <c r="AL2006"/>
      <c r="AM2006"/>
      <c r="AN2006"/>
      <c r="AO2006"/>
      <c r="AP2006"/>
      <c r="AQ2006"/>
      <c r="AR2006"/>
      <c r="AS2006"/>
      <c r="AT2006"/>
      <c r="AU2006"/>
      <c r="AV2006"/>
      <c r="AW2006"/>
      <c r="AX2006"/>
      <c r="AY2006"/>
      <c r="AZ2006"/>
      <c r="BA2006"/>
      <c r="BB2006"/>
      <c r="BC2006"/>
      <c r="BD2006"/>
      <c r="BE2006"/>
      <c r="BF2006"/>
      <c r="BG2006"/>
      <c r="BH2006"/>
      <c r="BI2006"/>
      <c r="BJ2006"/>
      <c r="BK2006"/>
      <c r="BL2006"/>
      <c r="BM2006"/>
      <c r="BN2006"/>
      <c r="BO2006"/>
      <c r="BP2006"/>
      <c r="BQ2006"/>
      <c r="BR2006"/>
      <c r="BS2006"/>
      <c r="BT2006"/>
      <c r="BU2006"/>
      <c r="BV2006"/>
      <c r="BW2006"/>
      <c r="BX2006"/>
      <c r="BY2006"/>
      <c r="BZ2006"/>
      <c r="CA2006"/>
      <c r="CB2006"/>
      <c r="CC2006"/>
      <c r="CD2006"/>
      <c r="CE2006"/>
      <c r="CF2006"/>
      <c r="CG2006"/>
      <c r="CH2006"/>
      <c r="CI2006"/>
      <c r="CJ2006"/>
      <c r="CK2006"/>
      <c r="CL2006"/>
      <c r="CM2006"/>
      <c r="CN2006"/>
      <c r="CO2006"/>
      <c r="CP2006"/>
      <c r="CQ2006"/>
      <c r="CR2006"/>
      <c r="CS2006"/>
    </row>
    <row r="2007" spans="2:97">
      <c r="B2007"/>
      <c r="C2007" s="1"/>
      <c r="D2007" s="1"/>
      <c r="E2007" s="1"/>
      <c r="F2007" s="1"/>
      <c r="G2007" s="1"/>
      <c r="H2007" s="1"/>
      <c r="I2007" s="1"/>
      <c r="J2007" s="1"/>
      <c r="K2007" s="1"/>
      <c r="L2007" s="1"/>
      <c r="M2007" s="1"/>
      <c r="N2007" s="1"/>
      <c r="O2007" s="1"/>
      <c r="P2007" s="1"/>
      <c r="Q2007" s="1"/>
      <c r="R2007"/>
      <c r="S2007" s="1"/>
      <c r="T2007" s="24"/>
      <c r="U2007"/>
      <c r="V2007" s="1"/>
      <c r="W2007" s="24"/>
      <c r="X2007"/>
      <c r="Y2007" s="1"/>
      <c r="Z2007" s="24"/>
      <c r="AA2007"/>
      <c r="AB2007" s="1"/>
      <c r="AC2007" s="24"/>
      <c r="AD2007"/>
      <c r="AE2007"/>
      <c r="AF2007"/>
      <c r="AG2007"/>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c r="BJ2007"/>
      <c r="BK2007"/>
      <c r="BL2007"/>
      <c r="BM2007"/>
      <c r="BN2007"/>
      <c r="BO2007"/>
      <c r="BP2007"/>
      <c r="BQ2007"/>
      <c r="BR2007"/>
      <c r="BS2007"/>
      <c r="BT2007"/>
      <c r="BU2007"/>
      <c r="BV2007"/>
      <c r="BW2007"/>
      <c r="BX2007"/>
      <c r="BY2007"/>
      <c r="BZ2007"/>
      <c r="CA2007"/>
      <c r="CB2007"/>
      <c r="CC2007"/>
      <c r="CD2007"/>
      <c r="CE2007"/>
      <c r="CF2007"/>
      <c r="CG2007"/>
      <c r="CH2007"/>
      <c r="CI2007"/>
      <c r="CJ2007"/>
      <c r="CK2007"/>
      <c r="CL2007"/>
      <c r="CM2007"/>
      <c r="CN2007"/>
      <c r="CO2007"/>
      <c r="CP2007"/>
      <c r="CQ2007"/>
      <c r="CR2007"/>
      <c r="CS2007"/>
    </row>
    <row r="2008" spans="2:97">
      <c r="B2008"/>
      <c r="C2008" s="1"/>
      <c r="D2008" s="1"/>
      <c r="E2008" s="1"/>
      <c r="F2008" s="1"/>
      <c r="G2008" s="1"/>
      <c r="H2008" s="1"/>
      <c r="I2008" s="1"/>
      <c r="J2008" s="1"/>
      <c r="K2008" s="1"/>
      <c r="L2008" s="1"/>
      <c r="M2008" s="1"/>
      <c r="N2008" s="1"/>
      <c r="O2008" s="1"/>
      <c r="P2008" s="1"/>
      <c r="Q2008" s="1"/>
      <c r="R2008"/>
      <c r="S2008" s="1"/>
      <c r="T2008" s="24"/>
      <c r="U2008"/>
      <c r="V2008" s="1"/>
      <c r="W2008" s="24"/>
      <c r="X2008"/>
      <c r="Y2008" s="1"/>
      <c r="Z2008" s="24"/>
      <c r="AA2008"/>
      <c r="AB2008" s="1"/>
      <c r="AC2008" s="24"/>
      <c r="AD2008"/>
      <c r="AE2008"/>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c r="BM2008"/>
      <c r="BN2008"/>
      <c r="BO2008"/>
      <c r="BP2008"/>
      <c r="BQ2008"/>
      <c r="BR2008"/>
      <c r="BS2008"/>
      <c r="BT2008"/>
      <c r="BU2008"/>
      <c r="BV2008"/>
      <c r="BW2008"/>
      <c r="BX2008"/>
      <c r="BY2008"/>
      <c r="BZ2008"/>
      <c r="CA2008"/>
      <c r="CB2008"/>
      <c r="CC2008"/>
      <c r="CD2008"/>
      <c r="CE2008"/>
      <c r="CF2008"/>
      <c r="CG2008"/>
      <c r="CH2008"/>
      <c r="CI2008"/>
      <c r="CJ2008"/>
      <c r="CK2008"/>
      <c r="CL2008"/>
      <c r="CM2008"/>
      <c r="CN2008"/>
      <c r="CO2008"/>
      <c r="CP2008"/>
      <c r="CQ2008"/>
      <c r="CR2008"/>
      <c r="CS2008"/>
    </row>
    <row r="2009" spans="2:97">
      <c r="B2009"/>
      <c r="C2009" s="1"/>
      <c r="D2009" s="1"/>
      <c r="E2009" s="1"/>
      <c r="F2009" s="1"/>
      <c r="G2009" s="1"/>
      <c r="H2009" s="1"/>
      <c r="I2009" s="1"/>
      <c r="J2009" s="1"/>
      <c r="K2009" s="1"/>
      <c r="L2009" s="1"/>
      <c r="M2009" s="1"/>
      <c r="N2009" s="1"/>
      <c r="O2009" s="1"/>
      <c r="P2009" s="1"/>
      <c r="Q2009" s="1"/>
      <c r="R2009"/>
      <c r="S2009" s="1"/>
      <c r="T2009" s="24"/>
      <c r="U2009"/>
      <c r="V2009" s="1"/>
      <c r="W2009" s="24"/>
      <c r="X2009"/>
      <c r="Y2009" s="1"/>
      <c r="Z2009" s="24"/>
      <c r="AA2009"/>
      <c r="AB2009" s="1"/>
      <c r="AC2009" s="24"/>
      <c r="AD2009"/>
      <c r="AE2009"/>
      <c r="AF2009"/>
      <c r="AG2009"/>
      <c r="AH2009"/>
      <c r="AI2009"/>
      <c r="AJ2009"/>
      <c r="AK2009"/>
      <c r="AL2009"/>
      <c r="AM2009"/>
      <c r="AN2009"/>
      <c r="AO2009"/>
      <c r="AP2009"/>
      <c r="AQ2009"/>
      <c r="AR2009"/>
      <c r="AS2009"/>
      <c r="AT2009"/>
      <c r="AU2009"/>
      <c r="AV2009"/>
      <c r="AW2009"/>
      <c r="AX2009"/>
      <c r="AY2009"/>
      <c r="AZ2009"/>
      <c r="BA2009"/>
      <c r="BB2009"/>
      <c r="BC2009"/>
      <c r="BD2009"/>
      <c r="BE2009"/>
      <c r="BF2009"/>
      <c r="BG2009"/>
      <c r="BH2009"/>
      <c r="BI2009"/>
      <c r="BJ2009"/>
      <c r="BK2009"/>
      <c r="BL2009"/>
      <c r="BM2009"/>
      <c r="BN2009"/>
      <c r="BO2009"/>
      <c r="BP2009"/>
      <c r="BQ2009"/>
      <c r="BR2009"/>
      <c r="BS2009"/>
      <c r="BT2009"/>
      <c r="BU2009"/>
      <c r="BV2009"/>
      <c r="BW2009"/>
      <c r="BX2009"/>
      <c r="BY2009"/>
      <c r="BZ2009"/>
      <c r="CA2009"/>
      <c r="CB2009"/>
      <c r="CC2009"/>
      <c r="CD2009"/>
      <c r="CE2009"/>
      <c r="CF2009"/>
      <c r="CG2009"/>
      <c r="CH2009"/>
      <c r="CI2009"/>
      <c r="CJ2009"/>
      <c r="CK2009"/>
      <c r="CL2009"/>
      <c r="CM2009"/>
      <c r="CN2009"/>
      <c r="CO2009"/>
      <c r="CP2009"/>
      <c r="CQ2009"/>
      <c r="CR2009"/>
      <c r="CS2009"/>
    </row>
    <row r="2010" spans="2:97">
      <c r="B2010"/>
      <c r="C2010" s="1"/>
      <c r="D2010" s="1"/>
      <c r="E2010" s="1"/>
      <c r="F2010" s="1"/>
      <c r="G2010" s="1"/>
      <c r="H2010" s="1"/>
      <c r="I2010" s="1"/>
      <c r="J2010" s="1"/>
      <c r="K2010" s="1"/>
      <c r="L2010" s="1"/>
      <c r="M2010" s="1"/>
      <c r="N2010" s="1"/>
      <c r="O2010" s="1"/>
      <c r="P2010" s="1"/>
      <c r="Q2010" s="1"/>
      <c r="R2010"/>
      <c r="S2010" s="1"/>
      <c r="T2010" s="24"/>
      <c r="U2010"/>
      <c r="V2010" s="1"/>
      <c r="W2010" s="24"/>
      <c r="X2010"/>
      <c r="Y2010" s="1"/>
      <c r="Z2010" s="24"/>
      <c r="AA2010"/>
      <c r="AB2010" s="1"/>
      <c r="AC2010" s="24"/>
      <c r="AD2010"/>
      <c r="AE2010"/>
      <c r="AF2010"/>
      <c r="AG2010"/>
      <c r="AH2010"/>
      <c r="AI2010"/>
      <c r="AJ2010"/>
      <c r="AK2010"/>
      <c r="AL2010"/>
      <c r="AM2010"/>
      <c r="AN2010"/>
      <c r="AO2010"/>
      <c r="AP2010"/>
      <c r="AQ2010"/>
      <c r="AR2010"/>
      <c r="AS2010"/>
      <c r="AT2010"/>
      <c r="AU2010"/>
      <c r="AV2010"/>
      <c r="AW2010"/>
      <c r="AX2010"/>
      <c r="AY2010"/>
      <c r="AZ2010"/>
      <c r="BA2010"/>
      <c r="BB2010"/>
      <c r="BC2010"/>
      <c r="BD2010"/>
      <c r="BE2010"/>
      <c r="BF2010"/>
      <c r="BG2010"/>
      <c r="BH2010"/>
      <c r="BI2010"/>
      <c r="BJ2010"/>
      <c r="BK2010"/>
      <c r="BL2010"/>
      <c r="BM2010"/>
      <c r="BN2010"/>
      <c r="BO2010"/>
      <c r="BP2010"/>
      <c r="BQ2010"/>
      <c r="BR2010"/>
      <c r="BS2010"/>
      <c r="BT2010"/>
      <c r="BU2010"/>
      <c r="BV2010"/>
      <c r="BW2010"/>
      <c r="BX2010"/>
      <c r="BY2010"/>
      <c r="BZ2010"/>
      <c r="CA2010"/>
      <c r="CB2010"/>
      <c r="CC2010"/>
      <c r="CD2010"/>
      <c r="CE2010"/>
      <c r="CF2010"/>
      <c r="CG2010"/>
      <c r="CH2010"/>
      <c r="CI2010"/>
      <c r="CJ2010"/>
      <c r="CK2010"/>
      <c r="CL2010"/>
      <c r="CM2010"/>
      <c r="CN2010"/>
      <c r="CO2010"/>
      <c r="CP2010"/>
      <c r="CQ2010"/>
      <c r="CR2010"/>
      <c r="CS2010"/>
    </row>
    <row r="2011" spans="2:97">
      <c r="B2011"/>
      <c r="C2011" s="1"/>
      <c r="D2011" s="1"/>
      <c r="E2011" s="1"/>
      <c r="F2011" s="1"/>
      <c r="G2011" s="1"/>
      <c r="H2011" s="1"/>
      <c r="I2011" s="1"/>
      <c r="J2011" s="1"/>
      <c r="K2011" s="1"/>
      <c r="L2011" s="1"/>
      <c r="M2011" s="1"/>
      <c r="N2011" s="1"/>
      <c r="O2011" s="1"/>
      <c r="P2011" s="1"/>
      <c r="Q2011" s="1"/>
      <c r="R2011"/>
      <c r="S2011" s="1"/>
      <c r="T2011" s="24"/>
      <c r="U2011"/>
      <c r="V2011" s="1"/>
      <c r="W2011" s="24"/>
      <c r="X2011"/>
      <c r="Y2011" s="1"/>
      <c r="Z2011" s="24"/>
      <c r="AA2011"/>
      <c r="AB2011" s="1"/>
      <c r="AC2011" s="24"/>
      <c r="AD2011"/>
      <c r="AE2011"/>
      <c r="AF2011"/>
      <c r="AG2011"/>
      <c r="AH2011"/>
      <c r="AI2011"/>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c r="BP2011"/>
      <c r="BQ2011"/>
      <c r="BR2011"/>
      <c r="BS2011"/>
      <c r="BT2011"/>
      <c r="BU2011"/>
      <c r="BV2011"/>
      <c r="BW2011"/>
      <c r="BX2011"/>
      <c r="BY2011"/>
      <c r="BZ2011"/>
      <c r="CA2011"/>
      <c r="CB2011"/>
      <c r="CC2011"/>
      <c r="CD2011"/>
      <c r="CE2011"/>
      <c r="CF2011"/>
      <c r="CG2011"/>
      <c r="CH2011"/>
      <c r="CI2011"/>
      <c r="CJ2011"/>
      <c r="CK2011"/>
      <c r="CL2011"/>
      <c r="CM2011"/>
      <c r="CN2011"/>
      <c r="CO2011"/>
      <c r="CP2011"/>
      <c r="CQ2011"/>
      <c r="CR2011"/>
      <c r="CS2011"/>
    </row>
    <row r="2012" spans="2:97">
      <c r="B2012"/>
      <c r="C2012" s="1"/>
      <c r="D2012" s="1"/>
      <c r="E2012" s="1"/>
      <c r="F2012" s="1"/>
      <c r="G2012" s="1"/>
      <c r="H2012" s="1"/>
      <c r="I2012" s="1"/>
      <c r="J2012" s="1"/>
      <c r="K2012" s="1"/>
      <c r="L2012" s="1"/>
      <c r="M2012" s="1"/>
      <c r="N2012" s="1"/>
      <c r="O2012" s="1"/>
      <c r="P2012" s="1"/>
      <c r="Q2012" s="1"/>
      <c r="R2012"/>
      <c r="S2012" s="1"/>
      <c r="T2012" s="24"/>
      <c r="U2012"/>
      <c r="V2012" s="1"/>
      <c r="W2012" s="24"/>
      <c r="X2012"/>
      <c r="Y2012" s="1"/>
      <c r="Z2012" s="24"/>
      <c r="AA2012"/>
      <c r="AB2012" s="1"/>
      <c r="AC2012" s="24"/>
      <c r="AD2012"/>
      <c r="AE2012"/>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c r="BJ2012"/>
      <c r="BK2012"/>
      <c r="BL2012"/>
      <c r="BM2012"/>
      <c r="BN2012"/>
      <c r="BO2012"/>
      <c r="BP2012"/>
      <c r="BQ2012"/>
      <c r="BR2012"/>
      <c r="BS2012"/>
      <c r="BT2012"/>
      <c r="BU2012"/>
      <c r="BV2012"/>
      <c r="BW2012"/>
      <c r="BX2012"/>
      <c r="BY2012"/>
      <c r="BZ2012"/>
      <c r="CA2012"/>
      <c r="CB2012"/>
      <c r="CC2012"/>
      <c r="CD2012"/>
      <c r="CE2012"/>
      <c r="CF2012"/>
      <c r="CG2012"/>
      <c r="CH2012"/>
      <c r="CI2012"/>
      <c r="CJ2012"/>
      <c r="CK2012"/>
      <c r="CL2012"/>
      <c r="CM2012"/>
      <c r="CN2012"/>
      <c r="CO2012"/>
      <c r="CP2012"/>
      <c r="CQ2012"/>
      <c r="CR2012"/>
      <c r="CS2012"/>
    </row>
    <row r="2013" spans="2:97">
      <c r="B2013"/>
      <c r="C2013" s="1"/>
      <c r="D2013" s="1"/>
      <c r="E2013" s="1"/>
      <c r="F2013" s="1"/>
      <c r="G2013" s="1"/>
      <c r="H2013" s="1"/>
      <c r="I2013" s="1"/>
      <c r="J2013" s="1"/>
      <c r="K2013" s="1"/>
      <c r="L2013" s="1"/>
      <c r="M2013" s="1"/>
      <c r="N2013" s="1"/>
      <c r="O2013" s="1"/>
      <c r="P2013" s="1"/>
      <c r="Q2013" s="1"/>
      <c r="R2013"/>
      <c r="S2013" s="1"/>
      <c r="T2013" s="24"/>
      <c r="U2013"/>
      <c r="V2013" s="1"/>
      <c r="W2013" s="24"/>
      <c r="X2013"/>
      <c r="Y2013" s="1"/>
      <c r="Z2013" s="24"/>
      <c r="AA2013"/>
      <c r="AB2013" s="1"/>
      <c r="AC2013" s="24"/>
      <c r="AD2013"/>
      <c r="AE2013"/>
      <c r="AF2013"/>
      <c r="AG2013"/>
      <c r="AH2013"/>
      <c r="AI2013"/>
      <c r="AJ2013"/>
      <c r="AK2013"/>
      <c r="AL2013"/>
      <c r="AM2013"/>
      <c r="AN2013"/>
      <c r="AO2013"/>
      <c r="AP2013"/>
      <c r="AQ2013"/>
      <c r="AR2013"/>
      <c r="AS2013"/>
      <c r="AT2013"/>
      <c r="AU2013"/>
      <c r="AV2013"/>
      <c r="AW2013"/>
      <c r="AX2013"/>
      <c r="AY2013"/>
      <c r="AZ2013"/>
      <c r="BA2013"/>
      <c r="BB2013"/>
      <c r="BC2013"/>
      <c r="BD2013"/>
      <c r="BE2013"/>
      <c r="BF2013"/>
      <c r="BG2013"/>
      <c r="BH2013"/>
      <c r="BI2013"/>
      <c r="BJ2013"/>
      <c r="BK2013"/>
      <c r="BL2013"/>
      <c r="BM2013"/>
      <c r="BN2013"/>
      <c r="BO2013"/>
      <c r="BP2013"/>
      <c r="BQ2013"/>
      <c r="BR2013"/>
      <c r="BS2013"/>
      <c r="BT2013"/>
      <c r="BU2013"/>
      <c r="BV2013"/>
      <c r="BW2013"/>
      <c r="BX2013"/>
      <c r="BY2013"/>
      <c r="BZ2013"/>
      <c r="CA2013"/>
      <c r="CB2013"/>
      <c r="CC2013"/>
      <c r="CD2013"/>
      <c r="CE2013"/>
      <c r="CF2013"/>
      <c r="CG2013"/>
      <c r="CH2013"/>
      <c r="CI2013"/>
      <c r="CJ2013"/>
      <c r="CK2013"/>
      <c r="CL2013"/>
      <c r="CM2013"/>
      <c r="CN2013"/>
      <c r="CO2013"/>
      <c r="CP2013"/>
      <c r="CQ2013"/>
      <c r="CR2013"/>
      <c r="CS2013"/>
    </row>
    <row r="2014" spans="2:97">
      <c r="B2014"/>
      <c r="C2014" s="1"/>
      <c r="D2014" s="1"/>
      <c r="E2014" s="1"/>
      <c r="F2014" s="1"/>
      <c r="G2014" s="1"/>
      <c r="H2014" s="1"/>
      <c r="I2014" s="1"/>
      <c r="J2014" s="1"/>
      <c r="K2014" s="1"/>
      <c r="L2014" s="1"/>
      <c r="M2014" s="1"/>
      <c r="N2014" s="1"/>
      <c r="O2014" s="1"/>
      <c r="P2014" s="1"/>
      <c r="Q2014" s="1"/>
      <c r="R2014"/>
      <c r="S2014" s="1"/>
      <c r="T2014" s="24"/>
      <c r="U2014"/>
      <c r="V2014" s="1"/>
      <c r="W2014" s="24"/>
      <c r="X2014"/>
      <c r="Y2014" s="1"/>
      <c r="Z2014" s="24"/>
      <c r="AA2014"/>
      <c r="AB2014" s="1"/>
      <c r="AC2014" s="24"/>
      <c r="AD2014"/>
      <c r="AE2014"/>
      <c r="AF2014"/>
      <c r="AG2014"/>
      <c r="AH2014"/>
      <c r="AI2014"/>
      <c r="AJ2014"/>
      <c r="AK2014"/>
      <c r="AL2014"/>
      <c r="AM2014"/>
      <c r="AN2014"/>
      <c r="AO2014"/>
      <c r="AP2014"/>
      <c r="AQ2014"/>
      <c r="AR2014"/>
      <c r="AS2014"/>
      <c r="AT2014"/>
      <c r="AU2014"/>
      <c r="AV2014"/>
      <c r="AW2014"/>
      <c r="AX2014"/>
      <c r="AY2014"/>
      <c r="AZ2014"/>
      <c r="BA2014"/>
      <c r="BB2014"/>
      <c r="BC2014"/>
      <c r="BD2014"/>
      <c r="BE2014"/>
      <c r="BF2014"/>
      <c r="BG2014"/>
      <c r="BH2014"/>
      <c r="BI2014"/>
      <c r="BJ2014"/>
      <c r="BK2014"/>
      <c r="BL2014"/>
      <c r="BM2014"/>
      <c r="BN2014"/>
      <c r="BO2014"/>
      <c r="BP2014"/>
      <c r="BQ2014"/>
      <c r="BR2014"/>
      <c r="BS2014"/>
      <c r="BT2014"/>
      <c r="BU2014"/>
      <c r="BV2014"/>
      <c r="BW2014"/>
      <c r="BX2014"/>
      <c r="BY2014"/>
      <c r="BZ2014"/>
      <c r="CA2014"/>
      <c r="CB2014"/>
      <c r="CC2014"/>
      <c r="CD2014"/>
      <c r="CE2014"/>
      <c r="CF2014"/>
      <c r="CG2014"/>
      <c r="CH2014"/>
      <c r="CI2014"/>
      <c r="CJ2014"/>
      <c r="CK2014"/>
      <c r="CL2014"/>
      <c r="CM2014"/>
      <c r="CN2014"/>
      <c r="CO2014"/>
      <c r="CP2014"/>
      <c r="CQ2014"/>
      <c r="CR2014"/>
      <c r="CS2014"/>
    </row>
    <row r="2015" spans="2:97">
      <c r="B2015"/>
      <c r="C2015" s="1"/>
      <c r="D2015" s="1"/>
      <c r="E2015" s="1"/>
      <c r="F2015" s="1"/>
      <c r="G2015" s="1"/>
      <c r="H2015" s="1"/>
      <c r="I2015" s="1"/>
      <c r="J2015" s="1"/>
      <c r="K2015" s="1"/>
      <c r="L2015" s="1"/>
      <c r="M2015" s="1"/>
      <c r="N2015" s="1"/>
      <c r="O2015" s="1"/>
      <c r="P2015" s="1"/>
      <c r="Q2015" s="1"/>
      <c r="R2015"/>
      <c r="S2015" s="1"/>
      <c r="T2015" s="24"/>
      <c r="U2015"/>
      <c r="V2015" s="1"/>
      <c r="W2015" s="24"/>
      <c r="X2015"/>
      <c r="Y2015" s="1"/>
      <c r="Z2015" s="24"/>
      <c r="AA2015"/>
      <c r="AB2015" s="1"/>
      <c r="AC2015" s="24"/>
      <c r="AD2015"/>
      <c r="AE2015"/>
      <c r="AF2015"/>
      <c r="AG2015"/>
      <c r="AH2015"/>
      <c r="AI2015"/>
      <c r="AJ2015"/>
      <c r="AK2015"/>
      <c r="AL2015"/>
      <c r="AM2015"/>
      <c r="AN2015"/>
      <c r="AO2015"/>
      <c r="AP2015"/>
      <c r="AQ2015"/>
      <c r="AR2015"/>
      <c r="AS2015"/>
      <c r="AT2015"/>
      <c r="AU2015"/>
      <c r="AV2015"/>
      <c r="AW2015"/>
      <c r="AX2015"/>
      <c r="AY2015"/>
      <c r="AZ2015"/>
      <c r="BA2015"/>
      <c r="BB2015"/>
      <c r="BC2015"/>
      <c r="BD2015"/>
      <c r="BE2015"/>
      <c r="BF2015"/>
      <c r="BG2015"/>
      <c r="BH2015"/>
      <c r="BI2015"/>
      <c r="BJ2015"/>
      <c r="BK2015"/>
      <c r="BL2015"/>
      <c r="BM2015"/>
      <c r="BN2015"/>
      <c r="BO2015"/>
      <c r="BP2015"/>
      <c r="BQ2015"/>
      <c r="BR2015"/>
      <c r="BS2015"/>
      <c r="BT2015"/>
      <c r="BU2015"/>
      <c r="BV2015"/>
      <c r="BW2015"/>
      <c r="BX2015"/>
      <c r="BY2015"/>
      <c r="BZ2015"/>
      <c r="CA2015"/>
      <c r="CB2015"/>
      <c r="CC2015"/>
      <c r="CD2015"/>
      <c r="CE2015"/>
      <c r="CF2015"/>
      <c r="CG2015"/>
      <c r="CH2015"/>
      <c r="CI2015"/>
      <c r="CJ2015"/>
      <c r="CK2015"/>
      <c r="CL2015"/>
      <c r="CM2015"/>
      <c r="CN2015"/>
      <c r="CO2015"/>
      <c r="CP2015"/>
      <c r="CQ2015"/>
      <c r="CR2015"/>
      <c r="CS2015"/>
    </row>
    <row r="2016" spans="2:97">
      <c r="B2016"/>
      <c r="C2016" s="1"/>
      <c r="D2016" s="1"/>
      <c r="E2016" s="1"/>
      <c r="F2016" s="1"/>
      <c r="G2016" s="1"/>
      <c r="H2016" s="1"/>
      <c r="I2016" s="1"/>
      <c r="J2016" s="1"/>
      <c r="K2016" s="1"/>
      <c r="L2016" s="1"/>
      <c r="M2016" s="1"/>
      <c r="N2016" s="1"/>
      <c r="O2016" s="1"/>
      <c r="P2016" s="1"/>
      <c r="Q2016" s="1"/>
      <c r="R2016"/>
      <c r="S2016" s="1"/>
      <c r="T2016" s="24"/>
      <c r="U2016"/>
      <c r="V2016" s="1"/>
      <c r="W2016" s="24"/>
      <c r="X2016"/>
      <c r="Y2016" s="1"/>
      <c r="Z2016" s="24"/>
      <c r="AA2016"/>
      <c r="AB2016" s="1"/>
      <c r="AC2016" s="24"/>
      <c r="AD2016"/>
      <c r="AE2016"/>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c r="BJ2016"/>
      <c r="BK2016"/>
      <c r="BL2016"/>
      <c r="BM2016"/>
      <c r="BN2016"/>
      <c r="BO2016"/>
      <c r="BP2016"/>
      <c r="BQ2016"/>
      <c r="BR2016"/>
      <c r="BS2016"/>
      <c r="BT2016"/>
      <c r="BU2016"/>
      <c r="BV2016"/>
      <c r="BW2016"/>
      <c r="BX2016"/>
      <c r="BY2016"/>
      <c r="BZ2016"/>
      <c r="CA2016"/>
      <c r="CB2016"/>
      <c r="CC2016"/>
      <c r="CD2016"/>
      <c r="CE2016"/>
      <c r="CF2016"/>
      <c r="CG2016"/>
      <c r="CH2016"/>
      <c r="CI2016"/>
      <c r="CJ2016"/>
      <c r="CK2016"/>
      <c r="CL2016"/>
      <c r="CM2016"/>
      <c r="CN2016"/>
      <c r="CO2016"/>
      <c r="CP2016"/>
      <c r="CQ2016"/>
      <c r="CR2016"/>
      <c r="CS2016"/>
    </row>
    <row r="2017" spans="2:97">
      <c r="B2017"/>
      <c r="C2017" s="1"/>
      <c r="D2017" s="1"/>
      <c r="E2017" s="1"/>
      <c r="F2017" s="1"/>
      <c r="G2017" s="1"/>
      <c r="H2017" s="1"/>
      <c r="I2017" s="1"/>
      <c r="J2017" s="1"/>
      <c r="K2017" s="1"/>
      <c r="L2017" s="1"/>
      <c r="M2017" s="1"/>
      <c r="N2017" s="1"/>
      <c r="O2017" s="1"/>
      <c r="P2017" s="1"/>
      <c r="Q2017" s="1"/>
      <c r="R2017"/>
      <c r="S2017" s="1"/>
      <c r="T2017" s="24"/>
      <c r="U2017"/>
      <c r="V2017" s="1"/>
      <c r="W2017" s="24"/>
      <c r="X2017"/>
      <c r="Y2017" s="1"/>
      <c r="Z2017" s="24"/>
      <c r="AA2017"/>
      <c r="AB2017" s="1"/>
      <c r="AC2017" s="24"/>
      <c r="AD2017"/>
      <c r="AE2017"/>
      <c r="AF2017"/>
      <c r="AG2017"/>
      <c r="AH2017"/>
      <c r="AI2017"/>
      <c r="AJ2017"/>
      <c r="AK2017"/>
      <c r="AL2017"/>
      <c r="AM2017"/>
      <c r="AN2017"/>
      <c r="AO2017"/>
      <c r="AP2017"/>
      <c r="AQ2017"/>
      <c r="AR2017"/>
      <c r="AS2017"/>
      <c r="AT2017"/>
      <c r="AU2017"/>
      <c r="AV2017"/>
      <c r="AW2017"/>
      <c r="AX2017"/>
      <c r="AY2017"/>
      <c r="AZ2017"/>
      <c r="BA2017"/>
      <c r="BB2017"/>
      <c r="BC2017"/>
      <c r="BD2017"/>
      <c r="BE2017"/>
      <c r="BF2017"/>
      <c r="BG2017"/>
      <c r="BH2017"/>
      <c r="BI2017"/>
      <c r="BJ2017"/>
      <c r="BK2017"/>
      <c r="BL2017"/>
      <c r="BM2017"/>
      <c r="BN2017"/>
      <c r="BO2017"/>
      <c r="BP2017"/>
      <c r="BQ2017"/>
      <c r="BR2017"/>
      <c r="BS2017"/>
      <c r="BT2017"/>
      <c r="BU2017"/>
      <c r="BV2017"/>
      <c r="BW2017"/>
      <c r="BX2017"/>
      <c r="BY2017"/>
      <c r="BZ2017"/>
      <c r="CA2017"/>
      <c r="CB2017"/>
      <c r="CC2017"/>
      <c r="CD2017"/>
      <c r="CE2017"/>
      <c r="CF2017"/>
      <c r="CG2017"/>
      <c r="CH2017"/>
      <c r="CI2017"/>
      <c r="CJ2017"/>
      <c r="CK2017"/>
      <c r="CL2017"/>
      <c r="CM2017"/>
      <c r="CN2017"/>
      <c r="CO2017"/>
      <c r="CP2017"/>
      <c r="CQ2017"/>
      <c r="CR2017"/>
      <c r="CS2017"/>
    </row>
    <row r="2018" spans="2:97">
      <c r="B2018"/>
      <c r="C2018" s="1"/>
      <c r="D2018" s="1"/>
      <c r="E2018" s="1"/>
      <c r="F2018" s="1"/>
      <c r="G2018" s="1"/>
      <c r="H2018" s="1"/>
      <c r="I2018" s="1"/>
      <c r="J2018" s="1"/>
      <c r="K2018" s="1"/>
      <c r="L2018" s="1"/>
      <c r="M2018" s="1"/>
      <c r="N2018" s="1"/>
      <c r="O2018" s="1"/>
      <c r="P2018" s="1"/>
      <c r="Q2018" s="1"/>
      <c r="R2018"/>
      <c r="S2018" s="1"/>
      <c r="T2018" s="24"/>
      <c r="U2018"/>
      <c r="V2018" s="1"/>
      <c r="W2018" s="24"/>
      <c r="X2018"/>
      <c r="Y2018" s="1"/>
      <c r="Z2018" s="24"/>
      <c r="AA2018"/>
      <c r="AB2018" s="1"/>
      <c r="AC2018" s="24"/>
      <c r="AD2018"/>
      <c r="AE2018"/>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c r="BM2018"/>
      <c r="BN2018"/>
      <c r="BO2018"/>
      <c r="BP2018"/>
      <c r="BQ2018"/>
      <c r="BR2018"/>
      <c r="BS2018"/>
      <c r="BT2018"/>
      <c r="BU2018"/>
      <c r="BV2018"/>
      <c r="BW2018"/>
      <c r="BX2018"/>
      <c r="BY2018"/>
      <c r="BZ2018"/>
      <c r="CA2018"/>
      <c r="CB2018"/>
      <c r="CC2018"/>
      <c r="CD2018"/>
      <c r="CE2018"/>
      <c r="CF2018"/>
      <c r="CG2018"/>
      <c r="CH2018"/>
      <c r="CI2018"/>
      <c r="CJ2018"/>
      <c r="CK2018"/>
      <c r="CL2018"/>
      <c r="CM2018"/>
      <c r="CN2018"/>
      <c r="CO2018"/>
      <c r="CP2018"/>
      <c r="CQ2018"/>
      <c r="CR2018"/>
      <c r="CS2018"/>
    </row>
    <row r="2019" spans="2:97">
      <c r="B2019"/>
      <c r="C2019" s="1"/>
      <c r="D2019" s="1"/>
      <c r="E2019" s="1"/>
      <c r="F2019" s="1"/>
      <c r="G2019" s="1"/>
      <c r="H2019" s="1"/>
      <c r="I2019" s="1"/>
      <c r="J2019" s="1"/>
      <c r="K2019" s="1"/>
      <c r="L2019" s="1"/>
      <c r="M2019" s="1"/>
      <c r="N2019" s="1"/>
      <c r="O2019" s="1"/>
      <c r="P2019" s="1"/>
      <c r="Q2019" s="1"/>
      <c r="R2019"/>
      <c r="S2019" s="1"/>
      <c r="T2019" s="24"/>
      <c r="U2019"/>
      <c r="V2019" s="1"/>
      <c r="W2019" s="24"/>
      <c r="X2019"/>
      <c r="Y2019" s="1"/>
      <c r="Z2019" s="24"/>
      <c r="AA2019"/>
      <c r="AB2019" s="1"/>
      <c r="AC2019" s="24"/>
      <c r="AD2019"/>
      <c r="AE2019"/>
      <c r="AF2019"/>
      <c r="AG2019"/>
      <c r="AH2019"/>
      <c r="AI2019"/>
      <c r="AJ2019"/>
      <c r="AK2019"/>
      <c r="AL2019"/>
      <c r="AM2019"/>
      <c r="AN2019"/>
      <c r="AO2019"/>
      <c r="AP2019"/>
      <c r="AQ2019"/>
      <c r="AR2019"/>
      <c r="AS2019"/>
      <c r="AT2019"/>
      <c r="AU2019"/>
      <c r="AV2019"/>
      <c r="AW2019"/>
      <c r="AX2019"/>
      <c r="AY2019"/>
      <c r="AZ2019"/>
      <c r="BA2019"/>
      <c r="BB2019"/>
      <c r="BC2019"/>
      <c r="BD2019"/>
      <c r="BE2019"/>
      <c r="BF2019"/>
      <c r="BG2019"/>
      <c r="BH2019"/>
      <c r="BI2019"/>
      <c r="BJ2019"/>
      <c r="BK2019"/>
      <c r="BL2019"/>
      <c r="BM2019"/>
      <c r="BN2019"/>
      <c r="BO2019"/>
      <c r="BP2019"/>
      <c r="BQ2019"/>
      <c r="BR2019"/>
      <c r="BS2019"/>
      <c r="BT2019"/>
      <c r="BU2019"/>
      <c r="BV2019"/>
      <c r="BW2019"/>
      <c r="BX2019"/>
      <c r="BY2019"/>
      <c r="BZ2019"/>
      <c r="CA2019"/>
      <c r="CB2019"/>
      <c r="CC2019"/>
      <c r="CD2019"/>
      <c r="CE2019"/>
      <c r="CF2019"/>
      <c r="CG2019"/>
      <c r="CH2019"/>
      <c r="CI2019"/>
      <c r="CJ2019"/>
      <c r="CK2019"/>
      <c r="CL2019"/>
      <c r="CM2019"/>
      <c r="CN2019"/>
      <c r="CO2019"/>
      <c r="CP2019"/>
      <c r="CQ2019"/>
      <c r="CR2019"/>
      <c r="CS2019"/>
    </row>
    <row r="2020" spans="2:97">
      <c r="B2020"/>
      <c r="C2020" s="1"/>
      <c r="D2020" s="1"/>
      <c r="E2020" s="1"/>
      <c r="F2020" s="1"/>
      <c r="G2020" s="1"/>
      <c r="H2020" s="1"/>
      <c r="I2020" s="1"/>
      <c r="J2020" s="1"/>
      <c r="K2020" s="1"/>
      <c r="L2020" s="1"/>
      <c r="M2020" s="1"/>
      <c r="N2020" s="1"/>
      <c r="O2020" s="1"/>
      <c r="P2020" s="1"/>
      <c r="Q2020" s="1"/>
      <c r="R2020"/>
      <c r="S2020" s="1"/>
      <c r="T2020" s="24"/>
      <c r="U2020"/>
      <c r="V2020" s="1"/>
      <c r="W2020" s="24"/>
      <c r="X2020"/>
      <c r="Y2020" s="1"/>
      <c r="Z2020" s="24"/>
      <c r="AA2020"/>
      <c r="AB2020" s="1"/>
      <c r="AC2020" s="24"/>
      <c r="AD2020"/>
      <c r="AE2020"/>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c r="BM2020"/>
      <c r="BN2020"/>
      <c r="BO2020"/>
      <c r="BP2020"/>
      <c r="BQ2020"/>
      <c r="BR2020"/>
      <c r="BS2020"/>
      <c r="BT2020"/>
      <c r="BU2020"/>
      <c r="BV2020"/>
      <c r="BW2020"/>
      <c r="BX2020"/>
      <c r="BY2020"/>
      <c r="BZ2020"/>
      <c r="CA2020"/>
      <c r="CB2020"/>
      <c r="CC2020"/>
      <c r="CD2020"/>
      <c r="CE2020"/>
      <c r="CF2020"/>
      <c r="CG2020"/>
      <c r="CH2020"/>
      <c r="CI2020"/>
      <c r="CJ2020"/>
      <c r="CK2020"/>
      <c r="CL2020"/>
      <c r="CM2020"/>
      <c r="CN2020"/>
      <c r="CO2020"/>
      <c r="CP2020"/>
      <c r="CQ2020"/>
      <c r="CR2020"/>
      <c r="CS2020"/>
    </row>
    <row r="2021" spans="2:97">
      <c r="B2021"/>
      <c r="C2021" s="1"/>
      <c r="D2021" s="1"/>
      <c r="E2021" s="1"/>
      <c r="F2021" s="1"/>
      <c r="G2021" s="1"/>
      <c r="H2021" s="1"/>
      <c r="I2021" s="1"/>
      <c r="J2021" s="1"/>
      <c r="K2021" s="1"/>
      <c r="L2021" s="1"/>
      <c r="M2021" s="1"/>
      <c r="N2021" s="1"/>
      <c r="O2021" s="1"/>
      <c r="P2021" s="1"/>
      <c r="Q2021" s="1"/>
      <c r="R2021"/>
      <c r="S2021" s="1"/>
      <c r="T2021" s="24"/>
      <c r="U2021"/>
      <c r="V2021" s="1"/>
      <c r="W2021" s="24"/>
      <c r="X2021"/>
      <c r="Y2021" s="1"/>
      <c r="Z2021" s="24"/>
      <c r="AA2021"/>
      <c r="AB2021" s="1"/>
      <c r="AC2021" s="24"/>
      <c r="AD2021"/>
      <c r="AE2021"/>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c r="BM2021"/>
      <c r="BN2021"/>
      <c r="BO2021"/>
      <c r="BP2021"/>
      <c r="BQ2021"/>
      <c r="BR2021"/>
      <c r="BS2021"/>
      <c r="BT2021"/>
      <c r="BU2021"/>
      <c r="BV2021"/>
      <c r="BW2021"/>
      <c r="BX2021"/>
      <c r="BY2021"/>
      <c r="BZ2021"/>
      <c r="CA2021"/>
      <c r="CB2021"/>
      <c r="CC2021"/>
      <c r="CD2021"/>
      <c r="CE2021"/>
      <c r="CF2021"/>
      <c r="CG2021"/>
      <c r="CH2021"/>
      <c r="CI2021"/>
      <c r="CJ2021"/>
      <c r="CK2021"/>
      <c r="CL2021"/>
      <c r="CM2021"/>
      <c r="CN2021"/>
      <c r="CO2021"/>
      <c r="CP2021"/>
      <c r="CQ2021"/>
      <c r="CR2021"/>
      <c r="CS2021"/>
    </row>
    <row r="2022" spans="2:97">
      <c r="B2022"/>
      <c r="C2022" s="1"/>
      <c r="D2022" s="1"/>
      <c r="E2022" s="1"/>
      <c r="F2022" s="1"/>
      <c r="G2022" s="1"/>
      <c r="H2022" s="1"/>
      <c r="I2022" s="1"/>
      <c r="J2022" s="1"/>
      <c r="K2022" s="1"/>
      <c r="L2022" s="1"/>
      <c r="M2022" s="1"/>
      <c r="N2022" s="1"/>
      <c r="O2022" s="1"/>
      <c r="P2022" s="1"/>
      <c r="Q2022" s="1"/>
      <c r="R2022"/>
      <c r="S2022" s="1"/>
      <c r="T2022" s="24"/>
      <c r="U2022"/>
      <c r="V2022" s="1"/>
      <c r="W2022" s="24"/>
      <c r="X2022"/>
      <c r="Y2022" s="1"/>
      <c r="Z2022" s="24"/>
      <c r="AA2022"/>
      <c r="AB2022" s="1"/>
      <c r="AC2022" s="24"/>
      <c r="AD2022"/>
      <c r="AE2022"/>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c r="BM2022"/>
      <c r="BN2022"/>
      <c r="BO2022"/>
      <c r="BP2022"/>
      <c r="BQ2022"/>
      <c r="BR2022"/>
      <c r="BS2022"/>
      <c r="BT2022"/>
      <c r="BU2022"/>
      <c r="BV2022"/>
      <c r="BW2022"/>
      <c r="BX2022"/>
      <c r="BY2022"/>
      <c r="BZ2022"/>
      <c r="CA2022"/>
      <c r="CB2022"/>
      <c r="CC2022"/>
      <c r="CD2022"/>
      <c r="CE2022"/>
      <c r="CF2022"/>
      <c r="CG2022"/>
      <c r="CH2022"/>
      <c r="CI2022"/>
      <c r="CJ2022"/>
      <c r="CK2022"/>
      <c r="CL2022"/>
      <c r="CM2022"/>
      <c r="CN2022"/>
      <c r="CO2022"/>
      <c r="CP2022"/>
      <c r="CQ2022"/>
      <c r="CR2022"/>
      <c r="CS2022"/>
    </row>
    <row r="2023" spans="2:97">
      <c r="B2023"/>
      <c r="C2023" s="1"/>
      <c r="D2023" s="1"/>
      <c r="E2023" s="1"/>
      <c r="F2023" s="1"/>
      <c r="G2023" s="1"/>
      <c r="H2023" s="1"/>
      <c r="I2023" s="1"/>
      <c r="J2023" s="1"/>
      <c r="K2023" s="1"/>
      <c r="L2023" s="1"/>
      <c r="M2023" s="1"/>
      <c r="N2023" s="1"/>
      <c r="O2023" s="1"/>
      <c r="P2023" s="1"/>
      <c r="Q2023" s="1"/>
      <c r="R2023"/>
      <c r="S2023" s="1"/>
      <c r="T2023" s="24"/>
      <c r="U2023"/>
      <c r="V2023" s="1"/>
      <c r="W2023" s="24"/>
      <c r="X2023"/>
      <c r="Y2023" s="1"/>
      <c r="Z2023" s="24"/>
      <c r="AA2023"/>
      <c r="AB2023" s="1"/>
      <c r="AC2023" s="24"/>
      <c r="AD2023"/>
      <c r="AE2023"/>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c r="BM2023"/>
      <c r="BN2023"/>
      <c r="BO2023"/>
      <c r="BP2023"/>
      <c r="BQ2023"/>
      <c r="BR2023"/>
      <c r="BS2023"/>
      <c r="BT2023"/>
      <c r="BU2023"/>
      <c r="BV2023"/>
      <c r="BW2023"/>
      <c r="BX2023"/>
      <c r="BY2023"/>
      <c r="BZ2023"/>
      <c r="CA2023"/>
      <c r="CB2023"/>
      <c r="CC2023"/>
      <c r="CD2023"/>
      <c r="CE2023"/>
      <c r="CF2023"/>
      <c r="CG2023"/>
      <c r="CH2023"/>
      <c r="CI2023"/>
      <c r="CJ2023"/>
      <c r="CK2023"/>
      <c r="CL2023"/>
      <c r="CM2023"/>
      <c r="CN2023"/>
      <c r="CO2023"/>
      <c r="CP2023"/>
      <c r="CQ2023"/>
      <c r="CR2023"/>
      <c r="CS2023"/>
    </row>
    <row r="2024" spans="2:97">
      <c r="B2024"/>
      <c r="C2024" s="1"/>
      <c r="D2024" s="1"/>
      <c r="E2024" s="1"/>
      <c r="F2024" s="1"/>
      <c r="G2024" s="1"/>
      <c r="H2024" s="1"/>
      <c r="I2024" s="1"/>
      <c r="J2024" s="1"/>
      <c r="K2024" s="1"/>
      <c r="L2024" s="1"/>
      <c r="M2024" s="1"/>
      <c r="N2024" s="1"/>
      <c r="O2024" s="1"/>
      <c r="P2024" s="1"/>
      <c r="Q2024" s="1"/>
      <c r="R2024"/>
      <c r="S2024" s="1"/>
      <c r="T2024" s="24"/>
      <c r="U2024"/>
      <c r="V2024" s="1"/>
      <c r="W2024" s="24"/>
      <c r="X2024"/>
      <c r="Y2024" s="1"/>
      <c r="Z2024" s="24"/>
      <c r="AA2024"/>
      <c r="AB2024" s="1"/>
      <c r="AC2024" s="24"/>
      <c r="AD2024"/>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c r="BN2024"/>
      <c r="BO2024"/>
      <c r="BP2024"/>
      <c r="BQ2024"/>
      <c r="BR2024"/>
      <c r="BS2024"/>
      <c r="BT2024"/>
      <c r="BU2024"/>
      <c r="BV2024"/>
      <c r="BW2024"/>
      <c r="BX2024"/>
      <c r="BY2024"/>
      <c r="BZ2024"/>
      <c r="CA2024"/>
      <c r="CB2024"/>
      <c r="CC2024"/>
      <c r="CD2024"/>
      <c r="CE2024"/>
      <c r="CF2024"/>
      <c r="CG2024"/>
      <c r="CH2024"/>
      <c r="CI2024"/>
      <c r="CJ2024"/>
      <c r="CK2024"/>
      <c r="CL2024"/>
      <c r="CM2024"/>
      <c r="CN2024"/>
      <c r="CO2024"/>
      <c r="CP2024"/>
      <c r="CQ2024"/>
      <c r="CR2024"/>
      <c r="CS2024"/>
    </row>
    <row r="2025" spans="2:97">
      <c r="B2025"/>
      <c r="C2025" s="1"/>
      <c r="D2025" s="1"/>
      <c r="E2025" s="1"/>
      <c r="F2025" s="1"/>
      <c r="G2025" s="1"/>
      <c r="H2025" s="1"/>
      <c r="I2025" s="1"/>
      <c r="J2025" s="1"/>
      <c r="K2025" s="1"/>
      <c r="L2025" s="1"/>
      <c r="M2025" s="1"/>
      <c r="N2025" s="1"/>
      <c r="O2025" s="1"/>
      <c r="P2025" s="1"/>
      <c r="Q2025" s="1"/>
      <c r="R2025"/>
      <c r="S2025" s="1"/>
      <c r="T2025" s="24"/>
      <c r="U2025"/>
      <c r="V2025" s="1"/>
      <c r="W2025" s="24"/>
      <c r="X2025"/>
      <c r="Y2025" s="1"/>
      <c r="Z2025" s="24"/>
      <c r="AA2025"/>
      <c r="AB2025" s="1"/>
      <c r="AC2025" s="24"/>
      <c r="AD2025"/>
      <c r="AE2025"/>
      <c r="AF2025"/>
      <c r="AG2025"/>
      <c r="AH2025"/>
      <c r="AI2025"/>
      <c r="AJ2025"/>
      <c r="AK2025"/>
      <c r="AL2025"/>
      <c r="AM2025"/>
      <c r="AN2025"/>
      <c r="AO2025"/>
      <c r="AP2025"/>
      <c r="AQ2025"/>
      <c r="AR2025"/>
      <c r="AS2025"/>
      <c r="AT2025"/>
      <c r="AU2025"/>
      <c r="AV2025"/>
      <c r="AW2025"/>
      <c r="AX2025"/>
      <c r="AY2025"/>
      <c r="AZ2025"/>
      <c r="BA2025"/>
      <c r="BB2025"/>
      <c r="BC2025"/>
      <c r="BD2025"/>
      <c r="BE2025"/>
      <c r="BF2025"/>
      <c r="BG2025"/>
      <c r="BH2025"/>
      <c r="BI2025"/>
      <c r="BJ2025"/>
      <c r="BK2025"/>
      <c r="BL2025"/>
      <c r="BM2025"/>
      <c r="BN2025"/>
      <c r="BO2025"/>
      <c r="BP2025"/>
      <c r="BQ2025"/>
      <c r="BR2025"/>
      <c r="BS2025"/>
      <c r="BT2025"/>
      <c r="BU2025"/>
      <c r="BV2025"/>
      <c r="BW2025"/>
      <c r="BX2025"/>
      <c r="BY2025"/>
      <c r="BZ2025"/>
      <c r="CA2025"/>
      <c r="CB2025"/>
      <c r="CC2025"/>
      <c r="CD2025"/>
      <c r="CE2025"/>
      <c r="CF2025"/>
      <c r="CG2025"/>
      <c r="CH2025"/>
      <c r="CI2025"/>
      <c r="CJ2025"/>
      <c r="CK2025"/>
      <c r="CL2025"/>
      <c r="CM2025"/>
      <c r="CN2025"/>
      <c r="CO2025"/>
      <c r="CP2025"/>
      <c r="CQ2025"/>
      <c r="CR2025"/>
      <c r="CS2025"/>
    </row>
    <row r="2026" spans="2:97">
      <c r="B2026"/>
      <c r="C2026" s="1"/>
      <c r="D2026" s="1"/>
      <c r="E2026" s="1"/>
      <c r="F2026" s="1"/>
      <c r="G2026" s="1"/>
      <c r="H2026" s="1"/>
      <c r="I2026" s="1"/>
      <c r="J2026" s="1"/>
      <c r="K2026" s="1"/>
      <c r="L2026" s="1"/>
      <c r="M2026" s="1"/>
      <c r="N2026" s="1"/>
      <c r="O2026" s="1"/>
      <c r="P2026" s="1"/>
      <c r="Q2026" s="1"/>
      <c r="R2026"/>
      <c r="S2026" s="1"/>
      <c r="T2026" s="24"/>
      <c r="U2026"/>
      <c r="V2026" s="1"/>
      <c r="W2026" s="24"/>
      <c r="X2026"/>
      <c r="Y2026" s="1"/>
      <c r="Z2026" s="24"/>
      <c r="AA2026"/>
      <c r="AB2026" s="1"/>
      <c r="AC2026" s="24"/>
      <c r="AD2026"/>
      <c r="AE2026"/>
      <c r="AF2026"/>
      <c r="AG2026"/>
      <c r="AH2026"/>
      <c r="AI2026"/>
      <c r="AJ2026"/>
      <c r="AK2026"/>
      <c r="AL2026"/>
      <c r="AM2026"/>
      <c r="AN2026"/>
      <c r="AO2026"/>
      <c r="AP2026"/>
      <c r="AQ2026"/>
      <c r="AR2026"/>
      <c r="AS2026"/>
      <c r="AT2026"/>
      <c r="AU2026"/>
      <c r="AV2026"/>
      <c r="AW2026"/>
      <c r="AX2026"/>
      <c r="AY2026"/>
      <c r="AZ2026"/>
      <c r="BA2026"/>
      <c r="BB2026"/>
      <c r="BC2026"/>
      <c r="BD2026"/>
      <c r="BE2026"/>
      <c r="BF2026"/>
      <c r="BG2026"/>
      <c r="BH2026"/>
      <c r="BI2026"/>
      <c r="BJ2026"/>
      <c r="BK2026"/>
      <c r="BL2026"/>
      <c r="BM2026"/>
      <c r="BN2026"/>
      <c r="BO2026"/>
      <c r="BP2026"/>
      <c r="BQ2026"/>
      <c r="BR2026"/>
      <c r="BS2026"/>
      <c r="BT2026"/>
      <c r="BU2026"/>
      <c r="BV2026"/>
      <c r="BW2026"/>
      <c r="BX2026"/>
      <c r="BY2026"/>
      <c r="BZ2026"/>
      <c r="CA2026"/>
      <c r="CB2026"/>
      <c r="CC2026"/>
      <c r="CD2026"/>
      <c r="CE2026"/>
      <c r="CF2026"/>
      <c r="CG2026"/>
      <c r="CH2026"/>
      <c r="CI2026"/>
      <c r="CJ2026"/>
      <c r="CK2026"/>
      <c r="CL2026"/>
      <c r="CM2026"/>
      <c r="CN2026"/>
      <c r="CO2026"/>
      <c r="CP2026"/>
      <c r="CQ2026"/>
      <c r="CR2026"/>
      <c r="CS2026"/>
    </row>
    <row r="2027" spans="2:97">
      <c r="B2027"/>
      <c r="C2027" s="1"/>
      <c r="D2027" s="1"/>
      <c r="E2027" s="1"/>
      <c r="F2027" s="1"/>
      <c r="G2027" s="1"/>
      <c r="H2027" s="1"/>
      <c r="I2027" s="1"/>
      <c r="J2027" s="1"/>
      <c r="K2027" s="1"/>
      <c r="L2027" s="1"/>
      <c r="M2027" s="1"/>
      <c r="N2027" s="1"/>
      <c r="O2027" s="1"/>
      <c r="P2027" s="1"/>
      <c r="Q2027" s="1"/>
      <c r="R2027"/>
      <c r="S2027" s="1"/>
      <c r="T2027" s="24"/>
      <c r="U2027"/>
      <c r="V2027" s="1"/>
      <c r="W2027" s="24"/>
      <c r="X2027"/>
      <c r="Y2027" s="1"/>
      <c r="Z2027" s="24"/>
      <c r="AA2027"/>
      <c r="AB2027" s="1"/>
      <c r="AC2027" s="24"/>
      <c r="AD2027"/>
      <c r="AE2027"/>
      <c r="AF2027"/>
      <c r="AG2027"/>
      <c r="AH2027"/>
      <c r="AI2027"/>
      <c r="AJ2027"/>
      <c r="AK2027"/>
      <c r="AL2027"/>
      <c r="AM2027"/>
      <c r="AN2027"/>
      <c r="AO2027"/>
      <c r="AP2027"/>
      <c r="AQ2027"/>
      <c r="AR2027"/>
      <c r="AS2027"/>
      <c r="AT2027"/>
      <c r="AU2027"/>
      <c r="AV2027"/>
      <c r="AW2027"/>
      <c r="AX2027"/>
      <c r="AY2027"/>
      <c r="AZ2027"/>
      <c r="BA2027"/>
      <c r="BB2027"/>
      <c r="BC2027"/>
      <c r="BD2027"/>
      <c r="BE2027"/>
      <c r="BF2027"/>
      <c r="BG2027"/>
      <c r="BH2027"/>
      <c r="BI2027"/>
      <c r="BJ2027"/>
      <c r="BK2027"/>
      <c r="BL2027"/>
      <c r="BM2027"/>
      <c r="BN2027"/>
      <c r="BO2027"/>
      <c r="BP2027"/>
      <c r="BQ2027"/>
      <c r="BR2027"/>
      <c r="BS2027"/>
      <c r="BT2027"/>
      <c r="BU2027"/>
      <c r="BV2027"/>
      <c r="BW2027"/>
      <c r="BX2027"/>
      <c r="BY2027"/>
      <c r="BZ2027"/>
      <c r="CA2027"/>
      <c r="CB2027"/>
      <c r="CC2027"/>
      <c r="CD2027"/>
      <c r="CE2027"/>
      <c r="CF2027"/>
      <c r="CG2027"/>
      <c r="CH2027"/>
      <c r="CI2027"/>
      <c r="CJ2027"/>
      <c r="CK2027"/>
      <c r="CL2027"/>
      <c r="CM2027"/>
      <c r="CN2027"/>
      <c r="CO2027"/>
      <c r="CP2027"/>
      <c r="CQ2027"/>
      <c r="CR2027"/>
      <c r="CS2027"/>
    </row>
    <row r="2028" spans="2:97">
      <c r="B2028"/>
      <c r="C2028" s="1"/>
      <c r="D2028" s="1"/>
      <c r="E2028" s="1"/>
      <c r="F2028" s="1"/>
      <c r="G2028" s="1"/>
      <c r="H2028" s="1"/>
      <c r="I2028" s="1"/>
      <c r="J2028" s="1"/>
      <c r="K2028" s="1"/>
      <c r="L2028" s="1"/>
      <c r="M2028" s="1"/>
      <c r="N2028" s="1"/>
      <c r="O2028" s="1"/>
      <c r="P2028" s="1"/>
      <c r="Q2028" s="1"/>
      <c r="R2028"/>
      <c r="S2028" s="1"/>
      <c r="T2028" s="24"/>
      <c r="U2028"/>
      <c r="V2028" s="1"/>
      <c r="W2028" s="24"/>
      <c r="X2028"/>
      <c r="Y2028" s="1"/>
      <c r="Z2028" s="24"/>
      <c r="AA2028"/>
      <c r="AB2028" s="1"/>
      <c r="AC2028" s="24"/>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c r="BJ2028"/>
      <c r="BK2028"/>
      <c r="BL2028"/>
      <c r="BM2028"/>
      <c r="BN2028"/>
      <c r="BO2028"/>
      <c r="BP2028"/>
      <c r="BQ2028"/>
      <c r="BR2028"/>
      <c r="BS2028"/>
      <c r="BT2028"/>
      <c r="BU2028"/>
      <c r="BV2028"/>
      <c r="BW2028"/>
      <c r="BX2028"/>
      <c r="BY2028"/>
      <c r="BZ2028"/>
      <c r="CA2028"/>
      <c r="CB2028"/>
      <c r="CC2028"/>
      <c r="CD2028"/>
      <c r="CE2028"/>
      <c r="CF2028"/>
      <c r="CG2028"/>
      <c r="CH2028"/>
      <c r="CI2028"/>
      <c r="CJ2028"/>
      <c r="CK2028"/>
      <c r="CL2028"/>
      <c r="CM2028"/>
      <c r="CN2028"/>
      <c r="CO2028"/>
      <c r="CP2028"/>
      <c r="CQ2028"/>
      <c r="CR2028"/>
      <c r="CS2028"/>
    </row>
    <row r="2029" spans="2:97">
      <c r="B2029"/>
      <c r="C2029" s="1"/>
      <c r="D2029" s="1"/>
      <c r="E2029" s="1"/>
      <c r="F2029" s="1"/>
      <c r="G2029" s="1"/>
      <c r="H2029" s="1"/>
      <c r="I2029" s="1"/>
      <c r="J2029" s="1"/>
      <c r="K2029" s="1"/>
      <c r="L2029" s="1"/>
      <c r="M2029" s="1"/>
      <c r="N2029" s="1"/>
      <c r="O2029" s="1"/>
      <c r="P2029" s="1"/>
      <c r="Q2029" s="1"/>
      <c r="R2029"/>
      <c r="S2029" s="1"/>
      <c r="T2029" s="24"/>
      <c r="U2029"/>
      <c r="V2029" s="1"/>
      <c r="W2029" s="24"/>
      <c r="X2029"/>
      <c r="Y2029" s="1"/>
      <c r="Z2029" s="24"/>
      <c r="AA2029"/>
      <c r="AB2029" s="1"/>
      <c r="AC2029" s="24"/>
      <c r="AD2029"/>
      <c r="AE2029"/>
      <c r="AF2029"/>
      <c r="AG2029"/>
      <c r="AH2029"/>
      <c r="AI2029"/>
      <c r="AJ2029"/>
      <c r="AK2029"/>
      <c r="AL2029"/>
      <c r="AM2029"/>
      <c r="AN2029"/>
      <c r="AO2029"/>
      <c r="AP2029"/>
      <c r="AQ2029"/>
      <c r="AR2029"/>
      <c r="AS2029"/>
      <c r="AT2029"/>
      <c r="AU2029"/>
      <c r="AV2029"/>
      <c r="AW2029"/>
      <c r="AX2029"/>
      <c r="AY2029"/>
      <c r="AZ2029"/>
      <c r="BA2029"/>
      <c r="BB2029"/>
      <c r="BC2029"/>
      <c r="BD2029"/>
      <c r="BE2029"/>
      <c r="BF2029"/>
      <c r="BG2029"/>
      <c r="BH2029"/>
      <c r="BI2029"/>
      <c r="BJ2029"/>
      <c r="BK2029"/>
      <c r="BL2029"/>
      <c r="BM2029"/>
      <c r="BN2029"/>
      <c r="BO2029"/>
      <c r="BP2029"/>
      <c r="BQ2029"/>
      <c r="BR2029"/>
      <c r="BS2029"/>
      <c r="BT2029"/>
      <c r="BU2029"/>
      <c r="BV2029"/>
      <c r="BW2029"/>
      <c r="BX2029"/>
      <c r="BY2029"/>
      <c r="BZ2029"/>
      <c r="CA2029"/>
      <c r="CB2029"/>
      <c r="CC2029"/>
      <c r="CD2029"/>
      <c r="CE2029"/>
      <c r="CF2029"/>
      <c r="CG2029"/>
      <c r="CH2029"/>
      <c r="CI2029"/>
      <c r="CJ2029"/>
      <c r="CK2029"/>
      <c r="CL2029"/>
      <c r="CM2029"/>
      <c r="CN2029"/>
      <c r="CO2029"/>
      <c r="CP2029"/>
      <c r="CQ2029"/>
      <c r="CR2029"/>
      <c r="CS2029"/>
    </row>
    <row r="2030" spans="2:97">
      <c r="B2030"/>
      <c r="C2030" s="1"/>
      <c r="D2030" s="1"/>
      <c r="E2030" s="1"/>
      <c r="F2030" s="1"/>
      <c r="G2030" s="1"/>
      <c r="H2030" s="1"/>
      <c r="I2030" s="1"/>
      <c r="J2030" s="1"/>
      <c r="K2030" s="1"/>
      <c r="L2030" s="1"/>
      <c r="M2030" s="1"/>
      <c r="N2030" s="1"/>
      <c r="O2030" s="1"/>
      <c r="P2030" s="1"/>
      <c r="Q2030" s="1"/>
      <c r="R2030"/>
      <c r="S2030" s="1"/>
      <c r="T2030" s="24"/>
      <c r="U2030"/>
      <c r="V2030" s="1"/>
      <c r="W2030" s="24"/>
      <c r="X2030"/>
      <c r="Y2030" s="1"/>
      <c r="Z2030" s="24"/>
      <c r="AA2030"/>
      <c r="AB2030" s="1"/>
      <c r="AC2030" s="24"/>
      <c r="AD2030"/>
      <c r="AE2030"/>
      <c r="AF2030"/>
      <c r="AG2030"/>
      <c r="AH2030"/>
      <c r="AI2030"/>
      <c r="AJ2030"/>
      <c r="AK2030"/>
      <c r="AL2030"/>
      <c r="AM2030"/>
      <c r="AN2030"/>
      <c r="AO2030"/>
      <c r="AP2030"/>
      <c r="AQ2030"/>
      <c r="AR2030"/>
      <c r="AS2030"/>
      <c r="AT2030"/>
      <c r="AU2030"/>
      <c r="AV2030"/>
      <c r="AW2030"/>
      <c r="AX2030"/>
      <c r="AY2030"/>
      <c r="AZ2030"/>
      <c r="BA2030"/>
      <c r="BB2030"/>
      <c r="BC2030"/>
      <c r="BD2030"/>
      <c r="BE2030"/>
      <c r="BF2030"/>
      <c r="BG2030"/>
      <c r="BH2030"/>
      <c r="BI2030"/>
      <c r="BJ2030"/>
      <c r="BK2030"/>
      <c r="BL2030"/>
      <c r="BM2030"/>
      <c r="BN2030"/>
      <c r="BO2030"/>
      <c r="BP2030"/>
      <c r="BQ2030"/>
      <c r="BR2030"/>
      <c r="BS2030"/>
      <c r="BT2030"/>
      <c r="BU2030"/>
      <c r="BV2030"/>
      <c r="BW2030"/>
      <c r="BX2030"/>
      <c r="BY2030"/>
      <c r="BZ2030"/>
      <c r="CA2030"/>
      <c r="CB2030"/>
      <c r="CC2030"/>
      <c r="CD2030"/>
      <c r="CE2030"/>
      <c r="CF2030"/>
      <c r="CG2030"/>
      <c r="CH2030"/>
      <c r="CI2030"/>
      <c r="CJ2030"/>
      <c r="CK2030"/>
      <c r="CL2030"/>
      <c r="CM2030"/>
      <c r="CN2030"/>
      <c r="CO2030"/>
      <c r="CP2030"/>
      <c r="CQ2030"/>
      <c r="CR2030"/>
      <c r="CS2030"/>
    </row>
    <row r="2031" spans="2:97">
      <c r="B2031"/>
      <c r="C2031" s="1"/>
      <c r="D2031" s="1"/>
      <c r="E2031" s="1"/>
      <c r="F2031" s="1"/>
      <c r="G2031" s="1"/>
      <c r="H2031" s="1"/>
      <c r="I2031" s="1"/>
      <c r="J2031" s="1"/>
      <c r="K2031" s="1"/>
      <c r="L2031" s="1"/>
      <c r="M2031" s="1"/>
      <c r="N2031" s="1"/>
      <c r="O2031" s="1"/>
      <c r="P2031" s="1"/>
      <c r="Q2031" s="1"/>
      <c r="R2031"/>
      <c r="S2031" s="1"/>
      <c r="T2031" s="24"/>
      <c r="U2031"/>
      <c r="V2031" s="1"/>
      <c r="W2031" s="24"/>
      <c r="X2031"/>
      <c r="Y2031" s="1"/>
      <c r="Z2031" s="24"/>
      <c r="AA2031"/>
      <c r="AB2031" s="1"/>
      <c r="AC2031" s="24"/>
      <c r="AD2031"/>
      <c r="AE2031"/>
      <c r="AF2031"/>
      <c r="AG2031"/>
      <c r="AH2031"/>
      <c r="AI2031"/>
      <c r="AJ2031"/>
      <c r="AK2031"/>
      <c r="AL2031"/>
      <c r="AM2031"/>
      <c r="AN2031"/>
      <c r="AO2031"/>
      <c r="AP2031"/>
      <c r="AQ2031"/>
      <c r="AR2031"/>
      <c r="AS2031"/>
      <c r="AT2031"/>
      <c r="AU2031"/>
      <c r="AV2031"/>
      <c r="AW2031"/>
      <c r="AX2031"/>
      <c r="AY2031"/>
      <c r="AZ2031"/>
      <c r="BA2031"/>
      <c r="BB2031"/>
      <c r="BC2031"/>
      <c r="BD2031"/>
      <c r="BE2031"/>
      <c r="BF2031"/>
      <c r="BG2031"/>
      <c r="BH2031"/>
      <c r="BI2031"/>
      <c r="BJ2031"/>
      <c r="BK2031"/>
      <c r="BL2031"/>
      <c r="BM2031"/>
      <c r="BN2031"/>
      <c r="BO2031"/>
      <c r="BP2031"/>
      <c r="BQ2031"/>
      <c r="BR2031"/>
      <c r="BS2031"/>
      <c r="BT2031"/>
      <c r="BU2031"/>
      <c r="BV2031"/>
      <c r="BW2031"/>
      <c r="BX2031"/>
      <c r="BY2031"/>
      <c r="BZ2031"/>
      <c r="CA2031"/>
      <c r="CB2031"/>
      <c r="CC2031"/>
      <c r="CD2031"/>
      <c r="CE2031"/>
      <c r="CF2031"/>
      <c r="CG2031"/>
      <c r="CH2031"/>
      <c r="CI2031"/>
      <c r="CJ2031"/>
      <c r="CK2031"/>
      <c r="CL2031"/>
      <c r="CM2031"/>
      <c r="CN2031"/>
      <c r="CO2031"/>
      <c r="CP2031"/>
      <c r="CQ2031"/>
      <c r="CR2031"/>
      <c r="CS2031"/>
    </row>
    <row r="2032" spans="2:97">
      <c r="B2032"/>
      <c r="C2032" s="1"/>
      <c r="D2032" s="1"/>
      <c r="E2032" s="1"/>
      <c r="F2032" s="1"/>
      <c r="G2032" s="1"/>
      <c r="H2032" s="1"/>
      <c r="I2032" s="1"/>
      <c r="J2032" s="1"/>
      <c r="K2032" s="1"/>
      <c r="L2032" s="1"/>
      <c r="M2032" s="1"/>
      <c r="N2032" s="1"/>
      <c r="O2032" s="1"/>
      <c r="P2032" s="1"/>
      <c r="Q2032" s="1"/>
      <c r="R2032"/>
      <c r="S2032" s="1"/>
      <c r="T2032" s="24"/>
      <c r="U2032"/>
      <c r="V2032" s="1"/>
      <c r="W2032" s="24"/>
      <c r="X2032"/>
      <c r="Y2032" s="1"/>
      <c r="Z2032" s="24"/>
      <c r="AA2032"/>
      <c r="AB2032" s="1"/>
      <c r="AC2032" s="24"/>
      <c r="AD2032"/>
      <c r="AE2032"/>
      <c r="AF2032"/>
      <c r="AG2032"/>
      <c r="AH2032"/>
      <c r="AI2032"/>
      <c r="AJ2032"/>
      <c r="AK2032"/>
      <c r="AL2032"/>
      <c r="AM2032"/>
      <c r="AN2032"/>
      <c r="AO2032"/>
      <c r="AP2032"/>
      <c r="AQ2032"/>
      <c r="AR2032"/>
      <c r="AS2032"/>
      <c r="AT2032"/>
      <c r="AU2032"/>
      <c r="AV2032"/>
      <c r="AW2032"/>
      <c r="AX2032"/>
      <c r="AY2032"/>
      <c r="AZ2032"/>
      <c r="BA2032"/>
      <c r="BB2032"/>
      <c r="BC2032"/>
      <c r="BD2032"/>
      <c r="BE2032"/>
      <c r="BF2032"/>
      <c r="BG2032"/>
      <c r="BH2032"/>
      <c r="BI2032"/>
      <c r="BJ2032"/>
      <c r="BK2032"/>
      <c r="BL2032"/>
      <c r="BM2032"/>
      <c r="BN2032"/>
      <c r="BO2032"/>
      <c r="BP2032"/>
      <c r="BQ2032"/>
      <c r="BR2032"/>
      <c r="BS2032"/>
      <c r="BT2032"/>
      <c r="BU2032"/>
      <c r="BV2032"/>
      <c r="BW2032"/>
      <c r="BX2032"/>
      <c r="BY2032"/>
      <c r="BZ2032"/>
      <c r="CA2032"/>
      <c r="CB2032"/>
      <c r="CC2032"/>
      <c r="CD2032"/>
      <c r="CE2032"/>
      <c r="CF2032"/>
      <c r="CG2032"/>
      <c r="CH2032"/>
      <c r="CI2032"/>
      <c r="CJ2032"/>
      <c r="CK2032"/>
      <c r="CL2032"/>
      <c r="CM2032"/>
      <c r="CN2032"/>
      <c r="CO2032"/>
      <c r="CP2032"/>
      <c r="CQ2032"/>
      <c r="CR2032"/>
      <c r="CS2032"/>
    </row>
    <row r="2033" spans="2:97">
      <c r="B2033"/>
      <c r="C2033" s="1"/>
      <c r="D2033" s="1"/>
      <c r="E2033" s="1"/>
      <c r="F2033" s="1"/>
      <c r="G2033" s="1"/>
      <c r="H2033" s="1"/>
      <c r="I2033" s="1"/>
      <c r="J2033" s="1"/>
      <c r="K2033" s="1"/>
      <c r="L2033" s="1"/>
      <c r="M2033" s="1"/>
      <c r="N2033" s="1"/>
      <c r="O2033" s="1"/>
      <c r="P2033" s="1"/>
      <c r="Q2033" s="1"/>
      <c r="R2033"/>
      <c r="S2033" s="1"/>
      <c r="T2033" s="24"/>
      <c r="U2033"/>
      <c r="V2033" s="1"/>
      <c r="W2033" s="24"/>
      <c r="X2033"/>
      <c r="Y2033" s="1"/>
      <c r="Z2033" s="24"/>
      <c r="AA2033"/>
      <c r="AB2033" s="1"/>
      <c r="AC2033" s="24"/>
      <c r="AD2033"/>
      <c r="AE2033"/>
      <c r="AF2033"/>
      <c r="AG2033"/>
      <c r="AH2033"/>
      <c r="AI2033"/>
      <c r="AJ2033"/>
      <c r="AK2033"/>
      <c r="AL2033"/>
      <c r="AM2033"/>
      <c r="AN2033"/>
      <c r="AO2033"/>
      <c r="AP2033"/>
      <c r="AQ2033"/>
      <c r="AR2033"/>
      <c r="AS2033"/>
      <c r="AT2033"/>
      <c r="AU2033"/>
      <c r="AV2033"/>
      <c r="AW2033"/>
      <c r="AX2033"/>
      <c r="AY2033"/>
      <c r="AZ2033"/>
      <c r="BA2033"/>
      <c r="BB2033"/>
      <c r="BC2033"/>
      <c r="BD2033"/>
      <c r="BE2033"/>
      <c r="BF2033"/>
      <c r="BG2033"/>
      <c r="BH2033"/>
      <c r="BI2033"/>
      <c r="BJ2033"/>
      <c r="BK2033"/>
      <c r="BL2033"/>
      <c r="BM2033"/>
      <c r="BN2033"/>
      <c r="BO2033"/>
      <c r="BP2033"/>
      <c r="BQ2033"/>
      <c r="BR2033"/>
      <c r="BS2033"/>
      <c r="BT2033"/>
      <c r="BU2033"/>
      <c r="BV2033"/>
      <c r="BW2033"/>
      <c r="BX2033"/>
      <c r="BY2033"/>
      <c r="BZ2033"/>
      <c r="CA2033"/>
      <c r="CB2033"/>
      <c r="CC2033"/>
      <c r="CD2033"/>
      <c r="CE2033"/>
      <c r="CF2033"/>
      <c r="CG2033"/>
      <c r="CH2033"/>
      <c r="CI2033"/>
      <c r="CJ2033"/>
      <c r="CK2033"/>
      <c r="CL2033"/>
      <c r="CM2033"/>
      <c r="CN2033"/>
      <c r="CO2033"/>
      <c r="CP2033"/>
      <c r="CQ2033"/>
      <c r="CR2033"/>
      <c r="CS2033"/>
    </row>
    <row r="2034" spans="2:97">
      <c r="B2034"/>
      <c r="C2034" s="1"/>
      <c r="D2034" s="1"/>
      <c r="E2034" s="1"/>
      <c r="F2034" s="1"/>
      <c r="G2034" s="1"/>
      <c r="H2034" s="1"/>
      <c r="I2034" s="1"/>
      <c r="J2034" s="1"/>
      <c r="K2034" s="1"/>
      <c r="L2034" s="1"/>
      <c r="M2034" s="1"/>
      <c r="N2034" s="1"/>
      <c r="O2034" s="1"/>
      <c r="P2034" s="1"/>
      <c r="Q2034" s="1"/>
      <c r="R2034"/>
      <c r="S2034" s="1"/>
      <c r="T2034" s="24"/>
      <c r="U2034"/>
      <c r="V2034" s="1"/>
      <c r="W2034" s="24"/>
      <c r="X2034"/>
      <c r="Y2034" s="1"/>
      <c r="Z2034" s="24"/>
      <c r="AA2034"/>
      <c r="AB2034" s="1"/>
      <c r="AC2034" s="24"/>
      <c r="AD2034"/>
      <c r="AE2034"/>
      <c r="AF2034"/>
      <c r="AG2034"/>
      <c r="AH2034"/>
      <c r="AI2034"/>
      <c r="AJ2034"/>
      <c r="AK2034"/>
      <c r="AL2034"/>
      <c r="AM2034"/>
      <c r="AN2034"/>
      <c r="AO2034"/>
      <c r="AP2034"/>
      <c r="AQ2034"/>
      <c r="AR2034"/>
      <c r="AS2034"/>
      <c r="AT2034"/>
      <c r="AU2034"/>
      <c r="AV2034"/>
      <c r="AW2034"/>
      <c r="AX2034"/>
      <c r="AY2034"/>
      <c r="AZ2034"/>
      <c r="BA2034"/>
      <c r="BB2034"/>
      <c r="BC2034"/>
      <c r="BD2034"/>
      <c r="BE2034"/>
      <c r="BF2034"/>
      <c r="BG2034"/>
      <c r="BH2034"/>
      <c r="BI2034"/>
      <c r="BJ2034"/>
      <c r="BK2034"/>
      <c r="BL2034"/>
      <c r="BM2034"/>
      <c r="BN2034"/>
      <c r="BO2034"/>
      <c r="BP2034"/>
      <c r="BQ2034"/>
      <c r="BR2034"/>
      <c r="BS2034"/>
      <c r="BT2034"/>
      <c r="BU2034"/>
      <c r="BV2034"/>
      <c r="BW2034"/>
      <c r="BX2034"/>
      <c r="BY2034"/>
      <c r="BZ2034"/>
      <c r="CA2034"/>
      <c r="CB2034"/>
      <c r="CC2034"/>
      <c r="CD2034"/>
      <c r="CE2034"/>
      <c r="CF2034"/>
      <c r="CG2034"/>
      <c r="CH2034"/>
      <c r="CI2034"/>
      <c r="CJ2034"/>
      <c r="CK2034"/>
      <c r="CL2034"/>
      <c r="CM2034"/>
      <c r="CN2034"/>
      <c r="CO2034"/>
      <c r="CP2034"/>
      <c r="CQ2034"/>
      <c r="CR2034"/>
      <c r="CS2034"/>
    </row>
    <row r="2035" spans="2:97">
      <c r="B2035"/>
      <c r="C2035" s="1"/>
      <c r="D2035" s="1"/>
      <c r="E2035" s="1"/>
      <c r="F2035" s="1"/>
      <c r="G2035" s="1"/>
      <c r="H2035" s="1"/>
      <c r="I2035" s="1"/>
      <c r="J2035" s="1"/>
      <c r="K2035" s="1"/>
      <c r="L2035" s="1"/>
      <c r="M2035" s="1"/>
      <c r="N2035" s="1"/>
      <c r="O2035" s="1"/>
      <c r="P2035" s="1"/>
      <c r="Q2035" s="1"/>
      <c r="R2035"/>
      <c r="S2035" s="1"/>
      <c r="T2035" s="24"/>
      <c r="U2035"/>
      <c r="V2035" s="1"/>
      <c r="W2035" s="24"/>
      <c r="X2035"/>
      <c r="Y2035" s="1"/>
      <c r="Z2035" s="24"/>
      <c r="AA2035"/>
      <c r="AB2035" s="1"/>
      <c r="AC2035" s="24"/>
      <c r="AD2035"/>
      <c r="AE2035"/>
      <c r="AF2035"/>
      <c r="AG2035"/>
      <c r="AH2035"/>
      <c r="AI2035"/>
      <c r="AJ2035"/>
      <c r="AK2035"/>
      <c r="AL2035"/>
      <c r="AM2035"/>
      <c r="AN2035"/>
      <c r="AO2035"/>
      <c r="AP2035"/>
      <c r="AQ2035"/>
      <c r="AR2035"/>
      <c r="AS2035"/>
      <c r="AT2035"/>
      <c r="AU2035"/>
      <c r="AV2035"/>
      <c r="AW2035"/>
      <c r="AX2035"/>
      <c r="AY2035"/>
      <c r="AZ2035"/>
      <c r="BA2035"/>
      <c r="BB2035"/>
      <c r="BC2035"/>
      <c r="BD2035"/>
      <c r="BE2035"/>
      <c r="BF2035"/>
      <c r="BG2035"/>
      <c r="BH2035"/>
      <c r="BI2035"/>
      <c r="BJ2035"/>
      <c r="BK2035"/>
      <c r="BL2035"/>
      <c r="BM2035"/>
      <c r="BN2035"/>
      <c r="BO2035"/>
      <c r="BP2035"/>
      <c r="BQ2035"/>
      <c r="BR2035"/>
      <c r="BS2035"/>
      <c r="BT2035"/>
      <c r="BU2035"/>
      <c r="BV2035"/>
      <c r="BW2035"/>
      <c r="BX2035"/>
      <c r="BY2035"/>
      <c r="BZ2035"/>
      <c r="CA2035"/>
      <c r="CB2035"/>
      <c r="CC2035"/>
      <c r="CD2035"/>
      <c r="CE2035"/>
      <c r="CF2035"/>
      <c r="CG2035"/>
      <c r="CH2035"/>
      <c r="CI2035"/>
      <c r="CJ2035"/>
      <c r="CK2035"/>
      <c r="CL2035"/>
      <c r="CM2035"/>
      <c r="CN2035"/>
      <c r="CO2035"/>
      <c r="CP2035"/>
      <c r="CQ2035"/>
      <c r="CR2035"/>
      <c r="CS2035"/>
    </row>
    <row r="2036" spans="2:97">
      <c r="B2036"/>
      <c r="C2036" s="1"/>
      <c r="D2036" s="1"/>
      <c r="E2036" s="1"/>
      <c r="F2036" s="1"/>
      <c r="G2036" s="1"/>
      <c r="H2036" s="1"/>
      <c r="I2036" s="1"/>
      <c r="J2036" s="1"/>
      <c r="K2036" s="1"/>
      <c r="L2036" s="1"/>
      <c r="M2036" s="1"/>
      <c r="N2036" s="1"/>
      <c r="O2036" s="1"/>
      <c r="P2036" s="1"/>
      <c r="Q2036" s="1"/>
      <c r="R2036"/>
      <c r="S2036" s="1"/>
      <c r="T2036" s="24"/>
      <c r="U2036"/>
      <c r="V2036" s="1"/>
      <c r="W2036" s="24"/>
      <c r="X2036"/>
      <c r="Y2036" s="1"/>
      <c r="Z2036" s="24"/>
      <c r="AA2036"/>
      <c r="AB2036" s="1"/>
      <c r="AC2036" s="24"/>
      <c r="AD2036"/>
      <c r="AE2036"/>
      <c r="AF2036"/>
      <c r="AG2036"/>
      <c r="AH2036"/>
      <c r="AI2036"/>
      <c r="AJ2036"/>
      <c r="AK2036"/>
      <c r="AL2036"/>
      <c r="AM2036"/>
      <c r="AN2036"/>
      <c r="AO2036"/>
      <c r="AP2036"/>
      <c r="AQ2036"/>
      <c r="AR2036"/>
      <c r="AS2036"/>
      <c r="AT2036"/>
      <c r="AU2036"/>
      <c r="AV2036"/>
      <c r="AW2036"/>
      <c r="AX2036"/>
      <c r="AY2036"/>
      <c r="AZ2036"/>
      <c r="BA2036"/>
      <c r="BB2036"/>
      <c r="BC2036"/>
      <c r="BD2036"/>
      <c r="BE2036"/>
      <c r="BF2036"/>
      <c r="BG2036"/>
      <c r="BH2036"/>
      <c r="BI2036"/>
      <c r="BJ2036"/>
      <c r="BK2036"/>
      <c r="BL2036"/>
      <c r="BM2036"/>
      <c r="BN2036"/>
      <c r="BO2036"/>
      <c r="BP2036"/>
      <c r="BQ2036"/>
      <c r="BR2036"/>
      <c r="BS2036"/>
      <c r="BT2036"/>
      <c r="BU2036"/>
      <c r="BV2036"/>
      <c r="BW2036"/>
      <c r="BX2036"/>
      <c r="BY2036"/>
      <c r="BZ2036"/>
      <c r="CA2036"/>
      <c r="CB2036"/>
      <c r="CC2036"/>
      <c r="CD2036"/>
      <c r="CE2036"/>
      <c r="CF2036"/>
      <c r="CG2036"/>
      <c r="CH2036"/>
      <c r="CI2036"/>
      <c r="CJ2036"/>
      <c r="CK2036"/>
      <c r="CL2036"/>
      <c r="CM2036"/>
      <c r="CN2036"/>
      <c r="CO2036"/>
      <c r="CP2036"/>
      <c r="CQ2036"/>
      <c r="CR2036"/>
      <c r="CS2036"/>
    </row>
    <row r="2037" spans="2:97">
      <c r="B2037"/>
      <c r="C2037" s="1"/>
      <c r="D2037" s="1"/>
      <c r="E2037" s="1"/>
      <c r="F2037" s="1"/>
      <c r="G2037" s="1"/>
      <c r="H2037" s="1"/>
      <c r="I2037" s="1"/>
      <c r="J2037" s="1"/>
      <c r="K2037" s="1"/>
      <c r="L2037" s="1"/>
      <c r="M2037" s="1"/>
      <c r="N2037" s="1"/>
      <c r="O2037" s="1"/>
      <c r="P2037" s="1"/>
      <c r="Q2037" s="1"/>
      <c r="R2037"/>
      <c r="S2037" s="1"/>
      <c r="T2037" s="24"/>
      <c r="U2037"/>
      <c r="V2037" s="1"/>
      <c r="W2037" s="24"/>
      <c r="X2037"/>
      <c r="Y2037" s="1"/>
      <c r="Z2037" s="24"/>
      <c r="AA2037"/>
      <c r="AB2037" s="1"/>
      <c r="AC2037" s="24"/>
      <c r="AD2037"/>
      <c r="AE2037"/>
      <c r="AF2037"/>
      <c r="AG2037"/>
      <c r="AH2037"/>
      <c r="AI2037"/>
      <c r="AJ2037"/>
      <c r="AK2037"/>
      <c r="AL2037"/>
      <c r="AM2037"/>
      <c r="AN2037"/>
      <c r="AO2037"/>
      <c r="AP2037"/>
      <c r="AQ2037"/>
      <c r="AR2037"/>
      <c r="AS2037"/>
      <c r="AT2037"/>
      <c r="AU2037"/>
      <c r="AV2037"/>
      <c r="AW2037"/>
      <c r="AX2037"/>
      <c r="AY2037"/>
      <c r="AZ2037"/>
      <c r="BA2037"/>
      <c r="BB2037"/>
      <c r="BC2037"/>
      <c r="BD2037"/>
      <c r="BE2037"/>
      <c r="BF2037"/>
      <c r="BG2037"/>
      <c r="BH2037"/>
      <c r="BI2037"/>
      <c r="BJ2037"/>
      <c r="BK2037"/>
      <c r="BL2037"/>
      <c r="BM2037"/>
      <c r="BN2037"/>
      <c r="BO2037"/>
      <c r="BP2037"/>
      <c r="BQ2037"/>
      <c r="BR2037"/>
      <c r="BS2037"/>
      <c r="BT2037"/>
      <c r="BU2037"/>
      <c r="BV2037"/>
      <c r="BW2037"/>
      <c r="BX2037"/>
      <c r="BY2037"/>
      <c r="BZ2037"/>
      <c r="CA2037"/>
      <c r="CB2037"/>
      <c r="CC2037"/>
      <c r="CD2037"/>
      <c r="CE2037"/>
      <c r="CF2037"/>
      <c r="CG2037"/>
      <c r="CH2037"/>
      <c r="CI2037"/>
      <c r="CJ2037"/>
      <c r="CK2037"/>
      <c r="CL2037"/>
      <c r="CM2037"/>
      <c r="CN2037"/>
      <c r="CO2037"/>
      <c r="CP2037"/>
      <c r="CQ2037"/>
      <c r="CR2037"/>
      <c r="CS2037"/>
    </row>
    <row r="2038" spans="2:97">
      <c r="B2038"/>
      <c r="C2038" s="1"/>
      <c r="D2038" s="1"/>
      <c r="E2038" s="1"/>
      <c r="F2038" s="1"/>
      <c r="G2038" s="1"/>
      <c r="H2038" s="1"/>
      <c r="I2038" s="1"/>
      <c r="J2038" s="1"/>
      <c r="K2038" s="1"/>
      <c r="L2038" s="1"/>
      <c r="M2038" s="1"/>
      <c r="N2038" s="1"/>
      <c r="O2038" s="1"/>
      <c r="P2038" s="1"/>
      <c r="Q2038" s="1"/>
      <c r="R2038"/>
      <c r="S2038" s="1"/>
      <c r="T2038" s="24"/>
      <c r="U2038"/>
      <c r="V2038" s="1"/>
      <c r="W2038" s="24"/>
      <c r="X2038"/>
      <c r="Y2038" s="1"/>
      <c r="Z2038" s="24"/>
      <c r="AA2038"/>
      <c r="AB2038" s="1"/>
      <c r="AC2038" s="24"/>
      <c r="AD2038"/>
      <c r="AE2038"/>
      <c r="AF2038"/>
      <c r="AG2038"/>
      <c r="AH2038"/>
      <c r="AI2038"/>
      <c r="AJ2038"/>
      <c r="AK2038"/>
      <c r="AL2038"/>
      <c r="AM2038"/>
      <c r="AN2038"/>
      <c r="AO2038"/>
      <c r="AP2038"/>
      <c r="AQ2038"/>
      <c r="AR2038"/>
      <c r="AS2038"/>
      <c r="AT2038"/>
      <c r="AU2038"/>
      <c r="AV2038"/>
      <c r="AW2038"/>
      <c r="AX2038"/>
      <c r="AY2038"/>
      <c r="AZ2038"/>
      <c r="BA2038"/>
      <c r="BB2038"/>
      <c r="BC2038"/>
      <c r="BD2038"/>
      <c r="BE2038"/>
      <c r="BF2038"/>
      <c r="BG2038"/>
      <c r="BH2038"/>
      <c r="BI2038"/>
      <c r="BJ2038"/>
      <c r="BK2038"/>
      <c r="BL2038"/>
      <c r="BM2038"/>
      <c r="BN2038"/>
      <c r="BO2038"/>
      <c r="BP2038"/>
      <c r="BQ2038"/>
      <c r="BR2038"/>
      <c r="BS2038"/>
      <c r="BT2038"/>
      <c r="BU2038"/>
      <c r="BV2038"/>
      <c r="BW2038"/>
      <c r="BX2038"/>
      <c r="BY2038"/>
      <c r="BZ2038"/>
      <c r="CA2038"/>
      <c r="CB2038"/>
      <c r="CC2038"/>
      <c r="CD2038"/>
      <c r="CE2038"/>
      <c r="CF2038"/>
      <c r="CG2038"/>
      <c r="CH2038"/>
      <c r="CI2038"/>
      <c r="CJ2038"/>
      <c r="CK2038"/>
      <c r="CL2038"/>
      <c r="CM2038"/>
      <c r="CN2038"/>
      <c r="CO2038"/>
      <c r="CP2038"/>
      <c r="CQ2038"/>
      <c r="CR2038"/>
      <c r="CS2038"/>
    </row>
    <row r="2039" spans="2:97">
      <c r="B2039"/>
      <c r="C2039" s="1"/>
      <c r="D2039" s="1"/>
      <c r="E2039" s="1"/>
      <c r="F2039" s="1"/>
      <c r="G2039" s="1"/>
      <c r="H2039" s="1"/>
      <c r="I2039" s="1"/>
      <c r="J2039" s="1"/>
      <c r="K2039" s="1"/>
      <c r="L2039" s="1"/>
      <c r="M2039" s="1"/>
      <c r="N2039" s="1"/>
      <c r="O2039" s="1"/>
      <c r="P2039" s="1"/>
      <c r="Q2039" s="1"/>
      <c r="R2039"/>
      <c r="S2039" s="1"/>
      <c r="T2039" s="24"/>
      <c r="U2039"/>
      <c r="V2039" s="1"/>
      <c r="W2039" s="24"/>
      <c r="X2039"/>
      <c r="Y2039" s="1"/>
      <c r="Z2039" s="24"/>
      <c r="AA2039"/>
      <c r="AB2039" s="1"/>
      <c r="AC2039" s="24"/>
      <c r="AD2039"/>
      <c r="AE2039"/>
      <c r="AF2039"/>
      <c r="AG2039"/>
      <c r="AH2039"/>
      <c r="AI2039"/>
      <c r="AJ2039"/>
      <c r="AK2039"/>
      <c r="AL2039"/>
      <c r="AM2039"/>
      <c r="AN2039"/>
      <c r="AO2039"/>
      <c r="AP2039"/>
      <c r="AQ2039"/>
      <c r="AR2039"/>
      <c r="AS2039"/>
      <c r="AT2039"/>
      <c r="AU2039"/>
      <c r="AV2039"/>
      <c r="AW2039"/>
      <c r="AX2039"/>
      <c r="AY2039"/>
      <c r="AZ2039"/>
      <c r="BA2039"/>
      <c r="BB2039"/>
      <c r="BC2039"/>
      <c r="BD2039"/>
      <c r="BE2039"/>
      <c r="BF2039"/>
      <c r="BG2039"/>
      <c r="BH2039"/>
      <c r="BI2039"/>
      <c r="BJ2039"/>
      <c r="BK2039"/>
      <c r="BL2039"/>
      <c r="BM2039"/>
      <c r="BN2039"/>
      <c r="BO2039"/>
      <c r="BP2039"/>
      <c r="BQ2039"/>
      <c r="BR2039"/>
      <c r="BS2039"/>
      <c r="BT2039"/>
      <c r="BU2039"/>
      <c r="BV2039"/>
      <c r="BW2039"/>
      <c r="BX2039"/>
      <c r="BY2039"/>
      <c r="BZ2039"/>
      <c r="CA2039"/>
      <c r="CB2039"/>
      <c r="CC2039"/>
      <c r="CD2039"/>
      <c r="CE2039"/>
      <c r="CF2039"/>
      <c r="CG2039"/>
      <c r="CH2039"/>
      <c r="CI2039"/>
      <c r="CJ2039"/>
      <c r="CK2039"/>
      <c r="CL2039"/>
      <c r="CM2039"/>
      <c r="CN2039"/>
      <c r="CO2039"/>
      <c r="CP2039"/>
      <c r="CQ2039"/>
      <c r="CR2039"/>
      <c r="CS2039"/>
    </row>
    <row r="2040" spans="2:97">
      <c r="B2040"/>
      <c r="C2040" s="1"/>
      <c r="D2040" s="1"/>
      <c r="E2040" s="1"/>
      <c r="F2040" s="1"/>
      <c r="G2040" s="1"/>
      <c r="H2040" s="1"/>
      <c r="I2040" s="1"/>
      <c r="J2040" s="1"/>
      <c r="K2040" s="1"/>
      <c r="L2040" s="1"/>
      <c r="M2040" s="1"/>
      <c r="N2040" s="1"/>
      <c r="O2040" s="1"/>
      <c r="P2040" s="1"/>
      <c r="Q2040" s="1"/>
      <c r="R2040"/>
      <c r="S2040" s="1"/>
      <c r="T2040" s="24"/>
      <c r="U2040"/>
      <c r="V2040" s="1"/>
      <c r="W2040" s="24"/>
      <c r="X2040"/>
      <c r="Y2040" s="1"/>
      <c r="Z2040" s="24"/>
      <c r="AA2040"/>
      <c r="AB2040" s="1"/>
      <c r="AC2040" s="24"/>
      <c r="AD2040"/>
      <c r="AE2040"/>
      <c r="AF2040"/>
      <c r="AG2040"/>
      <c r="AH2040"/>
      <c r="AI2040"/>
      <c r="AJ2040"/>
      <c r="AK2040"/>
      <c r="AL2040"/>
      <c r="AM2040"/>
      <c r="AN2040"/>
      <c r="AO2040"/>
      <c r="AP2040"/>
      <c r="AQ2040"/>
      <c r="AR2040"/>
      <c r="AS2040"/>
      <c r="AT2040"/>
      <c r="AU2040"/>
      <c r="AV2040"/>
      <c r="AW2040"/>
      <c r="AX2040"/>
      <c r="AY2040"/>
      <c r="AZ2040"/>
      <c r="BA2040"/>
      <c r="BB2040"/>
      <c r="BC2040"/>
      <c r="BD2040"/>
      <c r="BE2040"/>
      <c r="BF2040"/>
      <c r="BG2040"/>
      <c r="BH2040"/>
      <c r="BI2040"/>
      <c r="BJ2040"/>
      <c r="BK2040"/>
      <c r="BL2040"/>
      <c r="BM2040"/>
      <c r="BN2040"/>
      <c r="BO2040"/>
      <c r="BP2040"/>
      <c r="BQ2040"/>
      <c r="BR2040"/>
      <c r="BS2040"/>
      <c r="BT2040"/>
      <c r="BU2040"/>
      <c r="BV2040"/>
      <c r="BW2040"/>
      <c r="BX2040"/>
      <c r="BY2040"/>
      <c r="BZ2040"/>
      <c r="CA2040"/>
      <c r="CB2040"/>
      <c r="CC2040"/>
      <c r="CD2040"/>
      <c r="CE2040"/>
      <c r="CF2040"/>
      <c r="CG2040"/>
      <c r="CH2040"/>
      <c r="CI2040"/>
      <c r="CJ2040"/>
      <c r="CK2040"/>
      <c r="CL2040"/>
      <c r="CM2040"/>
      <c r="CN2040"/>
      <c r="CO2040"/>
      <c r="CP2040"/>
      <c r="CQ2040"/>
      <c r="CR2040"/>
      <c r="CS2040"/>
    </row>
    <row r="2041" spans="2:97">
      <c r="B2041"/>
      <c r="C2041" s="1"/>
      <c r="D2041" s="1"/>
      <c r="E2041" s="1"/>
      <c r="F2041" s="1"/>
      <c r="G2041" s="1"/>
      <c r="H2041" s="1"/>
      <c r="I2041" s="1"/>
      <c r="J2041" s="1"/>
      <c r="K2041" s="1"/>
      <c r="L2041" s="1"/>
      <c r="M2041" s="1"/>
      <c r="N2041" s="1"/>
      <c r="O2041" s="1"/>
      <c r="P2041" s="1"/>
      <c r="Q2041" s="1"/>
      <c r="R2041"/>
      <c r="S2041" s="1"/>
      <c r="T2041" s="24"/>
      <c r="U2041"/>
      <c r="V2041" s="1"/>
      <c r="W2041" s="24"/>
      <c r="X2041"/>
      <c r="Y2041" s="1"/>
      <c r="Z2041" s="24"/>
      <c r="AA2041"/>
      <c r="AB2041" s="1"/>
      <c r="AC2041" s="24"/>
      <c r="AD2041"/>
      <c r="AE2041"/>
      <c r="AF2041"/>
      <c r="AG2041"/>
      <c r="AH2041"/>
      <c r="AI2041"/>
      <c r="AJ2041"/>
      <c r="AK2041"/>
      <c r="AL2041"/>
      <c r="AM2041"/>
      <c r="AN2041"/>
      <c r="AO2041"/>
      <c r="AP2041"/>
      <c r="AQ2041"/>
      <c r="AR2041"/>
      <c r="AS2041"/>
      <c r="AT2041"/>
      <c r="AU2041"/>
      <c r="AV2041"/>
      <c r="AW2041"/>
      <c r="AX2041"/>
      <c r="AY2041"/>
      <c r="AZ2041"/>
      <c r="BA2041"/>
      <c r="BB2041"/>
      <c r="BC2041"/>
      <c r="BD2041"/>
      <c r="BE2041"/>
      <c r="BF2041"/>
      <c r="BG2041"/>
      <c r="BH2041"/>
      <c r="BI2041"/>
      <c r="BJ2041"/>
      <c r="BK2041"/>
      <c r="BL2041"/>
      <c r="BM2041"/>
      <c r="BN2041"/>
      <c r="BO2041"/>
      <c r="BP2041"/>
      <c r="BQ2041"/>
      <c r="BR2041"/>
      <c r="BS2041"/>
      <c r="BT2041"/>
      <c r="BU2041"/>
      <c r="BV2041"/>
      <c r="BW2041"/>
      <c r="BX2041"/>
      <c r="BY2041"/>
      <c r="BZ2041"/>
      <c r="CA2041"/>
      <c r="CB2041"/>
      <c r="CC2041"/>
      <c r="CD2041"/>
      <c r="CE2041"/>
      <c r="CF2041"/>
      <c r="CG2041"/>
      <c r="CH2041"/>
      <c r="CI2041"/>
      <c r="CJ2041"/>
      <c r="CK2041"/>
      <c r="CL2041"/>
      <c r="CM2041"/>
      <c r="CN2041"/>
      <c r="CO2041"/>
      <c r="CP2041"/>
      <c r="CQ2041"/>
      <c r="CR2041"/>
      <c r="CS2041"/>
    </row>
    <row r="2042" spans="2:97">
      <c r="B2042"/>
      <c r="C2042" s="1"/>
      <c r="D2042" s="1"/>
      <c r="E2042" s="1"/>
      <c r="F2042" s="1"/>
      <c r="G2042" s="1"/>
      <c r="H2042" s="1"/>
      <c r="I2042" s="1"/>
      <c r="J2042" s="1"/>
      <c r="K2042" s="1"/>
      <c r="L2042" s="1"/>
      <c r="M2042" s="1"/>
      <c r="N2042" s="1"/>
      <c r="O2042" s="1"/>
      <c r="P2042" s="1"/>
      <c r="Q2042" s="1"/>
      <c r="R2042"/>
      <c r="S2042" s="1"/>
      <c r="T2042" s="24"/>
      <c r="U2042"/>
      <c r="V2042" s="1"/>
      <c r="W2042" s="24"/>
      <c r="X2042"/>
      <c r="Y2042" s="1"/>
      <c r="Z2042" s="24"/>
      <c r="AA2042"/>
      <c r="AB2042" s="1"/>
      <c r="AC2042" s="24"/>
      <c r="AD2042"/>
      <c r="AE2042"/>
      <c r="AF2042"/>
      <c r="AG2042"/>
      <c r="AH2042"/>
      <c r="AI2042"/>
      <c r="AJ2042"/>
      <c r="AK2042"/>
      <c r="AL2042"/>
      <c r="AM2042"/>
      <c r="AN2042"/>
      <c r="AO2042"/>
      <c r="AP2042"/>
      <c r="AQ2042"/>
      <c r="AR2042"/>
      <c r="AS2042"/>
      <c r="AT2042"/>
      <c r="AU2042"/>
      <c r="AV2042"/>
      <c r="AW2042"/>
      <c r="AX2042"/>
      <c r="AY2042"/>
      <c r="AZ2042"/>
      <c r="BA2042"/>
      <c r="BB2042"/>
      <c r="BC2042"/>
      <c r="BD2042"/>
      <c r="BE2042"/>
      <c r="BF2042"/>
      <c r="BG2042"/>
      <c r="BH2042"/>
      <c r="BI2042"/>
      <c r="BJ2042"/>
      <c r="BK2042"/>
      <c r="BL2042"/>
      <c r="BM2042"/>
      <c r="BN2042"/>
      <c r="BO2042"/>
      <c r="BP2042"/>
      <c r="BQ2042"/>
      <c r="BR2042"/>
      <c r="BS2042"/>
      <c r="BT2042"/>
      <c r="BU2042"/>
      <c r="BV2042"/>
      <c r="BW2042"/>
      <c r="BX2042"/>
      <c r="BY2042"/>
      <c r="BZ2042"/>
      <c r="CA2042"/>
      <c r="CB2042"/>
      <c r="CC2042"/>
      <c r="CD2042"/>
      <c r="CE2042"/>
      <c r="CF2042"/>
      <c r="CG2042"/>
      <c r="CH2042"/>
      <c r="CI2042"/>
      <c r="CJ2042"/>
      <c r="CK2042"/>
      <c r="CL2042"/>
      <c r="CM2042"/>
      <c r="CN2042"/>
      <c r="CO2042"/>
      <c r="CP2042"/>
      <c r="CQ2042"/>
      <c r="CR2042"/>
      <c r="CS2042"/>
    </row>
    <row r="2043" spans="2:97">
      <c r="B2043"/>
      <c r="C2043" s="1"/>
      <c r="D2043" s="1"/>
      <c r="E2043" s="1"/>
      <c r="F2043" s="1"/>
      <c r="G2043" s="1"/>
      <c r="H2043" s="1"/>
      <c r="I2043" s="1"/>
      <c r="J2043" s="1"/>
      <c r="K2043" s="1"/>
      <c r="L2043" s="1"/>
      <c r="M2043" s="1"/>
      <c r="N2043" s="1"/>
      <c r="O2043" s="1"/>
      <c r="P2043" s="1"/>
      <c r="Q2043" s="1"/>
      <c r="R2043"/>
      <c r="S2043" s="1"/>
      <c r="T2043" s="24"/>
      <c r="U2043"/>
      <c r="V2043" s="1"/>
      <c r="W2043" s="24"/>
      <c r="X2043"/>
      <c r="Y2043" s="1"/>
      <c r="Z2043" s="24"/>
      <c r="AA2043"/>
      <c r="AB2043" s="1"/>
      <c r="AC2043" s="24"/>
      <c r="AD2043"/>
      <c r="AE2043"/>
      <c r="AF2043"/>
      <c r="AG2043"/>
      <c r="AH2043"/>
      <c r="AI2043"/>
      <c r="AJ2043"/>
      <c r="AK2043"/>
      <c r="AL2043"/>
      <c r="AM2043"/>
      <c r="AN2043"/>
      <c r="AO2043"/>
      <c r="AP2043"/>
      <c r="AQ2043"/>
      <c r="AR2043"/>
      <c r="AS2043"/>
      <c r="AT2043"/>
      <c r="AU2043"/>
      <c r="AV2043"/>
      <c r="AW2043"/>
      <c r="AX2043"/>
      <c r="AY2043"/>
      <c r="AZ2043"/>
      <c r="BA2043"/>
      <c r="BB2043"/>
      <c r="BC2043"/>
      <c r="BD2043"/>
      <c r="BE2043"/>
      <c r="BF2043"/>
      <c r="BG2043"/>
      <c r="BH2043"/>
      <c r="BI2043"/>
      <c r="BJ2043"/>
      <c r="BK2043"/>
      <c r="BL2043"/>
      <c r="BM2043"/>
      <c r="BN2043"/>
      <c r="BO2043"/>
      <c r="BP2043"/>
      <c r="BQ2043"/>
      <c r="BR2043"/>
      <c r="BS2043"/>
      <c r="BT2043"/>
      <c r="BU2043"/>
      <c r="BV2043"/>
      <c r="BW2043"/>
      <c r="BX2043"/>
      <c r="BY2043"/>
      <c r="BZ2043"/>
      <c r="CA2043"/>
      <c r="CB2043"/>
      <c r="CC2043"/>
      <c r="CD2043"/>
      <c r="CE2043"/>
      <c r="CF2043"/>
      <c r="CG2043"/>
      <c r="CH2043"/>
      <c r="CI2043"/>
      <c r="CJ2043"/>
      <c r="CK2043"/>
      <c r="CL2043"/>
      <c r="CM2043"/>
      <c r="CN2043"/>
      <c r="CO2043"/>
      <c r="CP2043"/>
      <c r="CQ2043"/>
      <c r="CR2043"/>
      <c r="CS2043"/>
    </row>
    <row r="2044" spans="2:97">
      <c r="B2044"/>
      <c r="C2044" s="1"/>
      <c r="D2044" s="1"/>
      <c r="E2044" s="1"/>
      <c r="F2044" s="1"/>
      <c r="G2044" s="1"/>
      <c r="H2044" s="1"/>
      <c r="I2044" s="1"/>
      <c r="J2044" s="1"/>
      <c r="K2044" s="1"/>
      <c r="L2044" s="1"/>
      <c r="M2044" s="1"/>
      <c r="N2044" s="1"/>
      <c r="O2044" s="1"/>
      <c r="P2044" s="1"/>
      <c r="Q2044" s="1"/>
      <c r="R2044"/>
      <c r="S2044" s="1"/>
      <c r="T2044" s="24"/>
      <c r="U2044"/>
      <c r="V2044" s="1"/>
      <c r="W2044" s="24"/>
      <c r="X2044"/>
      <c r="Y2044" s="1"/>
      <c r="Z2044" s="24"/>
      <c r="AA2044"/>
      <c r="AB2044" s="1"/>
      <c r="AC2044" s="24"/>
      <c r="AD2044"/>
      <c r="AE2044"/>
      <c r="AF2044"/>
      <c r="AG2044"/>
      <c r="AH2044"/>
      <c r="AI2044"/>
      <c r="AJ2044"/>
      <c r="AK2044"/>
      <c r="AL2044"/>
      <c r="AM2044"/>
      <c r="AN2044"/>
      <c r="AO2044"/>
      <c r="AP2044"/>
      <c r="AQ2044"/>
      <c r="AR2044"/>
      <c r="AS2044"/>
      <c r="AT2044"/>
      <c r="AU2044"/>
      <c r="AV2044"/>
      <c r="AW2044"/>
      <c r="AX2044"/>
      <c r="AY2044"/>
      <c r="AZ2044"/>
      <c r="BA2044"/>
      <c r="BB2044"/>
      <c r="BC2044"/>
      <c r="BD2044"/>
      <c r="BE2044"/>
      <c r="BF2044"/>
      <c r="BG2044"/>
      <c r="BH2044"/>
      <c r="BI2044"/>
      <c r="BJ2044"/>
      <c r="BK2044"/>
      <c r="BL2044"/>
      <c r="BM2044"/>
      <c r="BN2044"/>
      <c r="BO2044"/>
      <c r="BP2044"/>
      <c r="BQ2044"/>
      <c r="BR2044"/>
      <c r="BS2044"/>
      <c r="BT2044"/>
      <c r="BU2044"/>
      <c r="BV2044"/>
      <c r="BW2044"/>
      <c r="BX2044"/>
      <c r="BY2044"/>
      <c r="BZ2044"/>
      <c r="CA2044"/>
      <c r="CB2044"/>
      <c r="CC2044"/>
      <c r="CD2044"/>
      <c r="CE2044"/>
      <c r="CF2044"/>
      <c r="CG2044"/>
      <c r="CH2044"/>
      <c r="CI2044"/>
      <c r="CJ2044"/>
      <c r="CK2044"/>
      <c r="CL2044"/>
      <c r="CM2044"/>
      <c r="CN2044"/>
      <c r="CO2044"/>
      <c r="CP2044"/>
      <c r="CQ2044"/>
      <c r="CR2044"/>
      <c r="CS2044"/>
    </row>
    <row r="2045" spans="2:97">
      <c r="B2045"/>
      <c r="C2045" s="1"/>
      <c r="D2045" s="1"/>
      <c r="E2045" s="1"/>
      <c r="F2045" s="1"/>
      <c r="G2045" s="1"/>
      <c r="H2045" s="1"/>
      <c r="I2045" s="1"/>
      <c r="J2045" s="1"/>
      <c r="K2045" s="1"/>
      <c r="L2045" s="1"/>
      <c r="M2045" s="1"/>
      <c r="N2045" s="1"/>
      <c r="O2045" s="1"/>
      <c r="P2045" s="1"/>
      <c r="Q2045" s="1"/>
      <c r="R2045"/>
      <c r="S2045" s="1"/>
      <c r="T2045" s="24"/>
      <c r="U2045"/>
      <c r="V2045" s="1"/>
      <c r="W2045" s="24"/>
      <c r="X2045"/>
      <c r="Y2045" s="1"/>
      <c r="Z2045" s="24"/>
      <c r="AA2045"/>
      <c r="AB2045" s="1"/>
      <c r="AC2045" s="24"/>
      <c r="AD2045"/>
      <c r="AE2045"/>
      <c r="AF2045"/>
      <c r="AG2045"/>
      <c r="AH2045"/>
      <c r="AI2045"/>
      <c r="AJ2045"/>
      <c r="AK2045"/>
      <c r="AL2045"/>
      <c r="AM2045"/>
      <c r="AN2045"/>
      <c r="AO2045"/>
      <c r="AP2045"/>
      <c r="AQ2045"/>
      <c r="AR2045"/>
      <c r="AS2045"/>
      <c r="AT2045"/>
      <c r="AU2045"/>
      <c r="AV2045"/>
      <c r="AW2045"/>
      <c r="AX2045"/>
      <c r="AY2045"/>
      <c r="AZ2045"/>
      <c r="BA2045"/>
      <c r="BB2045"/>
      <c r="BC2045"/>
      <c r="BD2045"/>
      <c r="BE2045"/>
      <c r="BF2045"/>
      <c r="BG2045"/>
      <c r="BH2045"/>
      <c r="BI2045"/>
      <c r="BJ2045"/>
      <c r="BK2045"/>
      <c r="BL2045"/>
      <c r="BM2045"/>
      <c r="BN2045"/>
      <c r="BO2045"/>
      <c r="BP2045"/>
      <c r="BQ2045"/>
      <c r="BR2045"/>
      <c r="BS2045"/>
      <c r="BT2045"/>
      <c r="BU2045"/>
      <c r="BV2045"/>
      <c r="BW2045"/>
      <c r="BX2045"/>
      <c r="BY2045"/>
      <c r="BZ2045"/>
      <c r="CA2045"/>
      <c r="CB2045"/>
      <c r="CC2045"/>
      <c r="CD2045"/>
      <c r="CE2045"/>
      <c r="CF2045"/>
      <c r="CG2045"/>
      <c r="CH2045"/>
      <c r="CI2045"/>
      <c r="CJ2045"/>
      <c r="CK2045"/>
      <c r="CL2045"/>
      <c r="CM2045"/>
      <c r="CN2045"/>
      <c r="CO2045"/>
      <c r="CP2045"/>
      <c r="CQ2045"/>
      <c r="CR2045"/>
      <c r="CS2045"/>
    </row>
    <row r="2046" spans="2:97">
      <c r="B2046"/>
      <c r="C2046" s="1"/>
      <c r="D2046" s="1"/>
      <c r="E2046" s="1"/>
      <c r="F2046" s="1"/>
      <c r="G2046" s="1"/>
      <c r="H2046" s="1"/>
      <c r="I2046" s="1"/>
      <c r="J2046" s="1"/>
      <c r="K2046" s="1"/>
      <c r="L2046" s="1"/>
      <c r="M2046" s="1"/>
      <c r="N2046" s="1"/>
      <c r="O2046" s="1"/>
      <c r="P2046" s="1"/>
      <c r="Q2046" s="1"/>
      <c r="R2046"/>
      <c r="S2046" s="1"/>
      <c r="T2046" s="24"/>
      <c r="U2046"/>
      <c r="V2046" s="1"/>
      <c r="W2046" s="24"/>
      <c r="X2046"/>
      <c r="Y2046" s="1"/>
      <c r="Z2046" s="24"/>
      <c r="AA2046"/>
      <c r="AB2046" s="1"/>
      <c r="AC2046" s="24"/>
      <c r="AD2046"/>
      <c r="AE2046"/>
      <c r="AF2046"/>
      <c r="AG2046"/>
      <c r="AH2046"/>
      <c r="AI2046"/>
      <c r="AJ2046"/>
      <c r="AK2046"/>
      <c r="AL2046"/>
      <c r="AM2046"/>
      <c r="AN2046"/>
      <c r="AO2046"/>
      <c r="AP2046"/>
      <c r="AQ2046"/>
      <c r="AR2046"/>
      <c r="AS2046"/>
      <c r="AT2046"/>
      <c r="AU2046"/>
      <c r="AV2046"/>
      <c r="AW2046"/>
      <c r="AX2046"/>
      <c r="AY2046"/>
      <c r="AZ2046"/>
      <c r="BA2046"/>
      <c r="BB2046"/>
      <c r="BC2046"/>
      <c r="BD2046"/>
      <c r="BE2046"/>
      <c r="BF2046"/>
      <c r="BG2046"/>
      <c r="BH2046"/>
      <c r="BI2046"/>
      <c r="BJ2046"/>
      <c r="BK2046"/>
      <c r="BL2046"/>
      <c r="BM2046"/>
      <c r="BN2046"/>
      <c r="BO2046"/>
      <c r="BP2046"/>
      <c r="BQ2046"/>
      <c r="BR2046"/>
      <c r="BS2046"/>
      <c r="BT2046"/>
      <c r="BU2046"/>
      <c r="BV2046"/>
      <c r="BW2046"/>
      <c r="BX2046"/>
      <c r="BY2046"/>
      <c r="BZ2046"/>
      <c r="CA2046"/>
      <c r="CB2046"/>
      <c r="CC2046"/>
      <c r="CD2046"/>
      <c r="CE2046"/>
      <c r="CF2046"/>
      <c r="CG2046"/>
      <c r="CH2046"/>
      <c r="CI2046"/>
      <c r="CJ2046"/>
      <c r="CK2046"/>
      <c r="CL2046"/>
      <c r="CM2046"/>
      <c r="CN2046"/>
      <c r="CO2046"/>
      <c r="CP2046"/>
      <c r="CQ2046"/>
      <c r="CR2046"/>
      <c r="CS2046"/>
    </row>
    <row r="2047" spans="2:97">
      <c r="B2047"/>
      <c r="C2047" s="1"/>
      <c r="D2047" s="1"/>
      <c r="E2047" s="1"/>
      <c r="F2047" s="1"/>
      <c r="G2047" s="1"/>
      <c r="H2047" s="1"/>
      <c r="I2047" s="1"/>
      <c r="J2047" s="1"/>
      <c r="K2047" s="1"/>
      <c r="L2047" s="1"/>
      <c r="M2047" s="1"/>
      <c r="N2047" s="1"/>
      <c r="O2047" s="1"/>
      <c r="P2047" s="1"/>
      <c r="Q2047" s="1"/>
      <c r="R2047"/>
      <c r="S2047" s="1"/>
      <c r="T2047" s="24"/>
      <c r="U2047"/>
      <c r="V2047" s="1"/>
      <c r="W2047" s="24"/>
      <c r="X2047"/>
      <c r="Y2047" s="1"/>
      <c r="Z2047" s="24"/>
      <c r="AA2047"/>
      <c r="AB2047" s="1"/>
      <c r="AC2047" s="24"/>
      <c r="AD2047"/>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c r="BM2047"/>
      <c r="BN2047"/>
      <c r="BO2047"/>
      <c r="BP2047"/>
      <c r="BQ2047"/>
      <c r="BR2047"/>
      <c r="BS2047"/>
      <c r="BT2047"/>
      <c r="BU2047"/>
      <c r="BV2047"/>
      <c r="BW2047"/>
      <c r="BX2047"/>
      <c r="BY2047"/>
      <c r="BZ2047"/>
      <c r="CA2047"/>
      <c r="CB2047"/>
      <c r="CC2047"/>
      <c r="CD2047"/>
      <c r="CE2047"/>
      <c r="CF2047"/>
      <c r="CG2047"/>
      <c r="CH2047"/>
      <c r="CI2047"/>
      <c r="CJ2047"/>
      <c r="CK2047"/>
      <c r="CL2047"/>
      <c r="CM2047"/>
      <c r="CN2047"/>
      <c r="CO2047"/>
      <c r="CP2047"/>
      <c r="CQ2047"/>
      <c r="CR2047"/>
      <c r="CS2047"/>
    </row>
    <row r="2048" spans="2:97">
      <c r="B2048"/>
      <c r="C2048" s="1"/>
      <c r="D2048" s="1"/>
      <c r="E2048" s="1"/>
      <c r="F2048" s="1"/>
      <c r="G2048" s="1"/>
      <c r="H2048" s="1"/>
      <c r="I2048" s="1"/>
      <c r="J2048" s="1"/>
      <c r="K2048" s="1"/>
      <c r="L2048" s="1"/>
      <c r="M2048" s="1"/>
      <c r="N2048" s="1"/>
      <c r="O2048" s="1"/>
      <c r="P2048" s="1"/>
      <c r="Q2048" s="1"/>
      <c r="R2048"/>
      <c r="S2048" s="1"/>
      <c r="T2048" s="24"/>
      <c r="U2048"/>
      <c r="V2048" s="1"/>
      <c r="W2048" s="24"/>
      <c r="X2048"/>
      <c r="Y2048" s="1"/>
      <c r="Z2048" s="24"/>
      <c r="AA2048"/>
      <c r="AB2048" s="1"/>
      <c r="AC2048" s="24"/>
      <c r="AD2048"/>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c r="BM2048"/>
      <c r="BN2048"/>
      <c r="BO2048"/>
      <c r="BP2048"/>
      <c r="BQ2048"/>
      <c r="BR2048"/>
      <c r="BS2048"/>
      <c r="BT2048"/>
      <c r="BU2048"/>
      <c r="BV2048"/>
      <c r="BW2048"/>
      <c r="BX2048"/>
      <c r="BY2048"/>
      <c r="BZ2048"/>
      <c r="CA2048"/>
      <c r="CB2048"/>
      <c r="CC2048"/>
      <c r="CD2048"/>
      <c r="CE2048"/>
      <c r="CF2048"/>
      <c r="CG2048"/>
      <c r="CH2048"/>
      <c r="CI2048"/>
      <c r="CJ2048"/>
      <c r="CK2048"/>
      <c r="CL2048"/>
      <c r="CM2048"/>
      <c r="CN2048"/>
      <c r="CO2048"/>
      <c r="CP2048"/>
      <c r="CQ2048"/>
      <c r="CR2048"/>
      <c r="CS2048"/>
    </row>
    <row r="2049" spans="2:97">
      <c r="B2049"/>
      <c r="C2049" s="1"/>
      <c r="D2049" s="1"/>
      <c r="E2049" s="1"/>
      <c r="F2049" s="1"/>
      <c r="G2049" s="1"/>
      <c r="H2049" s="1"/>
      <c r="I2049" s="1"/>
      <c r="J2049" s="1"/>
      <c r="K2049" s="1"/>
      <c r="L2049" s="1"/>
      <c r="M2049" s="1"/>
      <c r="N2049" s="1"/>
      <c r="O2049" s="1"/>
      <c r="P2049" s="1"/>
      <c r="Q2049" s="1"/>
      <c r="R2049"/>
      <c r="S2049" s="1"/>
      <c r="T2049" s="24"/>
      <c r="U2049"/>
      <c r="V2049" s="1"/>
      <c r="W2049" s="24"/>
      <c r="X2049"/>
      <c r="Y2049" s="1"/>
      <c r="Z2049" s="24"/>
      <c r="AA2049"/>
      <c r="AB2049" s="1"/>
      <c r="AC2049" s="24"/>
      <c r="AD2049"/>
      <c r="AE2049"/>
      <c r="AF2049"/>
      <c r="AG2049"/>
      <c r="AH2049"/>
      <c r="AI2049"/>
      <c r="AJ2049"/>
      <c r="AK2049"/>
      <c r="AL2049"/>
      <c r="AM2049"/>
      <c r="AN2049"/>
      <c r="AO2049"/>
      <c r="AP2049"/>
      <c r="AQ2049"/>
      <c r="AR2049"/>
      <c r="AS2049"/>
      <c r="AT2049"/>
      <c r="AU2049"/>
      <c r="AV2049"/>
      <c r="AW2049"/>
      <c r="AX2049"/>
      <c r="AY2049"/>
      <c r="AZ2049"/>
      <c r="BA2049"/>
      <c r="BB2049"/>
      <c r="BC2049"/>
      <c r="BD2049"/>
      <c r="BE2049"/>
      <c r="BF2049"/>
      <c r="BG2049"/>
      <c r="BH2049"/>
      <c r="BI2049"/>
      <c r="BJ2049"/>
      <c r="BK2049"/>
      <c r="BL2049"/>
      <c r="BM2049"/>
      <c r="BN2049"/>
      <c r="BO2049"/>
      <c r="BP2049"/>
      <c r="BQ2049"/>
      <c r="BR2049"/>
      <c r="BS2049"/>
      <c r="BT2049"/>
      <c r="BU2049"/>
      <c r="BV2049"/>
      <c r="BW2049"/>
      <c r="BX2049"/>
      <c r="BY2049"/>
      <c r="BZ2049"/>
      <c r="CA2049"/>
      <c r="CB2049"/>
      <c r="CC2049"/>
      <c r="CD2049"/>
      <c r="CE2049"/>
      <c r="CF2049"/>
      <c r="CG2049"/>
      <c r="CH2049"/>
      <c r="CI2049"/>
      <c r="CJ2049"/>
      <c r="CK2049"/>
      <c r="CL2049"/>
      <c r="CM2049"/>
      <c r="CN2049"/>
      <c r="CO2049"/>
      <c r="CP2049"/>
      <c r="CQ2049"/>
      <c r="CR2049"/>
      <c r="CS2049"/>
    </row>
    <row r="2050" spans="2:97">
      <c r="B2050"/>
      <c r="C2050" s="1"/>
      <c r="D2050" s="1"/>
      <c r="E2050" s="1"/>
      <c r="F2050" s="1"/>
      <c r="G2050" s="1"/>
      <c r="H2050" s="1"/>
      <c r="I2050" s="1"/>
      <c r="J2050" s="1"/>
      <c r="K2050" s="1"/>
      <c r="L2050" s="1"/>
      <c r="M2050" s="1"/>
      <c r="N2050" s="1"/>
      <c r="O2050" s="1"/>
      <c r="P2050" s="1"/>
      <c r="Q2050" s="1"/>
      <c r="R2050"/>
      <c r="S2050" s="1"/>
      <c r="T2050" s="24"/>
      <c r="U2050"/>
      <c r="V2050" s="1"/>
      <c r="W2050" s="24"/>
      <c r="X2050"/>
      <c r="Y2050" s="1"/>
      <c r="Z2050" s="24"/>
      <c r="AA2050"/>
      <c r="AB2050" s="1"/>
      <c r="AC2050" s="24"/>
      <c r="AD2050"/>
      <c r="AE2050"/>
      <c r="AF2050"/>
      <c r="AG2050"/>
      <c r="AH2050"/>
      <c r="AI2050"/>
      <c r="AJ2050"/>
      <c r="AK2050"/>
      <c r="AL2050"/>
      <c r="AM2050"/>
      <c r="AN2050"/>
      <c r="AO2050"/>
      <c r="AP2050"/>
      <c r="AQ2050"/>
      <c r="AR2050"/>
      <c r="AS2050"/>
      <c r="AT2050"/>
      <c r="AU2050"/>
      <c r="AV2050"/>
      <c r="AW2050"/>
      <c r="AX2050"/>
      <c r="AY2050"/>
      <c r="AZ2050"/>
      <c r="BA2050"/>
      <c r="BB2050"/>
      <c r="BC2050"/>
      <c r="BD2050"/>
      <c r="BE2050"/>
      <c r="BF2050"/>
      <c r="BG2050"/>
      <c r="BH2050"/>
      <c r="BI2050"/>
      <c r="BJ2050"/>
      <c r="BK2050"/>
      <c r="BL2050"/>
      <c r="BM2050"/>
      <c r="BN2050"/>
      <c r="BO2050"/>
      <c r="BP2050"/>
      <c r="BQ2050"/>
      <c r="BR2050"/>
      <c r="BS2050"/>
      <c r="BT2050"/>
      <c r="BU2050"/>
      <c r="BV2050"/>
      <c r="BW2050"/>
      <c r="BX2050"/>
      <c r="BY2050"/>
      <c r="BZ2050"/>
      <c r="CA2050"/>
      <c r="CB2050"/>
      <c r="CC2050"/>
      <c r="CD2050"/>
      <c r="CE2050"/>
      <c r="CF2050"/>
      <c r="CG2050"/>
      <c r="CH2050"/>
      <c r="CI2050"/>
      <c r="CJ2050"/>
      <c r="CK2050"/>
      <c r="CL2050"/>
      <c r="CM2050"/>
      <c r="CN2050"/>
      <c r="CO2050"/>
      <c r="CP2050"/>
      <c r="CQ2050"/>
      <c r="CR2050"/>
      <c r="CS2050"/>
    </row>
    <row r="2051" spans="2:97">
      <c r="B2051"/>
      <c r="C2051" s="1"/>
      <c r="D2051" s="1"/>
      <c r="E2051" s="1"/>
      <c r="F2051" s="1"/>
      <c r="G2051" s="1"/>
      <c r="H2051" s="1"/>
      <c r="I2051" s="1"/>
      <c r="J2051" s="1"/>
      <c r="K2051" s="1"/>
      <c r="L2051" s="1"/>
      <c r="M2051" s="1"/>
      <c r="N2051" s="1"/>
      <c r="O2051" s="1"/>
      <c r="P2051" s="1"/>
      <c r="Q2051" s="1"/>
      <c r="R2051"/>
      <c r="S2051" s="1"/>
      <c r="T2051" s="24"/>
      <c r="U2051"/>
      <c r="V2051" s="1"/>
      <c r="W2051" s="24"/>
      <c r="X2051"/>
      <c r="Y2051" s="1"/>
      <c r="Z2051" s="24"/>
      <c r="AA2051"/>
      <c r="AB2051" s="1"/>
      <c r="AC2051" s="24"/>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c r="BG2051"/>
      <c r="BH2051"/>
      <c r="BI2051"/>
      <c r="BJ2051"/>
      <c r="BK2051"/>
      <c r="BL2051"/>
      <c r="BM2051"/>
      <c r="BN2051"/>
      <c r="BO2051"/>
      <c r="BP2051"/>
      <c r="BQ2051"/>
      <c r="BR2051"/>
      <c r="BS2051"/>
      <c r="BT2051"/>
      <c r="BU2051"/>
      <c r="BV2051"/>
      <c r="BW2051"/>
      <c r="BX2051"/>
      <c r="BY2051"/>
      <c r="BZ2051"/>
      <c r="CA2051"/>
      <c r="CB2051"/>
      <c r="CC2051"/>
      <c r="CD2051"/>
      <c r="CE2051"/>
      <c r="CF2051"/>
      <c r="CG2051"/>
      <c r="CH2051"/>
      <c r="CI2051"/>
      <c r="CJ2051"/>
      <c r="CK2051"/>
      <c r="CL2051"/>
      <c r="CM2051"/>
      <c r="CN2051"/>
      <c r="CO2051"/>
      <c r="CP2051"/>
      <c r="CQ2051"/>
      <c r="CR2051"/>
      <c r="CS2051"/>
    </row>
    <row r="2052" spans="2:97">
      <c r="B2052"/>
      <c r="C2052" s="1"/>
      <c r="D2052" s="1"/>
      <c r="E2052" s="1"/>
      <c r="F2052" s="1"/>
      <c r="G2052" s="1"/>
      <c r="H2052" s="1"/>
      <c r="I2052" s="1"/>
      <c r="J2052" s="1"/>
      <c r="K2052" s="1"/>
      <c r="L2052" s="1"/>
      <c r="M2052" s="1"/>
      <c r="N2052" s="1"/>
      <c r="O2052" s="1"/>
      <c r="P2052" s="1"/>
      <c r="Q2052" s="1"/>
      <c r="R2052"/>
      <c r="S2052" s="1"/>
      <c r="T2052" s="24"/>
      <c r="U2052"/>
      <c r="V2052" s="1"/>
      <c r="W2052" s="24"/>
      <c r="X2052"/>
      <c r="Y2052" s="1"/>
      <c r="Z2052" s="24"/>
      <c r="AA2052"/>
      <c r="AB2052" s="1"/>
      <c r="AC2052" s="24"/>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c r="BN2052"/>
      <c r="BO2052"/>
      <c r="BP2052"/>
      <c r="BQ2052"/>
      <c r="BR2052"/>
      <c r="BS2052"/>
      <c r="BT2052"/>
      <c r="BU2052"/>
      <c r="BV2052"/>
      <c r="BW2052"/>
      <c r="BX2052"/>
      <c r="BY2052"/>
      <c r="BZ2052"/>
      <c r="CA2052"/>
      <c r="CB2052"/>
      <c r="CC2052"/>
      <c r="CD2052"/>
      <c r="CE2052"/>
      <c r="CF2052"/>
      <c r="CG2052"/>
      <c r="CH2052"/>
      <c r="CI2052"/>
      <c r="CJ2052"/>
      <c r="CK2052"/>
      <c r="CL2052"/>
      <c r="CM2052"/>
      <c r="CN2052"/>
      <c r="CO2052"/>
      <c r="CP2052"/>
      <c r="CQ2052"/>
      <c r="CR2052"/>
      <c r="CS2052"/>
    </row>
    <row r="2053" spans="2:97">
      <c r="B2053"/>
      <c r="C2053" s="1"/>
      <c r="D2053" s="1"/>
      <c r="E2053" s="1"/>
      <c r="F2053" s="1"/>
      <c r="G2053" s="1"/>
      <c r="H2053" s="1"/>
      <c r="I2053" s="1"/>
      <c r="J2053" s="1"/>
      <c r="K2053" s="1"/>
      <c r="L2053" s="1"/>
      <c r="M2053" s="1"/>
      <c r="N2053" s="1"/>
      <c r="O2053" s="1"/>
      <c r="P2053" s="1"/>
      <c r="Q2053" s="1"/>
      <c r="R2053"/>
      <c r="S2053" s="1"/>
      <c r="T2053" s="24"/>
      <c r="U2053"/>
      <c r="V2053" s="1"/>
      <c r="W2053" s="24"/>
      <c r="X2053"/>
      <c r="Y2053" s="1"/>
      <c r="Z2053" s="24"/>
      <c r="AA2053"/>
      <c r="AB2053" s="1"/>
      <c r="AC2053" s="24"/>
      <c r="AD2053"/>
      <c r="AE2053"/>
      <c r="AF2053"/>
      <c r="AG2053"/>
      <c r="AH2053"/>
      <c r="AI2053"/>
      <c r="AJ2053"/>
      <c r="AK2053"/>
      <c r="AL2053"/>
      <c r="AM2053"/>
      <c r="AN2053"/>
      <c r="AO2053"/>
      <c r="AP2053"/>
      <c r="AQ2053"/>
      <c r="AR2053"/>
      <c r="AS2053"/>
      <c r="AT2053"/>
      <c r="AU2053"/>
      <c r="AV2053"/>
      <c r="AW2053"/>
      <c r="AX2053"/>
      <c r="AY2053"/>
      <c r="AZ2053"/>
      <c r="BA2053"/>
      <c r="BB2053"/>
      <c r="BC2053"/>
      <c r="BD2053"/>
      <c r="BE2053"/>
      <c r="BF2053"/>
      <c r="BG2053"/>
      <c r="BH2053"/>
      <c r="BI2053"/>
      <c r="BJ2053"/>
      <c r="BK2053"/>
      <c r="BL2053"/>
      <c r="BM2053"/>
      <c r="BN2053"/>
      <c r="BO2053"/>
      <c r="BP2053"/>
      <c r="BQ2053"/>
      <c r="BR2053"/>
      <c r="BS2053"/>
      <c r="BT2053"/>
      <c r="BU2053"/>
      <c r="BV2053"/>
      <c r="BW2053"/>
      <c r="BX2053"/>
      <c r="BY2053"/>
      <c r="BZ2053"/>
      <c r="CA2053"/>
      <c r="CB2053"/>
      <c r="CC2053"/>
      <c r="CD2053"/>
      <c r="CE2053"/>
      <c r="CF2053"/>
      <c r="CG2053"/>
      <c r="CH2053"/>
      <c r="CI2053"/>
      <c r="CJ2053"/>
      <c r="CK2053"/>
      <c r="CL2053"/>
      <c r="CM2053"/>
      <c r="CN2053"/>
      <c r="CO2053"/>
      <c r="CP2053"/>
      <c r="CQ2053"/>
      <c r="CR2053"/>
      <c r="CS2053"/>
    </row>
    <row r="2054" spans="2:97">
      <c r="B2054"/>
      <c r="C2054" s="1"/>
      <c r="D2054" s="1"/>
      <c r="E2054" s="1"/>
      <c r="F2054" s="1"/>
      <c r="G2054" s="1"/>
      <c r="H2054" s="1"/>
      <c r="I2054" s="1"/>
      <c r="J2054" s="1"/>
      <c r="K2054" s="1"/>
      <c r="L2054" s="1"/>
      <c r="M2054" s="1"/>
      <c r="N2054" s="1"/>
      <c r="O2054" s="1"/>
      <c r="P2054" s="1"/>
      <c r="Q2054" s="1"/>
      <c r="R2054"/>
      <c r="S2054" s="1"/>
      <c r="T2054" s="24"/>
      <c r="U2054"/>
      <c r="V2054" s="1"/>
      <c r="W2054" s="24"/>
      <c r="X2054"/>
      <c r="Y2054" s="1"/>
      <c r="Z2054" s="24"/>
      <c r="AA2054"/>
      <c r="AB2054" s="1"/>
      <c r="AC2054" s="24"/>
      <c r="AD2054"/>
      <c r="AE2054"/>
      <c r="AF2054"/>
      <c r="AG2054"/>
      <c r="AH2054"/>
      <c r="AI2054"/>
      <c r="AJ2054"/>
      <c r="AK2054"/>
      <c r="AL2054"/>
      <c r="AM2054"/>
      <c r="AN2054"/>
      <c r="AO2054"/>
      <c r="AP2054"/>
      <c r="AQ2054"/>
      <c r="AR2054"/>
      <c r="AS2054"/>
      <c r="AT2054"/>
      <c r="AU2054"/>
      <c r="AV2054"/>
      <c r="AW2054"/>
      <c r="AX2054"/>
      <c r="AY2054"/>
      <c r="AZ2054"/>
      <c r="BA2054"/>
      <c r="BB2054"/>
      <c r="BC2054"/>
      <c r="BD2054"/>
      <c r="BE2054"/>
      <c r="BF2054"/>
      <c r="BG2054"/>
      <c r="BH2054"/>
      <c r="BI2054"/>
      <c r="BJ2054"/>
      <c r="BK2054"/>
      <c r="BL2054"/>
      <c r="BM2054"/>
      <c r="BN2054"/>
      <c r="BO2054"/>
      <c r="BP2054"/>
      <c r="BQ2054"/>
      <c r="BR2054"/>
      <c r="BS2054"/>
      <c r="BT2054"/>
      <c r="BU2054"/>
      <c r="BV2054"/>
      <c r="BW2054"/>
      <c r="BX2054"/>
      <c r="BY2054"/>
      <c r="BZ2054"/>
      <c r="CA2054"/>
      <c r="CB2054"/>
      <c r="CC2054"/>
      <c r="CD2054"/>
      <c r="CE2054"/>
      <c r="CF2054"/>
      <c r="CG2054"/>
      <c r="CH2054"/>
      <c r="CI2054"/>
      <c r="CJ2054"/>
      <c r="CK2054"/>
      <c r="CL2054"/>
      <c r="CM2054"/>
      <c r="CN2054"/>
      <c r="CO2054"/>
      <c r="CP2054"/>
      <c r="CQ2054"/>
      <c r="CR2054"/>
      <c r="CS2054"/>
    </row>
    <row r="2055" spans="2:97">
      <c r="B2055"/>
      <c r="C2055" s="1"/>
      <c r="D2055" s="1"/>
      <c r="E2055" s="1"/>
      <c r="F2055" s="1"/>
      <c r="G2055" s="1"/>
      <c r="H2055" s="1"/>
      <c r="I2055" s="1"/>
      <c r="J2055" s="1"/>
      <c r="K2055" s="1"/>
      <c r="L2055" s="1"/>
      <c r="M2055" s="1"/>
      <c r="N2055" s="1"/>
      <c r="O2055" s="1"/>
      <c r="P2055" s="1"/>
      <c r="Q2055" s="1"/>
      <c r="R2055"/>
      <c r="S2055" s="1"/>
      <c r="T2055" s="24"/>
      <c r="U2055"/>
      <c r="V2055" s="1"/>
      <c r="W2055" s="24"/>
      <c r="X2055"/>
      <c r="Y2055" s="1"/>
      <c r="Z2055" s="24"/>
      <c r="AA2055"/>
      <c r="AB2055" s="1"/>
      <c r="AC2055" s="24"/>
      <c r="AD2055"/>
      <c r="AE2055"/>
      <c r="AF2055"/>
      <c r="AG2055"/>
      <c r="AH2055"/>
      <c r="AI2055"/>
      <c r="AJ2055"/>
      <c r="AK2055"/>
      <c r="AL2055"/>
      <c r="AM2055"/>
      <c r="AN2055"/>
      <c r="AO2055"/>
      <c r="AP2055"/>
      <c r="AQ2055"/>
      <c r="AR2055"/>
      <c r="AS2055"/>
      <c r="AT2055"/>
      <c r="AU2055"/>
      <c r="AV2055"/>
      <c r="AW2055"/>
      <c r="AX2055"/>
      <c r="AY2055"/>
      <c r="AZ2055"/>
      <c r="BA2055"/>
      <c r="BB2055"/>
      <c r="BC2055"/>
      <c r="BD2055"/>
      <c r="BE2055"/>
      <c r="BF2055"/>
      <c r="BG2055"/>
      <c r="BH2055"/>
      <c r="BI2055"/>
      <c r="BJ2055"/>
      <c r="BK2055"/>
      <c r="BL2055"/>
      <c r="BM2055"/>
      <c r="BN2055"/>
      <c r="BO2055"/>
      <c r="BP2055"/>
      <c r="BQ2055"/>
      <c r="BR2055"/>
      <c r="BS2055"/>
      <c r="BT2055"/>
      <c r="BU2055"/>
      <c r="BV2055"/>
      <c r="BW2055"/>
      <c r="BX2055"/>
      <c r="BY2055"/>
      <c r="BZ2055"/>
      <c r="CA2055"/>
      <c r="CB2055"/>
      <c r="CC2055"/>
      <c r="CD2055"/>
      <c r="CE2055"/>
      <c r="CF2055"/>
      <c r="CG2055"/>
      <c r="CH2055"/>
      <c r="CI2055"/>
      <c r="CJ2055"/>
      <c r="CK2055"/>
      <c r="CL2055"/>
      <c r="CM2055"/>
      <c r="CN2055"/>
      <c r="CO2055"/>
      <c r="CP2055"/>
      <c r="CQ2055"/>
      <c r="CR2055"/>
      <c r="CS2055"/>
    </row>
    <row r="2056" spans="2:97">
      <c r="B2056"/>
      <c r="C2056" s="1"/>
      <c r="D2056" s="1"/>
      <c r="E2056" s="1"/>
      <c r="F2056" s="1"/>
      <c r="G2056" s="1"/>
      <c r="H2056" s="1"/>
      <c r="I2056" s="1"/>
      <c r="J2056" s="1"/>
      <c r="K2056" s="1"/>
      <c r="L2056" s="1"/>
      <c r="M2056" s="1"/>
      <c r="N2056" s="1"/>
      <c r="O2056" s="1"/>
      <c r="P2056" s="1"/>
      <c r="Q2056" s="1"/>
      <c r="R2056"/>
      <c r="S2056" s="1"/>
      <c r="T2056" s="24"/>
      <c r="U2056"/>
      <c r="V2056" s="1"/>
      <c r="W2056" s="24"/>
      <c r="X2056"/>
      <c r="Y2056" s="1"/>
      <c r="Z2056" s="24"/>
      <c r="AA2056"/>
      <c r="AB2056" s="1"/>
      <c r="AC2056" s="24"/>
      <c r="AD2056"/>
      <c r="AE2056"/>
      <c r="AF2056"/>
      <c r="AG2056"/>
      <c r="AH2056"/>
      <c r="AI2056"/>
      <c r="AJ2056"/>
      <c r="AK2056"/>
      <c r="AL2056"/>
      <c r="AM2056"/>
      <c r="AN2056"/>
      <c r="AO2056"/>
      <c r="AP2056"/>
      <c r="AQ2056"/>
      <c r="AR2056"/>
      <c r="AS2056"/>
      <c r="AT2056"/>
      <c r="AU2056"/>
      <c r="AV2056"/>
      <c r="AW2056"/>
      <c r="AX2056"/>
      <c r="AY2056"/>
      <c r="AZ2056"/>
      <c r="BA2056"/>
      <c r="BB2056"/>
      <c r="BC2056"/>
      <c r="BD2056"/>
      <c r="BE2056"/>
      <c r="BF2056"/>
      <c r="BG2056"/>
      <c r="BH2056"/>
      <c r="BI2056"/>
      <c r="BJ2056"/>
      <c r="BK2056"/>
      <c r="BL2056"/>
      <c r="BM2056"/>
      <c r="BN2056"/>
      <c r="BO2056"/>
      <c r="BP2056"/>
      <c r="BQ2056"/>
      <c r="BR2056"/>
      <c r="BS2056"/>
      <c r="BT2056"/>
      <c r="BU2056"/>
      <c r="BV2056"/>
      <c r="BW2056"/>
      <c r="BX2056"/>
      <c r="BY2056"/>
      <c r="BZ2056"/>
      <c r="CA2056"/>
      <c r="CB2056"/>
      <c r="CC2056"/>
      <c r="CD2056"/>
      <c r="CE2056"/>
      <c r="CF2056"/>
      <c r="CG2056"/>
      <c r="CH2056"/>
      <c r="CI2056"/>
      <c r="CJ2056"/>
      <c r="CK2056"/>
      <c r="CL2056"/>
      <c r="CM2056"/>
      <c r="CN2056"/>
      <c r="CO2056"/>
      <c r="CP2056"/>
      <c r="CQ2056"/>
      <c r="CR2056"/>
      <c r="CS2056"/>
    </row>
    <row r="2057" spans="2:97">
      <c r="B2057"/>
      <c r="C2057" s="1"/>
      <c r="D2057" s="1"/>
      <c r="E2057" s="1"/>
      <c r="F2057" s="1"/>
      <c r="G2057" s="1"/>
      <c r="H2057" s="1"/>
      <c r="I2057" s="1"/>
      <c r="J2057" s="1"/>
      <c r="K2057" s="1"/>
      <c r="L2057" s="1"/>
      <c r="M2057" s="1"/>
      <c r="N2057" s="1"/>
      <c r="O2057" s="1"/>
      <c r="P2057" s="1"/>
      <c r="Q2057" s="1"/>
      <c r="R2057"/>
      <c r="S2057" s="1"/>
      <c r="T2057" s="24"/>
      <c r="U2057"/>
      <c r="V2057" s="1"/>
      <c r="W2057" s="24"/>
      <c r="X2057"/>
      <c r="Y2057" s="1"/>
      <c r="Z2057" s="24"/>
      <c r="AA2057"/>
      <c r="AB2057" s="1"/>
      <c r="AC2057" s="24"/>
      <c r="AD2057"/>
      <c r="AE2057"/>
      <c r="AF2057"/>
      <c r="AG2057"/>
      <c r="AH2057"/>
      <c r="AI2057"/>
      <c r="AJ2057"/>
      <c r="AK2057"/>
      <c r="AL2057"/>
      <c r="AM2057"/>
      <c r="AN2057"/>
      <c r="AO2057"/>
      <c r="AP2057"/>
      <c r="AQ2057"/>
      <c r="AR2057"/>
      <c r="AS2057"/>
      <c r="AT2057"/>
      <c r="AU2057"/>
      <c r="AV2057"/>
      <c r="AW2057"/>
      <c r="AX2057"/>
      <c r="AY2057"/>
      <c r="AZ2057"/>
      <c r="BA2057"/>
      <c r="BB2057"/>
      <c r="BC2057"/>
      <c r="BD2057"/>
      <c r="BE2057"/>
      <c r="BF2057"/>
      <c r="BG2057"/>
      <c r="BH2057"/>
      <c r="BI2057"/>
      <c r="BJ2057"/>
      <c r="BK2057"/>
      <c r="BL2057"/>
      <c r="BM2057"/>
      <c r="BN2057"/>
      <c r="BO2057"/>
      <c r="BP2057"/>
      <c r="BQ2057"/>
      <c r="BR2057"/>
      <c r="BS2057"/>
      <c r="BT2057"/>
      <c r="BU2057"/>
      <c r="BV2057"/>
      <c r="BW2057"/>
      <c r="BX2057"/>
      <c r="BY2057"/>
      <c r="BZ2057"/>
      <c r="CA2057"/>
      <c r="CB2057"/>
      <c r="CC2057"/>
      <c r="CD2057"/>
      <c r="CE2057"/>
      <c r="CF2057"/>
      <c r="CG2057"/>
      <c r="CH2057"/>
      <c r="CI2057"/>
      <c r="CJ2057"/>
      <c r="CK2057"/>
      <c r="CL2057"/>
      <c r="CM2057"/>
      <c r="CN2057"/>
      <c r="CO2057"/>
      <c r="CP2057"/>
      <c r="CQ2057"/>
      <c r="CR2057"/>
      <c r="CS2057"/>
    </row>
    <row r="2058" spans="2:97">
      <c r="B2058"/>
      <c r="C2058" s="1"/>
      <c r="D2058" s="1"/>
      <c r="E2058" s="1"/>
      <c r="F2058" s="1"/>
      <c r="G2058" s="1"/>
      <c r="H2058" s="1"/>
      <c r="I2058" s="1"/>
      <c r="J2058" s="1"/>
      <c r="K2058" s="1"/>
      <c r="L2058" s="1"/>
      <c r="M2058" s="1"/>
      <c r="N2058" s="1"/>
      <c r="O2058" s="1"/>
      <c r="P2058" s="1"/>
      <c r="Q2058" s="1"/>
      <c r="R2058"/>
      <c r="S2058" s="1"/>
      <c r="T2058" s="24"/>
      <c r="U2058"/>
      <c r="V2058" s="1"/>
      <c r="W2058" s="24"/>
      <c r="X2058"/>
      <c r="Y2058" s="1"/>
      <c r="Z2058" s="24"/>
      <c r="AA2058"/>
      <c r="AB2058" s="1"/>
      <c r="AC2058" s="24"/>
      <c r="AD2058"/>
      <c r="AE2058"/>
      <c r="AF2058"/>
      <c r="AG2058"/>
      <c r="AH2058"/>
      <c r="AI2058"/>
      <c r="AJ2058"/>
      <c r="AK2058"/>
      <c r="AL2058"/>
      <c r="AM2058"/>
      <c r="AN2058"/>
      <c r="AO2058"/>
      <c r="AP2058"/>
      <c r="AQ2058"/>
      <c r="AR2058"/>
      <c r="AS2058"/>
      <c r="AT2058"/>
      <c r="AU2058"/>
      <c r="AV2058"/>
      <c r="AW2058"/>
      <c r="AX2058"/>
      <c r="AY2058"/>
      <c r="AZ2058"/>
      <c r="BA2058"/>
      <c r="BB2058"/>
      <c r="BC2058"/>
      <c r="BD2058"/>
      <c r="BE2058"/>
      <c r="BF2058"/>
      <c r="BG2058"/>
      <c r="BH2058"/>
      <c r="BI2058"/>
      <c r="BJ2058"/>
      <c r="BK2058"/>
      <c r="BL2058"/>
      <c r="BM2058"/>
      <c r="BN2058"/>
      <c r="BO2058"/>
      <c r="BP2058"/>
      <c r="BQ2058"/>
      <c r="BR2058"/>
      <c r="BS2058"/>
      <c r="BT2058"/>
      <c r="BU2058"/>
      <c r="BV2058"/>
      <c r="BW2058"/>
      <c r="BX2058"/>
      <c r="BY2058"/>
      <c r="BZ2058"/>
      <c r="CA2058"/>
      <c r="CB2058"/>
      <c r="CC2058"/>
      <c r="CD2058"/>
      <c r="CE2058"/>
      <c r="CF2058"/>
      <c r="CG2058"/>
      <c r="CH2058"/>
      <c r="CI2058"/>
      <c r="CJ2058"/>
      <c r="CK2058"/>
      <c r="CL2058"/>
      <c r="CM2058"/>
      <c r="CN2058"/>
      <c r="CO2058"/>
      <c r="CP2058"/>
      <c r="CQ2058"/>
      <c r="CR2058"/>
      <c r="CS2058"/>
    </row>
    <row r="2059" spans="2:97">
      <c r="B2059"/>
      <c r="C2059" s="1"/>
      <c r="D2059" s="1"/>
      <c r="E2059" s="1"/>
      <c r="F2059" s="1"/>
      <c r="G2059" s="1"/>
      <c r="H2059" s="1"/>
      <c r="I2059" s="1"/>
      <c r="J2059" s="1"/>
      <c r="K2059" s="1"/>
      <c r="L2059" s="1"/>
      <c r="M2059" s="1"/>
      <c r="N2059" s="1"/>
      <c r="O2059" s="1"/>
      <c r="P2059" s="1"/>
      <c r="Q2059" s="1"/>
      <c r="R2059"/>
      <c r="S2059" s="1"/>
      <c r="T2059" s="24"/>
      <c r="U2059"/>
      <c r="V2059" s="1"/>
      <c r="W2059" s="24"/>
      <c r="X2059"/>
      <c r="Y2059" s="1"/>
      <c r="Z2059" s="24"/>
      <c r="AA2059"/>
      <c r="AB2059" s="1"/>
      <c r="AC2059" s="24"/>
      <c r="AD2059"/>
      <c r="AE2059"/>
      <c r="AF2059"/>
      <c r="AG2059"/>
      <c r="AH2059"/>
      <c r="AI2059"/>
      <c r="AJ2059"/>
      <c r="AK2059"/>
      <c r="AL2059"/>
      <c r="AM2059"/>
      <c r="AN2059"/>
      <c r="AO2059"/>
      <c r="AP2059"/>
      <c r="AQ2059"/>
      <c r="AR2059"/>
      <c r="AS2059"/>
      <c r="AT2059"/>
      <c r="AU2059"/>
      <c r="AV2059"/>
      <c r="AW2059"/>
      <c r="AX2059"/>
      <c r="AY2059"/>
      <c r="AZ2059"/>
      <c r="BA2059"/>
      <c r="BB2059"/>
      <c r="BC2059"/>
      <c r="BD2059"/>
      <c r="BE2059"/>
      <c r="BF2059"/>
      <c r="BG2059"/>
      <c r="BH2059"/>
      <c r="BI2059"/>
      <c r="BJ2059"/>
      <c r="BK2059"/>
      <c r="BL2059"/>
      <c r="BM2059"/>
      <c r="BN2059"/>
      <c r="BO2059"/>
      <c r="BP2059"/>
      <c r="BQ2059"/>
      <c r="BR2059"/>
      <c r="BS2059"/>
      <c r="BT2059"/>
      <c r="BU2059"/>
      <c r="BV2059"/>
      <c r="BW2059"/>
      <c r="BX2059"/>
      <c r="BY2059"/>
      <c r="BZ2059"/>
      <c r="CA2059"/>
      <c r="CB2059"/>
      <c r="CC2059"/>
      <c r="CD2059"/>
      <c r="CE2059"/>
      <c r="CF2059"/>
      <c r="CG2059"/>
      <c r="CH2059"/>
      <c r="CI2059"/>
      <c r="CJ2059"/>
      <c r="CK2059"/>
      <c r="CL2059"/>
      <c r="CM2059"/>
      <c r="CN2059"/>
      <c r="CO2059"/>
      <c r="CP2059"/>
      <c r="CQ2059"/>
      <c r="CR2059"/>
      <c r="CS2059"/>
    </row>
    <row r="2060" spans="2:97">
      <c r="B2060"/>
      <c r="C2060" s="1"/>
      <c r="D2060" s="1"/>
      <c r="E2060" s="1"/>
      <c r="F2060" s="1"/>
      <c r="G2060" s="1"/>
      <c r="H2060" s="1"/>
      <c r="I2060" s="1"/>
      <c r="J2060" s="1"/>
      <c r="K2060" s="1"/>
      <c r="L2060" s="1"/>
      <c r="M2060" s="1"/>
      <c r="N2060" s="1"/>
      <c r="O2060" s="1"/>
      <c r="P2060" s="1"/>
      <c r="Q2060" s="1"/>
      <c r="R2060"/>
      <c r="S2060" s="1"/>
      <c r="T2060" s="24"/>
      <c r="U2060"/>
      <c r="V2060" s="1"/>
      <c r="W2060" s="24"/>
      <c r="X2060"/>
      <c r="Y2060" s="1"/>
      <c r="Z2060" s="24"/>
      <c r="AA2060"/>
      <c r="AB2060" s="1"/>
      <c r="AC2060" s="24"/>
      <c r="AD2060"/>
      <c r="AE2060"/>
      <c r="AF2060"/>
      <c r="AG2060"/>
      <c r="AH2060"/>
      <c r="AI2060"/>
      <c r="AJ2060"/>
      <c r="AK2060"/>
      <c r="AL2060"/>
      <c r="AM2060"/>
      <c r="AN2060"/>
      <c r="AO2060"/>
      <c r="AP2060"/>
      <c r="AQ2060"/>
      <c r="AR2060"/>
      <c r="AS2060"/>
      <c r="AT2060"/>
      <c r="AU2060"/>
      <c r="AV2060"/>
      <c r="AW2060"/>
      <c r="AX2060"/>
      <c r="AY2060"/>
      <c r="AZ2060"/>
      <c r="BA2060"/>
      <c r="BB2060"/>
      <c r="BC2060"/>
      <c r="BD2060"/>
      <c r="BE2060"/>
      <c r="BF2060"/>
      <c r="BG2060"/>
      <c r="BH2060"/>
      <c r="BI2060"/>
      <c r="BJ2060"/>
      <c r="BK2060"/>
      <c r="BL2060"/>
      <c r="BM2060"/>
      <c r="BN2060"/>
      <c r="BO2060"/>
      <c r="BP2060"/>
      <c r="BQ2060"/>
      <c r="BR2060"/>
      <c r="BS2060"/>
      <c r="BT2060"/>
      <c r="BU2060"/>
      <c r="BV2060"/>
      <c r="BW2060"/>
      <c r="BX2060"/>
      <c r="BY2060"/>
      <c r="BZ2060"/>
      <c r="CA2060"/>
      <c r="CB2060"/>
      <c r="CC2060"/>
      <c r="CD2060"/>
      <c r="CE2060"/>
      <c r="CF2060"/>
      <c r="CG2060"/>
      <c r="CH2060"/>
      <c r="CI2060"/>
      <c r="CJ2060"/>
      <c r="CK2060"/>
      <c r="CL2060"/>
      <c r="CM2060"/>
      <c r="CN2060"/>
      <c r="CO2060"/>
      <c r="CP2060"/>
      <c r="CQ2060"/>
      <c r="CR2060"/>
      <c r="CS2060"/>
    </row>
    <row r="2061" spans="2:97">
      <c r="B2061"/>
      <c r="C2061" s="1"/>
      <c r="D2061" s="1"/>
      <c r="E2061" s="1"/>
      <c r="F2061" s="1"/>
      <c r="G2061" s="1"/>
      <c r="H2061" s="1"/>
      <c r="I2061" s="1"/>
      <c r="J2061" s="1"/>
      <c r="K2061" s="1"/>
      <c r="L2061" s="1"/>
      <c r="M2061" s="1"/>
      <c r="N2061" s="1"/>
      <c r="O2061" s="1"/>
      <c r="P2061" s="1"/>
      <c r="Q2061" s="1"/>
      <c r="R2061"/>
      <c r="S2061" s="1"/>
      <c r="T2061" s="24"/>
      <c r="U2061"/>
      <c r="V2061" s="1"/>
      <c r="W2061" s="24"/>
      <c r="X2061"/>
      <c r="Y2061" s="1"/>
      <c r="Z2061" s="24"/>
      <c r="AA2061"/>
      <c r="AB2061" s="1"/>
      <c r="AC2061" s="24"/>
      <c r="AD2061"/>
      <c r="AE2061"/>
      <c r="AF2061"/>
      <c r="AG2061"/>
      <c r="AH2061"/>
      <c r="AI2061"/>
      <c r="AJ2061"/>
      <c r="AK2061"/>
      <c r="AL2061"/>
      <c r="AM2061"/>
      <c r="AN2061"/>
      <c r="AO2061"/>
      <c r="AP2061"/>
      <c r="AQ2061"/>
      <c r="AR2061"/>
      <c r="AS2061"/>
      <c r="AT2061"/>
      <c r="AU2061"/>
      <c r="AV2061"/>
      <c r="AW2061"/>
      <c r="AX2061"/>
      <c r="AY2061"/>
      <c r="AZ2061"/>
      <c r="BA2061"/>
      <c r="BB2061"/>
      <c r="BC2061"/>
      <c r="BD2061"/>
      <c r="BE2061"/>
      <c r="BF2061"/>
      <c r="BG2061"/>
      <c r="BH2061"/>
      <c r="BI2061"/>
      <c r="BJ2061"/>
      <c r="BK2061"/>
      <c r="BL2061"/>
      <c r="BM2061"/>
      <c r="BN2061"/>
      <c r="BO2061"/>
      <c r="BP2061"/>
      <c r="BQ2061"/>
      <c r="BR2061"/>
      <c r="BS2061"/>
      <c r="BT2061"/>
      <c r="BU2061"/>
      <c r="BV2061"/>
      <c r="BW2061"/>
      <c r="BX2061"/>
      <c r="BY2061"/>
      <c r="BZ2061"/>
      <c r="CA2061"/>
      <c r="CB2061"/>
      <c r="CC2061"/>
      <c r="CD2061"/>
      <c r="CE2061"/>
      <c r="CF2061"/>
      <c r="CG2061"/>
      <c r="CH2061"/>
      <c r="CI2061"/>
      <c r="CJ2061"/>
      <c r="CK2061"/>
      <c r="CL2061"/>
      <c r="CM2061"/>
      <c r="CN2061"/>
      <c r="CO2061"/>
      <c r="CP2061"/>
      <c r="CQ2061"/>
      <c r="CR2061"/>
      <c r="CS2061"/>
    </row>
    <row r="2062" spans="2:97">
      <c r="B2062"/>
      <c r="C2062" s="1"/>
      <c r="D2062" s="1"/>
      <c r="E2062" s="1"/>
      <c r="F2062" s="1"/>
      <c r="G2062" s="1"/>
      <c r="H2062" s="1"/>
      <c r="I2062" s="1"/>
      <c r="J2062" s="1"/>
      <c r="K2062" s="1"/>
      <c r="L2062" s="1"/>
      <c r="M2062" s="1"/>
      <c r="N2062" s="1"/>
      <c r="O2062" s="1"/>
      <c r="P2062" s="1"/>
      <c r="Q2062" s="1"/>
      <c r="R2062"/>
      <c r="S2062" s="1"/>
      <c r="T2062" s="24"/>
      <c r="U2062"/>
      <c r="V2062" s="1"/>
      <c r="W2062" s="24"/>
      <c r="X2062"/>
      <c r="Y2062" s="1"/>
      <c r="Z2062" s="24"/>
      <c r="AA2062"/>
      <c r="AB2062" s="1"/>
      <c r="AC2062" s="24"/>
      <c r="AD2062"/>
      <c r="AE2062"/>
      <c r="AF2062"/>
      <c r="AG2062"/>
      <c r="AH2062"/>
      <c r="AI2062"/>
      <c r="AJ2062"/>
      <c r="AK2062"/>
      <c r="AL2062"/>
      <c r="AM2062"/>
      <c r="AN2062"/>
      <c r="AO2062"/>
      <c r="AP2062"/>
      <c r="AQ2062"/>
      <c r="AR2062"/>
      <c r="AS2062"/>
      <c r="AT2062"/>
      <c r="AU2062"/>
      <c r="AV2062"/>
      <c r="AW2062"/>
      <c r="AX2062"/>
      <c r="AY2062"/>
      <c r="AZ2062"/>
      <c r="BA2062"/>
      <c r="BB2062"/>
      <c r="BC2062"/>
      <c r="BD2062"/>
      <c r="BE2062"/>
      <c r="BF2062"/>
      <c r="BG2062"/>
      <c r="BH2062"/>
      <c r="BI2062"/>
      <c r="BJ2062"/>
      <c r="BK2062"/>
      <c r="BL2062"/>
      <c r="BM2062"/>
      <c r="BN2062"/>
      <c r="BO2062"/>
      <c r="BP2062"/>
      <c r="BQ2062"/>
      <c r="BR2062"/>
      <c r="BS2062"/>
      <c r="BT2062"/>
      <c r="BU2062"/>
      <c r="BV2062"/>
      <c r="BW2062"/>
      <c r="BX2062"/>
      <c r="BY2062"/>
      <c r="BZ2062"/>
      <c r="CA2062"/>
      <c r="CB2062"/>
      <c r="CC2062"/>
      <c r="CD2062"/>
      <c r="CE2062"/>
      <c r="CF2062"/>
      <c r="CG2062"/>
      <c r="CH2062"/>
      <c r="CI2062"/>
      <c r="CJ2062"/>
      <c r="CK2062"/>
      <c r="CL2062"/>
      <c r="CM2062"/>
      <c r="CN2062"/>
      <c r="CO2062"/>
      <c r="CP2062"/>
      <c r="CQ2062"/>
      <c r="CR2062"/>
      <c r="CS2062"/>
    </row>
    <row r="2063" spans="2:97">
      <c r="B2063"/>
      <c r="C2063" s="1"/>
      <c r="D2063" s="1"/>
      <c r="E2063" s="1"/>
      <c r="F2063" s="1"/>
      <c r="G2063" s="1"/>
      <c r="H2063" s="1"/>
      <c r="I2063" s="1"/>
      <c r="J2063" s="1"/>
      <c r="K2063" s="1"/>
      <c r="L2063" s="1"/>
      <c r="M2063" s="1"/>
      <c r="N2063" s="1"/>
      <c r="O2063" s="1"/>
      <c r="P2063" s="1"/>
      <c r="Q2063" s="1"/>
      <c r="R2063"/>
      <c r="S2063" s="1"/>
      <c r="T2063" s="24"/>
      <c r="U2063"/>
      <c r="V2063" s="1"/>
      <c r="W2063" s="24"/>
      <c r="X2063"/>
      <c r="Y2063" s="1"/>
      <c r="Z2063" s="24"/>
      <c r="AA2063"/>
      <c r="AB2063" s="1"/>
      <c r="AC2063" s="24"/>
      <c r="AD2063"/>
      <c r="AE2063"/>
      <c r="AF2063"/>
      <c r="AG2063"/>
      <c r="AH2063"/>
      <c r="AI2063"/>
      <c r="AJ2063"/>
      <c r="AK2063"/>
      <c r="AL2063"/>
      <c r="AM2063"/>
      <c r="AN2063"/>
      <c r="AO2063"/>
      <c r="AP2063"/>
      <c r="AQ2063"/>
      <c r="AR2063"/>
      <c r="AS2063"/>
      <c r="AT2063"/>
      <c r="AU2063"/>
      <c r="AV2063"/>
      <c r="AW2063"/>
      <c r="AX2063"/>
      <c r="AY2063"/>
      <c r="AZ2063"/>
      <c r="BA2063"/>
      <c r="BB2063"/>
      <c r="BC2063"/>
      <c r="BD2063"/>
      <c r="BE2063"/>
      <c r="BF2063"/>
      <c r="BG2063"/>
      <c r="BH2063"/>
      <c r="BI2063"/>
      <c r="BJ2063"/>
      <c r="BK2063"/>
      <c r="BL2063"/>
      <c r="BM2063"/>
      <c r="BN2063"/>
      <c r="BO2063"/>
      <c r="BP2063"/>
      <c r="BQ2063"/>
      <c r="BR2063"/>
      <c r="BS2063"/>
      <c r="BT2063"/>
      <c r="BU2063"/>
      <c r="BV2063"/>
      <c r="BW2063"/>
      <c r="BX2063"/>
      <c r="BY2063"/>
      <c r="BZ2063"/>
      <c r="CA2063"/>
      <c r="CB2063"/>
      <c r="CC2063"/>
      <c r="CD2063"/>
      <c r="CE2063"/>
      <c r="CF2063"/>
      <c r="CG2063"/>
      <c r="CH2063"/>
      <c r="CI2063"/>
      <c r="CJ2063"/>
      <c r="CK2063"/>
      <c r="CL2063"/>
      <c r="CM2063"/>
      <c r="CN2063"/>
      <c r="CO2063"/>
      <c r="CP2063"/>
      <c r="CQ2063"/>
      <c r="CR2063"/>
      <c r="CS2063"/>
    </row>
    <row r="2064" spans="2:97">
      <c r="B2064"/>
      <c r="C2064" s="1"/>
      <c r="D2064" s="1"/>
      <c r="E2064" s="1"/>
      <c r="F2064" s="1"/>
      <c r="G2064" s="1"/>
      <c r="H2064" s="1"/>
      <c r="I2064" s="1"/>
      <c r="J2064" s="1"/>
      <c r="K2064" s="1"/>
      <c r="L2064" s="1"/>
      <c r="M2064" s="1"/>
      <c r="N2064" s="1"/>
      <c r="O2064" s="1"/>
      <c r="P2064" s="1"/>
      <c r="Q2064" s="1"/>
      <c r="R2064"/>
      <c r="S2064" s="1"/>
      <c r="T2064" s="24"/>
      <c r="U2064"/>
      <c r="V2064" s="1"/>
      <c r="W2064" s="24"/>
      <c r="X2064"/>
      <c r="Y2064" s="1"/>
      <c r="Z2064" s="24"/>
      <c r="AA2064"/>
      <c r="AB2064" s="1"/>
      <c r="AC2064" s="24"/>
      <c r="AD2064"/>
      <c r="AE2064"/>
      <c r="AF2064"/>
      <c r="AG2064"/>
      <c r="AH2064"/>
      <c r="AI2064"/>
      <c r="AJ2064"/>
      <c r="AK2064"/>
      <c r="AL2064"/>
      <c r="AM2064"/>
      <c r="AN2064"/>
      <c r="AO2064"/>
      <c r="AP2064"/>
      <c r="AQ2064"/>
      <c r="AR2064"/>
      <c r="AS2064"/>
      <c r="AT2064"/>
      <c r="AU2064"/>
      <c r="AV2064"/>
      <c r="AW2064"/>
      <c r="AX2064"/>
      <c r="AY2064"/>
      <c r="AZ2064"/>
      <c r="BA2064"/>
      <c r="BB2064"/>
      <c r="BC2064"/>
      <c r="BD2064"/>
      <c r="BE2064"/>
      <c r="BF2064"/>
      <c r="BG2064"/>
      <c r="BH2064"/>
      <c r="BI2064"/>
      <c r="BJ2064"/>
      <c r="BK2064"/>
      <c r="BL2064"/>
      <c r="BM2064"/>
      <c r="BN2064"/>
      <c r="BO2064"/>
      <c r="BP2064"/>
      <c r="BQ2064"/>
      <c r="BR2064"/>
      <c r="BS2064"/>
      <c r="BT2064"/>
      <c r="BU2064"/>
      <c r="BV2064"/>
      <c r="BW2064"/>
      <c r="BX2064"/>
      <c r="BY2064"/>
      <c r="BZ2064"/>
      <c r="CA2064"/>
      <c r="CB2064"/>
      <c r="CC2064"/>
      <c r="CD2064"/>
      <c r="CE2064"/>
      <c r="CF2064"/>
      <c r="CG2064"/>
      <c r="CH2064"/>
      <c r="CI2064"/>
      <c r="CJ2064"/>
      <c r="CK2064"/>
      <c r="CL2064"/>
      <c r="CM2064"/>
      <c r="CN2064"/>
      <c r="CO2064"/>
      <c r="CP2064"/>
      <c r="CQ2064"/>
      <c r="CR2064"/>
      <c r="CS2064"/>
    </row>
    <row r="2065" spans="2:97">
      <c r="B2065"/>
      <c r="C2065" s="1"/>
      <c r="D2065" s="1"/>
      <c r="E2065" s="1"/>
      <c r="F2065" s="1"/>
      <c r="G2065" s="1"/>
      <c r="H2065" s="1"/>
      <c r="I2065" s="1"/>
      <c r="J2065" s="1"/>
      <c r="K2065" s="1"/>
      <c r="L2065" s="1"/>
      <c r="M2065" s="1"/>
      <c r="N2065" s="1"/>
      <c r="O2065" s="1"/>
      <c r="P2065" s="1"/>
      <c r="Q2065" s="1"/>
      <c r="R2065"/>
      <c r="S2065" s="1"/>
      <c r="T2065" s="24"/>
      <c r="U2065"/>
      <c r="V2065" s="1"/>
      <c r="W2065" s="24"/>
      <c r="X2065"/>
      <c r="Y2065" s="1"/>
      <c r="Z2065" s="24"/>
      <c r="AA2065"/>
      <c r="AB2065" s="1"/>
      <c r="AC2065" s="24"/>
      <c r="AD2065"/>
      <c r="AE2065"/>
      <c r="AF2065"/>
      <c r="AG2065"/>
      <c r="AH2065"/>
      <c r="AI2065"/>
      <c r="AJ2065"/>
      <c r="AK2065"/>
      <c r="AL2065"/>
      <c r="AM2065"/>
      <c r="AN2065"/>
      <c r="AO2065"/>
      <c r="AP2065"/>
      <c r="AQ2065"/>
      <c r="AR2065"/>
      <c r="AS2065"/>
      <c r="AT2065"/>
      <c r="AU2065"/>
      <c r="AV2065"/>
      <c r="AW2065"/>
      <c r="AX2065"/>
      <c r="AY2065"/>
      <c r="AZ2065"/>
      <c r="BA2065"/>
      <c r="BB2065"/>
      <c r="BC2065"/>
      <c r="BD2065"/>
      <c r="BE2065"/>
      <c r="BF2065"/>
      <c r="BG2065"/>
      <c r="BH2065"/>
      <c r="BI2065"/>
      <c r="BJ2065"/>
      <c r="BK2065"/>
      <c r="BL2065"/>
      <c r="BM2065"/>
      <c r="BN2065"/>
      <c r="BO2065"/>
      <c r="BP2065"/>
      <c r="BQ2065"/>
      <c r="BR2065"/>
      <c r="BS2065"/>
      <c r="BT2065"/>
      <c r="BU2065"/>
      <c r="BV2065"/>
      <c r="BW2065"/>
      <c r="BX2065"/>
      <c r="BY2065"/>
      <c r="BZ2065"/>
      <c r="CA2065"/>
      <c r="CB2065"/>
      <c r="CC2065"/>
      <c r="CD2065"/>
      <c r="CE2065"/>
      <c r="CF2065"/>
      <c r="CG2065"/>
      <c r="CH2065"/>
      <c r="CI2065"/>
      <c r="CJ2065"/>
      <c r="CK2065"/>
      <c r="CL2065"/>
      <c r="CM2065"/>
      <c r="CN2065"/>
      <c r="CO2065"/>
      <c r="CP2065"/>
      <c r="CQ2065"/>
      <c r="CR2065"/>
      <c r="CS2065"/>
    </row>
    <row r="2066" spans="2:97">
      <c r="B2066"/>
      <c r="C2066" s="1"/>
      <c r="D2066" s="1"/>
      <c r="E2066" s="1"/>
      <c r="F2066" s="1"/>
      <c r="G2066" s="1"/>
      <c r="H2066" s="1"/>
      <c r="I2066" s="1"/>
      <c r="J2066" s="1"/>
      <c r="K2066" s="1"/>
      <c r="L2066" s="1"/>
      <c r="M2066" s="1"/>
      <c r="N2066" s="1"/>
      <c r="O2066" s="1"/>
      <c r="P2066" s="1"/>
      <c r="Q2066" s="1"/>
      <c r="R2066"/>
      <c r="S2066" s="1"/>
      <c r="T2066" s="24"/>
      <c r="U2066"/>
      <c r="V2066" s="1"/>
      <c r="W2066" s="24"/>
      <c r="X2066"/>
      <c r="Y2066" s="1"/>
      <c r="Z2066" s="24"/>
      <c r="AA2066"/>
      <c r="AB2066" s="1"/>
      <c r="AC2066" s="24"/>
      <c r="AD2066"/>
      <c r="AE2066"/>
      <c r="AF2066"/>
      <c r="AG2066"/>
      <c r="AH2066"/>
      <c r="AI2066"/>
      <c r="AJ2066"/>
      <c r="AK2066"/>
      <c r="AL2066"/>
      <c r="AM2066"/>
      <c r="AN2066"/>
      <c r="AO2066"/>
      <c r="AP2066"/>
      <c r="AQ2066"/>
      <c r="AR2066"/>
      <c r="AS2066"/>
      <c r="AT2066"/>
      <c r="AU2066"/>
      <c r="AV2066"/>
      <c r="AW2066"/>
      <c r="AX2066"/>
      <c r="AY2066"/>
      <c r="AZ2066"/>
      <c r="BA2066"/>
      <c r="BB2066"/>
      <c r="BC2066"/>
      <c r="BD2066"/>
      <c r="BE2066"/>
      <c r="BF2066"/>
      <c r="BG2066"/>
      <c r="BH2066"/>
      <c r="BI2066"/>
      <c r="BJ2066"/>
      <c r="BK2066"/>
      <c r="BL2066"/>
      <c r="BM2066"/>
      <c r="BN2066"/>
      <c r="BO2066"/>
      <c r="BP2066"/>
      <c r="BQ2066"/>
      <c r="BR2066"/>
      <c r="BS2066"/>
      <c r="BT2066"/>
      <c r="BU2066"/>
      <c r="BV2066"/>
      <c r="BW2066"/>
      <c r="BX2066"/>
      <c r="BY2066"/>
      <c r="BZ2066"/>
      <c r="CA2066"/>
      <c r="CB2066"/>
      <c r="CC2066"/>
      <c r="CD2066"/>
      <c r="CE2066"/>
      <c r="CF2066"/>
      <c r="CG2066"/>
      <c r="CH2066"/>
      <c r="CI2066"/>
      <c r="CJ2066"/>
      <c r="CK2066"/>
      <c r="CL2066"/>
      <c r="CM2066"/>
      <c r="CN2066"/>
      <c r="CO2066"/>
      <c r="CP2066"/>
      <c r="CQ2066"/>
      <c r="CR2066"/>
      <c r="CS2066"/>
    </row>
    <row r="2067" spans="2:97">
      <c r="B2067"/>
      <c r="C2067" s="1"/>
      <c r="D2067" s="1"/>
      <c r="E2067" s="1"/>
      <c r="F2067" s="1"/>
      <c r="G2067" s="1"/>
      <c r="H2067" s="1"/>
      <c r="I2067" s="1"/>
      <c r="J2067" s="1"/>
      <c r="K2067" s="1"/>
      <c r="L2067" s="1"/>
      <c r="M2067" s="1"/>
      <c r="N2067" s="1"/>
      <c r="O2067" s="1"/>
      <c r="P2067" s="1"/>
      <c r="Q2067" s="1"/>
      <c r="R2067"/>
      <c r="S2067" s="1"/>
      <c r="T2067" s="24"/>
      <c r="U2067"/>
      <c r="V2067" s="1"/>
      <c r="W2067" s="24"/>
      <c r="X2067"/>
      <c r="Y2067" s="1"/>
      <c r="Z2067" s="24"/>
      <c r="AA2067"/>
      <c r="AB2067" s="1"/>
      <c r="AC2067" s="24"/>
      <c r="AD2067"/>
      <c r="AE2067"/>
      <c r="AF2067"/>
      <c r="AG2067"/>
      <c r="AH2067"/>
      <c r="AI2067"/>
      <c r="AJ2067"/>
      <c r="AK2067"/>
      <c r="AL2067"/>
      <c r="AM2067"/>
      <c r="AN2067"/>
      <c r="AO2067"/>
      <c r="AP2067"/>
      <c r="AQ2067"/>
      <c r="AR2067"/>
      <c r="AS2067"/>
      <c r="AT2067"/>
      <c r="AU2067"/>
      <c r="AV2067"/>
      <c r="AW2067"/>
      <c r="AX2067"/>
      <c r="AY2067"/>
      <c r="AZ2067"/>
      <c r="BA2067"/>
      <c r="BB2067"/>
      <c r="BC2067"/>
      <c r="BD2067"/>
      <c r="BE2067"/>
      <c r="BF2067"/>
      <c r="BG2067"/>
      <c r="BH2067"/>
      <c r="BI2067"/>
      <c r="BJ2067"/>
      <c r="BK2067"/>
      <c r="BL2067"/>
      <c r="BM2067"/>
      <c r="BN2067"/>
      <c r="BO2067"/>
      <c r="BP2067"/>
      <c r="BQ2067"/>
      <c r="BR2067"/>
      <c r="BS2067"/>
      <c r="BT2067"/>
      <c r="BU2067"/>
      <c r="BV2067"/>
      <c r="BW2067"/>
      <c r="BX2067"/>
      <c r="BY2067"/>
      <c r="BZ2067"/>
      <c r="CA2067"/>
      <c r="CB2067"/>
      <c r="CC2067"/>
      <c r="CD2067"/>
      <c r="CE2067"/>
      <c r="CF2067"/>
      <c r="CG2067"/>
      <c r="CH2067"/>
      <c r="CI2067"/>
      <c r="CJ2067"/>
      <c r="CK2067"/>
      <c r="CL2067"/>
      <c r="CM2067"/>
      <c r="CN2067"/>
      <c r="CO2067"/>
      <c r="CP2067"/>
      <c r="CQ2067"/>
      <c r="CR2067"/>
      <c r="CS2067"/>
    </row>
    <row r="2068" spans="2:97">
      <c r="B2068"/>
      <c r="C2068" s="1"/>
      <c r="D2068" s="1"/>
      <c r="E2068" s="1"/>
      <c r="F2068" s="1"/>
      <c r="G2068" s="1"/>
      <c r="H2068" s="1"/>
      <c r="I2068" s="1"/>
      <c r="J2068" s="1"/>
      <c r="K2068" s="1"/>
      <c r="L2068" s="1"/>
      <c r="M2068" s="1"/>
      <c r="N2068" s="1"/>
      <c r="O2068" s="1"/>
      <c r="P2068" s="1"/>
      <c r="Q2068" s="1"/>
      <c r="R2068"/>
      <c r="S2068" s="1"/>
      <c r="T2068" s="24"/>
      <c r="U2068"/>
      <c r="V2068" s="1"/>
      <c r="W2068" s="24"/>
      <c r="X2068"/>
      <c r="Y2068" s="1"/>
      <c r="Z2068" s="24"/>
      <c r="AA2068"/>
      <c r="AB2068" s="1"/>
      <c r="AC2068" s="24"/>
      <c r="AD2068"/>
      <c r="AE2068"/>
      <c r="AF2068"/>
      <c r="AG2068"/>
      <c r="AH2068"/>
      <c r="AI2068"/>
      <c r="AJ2068"/>
      <c r="AK2068"/>
      <c r="AL2068"/>
      <c r="AM2068"/>
      <c r="AN2068"/>
      <c r="AO2068"/>
      <c r="AP2068"/>
      <c r="AQ2068"/>
      <c r="AR2068"/>
      <c r="AS2068"/>
      <c r="AT2068"/>
      <c r="AU2068"/>
      <c r="AV2068"/>
      <c r="AW2068"/>
      <c r="AX2068"/>
      <c r="AY2068"/>
      <c r="AZ2068"/>
      <c r="BA2068"/>
      <c r="BB2068"/>
      <c r="BC2068"/>
      <c r="BD2068"/>
      <c r="BE2068"/>
      <c r="BF2068"/>
      <c r="BG2068"/>
      <c r="BH2068"/>
      <c r="BI2068"/>
      <c r="BJ2068"/>
      <c r="BK2068"/>
      <c r="BL2068"/>
      <c r="BM2068"/>
      <c r="BN2068"/>
      <c r="BO2068"/>
      <c r="BP2068"/>
      <c r="BQ2068"/>
      <c r="BR2068"/>
      <c r="BS2068"/>
      <c r="BT2068"/>
      <c r="BU2068"/>
      <c r="BV2068"/>
      <c r="BW2068"/>
      <c r="BX2068"/>
      <c r="BY2068"/>
      <c r="BZ2068"/>
      <c r="CA2068"/>
      <c r="CB2068"/>
      <c r="CC2068"/>
      <c r="CD2068"/>
      <c r="CE2068"/>
      <c r="CF2068"/>
      <c r="CG2068"/>
      <c r="CH2068"/>
      <c r="CI2068"/>
      <c r="CJ2068"/>
      <c r="CK2068"/>
      <c r="CL2068"/>
      <c r="CM2068"/>
      <c r="CN2068"/>
      <c r="CO2068"/>
      <c r="CP2068"/>
      <c r="CQ2068"/>
      <c r="CR2068"/>
      <c r="CS2068"/>
    </row>
    <row r="2069" spans="2:97">
      <c r="B2069"/>
      <c r="C2069" s="1"/>
      <c r="D2069" s="1"/>
      <c r="E2069" s="1"/>
      <c r="F2069" s="1"/>
      <c r="G2069" s="1"/>
      <c r="H2069" s="1"/>
      <c r="I2069" s="1"/>
      <c r="J2069" s="1"/>
      <c r="K2069" s="1"/>
      <c r="L2069" s="1"/>
      <c r="M2069" s="1"/>
      <c r="N2069" s="1"/>
      <c r="O2069" s="1"/>
      <c r="P2069" s="1"/>
      <c r="Q2069" s="1"/>
      <c r="R2069"/>
      <c r="S2069" s="1"/>
      <c r="T2069" s="24"/>
      <c r="U2069"/>
      <c r="V2069" s="1"/>
      <c r="W2069" s="24"/>
      <c r="X2069"/>
      <c r="Y2069" s="1"/>
      <c r="Z2069" s="24"/>
      <c r="AA2069"/>
      <c r="AB2069" s="1"/>
      <c r="AC2069" s="24"/>
      <c r="AD2069"/>
      <c r="AE2069"/>
      <c r="AF2069"/>
      <c r="AG2069"/>
      <c r="AH2069"/>
      <c r="AI2069"/>
      <c r="AJ2069"/>
      <c r="AK2069"/>
      <c r="AL2069"/>
      <c r="AM2069"/>
      <c r="AN2069"/>
      <c r="AO2069"/>
      <c r="AP2069"/>
      <c r="AQ2069"/>
      <c r="AR2069"/>
      <c r="AS2069"/>
      <c r="AT2069"/>
      <c r="AU2069"/>
      <c r="AV2069"/>
      <c r="AW2069"/>
      <c r="AX2069"/>
      <c r="AY2069"/>
      <c r="AZ2069"/>
      <c r="BA2069"/>
      <c r="BB2069"/>
      <c r="BC2069"/>
      <c r="BD2069"/>
      <c r="BE2069"/>
      <c r="BF2069"/>
      <c r="BG2069"/>
      <c r="BH2069"/>
      <c r="BI2069"/>
      <c r="BJ2069"/>
      <c r="BK2069"/>
      <c r="BL2069"/>
      <c r="BM2069"/>
      <c r="BN2069"/>
      <c r="BO2069"/>
      <c r="BP2069"/>
      <c r="BQ2069"/>
      <c r="BR2069"/>
      <c r="BS2069"/>
      <c r="BT2069"/>
      <c r="BU2069"/>
      <c r="BV2069"/>
      <c r="BW2069"/>
      <c r="BX2069"/>
      <c r="BY2069"/>
      <c r="BZ2069"/>
      <c r="CA2069"/>
      <c r="CB2069"/>
      <c r="CC2069"/>
      <c r="CD2069"/>
      <c r="CE2069"/>
      <c r="CF2069"/>
      <c r="CG2069"/>
      <c r="CH2069"/>
      <c r="CI2069"/>
      <c r="CJ2069"/>
      <c r="CK2069"/>
      <c r="CL2069"/>
      <c r="CM2069"/>
      <c r="CN2069"/>
      <c r="CO2069"/>
      <c r="CP2069"/>
      <c r="CQ2069"/>
      <c r="CR2069"/>
      <c r="CS2069"/>
    </row>
    <row r="2070" spans="2:97">
      <c r="B2070"/>
      <c r="C2070" s="1"/>
      <c r="D2070" s="1"/>
      <c r="E2070" s="1"/>
      <c r="F2070" s="1"/>
      <c r="G2070" s="1"/>
      <c r="H2070" s="1"/>
      <c r="I2070" s="1"/>
      <c r="J2070" s="1"/>
      <c r="K2070" s="1"/>
      <c r="L2070" s="1"/>
      <c r="M2070" s="1"/>
      <c r="N2070" s="1"/>
      <c r="O2070" s="1"/>
      <c r="P2070" s="1"/>
      <c r="Q2070" s="1"/>
      <c r="R2070"/>
      <c r="S2070" s="1"/>
      <c r="T2070" s="24"/>
      <c r="U2070"/>
      <c r="V2070" s="1"/>
      <c r="W2070" s="24"/>
      <c r="X2070"/>
      <c r="Y2070" s="1"/>
      <c r="Z2070" s="24"/>
      <c r="AA2070"/>
      <c r="AB2070" s="1"/>
      <c r="AC2070" s="24"/>
      <c r="AD2070"/>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c r="BM2070"/>
      <c r="BN2070"/>
      <c r="BO2070"/>
      <c r="BP2070"/>
      <c r="BQ2070"/>
      <c r="BR2070"/>
      <c r="BS2070"/>
      <c r="BT2070"/>
      <c r="BU2070"/>
      <c r="BV2070"/>
      <c r="BW2070"/>
      <c r="BX2070"/>
      <c r="BY2070"/>
      <c r="BZ2070"/>
      <c r="CA2070"/>
      <c r="CB2070"/>
      <c r="CC2070"/>
      <c r="CD2070"/>
      <c r="CE2070"/>
      <c r="CF2070"/>
      <c r="CG2070"/>
      <c r="CH2070"/>
      <c r="CI2070"/>
      <c r="CJ2070"/>
      <c r="CK2070"/>
      <c r="CL2070"/>
      <c r="CM2070"/>
      <c r="CN2070"/>
      <c r="CO2070"/>
      <c r="CP2070"/>
      <c r="CQ2070"/>
      <c r="CR2070"/>
      <c r="CS2070"/>
    </row>
    <row r="2071" spans="2:97">
      <c r="B2071"/>
      <c r="C2071" s="1"/>
      <c r="D2071" s="1"/>
      <c r="E2071" s="1"/>
      <c r="F2071" s="1"/>
      <c r="G2071" s="1"/>
      <c r="H2071" s="1"/>
      <c r="I2071" s="1"/>
      <c r="J2071" s="1"/>
      <c r="K2071" s="1"/>
      <c r="L2071" s="1"/>
      <c r="M2071" s="1"/>
      <c r="N2071" s="1"/>
      <c r="O2071" s="1"/>
      <c r="P2071" s="1"/>
      <c r="Q2071" s="1"/>
      <c r="R2071"/>
      <c r="S2071" s="1"/>
      <c r="T2071" s="24"/>
      <c r="U2071"/>
      <c r="V2071" s="1"/>
      <c r="W2071" s="24"/>
      <c r="X2071"/>
      <c r="Y2071" s="1"/>
      <c r="Z2071" s="24"/>
      <c r="AA2071"/>
      <c r="AB2071" s="1"/>
      <c r="AC2071" s="24"/>
      <c r="AD2071"/>
      <c r="AE2071"/>
      <c r="AF2071"/>
      <c r="AG2071"/>
      <c r="AH2071"/>
      <c r="AI2071"/>
      <c r="AJ2071"/>
      <c r="AK2071"/>
      <c r="AL2071"/>
      <c r="AM2071"/>
      <c r="AN2071"/>
      <c r="AO2071"/>
      <c r="AP2071"/>
      <c r="AQ2071"/>
      <c r="AR2071"/>
      <c r="AS2071"/>
      <c r="AT2071"/>
      <c r="AU2071"/>
      <c r="AV2071"/>
      <c r="AW2071"/>
      <c r="AX2071"/>
      <c r="AY2071"/>
      <c r="AZ2071"/>
      <c r="BA2071"/>
      <c r="BB2071"/>
      <c r="BC2071"/>
      <c r="BD2071"/>
      <c r="BE2071"/>
      <c r="BF2071"/>
      <c r="BG2071"/>
      <c r="BH2071"/>
      <c r="BI2071"/>
      <c r="BJ2071"/>
      <c r="BK2071"/>
      <c r="BL2071"/>
      <c r="BM2071"/>
      <c r="BN2071"/>
      <c r="BO2071"/>
      <c r="BP2071"/>
      <c r="BQ2071"/>
      <c r="BR2071"/>
      <c r="BS2071"/>
      <c r="BT2071"/>
      <c r="BU2071"/>
      <c r="BV2071"/>
      <c r="BW2071"/>
      <c r="BX2071"/>
      <c r="BY2071"/>
      <c r="BZ2071"/>
      <c r="CA2071"/>
      <c r="CB2071"/>
      <c r="CC2071"/>
      <c r="CD2071"/>
      <c r="CE2071"/>
      <c r="CF2071"/>
      <c r="CG2071"/>
      <c r="CH2071"/>
      <c r="CI2071"/>
      <c r="CJ2071"/>
      <c r="CK2071"/>
      <c r="CL2071"/>
      <c r="CM2071"/>
      <c r="CN2071"/>
      <c r="CO2071"/>
      <c r="CP2071"/>
      <c r="CQ2071"/>
      <c r="CR2071"/>
      <c r="CS2071"/>
    </row>
    <row r="2072" spans="2:97">
      <c r="B2072"/>
      <c r="C2072" s="1"/>
      <c r="D2072" s="1"/>
      <c r="E2072" s="1"/>
      <c r="F2072" s="1"/>
      <c r="G2072" s="1"/>
      <c r="H2072" s="1"/>
      <c r="I2072" s="1"/>
      <c r="J2072" s="1"/>
      <c r="K2072" s="1"/>
      <c r="L2072" s="1"/>
      <c r="M2072" s="1"/>
      <c r="N2072" s="1"/>
      <c r="O2072" s="1"/>
      <c r="P2072" s="1"/>
      <c r="Q2072" s="1"/>
      <c r="R2072"/>
      <c r="S2072" s="1"/>
      <c r="T2072" s="24"/>
      <c r="U2072"/>
      <c r="V2072" s="1"/>
      <c r="W2072" s="24"/>
      <c r="X2072"/>
      <c r="Y2072" s="1"/>
      <c r="Z2072" s="24"/>
      <c r="AA2072"/>
      <c r="AB2072" s="1"/>
      <c r="AC2072" s="24"/>
      <c r="AD2072"/>
      <c r="AE2072"/>
      <c r="AF2072"/>
      <c r="AG2072"/>
      <c r="AH2072"/>
      <c r="AI2072"/>
      <c r="AJ2072"/>
      <c r="AK2072"/>
      <c r="AL2072"/>
      <c r="AM2072"/>
      <c r="AN2072"/>
      <c r="AO2072"/>
      <c r="AP2072"/>
      <c r="AQ2072"/>
      <c r="AR2072"/>
      <c r="AS2072"/>
      <c r="AT2072"/>
      <c r="AU2072"/>
      <c r="AV2072"/>
      <c r="AW2072"/>
      <c r="AX2072"/>
      <c r="AY2072"/>
      <c r="AZ2072"/>
      <c r="BA2072"/>
      <c r="BB2072"/>
      <c r="BC2072"/>
      <c r="BD2072"/>
      <c r="BE2072"/>
      <c r="BF2072"/>
      <c r="BG2072"/>
      <c r="BH2072"/>
      <c r="BI2072"/>
      <c r="BJ2072"/>
      <c r="BK2072"/>
      <c r="BL2072"/>
      <c r="BM2072"/>
      <c r="BN2072"/>
      <c r="BO2072"/>
      <c r="BP2072"/>
      <c r="BQ2072"/>
      <c r="BR2072"/>
      <c r="BS2072"/>
      <c r="BT2072"/>
      <c r="BU2072"/>
      <c r="BV2072"/>
      <c r="BW2072"/>
      <c r="BX2072"/>
      <c r="BY2072"/>
      <c r="BZ2072"/>
      <c r="CA2072"/>
      <c r="CB2072"/>
      <c r="CC2072"/>
      <c r="CD2072"/>
      <c r="CE2072"/>
      <c r="CF2072"/>
      <c r="CG2072"/>
      <c r="CH2072"/>
      <c r="CI2072"/>
      <c r="CJ2072"/>
      <c r="CK2072"/>
      <c r="CL2072"/>
      <c r="CM2072"/>
      <c r="CN2072"/>
      <c r="CO2072"/>
      <c r="CP2072"/>
      <c r="CQ2072"/>
      <c r="CR2072"/>
      <c r="CS2072"/>
    </row>
    <row r="2073" spans="2:97">
      <c r="B2073"/>
      <c r="C2073" s="1"/>
      <c r="D2073" s="1"/>
      <c r="E2073" s="1"/>
      <c r="F2073" s="1"/>
      <c r="G2073" s="1"/>
      <c r="H2073" s="1"/>
      <c r="I2073" s="1"/>
      <c r="J2073" s="1"/>
      <c r="K2073" s="1"/>
      <c r="L2073" s="1"/>
      <c r="M2073" s="1"/>
      <c r="N2073" s="1"/>
      <c r="O2073" s="1"/>
      <c r="P2073" s="1"/>
      <c r="Q2073" s="1"/>
      <c r="R2073"/>
      <c r="S2073" s="1"/>
      <c r="T2073" s="24"/>
      <c r="U2073"/>
      <c r="V2073" s="1"/>
      <c r="W2073" s="24"/>
      <c r="X2073"/>
      <c r="Y2073" s="1"/>
      <c r="Z2073" s="24"/>
      <c r="AA2073"/>
      <c r="AB2073" s="1"/>
      <c r="AC2073" s="24"/>
      <c r="AD2073"/>
      <c r="AE2073"/>
      <c r="AF2073"/>
      <c r="AG2073"/>
      <c r="AH2073"/>
      <c r="AI2073"/>
      <c r="AJ2073"/>
      <c r="AK2073"/>
      <c r="AL2073"/>
      <c r="AM2073"/>
      <c r="AN2073"/>
      <c r="AO2073"/>
      <c r="AP2073"/>
      <c r="AQ2073"/>
      <c r="AR2073"/>
      <c r="AS2073"/>
      <c r="AT2073"/>
      <c r="AU2073"/>
      <c r="AV2073"/>
      <c r="AW2073"/>
      <c r="AX2073"/>
      <c r="AY2073"/>
      <c r="AZ2073"/>
      <c r="BA2073"/>
      <c r="BB2073"/>
      <c r="BC2073"/>
      <c r="BD2073"/>
      <c r="BE2073"/>
      <c r="BF2073"/>
      <c r="BG2073"/>
      <c r="BH2073"/>
      <c r="BI2073"/>
      <c r="BJ2073"/>
      <c r="BK2073"/>
      <c r="BL2073"/>
      <c r="BM2073"/>
      <c r="BN2073"/>
      <c r="BO2073"/>
      <c r="BP2073"/>
      <c r="BQ2073"/>
      <c r="BR2073"/>
      <c r="BS2073"/>
      <c r="BT2073"/>
      <c r="BU2073"/>
      <c r="BV2073"/>
      <c r="BW2073"/>
      <c r="BX2073"/>
      <c r="BY2073"/>
      <c r="BZ2073"/>
      <c r="CA2073"/>
      <c r="CB2073"/>
      <c r="CC2073"/>
      <c r="CD2073"/>
      <c r="CE2073"/>
      <c r="CF2073"/>
      <c r="CG2073"/>
      <c r="CH2073"/>
      <c r="CI2073"/>
      <c r="CJ2073"/>
      <c r="CK2073"/>
      <c r="CL2073"/>
      <c r="CM2073"/>
      <c r="CN2073"/>
      <c r="CO2073"/>
      <c r="CP2073"/>
      <c r="CQ2073"/>
      <c r="CR2073"/>
      <c r="CS2073"/>
    </row>
    <row r="2074" spans="2:97">
      <c r="B2074"/>
      <c r="C2074" s="1"/>
      <c r="D2074" s="1"/>
      <c r="E2074" s="1"/>
      <c r="F2074" s="1"/>
      <c r="G2074" s="1"/>
      <c r="H2074" s="1"/>
      <c r="I2074" s="1"/>
      <c r="J2074" s="1"/>
      <c r="K2074" s="1"/>
      <c r="L2074" s="1"/>
      <c r="M2074" s="1"/>
      <c r="N2074" s="1"/>
      <c r="O2074" s="1"/>
      <c r="P2074" s="1"/>
      <c r="Q2074" s="1"/>
      <c r="R2074"/>
      <c r="S2074" s="1"/>
      <c r="T2074" s="24"/>
      <c r="U2074"/>
      <c r="V2074" s="1"/>
      <c r="W2074" s="24"/>
      <c r="X2074"/>
      <c r="Y2074" s="1"/>
      <c r="Z2074" s="24"/>
      <c r="AA2074"/>
      <c r="AB2074" s="1"/>
      <c r="AC2074" s="24"/>
      <c r="AD2074"/>
      <c r="AE2074"/>
      <c r="AF2074"/>
      <c r="AG2074"/>
      <c r="AH2074"/>
      <c r="AI2074"/>
      <c r="AJ2074"/>
      <c r="AK2074"/>
      <c r="AL2074"/>
      <c r="AM2074"/>
      <c r="AN2074"/>
      <c r="AO2074"/>
      <c r="AP2074"/>
      <c r="AQ2074"/>
      <c r="AR2074"/>
      <c r="AS2074"/>
      <c r="AT2074"/>
      <c r="AU2074"/>
      <c r="AV2074"/>
      <c r="AW2074"/>
      <c r="AX2074"/>
      <c r="AY2074"/>
      <c r="AZ2074"/>
      <c r="BA2074"/>
      <c r="BB2074"/>
      <c r="BC2074"/>
      <c r="BD2074"/>
      <c r="BE2074"/>
      <c r="BF2074"/>
      <c r="BG2074"/>
      <c r="BH2074"/>
      <c r="BI2074"/>
      <c r="BJ2074"/>
      <c r="BK2074"/>
      <c r="BL2074"/>
      <c r="BM2074"/>
      <c r="BN2074"/>
      <c r="BO2074"/>
      <c r="BP2074"/>
      <c r="BQ2074"/>
      <c r="BR2074"/>
      <c r="BS2074"/>
      <c r="BT2074"/>
      <c r="BU2074"/>
      <c r="BV2074"/>
      <c r="BW2074"/>
      <c r="BX2074"/>
      <c r="BY2074"/>
      <c r="BZ2074"/>
      <c r="CA2074"/>
      <c r="CB2074"/>
      <c r="CC2074"/>
      <c r="CD2074"/>
      <c r="CE2074"/>
      <c r="CF2074"/>
      <c r="CG2074"/>
      <c r="CH2074"/>
      <c r="CI2074"/>
      <c r="CJ2074"/>
      <c r="CK2074"/>
      <c r="CL2074"/>
      <c r="CM2074"/>
      <c r="CN2074"/>
      <c r="CO2074"/>
      <c r="CP2074"/>
      <c r="CQ2074"/>
      <c r="CR2074"/>
      <c r="CS2074"/>
    </row>
    <row r="2075" spans="2:97">
      <c r="B2075"/>
      <c r="C2075" s="1"/>
      <c r="D2075" s="1"/>
      <c r="E2075" s="1"/>
      <c r="F2075" s="1"/>
      <c r="G2075" s="1"/>
      <c r="H2075" s="1"/>
      <c r="I2075" s="1"/>
      <c r="J2075" s="1"/>
      <c r="K2075" s="1"/>
      <c r="L2075" s="1"/>
      <c r="M2075" s="1"/>
      <c r="N2075" s="1"/>
      <c r="O2075" s="1"/>
      <c r="P2075" s="1"/>
      <c r="Q2075" s="1"/>
      <c r="R2075"/>
      <c r="S2075" s="1"/>
      <c r="T2075" s="24"/>
      <c r="U2075"/>
      <c r="V2075" s="1"/>
      <c r="W2075" s="24"/>
      <c r="X2075"/>
      <c r="Y2075" s="1"/>
      <c r="Z2075" s="24"/>
      <c r="AA2075"/>
      <c r="AB2075" s="1"/>
      <c r="AC2075" s="24"/>
      <c r="AD2075"/>
      <c r="AE2075"/>
      <c r="AF2075"/>
      <c r="AG2075"/>
      <c r="AH2075"/>
      <c r="AI2075"/>
      <c r="AJ2075"/>
      <c r="AK2075"/>
      <c r="AL2075"/>
      <c r="AM2075"/>
      <c r="AN2075"/>
      <c r="AO2075"/>
      <c r="AP2075"/>
      <c r="AQ2075"/>
      <c r="AR2075"/>
      <c r="AS2075"/>
      <c r="AT2075"/>
      <c r="AU2075"/>
      <c r="AV2075"/>
      <c r="AW2075"/>
      <c r="AX2075"/>
      <c r="AY2075"/>
      <c r="AZ2075"/>
      <c r="BA2075"/>
      <c r="BB2075"/>
      <c r="BC2075"/>
      <c r="BD2075"/>
      <c r="BE2075"/>
      <c r="BF2075"/>
      <c r="BG2075"/>
      <c r="BH2075"/>
      <c r="BI2075"/>
      <c r="BJ2075"/>
      <c r="BK2075"/>
      <c r="BL2075"/>
      <c r="BM2075"/>
      <c r="BN2075"/>
      <c r="BO2075"/>
      <c r="BP2075"/>
      <c r="BQ2075"/>
      <c r="BR2075"/>
      <c r="BS2075"/>
      <c r="BT2075"/>
      <c r="BU2075"/>
      <c r="BV2075"/>
      <c r="BW2075"/>
      <c r="BX2075"/>
      <c r="BY2075"/>
      <c r="BZ2075"/>
      <c r="CA2075"/>
      <c r="CB2075"/>
      <c r="CC2075"/>
      <c r="CD2075"/>
      <c r="CE2075"/>
      <c r="CF2075"/>
      <c r="CG2075"/>
      <c r="CH2075"/>
      <c r="CI2075"/>
      <c r="CJ2075"/>
      <c r="CK2075"/>
      <c r="CL2075"/>
      <c r="CM2075"/>
      <c r="CN2075"/>
      <c r="CO2075"/>
      <c r="CP2075"/>
      <c r="CQ2075"/>
      <c r="CR2075"/>
      <c r="CS2075"/>
    </row>
    <row r="2076" spans="2:97">
      <c r="B2076"/>
      <c r="C2076" s="1"/>
      <c r="D2076" s="1"/>
      <c r="E2076" s="1"/>
      <c r="F2076" s="1"/>
      <c r="G2076" s="1"/>
      <c r="H2076" s="1"/>
      <c r="I2076" s="1"/>
      <c r="J2076" s="1"/>
      <c r="K2076" s="1"/>
      <c r="L2076" s="1"/>
      <c r="M2076" s="1"/>
      <c r="N2076" s="1"/>
      <c r="O2076" s="1"/>
      <c r="P2076" s="1"/>
      <c r="Q2076" s="1"/>
      <c r="R2076"/>
      <c r="S2076" s="1"/>
      <c r="T2076" s="24"/>
      <c r="U2076"/>
      <c r="V2076" s="1"/>
      <c r="W2076" s="24"/>
      <c r="X2076"/>
      <c r="Y2076" s="1"/>
      <c r="Z2076" s="24"/>
      <c r="AA2076"/>
      <c r="AB2076" s="1"/>
      <c r="AC2076" s="24"/>
      <c r="AD2076"/>
      <c r="AE2076"/>
      <c r="AF2076"/>
      <c r="AG2076"/>
      <c r="AH2076"/>
      <c r="AI2076"/>
      <c r="AJ2076"/>
      <c r="AK2076"/>
      <c r="AL2076"/>
      <c r="AM2076"/>
      <c r="AN2076"/>
      <c r="AO2076"/>
      <c r="AP2076"/>
      <c r="AQ2076"/>
      <c r="AR2076"/>
      <c r="AS2076"/>
      <c r="AT2076"/>
      <c r="AU2076"/>
      <c r="AV2076"/>
      <c r="AW2076"/>
      <c r="AX2076"/>
      <c r="AY2076"/>
      <c r="AZ2076"/>
      <c r="BA2076"/>
      <c r="BB2076"/>
      <c r="BC2076"/>
      <c r="BD2076"/>
      <c r="BE2076"/>
      <c r="BF2076"/>
      <c r="BG2076"/>
      <c r="BH2076"/>
      <c r="BI2076"/>
      <c r="BJ2076"/>
      <c r="BK2076"/>
      <c r="BL2076"/>
      <c r="BM2076"/>
      <c r="BN2076"/>
      <c r="BO2076"/>
      <c r="BP2076"/>
      <c r="BQ2076"/>
      <c r="BR2076"/>
      <c r="BS2076"/>
      <c r="BT2076"/>
      <c r="BU2076"/>
      <c r="BV2076"/>
      <c r="BW2076"/>
      <c r="BX2076"/>
      <c r="BY2076"/>
      <c r="BZ2076"/>
      <c r="CA2076"/>
      <c r="CB2076"/>
      <c r="CC2076"/>
      <c r="CD2076"/>
      <c r="CE2076"/>
      <c r="CF2076"/>
      <c r="CG2076"/>
      <c r="CH2076"/>
      <c r="CI2076"/>
      <c r="CJ2076"/>
      <c r="CK2076"/>
      <c r="CL2076"/>
      <c r="CM2076"/>
      <c r="CN2076"/>
      <c r="CO2076"/>
      <c r="CP2076"/>
      <c r="CQ2076"/>
      <c r="CR2076"/>
      <c r="CS2076"/>
    </row>
    <row r="2077" spans="2:97">
      <c r="B2077"/>
      <c r="C2077" s="1"/>
      <c r="D2077" s="1"/>
      <c r="E2077" s="1"/>
      <c r="F2077" s="1"/>
      <c r="G2077" s="1"/>
      <c r="H2077" s="1"/>
      <c r="I2077" s="1"/>
      <c r="J2077" s="1"/>
      <c r="K2077" s="1"/>
      <c r="L2077" s="1"/>
      <c r="M2077" s="1"/>
      <c r="N2077" s="1"/>
      <c r="O2077" s="1"/>
      <c r="P2077" s="1"/>
      <c r="Q2077" s="1"/>
      <c r="R2077"/>
      <c r="S2077" s="1"/>
      <c r="T2077" s="24"/>
      <c r="U2077"/>
      <c r="V2077" s="1"/>
      <c r="W2077" s="24"/>
      <c r="X2077"/>
      <c r="Y2077" s="1"/>
      <c r="Z2077" s="24"/>
      <c r="AA2077"/>
      <c r="AB2077" s="1"/>
      <c r="AC2077" s="24"/>
      <c r="AD2077"/>
      <c r="AE2077"/>
      <c r="AF2077"/>
      <c r="AG2077"/>
      <c r="AH2077"/>
      <c r="AI2077"/>
      <c r="AJ2077"/>
      <c r="AK2077"/>
      <c r="AL2077"/>
      <c r="AM2077"/>
      <c r="AN2077"/>
      <c r="AO2077"/>
      <c r="AP2077"/>
      <c r="AQ2077"/>
      <c r="AR2077"/>
      <c r="AS2077"/>
      <c r="AT2077"/>
      <c r="AU2077"/>
      <c r="AV2077"/>
      <c r="AW2077"/>
      <c r="AX2077"/>
      <c r="AY2077"/>
      <c r="AZ2077"/>
      <c r="BA2077"/>
      <c r="BB2077"/>
      <c r="BC2077"/>
      <c r="BD2077"/>
      <c r="BE2077"/>
      <c r="BF2077"/>
      <c r="BG2077"/>
      <c r="BH2077"/>
      <c r="BI2077"/>
      <c r="BJ2077"/>
      <c r="BK2077"/>
      <c r="BL2077"/>
      <c r="BM2077"/>
      <c r="BN2077"/>
      <c r="BO2077"/>
      <c r="BP2077"/>
      <c r="BQ2077"/>
      <c r="BR2077"/>
      <c r="BS2077"/>
      <c r="BT2077"/>
      <c r="BU2077"/>
      <c r="BV2077"/>
      <c r="BW2077"/>
      <c r="BX2077"/>
      <c r="BY2077"/>
      <c r="BZ2077"/>
      <c r="CA2077"/>
      <c r="CB2077"/>
      <c r="CC2077"/>
      <c r="CD2077"/>
      <c r="CE2077"/>
      <c r="CF2077"/>
      <c r="CG2077"/>
      <c r="CH2077"/>
      <c r="CI2077"/>
      <c r="CJ2077"/>
      <c r="CK2077"/>
      <c r="CL2077"/>
      <c r="CM2077"/>
      <c r="CN2077"/>
      <c r="CO2077"/>
      <c r="CP2077"/>
      <c r="CQ2077"/>
      <c r="CR2077"/>
      <c r="CS2077"/>
    </row>
    <row r="2078" spans="2:97">
      <c r="B2078"/>
      <c r="C2078" s="1"/>
      <c r="D2078" s="1"/>
      <c r="E2078" s="1"/>
      <c r="F2078" s="1"/>
      <c r="G2078" s="1"/>
      <c r="H2078" s="1"/>
      <c r="I2078" s="1"/>
      <c r="J2078" s="1"/>
      <c r="K2078" s="1"/>
      <c r="L2078" s="1"/>
      <c r="M2078" s="1"/>
      <c r="N2078" s="1"/>
      <c r="O2078" s="1"/>
      <c r="P2078" s="1"/>
      <c r="Q2078" s="1"/>
      <c r="R2078"/>
      <c r="S2078" s="1"/>
      <c r="T2078" s="24"/>
      <c r="U2078"/>
      <c r="V2078" s="1"/>
      <c r="W2078" s="24"/>
      <c r="X2078"/>
      <c r="Y2078" s="1"/>
      <c r="Z2078" s="24"/>
      <c r="AA2078"/>
      <c r="AB2078" s="1"/>
      <c r="AC2078" s="24"/>
      <c r="AD2078"/>
      <c r="AE2078"/>
      <c r="AF2078"/>
      <c r="AG2078"/>
      <c r="AH2078"/>
      <c r="AI2078"/>
      <c r="AJ2078"/>
      <c r="AK2078"/>
      <c r="AL2078"/>
      <c r="AM2078"/>
      <c r="AN2078"/>
      <c r="AO2078"/>
      <c r="AP2078"/>
      <c r="AQ2078"/>
      <c r="AR2078"/>
      <c r="AS2078"/>
      <c r="AT2078"/>
      <c r="AU2078"/>
      <c r="AV2078"/>
      <c r="AW2078"/>
      <c r="AX2078"/>
      <c r="AY2078"/>
      <c r="AZ2078"/>
      <c r="BA2078"/>
      <c r="BB2078"/>
      <c r="BC2078"/>
      <c r="BD2078"/>
      <c r="BE2078"/>
      <c r="BF2078"/>
      <c r="BG2078"/>
      <c r="BH2078"/>
      <c r="BI2078"/>
      <c r="BJ2078"/>
      <c r="BK2078"/>
      <c r="BL2078"/>
      <c r="BM2078"/>
      <c r="BN2078"/>
      <c r="BO2078"/>
      <c r="BP2078"/>
      <c r="BQ2078"/>
      <c r="BR2078"/>
      <c r="BS2078"/>
      <c r="BT2078"/>
      <c r="BU2078"/>
      <c r="BV2078"/>
      <c r="BW2078"/>
      <c r="BX2078"/>
      <c r="BY2078"/>
      <c r="BZ2078"/>
      <c r="CA2078"/>
      <c r="CB2078"/>
      <c r="CC2078"/>
      <c r="CD2078"/>
      <c r="CE2078"/>
      <c r="CF2078"/>
      <c r="CG2078"/>
      <c r="CH2078"/>
      <c r="CI2078"/>
      <c r="CJ2078"/>
      <c r="CK2078"/>
      <c r="CL2078"/>
      <c r="CM2078"/>
      <c r="CN2078"/>
      <c r="CO2078"/>
      <c r="CP2078"/>
      <c r="CQ2078"/>
      <c r="CR2078"/>
      <c r="CS2078"/>
    </row>
    <row r="2079" spans="2:97">
      <c r="B2079"/>
      <c r="C2079" s="1"/>
      <c r="D2079" s="1"/>
      <c r="E2079" s="1"/>
      <c r="F2079" s="1"/>
      <c r="G2079" s="1"/>
      <c r="H2079" s="1"/>
      <c r="I2079" s="1"/>
      <c r="J2079" s="1"/>
      <c r="K2079" s="1"/>
      <c r="L2079" s="1"/>
      <c r="M2079" s="1"/>
      <c r="N2079" s="1"/>
      <c r="O2079" s="1"/>
      <c r="P2079" s="1"/>
      <c r="Q2079" s="1"/>
      <c r="R2079"/>
      <c r="S2079" s="1"/>
      <c r="T2079" s="24"/>
      <c r="U2079"/>
      <c r="V2079" s="1"/>
      <c r="W2079" s="24"/>
      <c r="X2079"/>
      <c r="Y2079" s="1"/>
      <c r="Z2079" s="24"/>
      <c r="AA2079"/>
      <c r="AB2079" s="1"/>
      <c r="AC2079" s="24"/>
      <c r="AD2079"/>
      <c r="AE2079"/>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c r="BI2079"/>
      <c r="BJ2079"/>
      <c r="BK2079"/>
      <c r="BL2079"/>
      <c r="BM2079"/>
      <c r="BN2079"/>
      <c r="BO2079"/>
      <c r="BP2079"/>
      <c r="BQ2079"/>
      <c r="BR2079"/>
      <c r="BS2079"/>
      <c r="BT2079"/>
      <c r="BU2079"/>
      <c r="BV2079"/>
      <c r="BW2079"/>
      <c r="BX2079"/>
      <c r="BY2079"/>
      <c r="BZ2079"/>
      <c r="CA2079"/>
      <c r="CB2079"/>
      <c r="CC2079"/>
      <c r="CD2079"/>
      <c r="CE2079"/>
      <c r="CF2079"/>
      <c r="CG2079"/>
      <c r="CH2079"/>
      <c r="CI2079"/>
      <c r="CJ2079"/>
      <c r="CK2079"/>
      <c r="CL2079"/>
      <c r="CM2079"/>
      <c r="CN2079"/>
      <c r="CO2079"/>
      <c r="CP2079"/>
      <c r="CQ2079"/>
      <c r="CR2079"/>
      <c r="CS2079"/>
    </row>
    <row r="2080" spans="2:97">
      <c r="B2080"/>
      <c r="C2080" s="1"/>
      <c r="D2080" s="1"/>
      <c r="E2080" s="1"/>
      <c r="F2080" s="1"/>
      <c r="G2080" s="1"/>
      <c r="H2080" s="1"/>
      <c r="I2080" s="1"/>
      <c r="J2080" s="1"/>
      <c r="K2080" s="1"/>
      <c r="L2080" s="1"/>
      <c r="M2080" s="1"/>
      <c r="N2080" s="1"/>
      <c r="O2080" s="1"/>
      <c r="P2080" s="1"/>
      <c r="Q2080" s="1"/>
      <c r="R2080"/>
      <c r="S2080" s="1"/>
      <c r="T2080" s="24"/>
      <c r="U2080"/>
      <c r="V2080" s="1"/>
      <c r="W2080" s="24"/>
      <c r="X2080"/>
      <c r="Y2080" s="1"/>
      <c r="Z2080" s="24"/>
      <c r="AA2080"/>
      <c r="AB2080" s="1"/>
      <c r="AC2080" s="24"/>
      <c r="AD2080"/>
      <c r="AE2080"/>
      <c r="AF2080"/>
      <c r="AG2080"/>
      <c r="AH2080"/>
      <c r="AI2080"/>
      <c r="AJ2080"/>
      <c r="AK2080"/>
      <c r="AL2080"/>
      <c r="AM2080"/>
      <c r="AN2080"/>
      <c r="AO2080"/>
      <c r="AP2080"/>
      <c r="AQ2080"/>
      <c r="AR2080"/>
      <c r="AS2080"/>
      <c r="AT2080"/>
      <c r="AU2080"/>
      <c r="AV2080"/>
      <c r="AW2080"/>
      <c r="AX2080"/>
      <c r="AY2080"/>
      <c r="AZ2080"/>
      <c r="BA2080"/>
      <c r="BB2080"/>
      <c r="BC2080"/>
      <c r="BD2080"/>
      <c r="BE2080"/>
      <c r="BF2080"/>
      <c r="BG2080"/>
      <c r="BH2080"/>
      <c r="BI2080"/>
      <c r="BJ2080"/>
      <c r="BK2080"/>
      <c r="BL2080"/>
      <c r="BM2080"/>
      <c r="BN2080"/>
      <c r="BO2080"/>
      <c r="BP2080"/>
      <c r="BQ2080"/>
      <c r="BR2080"/>
      <c r="BS2080"/>
      <c r="BT2080"/>
      <c r="BU2080"/>
      <c r="BV2080"/>
      <c r="BW2080"/>
      <c r="BX2080"/>
      <c r="BY2080"/>
      <c r="BZ2080"/>
      <c r="CA2080"/>
      <c r="CB2080"/>
      <c r="CC2080"/>
      <c r="CD2080"/>
      <c r="CE2080"/>
      <c r="CF2080"/>
      <c r="CG2080"/>
      <c r="CH2080"/>
      <c r="CI2080"/>
      <c r="CJ2080"/>
      <c r="CK2080"/>
      <c r="CL2080"/>
      <c r="CM2080"/>
      <c r="CN2080"/>
      <c r="CO2080"/>
      <c r="CP2080"/>
      <c r="CQ2080"/>
      <c r="CR2080"/>
      <c r="CS2080"/>
    </row>
    <row r="2081" spans="2:97">
      <c r="B2081"/>
      <c r="C2081" s="1"/>
      <c r="D2081" s="1"/>
      <c r="E2081" s="1"/>
      <c r="F2081" s="1"/>
      <c r="G2081" s="1"/>
      <c r="H2081" s="1"/>
      <c r="I2081" s="1"/>
      <c r="J2081" s="1"/>
      <c r="K2081" s="1"/>
      <c r="L2081" s="1"/>
      <c r="M2081" s="1"/>
      <c r="N2081" s="1"/>
      <c r="O2081" s="1"/>
      <c r="P2081" s="1"/>
      <c r="Q2081" s="1"/>
      <c r="R2081"/>
      <c r="S2081" s="1"/>
      <c r="T2081" s="24"/>
      <c r="U2081"/>
      <c r="V2081" s="1"/>
      <c r="W2081" s="24"/>
      <c r="X2081"/>
      <c r="Y2081" s="1"/>
      <c r="Z2081" s="24"/>
      <c r="AA2081"/>
      <c r="AB2081" s="1"/>
      <c r="AC2081" s="24"/>
      <c r="AD2081"/>
      <c r="AE2081"/>
      <c r="AF2081"/>
      <c r="AG2081"/>
      <c r="AH2081"/>
      <c r="AI2081"/>
      <c r="AJ2081"/>
      <c r="AK2081"/>
      <c r="AL2081"/>
      <c r="AM2081"/>
      <c r="AN2081"/>
      <c r="AO2081"/>
      <c r="AP2081"/>
      <c r="AQ2081"/>
      <c r="AR2081"/>
      <c r="AS2081"/>
      <c r="AT2081"/>
      <c r="AU2081"/>
      <c r="AV2081"/>
      <c r="AW2081"/>
      <c r="AX2081"/>
      <c r="AY2081"/>
      <c r="AZ2081"/>
      <c r="BA2081"/>
      <c r="BB2081"/>
      <c r="BC2081"/>
      <c r="BD2081"/>
      <c r="BE2081"/>
      <c r="BF2081"/>
      <c r="BG2081"/>
      <c r="BH2081"/>
      <c r="BI2081"/>
      <c r="BJ2081"/>
      <c r="BK2081"/>
      <c r="BL2081"/>
      <c r="BM2081"/>
      <c r="BN2081"/>
      <c r="BO2081"/>
      <c r="BP2081"/>
      <c r="BQ2081"/>
      <c r="BR2081"/>
      <c r="BS2081"/>
      <c r="BT2081"/>
      <c r="BU2081"/>
      <c r="BV2081"/>
      <c r="BW2081"/>
      <c r="BX2081"/>
      <c r="BY2081"/>
      <c r="BZ2081"/>
      <c r="CA2081"/>
      <c r="CB2081"/>
      <c r="CC2081"/>
      <c r="CD2081"/>
      <c r="CE2081"/>
      <c r="CF2081"/>
      <c r="CG2081"/>
      <c r="CH2081"/>
      <c r="CI2081"/>
      <c r="CJ2081"/>
      <c r="CK2081"/>
      <c r="CL2081"/>
      <c r="CM2081"/>
      <c r="CN2081"/>
      <c r="CO2081"/>
      <c r="CP2081"/>
      <c r="CQ2081"/>
      <c r="CR2081"/>
      <c r="CS2081"/>
    </row>
    <row r="2082" spans="2:97">
      <c r="B2082"/>
      <c r="C2082" s="1"/>
      <c r="D2082" s="1"/>
      <c r="E2082" s="1"/>
      <c r="F2082" s="1"/>
      <c r="G2082" s="1"/>
      <c r="H2082" s="1"/>
      <c r="I2082" s="1"/>
      <c r="J2082" s="1"/>
      <c r="K2082" s="1"/>
      <c r="L2082" s="1"/>
      <c r="M2082" s="1"/>
      <c r="N2082" s="1"/>
      <c r="O2082" s="1"/>
      <c r="P2082" s="1"/>
      <c r="Q2082" s="1"/>
      <c r="R2082"/>
      <c r="S2082" s="1"/>
      <c r="T2082" s="24"/>
      <c r="U2082"/>
      <c r="V2082" s="1"/>
      <c r="W2082" s="24"/>
      <c r="X2082"/>
      <c r="Y2082" s="1"/>
      <c r="Z2082" s="24"/>
      <c r="AA2082"/>
      <c r="AB2082" s="1"/>
      <c r="AC2082" s="24"/>
      <c r="AD2082"/>
      <c r="AE2082"/>
      <c r="AF2082"/>
      <c r="AG2082"/>
      <c r="AH2082"/>
      <c r="AI2082"/>
      <c r="AJ2082"/>
      <c r="AK2082"/>
      <c r="AL2082"/>
      <c r="AM2082"/>
      <c r="AN2082"/>
      <c r="AO2082"/>
      <c r="AP2082"/>
      <c r="AQ2082"/>
      <c r="AR2082"/>
      <c r="AS2082"/>
      <c r="AT2082"/>
      <c r="AU2082"/>
      <c r="AV2082"/>
      <c r="AW2082"/>
      <c r="AX2082"/>
      <c r="AY2082"/>
      <c r="AZ2082"/>
      <c r="BA2082"/>
      <c r="BB2082"/>
      <c r="BC2082"/>
      <c r="BD2082"/>
      <c r="BE2082"/>
      <c r="BF2082"/>
      <c r="BG2082"/>
      <c r="BH2082"/>
      <c r="BI2082"/>
      <c r="BJ2082"/>
      <c r="BK2082"/>
      <c r="BL2082"/>
      <c r="BM2082"/>
      <c r="BN2082"/>
      <c r="BO2082"/>
      <c r="BP2082"/>
      <c r="BQ2082"/>
      <c r="BR2082"/>
      <c r="BS2082"/>
      <c r="BT2082"/>
      <c r="BU2082"/>
      <c r="BV2082"/>
      <c r="BW2082"/>
      <c r="BX2082"/>
      <c r="BY2082"/>
      <c r="BZ2082"/>
      <c r="CA2082"/>
      <c r="CB2082"/>
      <c r="CC2082"/>
      <c r="CD2082"/>
      <c r="CE2082"/>
      <c r="CF2082"/>
      <c r="CG2082"/>
      <c r="CH2082"/>
      <c r="CI2082"/>
      <c r="CJ2082"/>
      <c r="CK2082"/>
      <c r="CL2082"/>
      <c r="CM2082"/>
      <c r="CN2082"/>
      <c r="CO2082"/>
      <c r="CP2082"/>
      <c r="CQ2082"/>
      <c r="CR2082"/>
      <c r="CS2082"/>
    </row>
    <row r="2083" spans="2:97">
      <c r="B2083"/>
      <c r="C2083" s="1"/>
      <c r="D2083" s="1"/>
      <c r="E2083" s="1"/>
      <c r="F2083" s="1"/>
      <c r="G2083" s="1"/>
      <c r="H2083" s="1"/>
      <c r="I2083" s="1"/>
      <c r="J2083" s="1"/>
      <c r="K2083" s="1"/>
      <c r="L2083" s="1"/>
      <c r="M2083" s="1"/>
      <c r="N2083" s="1"/>
      <c r="O2083" s="1"/>
      <c r="P2083" s="1"/>
      <c r="Q2083" s="1"/>
      <c r="R2083"/>
      <c r="S2083" s="1"/>
      <c r="T2083" s="24"/>
      <c r="U2083"/>
      <c r="V2083" s="1"/>
      <c r="W2083" s="24"/>
      <c r="X2083"/>
      <c r="Y2083" s="1"/>
      <c r="Z2083" s="24"/>
      <c r="AA2083"/>
      <c r="AB2083" s="1"/>
      <c r="AC2083" s="24"/>
      <c r="AD2083"/>
      <c r="AE2083"/>
      <c r="AF2083"/>
      <c r="AG2083"/>
      <c r="AH2083"/>
      <c r="AI2083"/>
      <c r="AJ2083"/>
      <c r="AK2083"/>
      <c r="AL2083"/>
      <c r="AM2083"/>
      <c r="AN2083"/>
      <c r="AO2083"/>
      <c r="AP2083"/>
      <c r="AQ2083"/>
      <c r="AR2083"/>
      <c r="AS2083"/>
      <c r="AT2083"/>
      <c r="AU2083"/>
      <c r="AV2083"/>
      <c r="AW2083"/>
      <c r="AX2083"/>
      <c r="AY2083"/>
      <c r="AZ2083"/>
      <c r="BA2083"/>
      <c r="BB2083"/>
      <c r="BC2083"/>
      <c r="BD2083"/>
      <c r="BE2083"/>
      <c r="BF2083"/>
      <c r="BG2083"/>
      <c r="BH2083"/>
      <c r="BI2083"/>
      <c r="BJ2083"/>
      <c r="BK2083"/>
      <c r="BL2083"/>
      <c r="BM2083"/>
      <c r="BN2083"/>
      <c r="BO2083"/>
      <c r="BP2083"/>
      <c r="BQ2083"/>
      <c r="BR2083"/>
      <c r="BS2083"/>
      <c r="BT2083"/>
      <c r="BU2083"/>
      <c r="BV2083"/>
      <c r="BW2083"/>
      <c r="BX2083"/>
      <c r="BY2083"/>
      <c r="BZ2083"/>
      <c r="CA2083"/>
      <c r="CB2083"/>
      <c r="CC2083"/>
      <c r="CD2083"/>
      <c r="CE2083"/>
      <c r="CF2083"/>
      <c r="CG2083"/>
      <c r="CH2083"/>
      <c r="CI2083"/>
      <c r="CJ2083"/>
      <c r="CK2083"/>
      <c r="CL2083"/>
      <c r="CM2083"/>
      <c r="CN2083"/>
      <c r="CO2083"/>
      <c r="CP2083"/>
      <c r="CQ2083"/>
      <c r="CR2083"/>
      <c r="CS2083"/>
    </row>
    <row r="2084" spans="2:97">
      <c r="B2084"/>
      <c r="C2084" s="1"/>
      <c r="D2084" s="1"/>
      <c r="E2084" s="1"/>
      <c r="F2084" s="1"/>
      <c r="G2084" s="1"/>
      <c r="H2084" s="1"/>
      <c r="I2084" s="1"/>
      <c r="J2084" s="1"/>
      <c r="K2084" s="1"/>
      <c r="L2084" s="1"/>
      <c r="M2084" s="1"/>
      <c r="N2084" s="1"/>
      <c r="O2084" s="1"/>
      <c r="P2084" s="1"/>
      <c r="Q2084" s="1"/>
      <c r="R2084"/>
      <c r="S2084" s="1"/>
      <c r="T2084" s="24"/>
      <c r="U2084"/>
      <c r="V2084" s="1"/>
      <c r="W2084" s="24"/>
      <c r="X2084"/>
      <c r="Y2084" s="1"/>
      <c r="Z2084" s="24"/>
      <c r="AA2084"/>
      <c r="AB2084" s="1"/>
      <c r="AC2084" s="24"/>
      <c r="AD2084"/>
      <c r="AE2084"/>
      <c r="AF2084"/>
      <c r="AG2084"/>
      <c r="AH2084"/>
      <c r="AI2084"/>
      <c r="AJ2084"/>
      <c r="AK2084"/>
      <c r="AL2084"/>
      <c r="AM2084"/>
      <c r="AN2084"/>
      <c r="AO2084"/>
      <c r="AP2084"/>
      <c r="AQ2084"/>
      <c r="AR2084"/>
      <c r="AS2084"/>
      <c r="AT2084"/>
      <c r="AU2084"/>
      <c r="AV2084"/>
      <c r="AW2084"/>
      <c r="AX2084"/>
      <c r="AY2084"/>
      <c r="AZ2084"/>
      <c r="BA2084"/>
      <c r="BB2084"/>
      <c r="BC2084"/>
      <c r="BD2084"/>
      <c r="BE2084"/>
      <c r="BF2084"/>
      <c r="BG2084"/>
      <c r="BH2084"/>
      <c r="BI2084"/>
      <c r="BJ2084"/>
      <c r="BK2084"/>
      <c r="BL2084"/>
      <c r="BM2084"/>
      <c r="BN2084"/>
      <c r="BO2084"/>
      <c r="BP2084"/>
      <c r="BQ2084"/>
      <c r="BR2084"/>
      <c r="BS2084"/>
      <c r="BT2084"/>
      <c r="BU2084"/>
      <c r="BV2084"/>
      <c r="BW2084"/>
      <c r="BX2084"/>
      <c r="BY2084"/>
      <c r="BZ2084"/>
      <c r="CA2084"/>
      <c r="CB2084"/>
      <c r="CC2084"/>
      <c r="CD2084"/>
      <c r="CE2084"/>
      <c r="CF2084"/>
      <c r="CG2084"/>
      <c r="CH2084"/>
      <c r="CI2084"/>
      <c r="CJ2084"/>
      <c r="CK2084"/>
      <c r="CL2084"/>
      <c r="CM2084"/>
      <c r="CN2084"/>
      <c r="CO2084"/>
      <c r="CP2084"/>
      <c r="CQ2084"/>
      <c r="CR2084"/>
      <c r="CS2084"/>
    </row>
    <row r="2085" spans="2:97">
      <c r="B2085"/>
      <c r="C2085" s="1"/>
      <c r="D2085" s="1"/>
      <c r="E2085" s="1"/>
      <c r="F2085" s="1"/>
      <c r="G2085" s="1"/>
      <c r="H2085" s="1"/>
      <c r="I2085" s="1"/>
      <c r="J2085" s="1"/>
      <c r="K2085" s="1"/>
      <c r="L2085" s="1"/>
      <c r="M2085" s="1"/>
      <c r="N2085" s="1"/>
      <c r="O2085" s="1"/>
      <c r="P2085" s="1"/>
      <c r="Q2085" s="1"/>
      <c r="R2085"/>
      <c r="S2085" s="1"/>
      <c r="T2085" s="24"/>
      <c r="U2085"/>
      <c r="V2085" s="1"/>
      <c r="W2085" s="24"/>
      <c r="X2085"/>
      <c r="Y2085" s="1"/>
      <c r="Z2085" s="24"/>
      <c r="AA2085"/>
      <c r="AB2085" s="1"/>
      <c r="AC2085" s="24"/>
      <c r="AD2085"/>
      <c r="AE2085"/>
      <c r="AF2085"/>
      <c r="AG2085"/>
      <c r="AH2085"/>
      <c r="AI2085"/>
      <c r="AJ2085"/>
      <c r="AK2085"/>
      <c r="AL2085"/>
      <c r="AM2085"/>
      <c r="AN2085"/>
      <c r="AO2085"/>
      <c r="AP2085"/>
      <c r="AQ2085"/>
      <c r="AR2085"/>
      <c r="AS2085"/>
      <c r="AT2085"/>
      <c r="AU2085"/>
      <c r="AV2085"/>
      <c r="AW2085"/>
      <c r="AX2085"/>
      <c r="AY2085"/>
      <c r="AZ2085"/>
      <c r="BA2085"/>
      <c r="BB2085"/>
      <c r="BC2085"/>
      <c r="BD2085"/>
      <c r="BE2085"/>
      <c r="BF2085"/>
      <c r="BG2085"/>
      <c r="BH2085"/>
      <c r="BI2085"/>
      <c r="BJ2085"/>
      <c r="BK2085"/>
      <c r="BL2085"/>
      <c r="BM2085"/>
      <c r="BN2085"/>
      <c r="BO2085"/>
      <c r="BP2085"/>
      <c r="BQ2085"/>
      <c r="BR2085"/>
      <c r="BS2085"/>
      <c r="BT2085"/>
      <c r="BU2085"/>
      <c r="BV2085"/>
      <c r="BW2085"/>
      <c r="BX2085"/>
      <c r="BY2085"/>
      <c r="BZ2085"/>
      <c r="CA2085"/>
      <c r="CB2085"/>
      <c r="CC2085"/>
      <c r="CD2085"/>
      <c r="CE2085"/>
      <c r="CF2085"/>
      <c r="CG2085"/>
      <c r="CH2085"/>
      <c r="CI2085"/>
      <c r="CJ2085"/>
      <c r="CK2085"/>
      <c r="CL2085"/>
      <c r="CM2085"/>
      <c r="CN2085"/>
      <c r="CO2085"/>
      <c r="CP2085"/>
      <c r="CQ2085"/>
      <c r="CR2085"/>
      <c r="CS2085"/>
    </row>
    <row r="2086" spans="2:97">
      <c r="B2086"/>
      <c r="C2086" s="1"/>
      <c r="D2086" s="1"/>
      <c r="E2086" s="1"/>
      <c r="F2086" s="1"/>
      <c r="G2086" s="1"/>
      <c r="H2086" s="1"/>
      <c r="I2086" s="1"/>
      <c r="J2086" s="1"/>
      <c r="K2086" s="1"/>
      <c r="L2086" s="1"/>
      <c r="M2086" s="1"/>
      <c r="N2086" s="1"/>
      <c r="O2086" s="1"/>
      <c r="P2086" s="1"/>
      <c r="Q2086" s="1"/>
      <c r="R2086"/>
      <c r="S2086" s="1"/>
      <c r="T2086" s="24"/>
      <c r="U2086"/>
      <c r="V2086" s="1"/>
      <c r="W2086" s="24"/>
      <c r="X2086"/>
      <c r="Y2086" s="1"/>
      <c r="Z2086" s="24"/>
      <c r="AA2086"/>
      <c r="AB2086" s="1"/>
      <c r="AC2086" s="24"/>
      <c r="AD2086"/>
      <c r="AE2086"/>
      <c r="AF2086"/>
      <c r="AG2086"/>
      <c r="AH2086"/>
      <c r="AI2086"/>
      <c r="AJ2086"/>
      <c r="AK2086"/>
      <c r="AL2086"/>
      <c r="AM2086"/>
      <c r="AN2086"/>
      <c r="AO2086"/>
      <c r="AP2086"/>
      <c r="AQ2086"/>
      <c r="AR2086"/>
      <c r="AS2086"/>
      <c r="AT2086"/>
      <c r="AU2086"/>
      <c r="AV2086"/>
      <c r="AW2086"/>
      <c r="AX2086"/>
      <c r="AY2086"/>
      <c r="AZ2086"/>
      <c r="BA2086"/>
      <c r="BB2086"/>
      <c r="BC2086"/>
      <c r="BD2086"/>
      <c r="BE2086"/>
      <c r="BF2086"/>
      <c r="BG2086"/>
      <c r="BH2086"/>
      <c r="BI2086"/>
      <c r="BJ2086"/>
      <c r="BK2086"/>
      <c r="BL2086"/>
      <c r="BM2086"/>
      <c r="BN2086"/>
      <c r="BO2086"/>
      <c r="BP2086"/>
      <c r="BQ2086"/>
      <c r="BR2086"/>
      <c r="BS2086"/>
      <c r="BT2086"/>
      <c r="BU2086"/>
      <c r="BV2086"/>
      <c r="BW2086"/>
      <c r="BX2086"/>
      <c r="BY2086"/>
      <c r="BZ2086"/>
      <c r="CA2086"/>
      <c r="CB2086"/>
      <c r="CC2086"/>
      <c r="CD2086"/>
      <c r="CE2086"/>
      <c r="CF2086"/>
      <c r="CG2086"/>
      <c r="CH2086"/>
      <c r="CI2086"/>
      <c r="CJ2086"/>
      <c r="CK2086"/>
      <c r="CL2086"/>
      <c r="CM2086"/>
      <c r="CN2086"/>
      <c r="CO2086"/>
      <c r="CP2086"/>
      <c r="CQ2086"/>
      <c r="CR2086"/>
      <c r="CS2086"/>
    </row>
    <row r="2087" spans="2:97">
      <c r="B2087"/>
      <c r="C2087" s="1"/>
      <c r="D2087" s="1"/>
      <c r="E2087" s="1"/>
      <c r="F2087" s="1"/>
      <c r="G2087" s="1"/>
      <c r="H2087" s="1"/>
      <c r="I2087" s="1"/>
      <c r="J2087" s="1"/>
      <c r="K2087" s="1"/>
      <c r="L2087" s="1"/>
      <c r="M2087" s="1"/>
      <c r="N2087" s="1"/>
      <c r="O2087" s="1"/>
      <c r="P2087" s="1"/>
      <c r="Q2087" s="1"/>
      <c r="R2087"/>
      <c r="S2087" s="1"/>
      <c r="T2087" s="24"/>
      <c r="U2087"/>
      <c r="V2087" s="1"/>
      <c r="W2087" s="24"/>
      <c r="X2087"/>
      <c r="Y2087" s="1"/>
      <c r="Z2087" s="24"/>
      <c r="AA2087"/>
      <c r="AB2087" s="1"/>
      <c r="AC2087" s="24"/>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c r="BP2087"/>
      <c r="BQ2087"/>
      <c r="BR2087"/>
      <c r="BS2087"/>
      <c r="BT2087"/>
      <c r="BU2087"/>
      <c r="BV2087"/>
      <c r="BW2087"/>
      <c r="BX2087"/>
      <c r="BY2087"/>
      <c r="BZ2087"/>
      <c r="CA2087"/>
      <c r="CB2087"/>
      <c r="CC2087"/>
      <c r="CD2087"/>
      <c r="CE2087"/>
      <c r="CF2087"/>
      <c r="CG2087"/>
      <c r="CH2087"/>
      <c r="CI2087"/>
      <c r="CJ2087"/>
      <c r="CK2087"/>
      <c r="CL2087"/>
      <c r="CM2087"/>
      <c r="CN2087"/>
      <c r="CO2087"/>
      <c r="CP2087"/>
      <c r="CQ2087"/>
      <c r="CR2087"/>
      <c r="CS2087"/>
    </row>
    <row r="2088" spans="2:97">
      <c r="B2088"/>
      <c r="C2088" s="1"/>
      <c r="D2088" s="1"/>
      <c r="E2088" s="1"/>
      <c r="F2088" s="1"/>
      <c r="G2088" s="1"/>
      <c r="H2088" s="1"/>
      <c r="I2088" s="1"/>
      <c r="J2088" s="1"/>
      <c r="K2088" s="1"/>
      <c r="L2088" s="1"/>
      <c r="M2088" s="1"/>
      <c r="N2088" s="1"/>
      <c r="O2088" s="1"/>
      <c r="P2088" s="1"/>
      <c r="Q2088" s="1"/>
      <c r="R2088"/>
      <c r="S2088" s="1"/>
      <c r="T2088" s="24"/>
      <c r="U2088"/>
      <c r="V2088" s="1"/>
      <c r="W2088" s="24"/>
      <c r="X2088"/>
      <c r="Y2088" s="1"/>
      <c r="Z2088" s="24"/>
      <c r="AA2088"/>
      <c r="AB2088" s="1"/>
      <c r="AC2088" s="24"/>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c r="BR2088"/>
      <c r="BS2088"/>
      <c r="BT2088"/>
      <c r="BU2088"/>
      <c r="BV2088"/>
      <c r="BW2088"/>
      <c r="BX2088"/>
      <c r="BY2088"/>
      <c r="BZ2088"/>
      <c r="CA2088"/>
      <c r="CB2088"/>
      <c r="CC2088"/>
      <c r="CD2088"/>
      <c r="CE2088"/>
      <c r="CF2088"/>
      <c r="CG2088"/>
      <c r="CH2088"/>
      <c r="CI2088"/>
      <c r="CJ2088"/>
      <c r="CK2088"/>
      <c r="CL2088"/>
      <c r="CM2088"/>
      <c r="CN2088"/>
      <c r="CO2088"/>
      <c r="CP2088"/>
      <c r="CQ2088"/>
      <c r="CR2088"/>
      <c r="CS2088"/>
    </row>
    <row r="2089" spans="2:97">
      <c r="B2089"/>
      <c r="C2089" s="1"/>
      <c r="D2089" s="1"/>
      <c r="E2089" s="1"/>
      <c r="F2089" s="1"/>
      <c r="G2089" s="1"/>
      <c r="H2089" s="1"/>
      <c r="I2089" s="1"/>
      <c r="J2089" s="1"/>
      <c r="K2089" s="1"/>
      <c r="L2089" s="1"/>
      <c r="M2089" s="1"/>
      <c r="N2089" s="1"/>
      <c r="O2089" s="1"/>
      <c r="P2089" s="1"/>
      <c r="Q2089" s="1"/>
      <c r="R2089"/>
      <c r="S2089" s="1"/>
      <c r="T2089" s="24"/>
      <c r="U2089"/>
      <c r="V2089" s="1"/>
      <c r="W2089" s="24"/>
      <c r="X2089"/>
      <c r="Y2089" s="1"/>
      <c r="Z2089" s="24"/>
      <c r="AA2089"/>
      <c r="AB2089" s="1"/>
      <c r="AC2089" s="24"/>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c r="BR2089"/>
      <c r="BS2089"/>
      <c r="BT2089"/>
      <c r="BU2089"/>
      <c r="BV2089"/>
      <c r="BW2089"/>
      <c r="BX2089"/>
      <c r="BY2089"/>
      <c r="BZ2089"/>
      <c r="CA2089"/>
      <c r="CB2089"/>
      <c r="CC2089"/>
      <c r="CD2089"/>
      <c r="CE2089"/>
      <c r="CF2089"/>
      <c r="CG2089"/>
      <c r="CH2089"/>
      <c r="CI2089"/>
      <c r="CJ2089"/>
      <c r="CK2089"/>
      <c r="CL2089"/>
      <c r="CM2089"/>
      <c r="CN2089"/>
      <c r="CO2089"/>
      <c r="CP2089"/>
      <c r="CQ2089"/>
      <c r="CR2089"/>
      <c r="CS2089"/>
    </row>
    <row r="2090" spans="2:97">
      <c r="B2090"/>
      <c r="C2090" s="1"/>
      <c r="D2090" s="1"/>
      <c r="E2090" s="1"/>
      <c r="F2090" s="1"/>
      <c r="G2090" s="1"/>
      <c r="H2090" s="1"/>
      <c r="I2090" s="1"/>
      <c r="J2090" s="1"/>
      <c r="K2090" s="1"/>
      <c r="L2090" s="1"/>
      <c r="M2090" s="1"/>
      <c r="N2090" s="1"/>
      <c r="O2090" s="1"/>
      <c r="P2090" s="1"/>
      <c r="Q2090" s="1"/>
      <c r="R2090"/>
      <c r="S2090" s="1"/>
      <c r="T2090" s="24"/>
      <c r="U2090"/>
      <c r="V2090" s="1"/>
      <c r="W2090" s="24"/>
      <c r="X2090"/>
      <c r="Y2090" s="1"/>
      <c r="Z2090" s="24"/>
      <c r="AA2090"/>
      <c r="AB2090" s="1"/>
      <c r="AC2090" s="24"/>
      <c r="AD2090"/>
      <c r="AE2090"/>
      <c r="AF2090"/>
      <c r="AG2090"/>
      <c r="AH2090"/>
      <c r="AI2090"/>
      <c r="AJ2090"/>
      <c r="AK2090"/>
      <c r="AL2090"/>
      <c r="AM2090"/>
      <c r="AN2090"/>
      <c r="AO2090"/>
      <c r="AP2090"/>
      <c r="AQ2090"/>
      <c r="AR2090"/>
      <c r="AS2090"/>
      <c r="AT2090"/>
      <c r="AU2090"/>
      <c r="AV2090"/>
      <c r="AW2090"/>
      <c r="AX2090"/>
      <c r="AY2090"/>
      <c r="AZ2090"/>
      <c r="BA2090"/>
      <c r="BB2090"/>
      <c r="BC2090"/>
      <c r="BD2090"/>
      <c r="BE2090"/>
      <c r="BF2090"/>
      <c r="BG2090"/>
      <c r="BH2090"/>
      <c r="BI2090"/>
      <c r="BJ2090"/>
      <c r="BK2090"/>
      <c r="BL2090"/>
      <c r="BM2090"/>
      <c r="BN2090"/>
      <c r="BO2090"/>
      <c r="BP2090"/>
      <c r="BQ2090"/>
      <c r="BR2090"/>
      <c r="BS2090"/>
      <c r="BT2090"/>
      <c r="BU2090"/>
      <c r="BV2090"/>
      <c r="BW2090"/>
      <c r="BX2090"/>
      <c r="BY2090"/>
      <c r="BZ2090"/>
      <c r="CA2090"/>
      <c r="CB2090"/>
      <c r="CC2090"/>
      <c r="CD2090"/>
      <c r="CE2090"/>
      <c r="CF2090"/>
      <c r="CG2090"/>
      <c r="CH2090"/>
      <c r="CI2090"/>
      <c r="CJ2090"/>
      <c r="CK2090"/>
      <c r="CL2090"/>
      <c r="CM2090"/>
      <c r="CN2090"/>
      <c r="CO2090"/>
      <c r="CP2090"/>
      <c r="CQ2090"/>
      <c r="CR2090"/>
      <c r="CS2090"/>
    </row>
    <row r="2091" spans="2:97">
      <c r="B2091"/>
      <c r="C2091" s="1"/>
      <c r="D2091" s="1"/>
      <c r="E2091" s="1"/>
      <c r="F2091" s="1"/>
      <c r="G2091" s="1"/>
      <c r="H2091" s="1"/>
      <c r="I2091" s="1"/>
      <c r="J2091" s="1"/>
      <c r="K2091" s="1"/>
      <c r="L2091" s="1"/>
      <c r="M2091" s="1"/>
      <c r="N2091" s="1"/>
      <c r="O2091" s="1"/>
      <c r="P2091" s="1"/>
      <c r="Q2091" s="1"/>
      <c r="R2091"/>
      <c r="S2091" s="1"/>
      <c r="T2091" s="24"/>
      <c r="U2091"/>
      <c r="V2091" s="1"/>
      <c r="W2091" s="24"/>
      <c r="X2091"/>
      <c r="Y2091" s="1"/>
      <c r="Z2091" s="24"/>
      <c r="AA2091"/>
      <c r="AB2091" s="1"/>
      <c r="AC2091" s="24"/>
      <c r="AD2091"/>
      <c r="AE2091"/>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c r="BI2091"/>
      <c r="BJ2091"/>
      <c r="BK2091"/>
      <c r="BL2091"/>
      <c r="BM2091"/>
      <c r="BN2091"/>
      <c r="BO2091"/>
      <c r="BP2091"/>
      <c r="BQ2091"/>
      <c r="BR2091"/>
      <c r="BS2091"/>
      <c r="BT2091"/>
      <c r="BU2091"/>
      <c r="BV2091"/>
      <c r="BW2091"/>
      <c r="BX2091"/>
      <c r="BY2091"/>
      <c r="BZ2091"/>
      <c r="CA2091"/>
      <c r="CB2091"/>
      <c r="CC2091"/>
      <c r="CD2091"/>
      <c r="CE2091"/>
      <c r="CF2091"/>
      <c r="CG2091"/>
      <c r="CH2091"/>
      <c r="CI2091"/>
      <c r="CJ2091"/>
      <c r="CK2091"/>
      <c r="CL2091"/>
      <c r="CM2091"/>
      <c r="CN2091"/>
      <c r="CO2091"/>
      <c r="CP2091"/>
      <c r="CQ2091"/>
      <c r="CR2091"/>
      <c r="CS2091"/>
    </row>
    <row r="2092" spans="2:97">
      <c r="B2092"/>
      <c r="C2092" s="1"/>
      <c r="D2092" s="1"/>
      <c r="E2092" s="1"/>
      <c r="F2092" s="1"/>
      <c r="G2092" s="1"/>
      <c r="H2092" s="1"/>
      <c r="I2092" s="1"/>
      <c r="J2092" s="1"/>
      <c r="K2092" s="1"/>
      <c r="L2092" s="1"/>
      <c r="M2092" s="1"/>
      <c r="N2092" s="1"/>
      <c r="O2092" s="1"/>
      <c r="P2092" s="1"/>
      <c r="Q2092" s="1"/>
      <c r="R2092"/>
      <c r="S2092" s="1"/>
      <c r="T2092" s="24"/>
      <c r="U2092"/>
      <c r="V2092" s="1"/>
      <c r="W2092" s="24"/>
      <c r="X2092"/>
      <c r="Y2092" s="1"/>
      <c r="Z2092" s="24"/>
      <c r="AA2092"/>
      <c r="AB2092" s="1"/>
      <c r="AC2092" s="24"/>
      <c r="AD2092"/>
      <c r="AE2092"/>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c r="BI2092"/>
      <c r="BJ2092"/>
      <c r="BK2092"/>
      <c r="BL2092"/>
      <c r="BM2092"/>
      <c r="BN2092"/>
      <c r="BO2092"/>
      <c r="BP2092"/>
      <c r="BQ2092"/>
      <c r="BR2092"/>
      <c r="BS2092"/>
      <c r="BT2092"/>
      <c r="BU2092"/>
      <c r="BV2092"/>
      <c r="BW2092"/>
      <c r="BX2092"/>
      <c r="BY2092"/>
      <c r="BZ2092"/>
      <c r="CA2092"/>
      <c r="CB2092"/>
      <c r="CC2092"/>
      <c r="CD2092"/>
      <c r="CE2092"/>
      <c r="CF2092"/>
      <c r="CG2092"/>
      <c r="CH2092"/>
      <c r="CI2092"/>
      <c r="CJ2092"/>
      <c r="CK2092"/>
      <c r="CL2092"/>
      <c r="CM2092"/>
      <c r="CN2092"/>
      <c r="CO2092"/>
      <c r="CP2092"/>
      <c r="CQ2092"/>
      <c r="CR2092"/>
      <c r="CS2092"/>
    </row>
    <row r="2093" spans="2:97">
      <c r="B2093"/>
      <c r="C2093" s="1"/>
      <c r="D2093" s="1"/>
      <c r="E2093" s="1"/>
      <c r="F2093" s="1"/>
      <c r="G2093" s="1"/>
      <c r="H2093" s="1"/>
      <c r="I2093" s="1"/>
      <c r="J2093" s="1"/>
      <c r="K2093" s="1"/>
      <c r="L2093" s="1"/>
      <c r="M2093" s="1"/>
      <c r="N2093" s="1"/>
      <c r="O2093" s="1"/>
      <c r="P2093" s="1"/>
      <c r="Q2093" s="1"/>
      <c r="R2093"/>
      <c r="S2093" s="1"/>
      <c r="T2093" s="24"/>
      <c r="U2093"/>
      <c r="V2093" s="1"/>
      <c r="W2093" s="24"/>
      <c r="X2093"/>
      <c r="Y2093" s="1"/>
      <c r="Z2093" s="24"/>
      <c r="AA2093"/>
      <c r="AB2093" s="1"/>
      <c r="AC2093" s="24"/>
      <c r="AD2093"/>
      <c r="AE2093"/>
      <c r="AF2093"/>
      <c r="AG2093"/>
      <c r="AH2093"/>
      <c r="AI2093"/>
      <c r="AJ2093"/>
      <c r="AK2093"/>
      <c r="AL2093"/>
      <c r="AM2093"/>
      <c r="AN2093"/>
      <c r="AO2093"/>
      <c r="AP2093"/>
      <c r="AQ2093"/>
      <c r="AR2093"/>
      <c r="AS2093"/>
      <c r="AT2093"/>
      <c r="AU2093"/>
      <c r="AV2093"/>
      <c r="AW2093"/>
      <c r="AX2093"/>
      <c r="AY2093"/>
      <c r="AZ2093"/>
      <c r="BA2093"/>
      <c r="BB2093"/>
      <c r="BC2093"/>
      <c r="BD2093"/>
      <c r="BE2093"/>
      <c r="BF2093"/>
      <c r="BG2093"/>
      <c r="BH2093"/>
      <c r="BI2093"/>
      <c r="BJ2093"/>
      <c r="BK2093"/>
      <c r="BL2093"/>
      <c r="BM2093"/>
      <c r="BN2093"/>
      <c r="BO2093"/>
      <c r="BP2093"/>
      <c r="BQ2093"/>
      <c r="BR2093"/>
      <c r="BS2093"/>
      <c r="BT2093"/>
      <c r="BU2093"/>
      <c r="BV2093"/>
      <c r="BW2093"/>
      <c r="BX2093"/>
      <c r="BY2093"/>
      <c r="BZ2093"/>
      <c r="CA2093"/>
      <c r="CB2093"/>
      <c r="CC2093"/>
      <c r="CD2093"/>
      <c r="CE2093"/>
      <c r="CF2093"/>
      <c r="CG2093"/>
      <c r="CH2093"/>
      <c r="CI2093"/>
      <c r="CJ2093"/>
      <c r="CK2093"/>
      <c r="CL2093"/>
      <c r="CM2093"/>
      <c r="CN2093"/>
      <c r="CO2093"/>
      <c r="CP2093"/>
      <c r="CQ2093"/>
      <c r="CR2093"/>
      <c r="CS2093"/>
    </row>
    <row r="2094" spans="2:97">
      <c r="B2094"/>
      <c r="C2094" s="1"/>
      <c r="D2094" s="1"/>
      <c r="E2094" s="1"/>
      <c r="F2094" s="1"/>
      <c r="G2094" s="1"/>
      <c r="H2094" s="1"/>
      <c r="I2094" s="1"/>
      <c r="J2094" s="1"/>
      <c r="K2094" s="1"/>
      <c r="L2094" s="1"/>
      <c r="M2094" s="1"/>
      <c r="N2094" s="1"/>
      <c r="O2094" s="1"/>
      <c r="P2094" s="1"/>
      <c r="Q2094" s="1"/>
      <c r="R2094"/>
      <c r="S2094" s="1"/>
      <c r="T2094" s="24"/>
      <c r="U2094"/>
      <c r="V2094" s="1"/>
      <c r="W2094" s="24"/>
      <c r="X2094"/>
      <c r="Y2094" s="1"/>
      <c r="Z2094" s="24"/>
      <c r="AA2094"/>
      <c r="AB2094" s="1"/>
      <c r="AC2094" s="24"/>
      <c r="AD2094"/>
      <c r="AE2094"/>
      <c r="AF2094"/>
      <c r="AG2094"/>
      <c r="AH2094"/>
      <c r="AI2094"/>
      <c r="AJ2094"/>
      <c r="AK2094"/>
      <c r="AL2094"/>
      <c r="AM2094"/>
      <c r="AN2094"/>
      <c r="AO2094"/>
      <c r="AP2094"/>
      <c r="AQ2094"/>
      <c r="AR2094"/>
      <c r="AS2094"/>
      <c r="AT2094"/>
      <c r="AU2094"/>
      <c r="AV2094"/>
      <c r="AW2094"/>
      <c r="AX2094"/>
      <c r="AY2094"/>
      <c r="AZ2094"/>
      <c r="BA2094"/>
      <c r="BB2094"/>
      <c r="BC2094"/>
      <c r="BD2094"/>
      <c r="BE2094"/>
      <c r="BF2094"/>
      <c r="BG2094"/>
      <c r="BH2094"/>
      <c r="BI2094"/>
      <c r="BJ2094"/>
      <c r="BK2094"/>
      <c r="BL2094"/>
      <c r="BM2094"/>
      <c r="BN2094"/>
      <c r="BO2094"/>
      <c r="BP2094"/>
      <c r="BQ2094"/>
      <c r="BR2094"/>
      <c r="BS2094"/>
      <c r="BT2094"/>
      <c r="BU2094"/>
      <c r="BV2094"/>
      <c r="BW2094"/>
      <c r="BX2094"/>
      <c r="BY2094"/>
      <c r="BZ2094"/>
      <c r="CA2094"/>
      <c r="CB2094"/>
      <c r="CC2094"/>
      <c r="CD2094"/>
      <c r="CE2094"/>
      <c r="CF2094"/>
      <c r="CG2094"/>
      <c r="CH2094"/>
      <c r="CI2094"/>
      <c r="CJ2094"/>
      <c r="CK2094"/>
      <c r="CL2094"/>
      <c r="CM2094"/>
      <c r="CN2094"/>
      <c r="CO2094"/>
      <c r="CP2094"/>
      <c r="CQ2094"/>
      <c r="CR2094"/>
      <c r="CS2094"/>
    </row>
    <row r="2095" spans="2:97">
      <c r="B2095"/>
      <c r="C2095" s="1"/>
      <c r="D2095" s="1"/>
      <c r="E2095" s="1"/>
      <c r="F2095" s="1"/>
      <c r="G2095" s="1"/>
      <c r="H2095" s="1"/>
      <c r="I2095" s="1"/>
      <c r="J2095" s="1"/>
      <c r="K2095" s="1"/>
      <c r="L2095" s="1"/>
      <c r="M2095" s="1"/>
      <c r="N2095" s="1"/>
      <c r="O2095" s="1"/>
      <c r="P2095" s="1"/>
      <c r="Q2095" s="1"/>
      <c r="R2095"/>
      <c r="S2095" s="1"/>
      <c r="T2095" s="24"/>
      <c r="U2095"/>
      <c r="V2095" s="1"/>
      <c r="W2095" s="24"/>
      <c r="X2095"/>
      <c r="Y2095" s="1"/>
      <c r="Z2095" s="24"/>
      <c r="AA2095"/>
      <c r="AB2095" s="1"/>
      <c r="AC2095" s="24"/>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c r="BM2095"/>
      <c r="BN2095"/>
      <c r="BO2095"/>
      <c r="BP2095"/>
      <c r="BQ2095"/>
      <c r="BR2095"/>
      <c r="BS2095"/>
      <c r="BT2095"/>
      <c r="BU2095"/>
      <c r="BV2095"/>
      <c r="BW2095"/>
      <c r="BX2095"/>
      <c r="BY2095"/>
      <c r="BZ2095"/>
      <c r="CA2095"/>
      <c r="CB2095"/>
      <c r="CC2095"/>
      <c r="CD2095"/>
      <c r="CE2095"/>
      <c r="CF2095"/>
      <c r="CG2095"/>
      <c r="CH2095"/>
      <c r="CI2095"/>
      <c r="CJ2095"/>
      <c r="CK2095"/>
      <c r="CL2095"/>
      <c r="CM2095"/>
      <c r="CN2095"/>
      <c r="CO2095"/>
      <c r="CP2095"/>
      <c r="CQ2095"/>
      <c r="CR2095"/>
      <c r="CS2095"/>
    </row>
    <row r="2096" spans="2:97">
      <c r="B2096"/>
      <c r="C2096" s="1"/>
      <c r="D2096" s="1"/>
      <c r="E2096" s="1"/>
      <c r="F2096" s="1"/>
      <c r="G2096" s="1"/>
      <c r="H2096" s="1"/>
      <c r="I2096" s="1"/>
      <c r="J2096" s="1"/>
      <c r="K2096" s="1"/>
      <c r="L2096" s="1"/>
      <c r="M2096" s="1"/>
      <c r="N2096" s="1"/>
      <c r="O2096" s="1"/>
      <c r="P2096" s="1"/>
      <c r="Q2096" s="1"/>
      <c r="R2096"/>
      <c r="S2096" s="1"/>
      <c r="T2096" s="24"/>
      <c r="U2096"/>
      <c r="V2096" s="1"/>
      <c r="W2096" s="24"/>
      <c r="X2096"/>
      <c r="Y2096" s="1"/>
      <c r="Z2096" s="24"/>
      <c r="AA2096"/>
      <c r="AB2096" s="1"/>
      <c r="AC2096" s="24"/>
      <c r="AD2096"/>
      <c r="AE2096"/>
      <c r="AF2096"/>
      <c r="AG2096"/>
      <c r="AH2096"/>
      <c r="AI2096"/>
      <c r="AJ2096"/>
      <c r="AK2096"/>
      <c r="AL2096"/>
      <c r="AM2096"/>
      <c r="AN2096"/>
      <c r="AO2096"/>
      <c r="AP2096"/>
      <c r="AQ2096"/>
      <c r="AR2096"/>
      <c r="AS2096"/>
      <c r="AT2096"/>
      <c r="AU2096"/>
      <c r="AV2096"/>
      <c r="AW2096"/>
      <c r="AX2096"/>
      <c r="AY2096"/>
      <c r="AZ2096"/>
      <c r="BA2096"/>
      <c r="BB2096"/>
      <c r="BC2096"/>
      <c r="BD2096"/>
      <c r="BE2096"/>
      <c r="BF2096"/>
      <c r="BG2096"/>
      <c r="BH2096"/>
      <c r="BI2096"/>
      <c r="BJ2096"/>
      <c r="BK2096"/>
      <c r="BL2096"/>
      <c r="BM2096"/>
      <c r="BN2096"/>
      <c r="BO2096"/>
      <c r="BP2096"/>
      <c r="BQ2096"/>
      <c r="BR2096"/>
      <c r="BS2096"/>
      <c r="BT2096"/>
      <c r="BU2096"/>
      <c r="BV2096"/>
      <c r="BW2096"/>
      <c r="BX2096"/>
      <c r="BY2096"/>
      <c r="BZ2096"/>
      <c r="CA2096"/>
      <c r="CB2096"/>
      <c r="CC2096"/>
      <c r="CD2096"/>
      <c r="CE2096"/>
      <c r="CF2096"/>
      <c r="CG2096"/>
      <c r="CH2096"/>
      <c r="CI2096"/>
      <c r="CJ2096"/>
      <c r="CK2096"/>
      <c r="CL2096"/>
      <c r="CM2096"/>
      <c r="CN2096"/>
      <c r="CO2096"/>
      <c r="CP2096"/>
      <c r="CQ2096"/>
      <c r="CR2096"/>
      <c r="CS2096"/>
    </row>
    <row r="2097" spans="2:97">
      <c r="B2097"/>
      <c r="C2097" s="1"/>
      <c r="D2097" s="1"/>
      <c r="E2097" s="1"/>
      <c r="F2097" s="1"/>
      <c r="G2097" s="1"/>
      <c r="H2097" s="1"/>
      <c r="I2097" s="1"/>
      <c r="J2097" s="1"/>
      <c r="K2097" s="1"/>
      <c r="L2097" s="1"/>
      <c r="M2097" s="1"/>
      <c r="N2097" s="1"/>
      <c r="O2097" s="1"/>
      <c r="P2097" s="1"/>
      <c r="Q2097" s="1"/>
      <c r="R2097"/>
      <c r="S2097" s="1"/>
      <c r="T2097" s="24"/>
      <c r="U2097"/>
      <c r="V2097" s="1"/>
      <c r="W2097" s="24"/>
      <c r="X2097"/>
      <c r="Y2097" s="1"/>
      <c r="Z2097" s="24"/>
      <c r="AA2097"/>
      <c r="AB2097" s="1"/>
      <c r="AC2097" s="24"/>
      <c r="AD2097"/>
      <c r="AE2097"/>
      <c r="AF2097"/>
      <c r="AG2097"/>
      <c r="AH2097"/>
      <c r="AI2097"/>
      <c r="AJ2097"/>
      <c r="AK2097"/>
      <c r="AL2097"/>
      <c r="AM2097"/>
      <c r="AN2097"/>
      <c r="AO2097"/>
      <c r="AP2097"/>
      <c r="AQ2097"/>
      <c r="AR2097"/>
      <c r="AS2097"/>
      <c r="AT2097"/>
      <c r="AU2097"/>
      <c r="AV2097"/>
      <c r="AW2097"/>
      <c r="AX2097"/>
      <c r="AY2097"/>
      <c r="AZ2097"/>
      <c r="BA2097"/>
      <c r="BB2097"/>
      <c r="BC2097"/>
      <c r="BD2097"/>
      <c r="BE2097"/>
      <c r="BF2097"/>
      <c r="BG2097"/>
      <c r="BH2097"/>
      <c r="BI2097"/>
      <c r="BJ2097"/>
      <c r="BK2097"/>
      <c r="BL2097"/>
      <c r="BM2097"/>
      <c r="BN2097"/>
      <c r="BO2097"/>
      <c r="BP2097"/>
      <c r="BQ2097"/>
      <c r="BR2097"/>
      <c r="BS2097"/>
      <c r="BT2097"/>
      <c r="BU2097"/>
      <c r="BV2097"/>
      <c r="BW2097"/>
      <c r="BX2097"/>
      <c r="BY2097"/>
      <c r="BZ2097"/>
      <c r="CA2097"/>
      <c r="CB2097"/>
      <c r="CC2097"/>
      <c r="CD2097"/>
      <c r="CE2097"/>
      <c r="CF2097"/>
      <c r="CG2097"/>
      <c r="CH2097"/>
      <c r="CI2097"/>
      <c r="CJ2097"/>
      <c r="CK2097"/>
      <c r="CL2097"/>
      <c r="CM2097"/>
      <c r="CN2097"/>
      <c r="CO2097"/>
      <c r="CP2097"/>
      <c r="CQ2097"/>
      <c r="CR2097"/>
      <c r="CS2097"/>
    </row>
    <row r="2098" spans="2:97">
      <c r="B2098"/>
      <c r="C2098" s="1"/>
      <c r="D2098" s="1"/>
      <c r="E2098" s="1"/>
      <c r="F2098" s="1"/>
      <c r="G2098" s="1"/>
      <c r="H2098" s="1"/>
      <c r="I2098" s="1"/>
      <c r="J2098" s="1"/>
      <c r="K2098" s="1"/>
      <c r="L2098" s="1"/>
      <c r="M2098" s="1"/>
      <c r="N2098" s="1"/>
      <c r="O2098" s="1"/>
      <c r="P2098" s="1"/>
      <c r="Q2098" s="1"/>
      <c r="R2098"/>
      <c r="S2098" s="1"/>
      <c r="T2098" s="24"/>
      <c r="U2098"/>
      <c r="V2098" s="1"/>
      <c r="W2098" s="24"/>
      <c r="X2098"/>
      <c r="Y2098" s="1"/>
      <c r="Z2098" s="24"/>
      <c r="AA2098"/>
      <c r="AB2098" s="1"/>
      <c r="AC2098" s="24"/>
      <c r="AD2098"/>
      <c r="AE2098"/>
      <c r="AF2098"/>
      <c r="AG2098"/>
      <c r="AH2098"/>
      <c r="AI2098"/>
      <c r="AJ2098"/>
      <c r="AK2098"/>
      <c r="AL2098"/>
      <c r="AM2098"/>
      <c r="AN2098"/>
      <c r="AO2098"/>
      <c r="AP2098"/>
      <c r="AQ2098"/>
      <c r="AR2098"/>
      <c r="AS2098"/>
      <c r="AT2098"/>
      <c r="AU2098"/>
      <c r="AV2098"/>
      <c r="AW2098"/>
      <c r="AX2098"/>
      <c r="AY2098"/>
      <c r="AZ2098"/>
      <c r="BA2098"/>
      <c r="BB2098"/>
      <c r="BC2098"/>
      <c r="BD2098"/>
      <c r="BE2098"/>
      <c r="BF2098"/>
      <c r="BG2098"/>
      <c r="BH2098"/>
      <c r="BI2098"/>
      <c r="BJ2098"/>
      <c r="BK2098"/>
      <c r="BL2098"/>
      <c r="BM2098"/>
      <c r="BN2098"/>
      <c r="BO2098"/>
      <c r="BP2098"/>
      <c r="BQ2098"/>
      <c r="BR2098"/>
      <c r="BS2098"/>
      <c r="BT2098"/>
      <c r="BU2098"/>
      <c r="BV2098"/>
      <c r="BW2098"/>
      <c r="BX2098"/>
      <c r="BY2098"/>
      <c r="BZ2098"/>
      <c r="CA2098"/>
      <c r="CB2098"/>
      <c r="CC2098"/>
      <c r="CD2098"/>
      <c r="CE2098"/>
      <c r="CF2098"/>
      <c r="CG2098"/>
      <c r="CH2098"/>
      <c r="CI2098"/>
      <c r="CJ2098"/>
      <c r="CK2098"/>
      <c r="CL2098"/>
      <c r="CM2098"/>
      <c r="CN2098"/>
      <c r="CO2098"/>
      <c r="CP2098"/>
      <c r="CQ2098"/>
      <c r="CR2098"/>
      <c r="CS2098"/>
    </row>
    <row r="2099" spans="2:97">
      <c r="B2099"/>
      <c r="C2099" s="1"/>
      <c r="D2099" s="1"/>
      <c r="E2099" s="1"/>
      <c r="F2099" s="1"/>
      <c r="G2099" s="1"/>
      <c r="H2099" s="1"/>
      <c r="I2099" s="1"/>
      <c r="J2099" s="1"/>
      <c r="K2099" s="1"/>
      <c r="L2099" s="1"/>
      <c r="M2099" s="1"/>
      <c r="N2099" s="1"/>
      <c r="O2099" s="1"/>
      <c r="P2099" s="1"/>
      <c r="Q2099" s="1"/>
      <c r="R2099"/>
      <c r="S2099" s="1"/>
      <c r="T2099" s="24"/>
      <c r="U2099"/>
      <c r="V2099" s="1"/>
      <c r="W2099" s="24"/>
      <c r="X2099"/>
      <c r="Y2099" s="1"/>
      <c r="Z2099" s="24"/>
      <c r="AA2099"/>
      <c r="AB2099" s="1"/>
      <c r="AC2099" s="24"/>
      <c r="AD2099"/>
      <c r="AE2099"/>
      <c r="AF2099"/>
      <c r="AG2099"/>
      <c r="AH2099"/>
      <c r="AI2099"/>
      <c r="AJ2099"/>
      <c r="AK2099"/>
      <c r="AL2099"/>
      <c r="AM2099"/>
      <c r="AN2099"/>
      <c r="AO2099"/>
      <c r="AP2099"/>
      <c r="AQ2099"/>
      <c r="AR2099"/>
      <c r="AS2099"/>
      <c r="AT2099"/>
      <c r="AU2099"/>
      <c r="AV2099"/>
      <c r="AW2099"/>
      <c r="AX2099"/>
      <c r="AY2099"/>
      <c r="AZ2099"/>
      <c r="BA2099"/>
      <c r="BB2099"/>
      <c r="BC2099"/>
      <c r="BD2099"/>
      <c r="BE2099"/>
      <c r="BF2099"/>
      <c r="BG2099"/>
      <c r="BH2099"/>
      <c r="BI2099"/>
      <c r="BJ2099"/>
      <c r="BK2099"/>
      <c r="BL2099"/>
      <c r="BM2099"/>
      <c r="BN2099"/>
      <c r="BO2099"/>
      <c r="BP2099"/>
      <c r="BQ2099"/>
      <c r="BR2099"/>
      <c r="BS2099"/>
      <c r="BT2099"/>
      <c r="BU2099"/>
      <c r="BV2099"/>
      <c r="BW2099"/>
      <c r="BX2099"/>
      <c r="BY2099"/>
      <c r="BZ2099"/>
      <c r="CA2099"/>
      <c r="CB2099"/>
      <c r="CC2099"/>
      <c r="CD2099"/>
      <c r="CE2099"/>
      <c r="CF2099"/>
      <c r="CG2099"/>
      <c r="CH2099"/>
      <c r="CI2099"/>
      <c r="CJ2099"/>
      <c r="CK2099"/>
      <c r="CL2099"/>
      <c r="CM2099"/>
      <c r="CN2099"/>
      <c r="CO2099"/>
      <c r="CP2099"/>
      <c r="CQ2099"/>
      <c r="CR2099"/>
      <c r="CS2099"/>
    </row>
    <row r="2100" spans="2:97">
      <c r="B2100"/>
      <c r="C2100" s="1"/>
      <c r="D2100" s="1"/>
      <c r="E2100" s="1"/>
      <c r="F2100" s="1"/>
      <c r="G2100" s="1"/>
      <c r="H2100" s="1"/>
      <c r="I2100" s="1"/>
      <c r="J2100" s="1"/>
      <c r="K2100" s="1"/>
      <c r="L2100" s="1"/>
      <c r="M2100" s="1"/>
      <c r="N2100" s="1"/>
      <c r="O2100" s="1"/>
      <c r="P2100" s="1"/>
      <c r="Q2100" s="1"/>
      <c r="R2100"/>
      <c r="S2100" s="1"/>
      <c r="T2100" s="24"/>
      <c r="U2100"/>
      <c r="V2100" s="1"/>
      <c r="W2100" s="24"/>
      <c r="X2100"/>
      <c r="Y2100" s="1"/>
      <c r="Z2100" s="24"/>
      <c r="AA2100"/>
      <c r="AB2100" s="1"/>
      <c r="AC2100" s="24"/>
      <c r="AD2100"/>
      <c r="AE2100"/>
      <c r="AF2100"/>
      <c r="AG2100"/>
      <c r="AH2100"/>
      <c r="AI2100"/>
      <c r="AJ2100"/>
      <c r="AK2100"/>
      <c r="AL2100"/>
      <c r="AM2100"/>
      <c r="AN2100"/>
      <c r="AO2100"/>
      <c r="AP2100"/>
      <c r="AQ2100"/>
      <c r="AR2100"/>
      <c r="AS2100"/>
      <c r="AT2100"/>
      <c r="AU2100"/>
      <c r="AV2100"/>
      <c r="AW2100"/>
      <c r="AX2100"/>
      <c r="AY2100"/>
      <c r="AZ2100"/>
      <c r="BA2100"/>
      <c r="BB2100"/>
      <c r="BC2100"/>
      <c r="BD2100"/>
      <c r="BE2100"/>
      <c r="BF2100"/>
      <c r="BG2100"/>
      <c r="BH2100"/>
      <c r="BI2100"/>
      <c r="BJ2100"/>
      <c r="BK2100"/>
      <c r="BL2100"/>
      <c r="BM2100"/>
      <c r="BN2100"/>
      <c r="BO2100"/>
      <c r="BP2100"/>
      <c r="BQ2100"/>
      <c r="BR2100"/>
      <c r="BS2100"/>
      <c r="BT2100"/>
      <c r="BU2100"/>
      <c r="BV2100"/>
      <c r="BW2100"/>
      <c r="BX2100"/>
      <c r="BY2100"/>
      <c r="BZ2100"/>
      <c r="CA2100"/>
      <c r="CB2100"/>
      <c r="CC2100"/>
      <c r="CD2100"/>
      <c r="CE2100"/>
      <c r="CF2100"/>
      <c r="CG2100"/>
      <c r="CH2100"/>
      <c r="CI2100"/>
      <c r="CJ2100"/>
      <c r="CK2100"/>
      <c r="CL2100"/>
      <c r="CM2100"/>
      <c r="CN2100"/>
      <c r="CO2100"/>
      <c r="CP2100"/>
      <c r="CQ2100"/>
      <c r="CR2100"/>
      <c r="CS2100"/>
    </row>
    <row r="2101" spans="2:97">
      <c r="B2101"/>
      <c r="C2101" s="1"/>
      <c r="D2101" s="1"/>
      <c r="E2101" s="1"/>
      <c r="F2101" s="1"/>
      <c r="G2101" s="1"/>
      <c r="H2101" s="1"/>
      <c r="I2101" s="1"/>
      <c r="J2101" s="1"/>
      <c r="K2101" s="1"/>
      <c r="L2101" s="1"/>
      <c r="M2101" s="1"/>
      <c r="N2101" s="1"/>
      <c r="O2101" s="1"/>
      <c r="P2101" s="1"/>
      <c r="Q2101" s="1"/>
      <c r="R2101"/>
      <c r="S2101" s="1"/>
      <c r="T2101" s="24"/>
      <c r="U2101"/>
      <c r="V2101" s="1"/>
      <c r="W2101" s="24"/>
      <c r="X2101"/>
      <c r="Y2101" s="1"/>
      <c r="Z2101" s="24"/>
      <c r="AA2101"/>
      <c r="AB2101" s="1"/>
      <c r="AC2101" s="24"/>
      <c r="AD2101"/>
      <c r="AE2101"/>
      <c r="AF2101"/>
      <c r="AG2101"/>
      <c r="AH2101"/>
      <c r="AI2101"/>
      <c r="AJ2101"/>
      <c r="AK2101"/>
      <c r="AL2101"/>
      <c r="AM2101"/>
      <c r="AN2101"/>
      <c r="AO2101"/>
      <c r="AP2101"/>
      <c r="AQ2101"/>
      <c r="AR2101"/>
      <c r="AS2101"/>
      <c r="AT2101"/>
      <c r="AU2101"/>
      <c r="AV2101"/>
      <c r="AW2101"/>
      <c r="AX2101"/>
      <c r="AY2101"/>
      <c r="AZ2101"/>
      <c r="BA2101"/>
      <c r="BB2101"/>
      <c r="BC2101"/>
      <c r="BD2101"/>
      <c r="BE2101"/>
      <c r="BF2101"/>
      <c r="BG2101"/>
      <c r="BH2101"/>
      <c r="BI2101"/>
      <c r="BJ2101"/>
      <c r="BK2101"/>
      <c r="BL2101"/>
      <c r="BM2101"/>
      <c r="BN2101"/>
      <c r="BO2101"/>
      <c r="BP2101"/>
      <c r="BQ2101"/>
      <c r="BR2101"/>
      <c r="BS2101"/>
      <c r="BT2101"/>
      <c r="BU2101"/>
      <c r="BV2101"/>
      <c r="BW2101"/>
      <c r="BX2101"/>
      <c r="BY2101"/>
      <c r="BZ2101"/>
      <c r="CA2101"/>
      <c r="CB2101"/>
      <c r="CC2101"/>
      <c r="CD2101"/>
      <c r="CE2101"/>
      <c r="CF2101"/>
      <c r="CG2101"/>
      <c r="CH2101"/>
      <c r="CI2101"/>
      <c r="CJ2101"/>
      <c r="CK2101"/>
      <c r="CL2101"/>
      <c r="CM2101"/>
      <c r="CN2101"/>
      <c r="CO2101"/>
      <c r="CP2101"/>
      <c r="CQ2101"/>
      <c r="CR2101"/>
      <c r="CS2101"/>
    </row>
    <row r="2102" spans="2:97">
      <c r="B2102"/>
      <c r="C2102" s="1"/>
      <c r="D2102" s="1"/>
      <c r="E2102" s="1"/>
      <c r="F2102" s="1"/>
      <c r="G2102" s="1"/>
      <c r="H2102" s="1"/>
      <c r="I2102" s="1"/>
      <c r="J2102" s="1"/>
      <c r="K2102" s="1"/>
      <c r="L2102" s="1"/>
      <c r="M2102" s="1"/>
      <c r="N2102" s="1"/>
      <c r="O2102" s="1"/>
      <c r="P2102" s="1"/>
      <c r="Q2102" s="1"/>
      <c r="R2102"/>
      <c r="S2102" s="1"/>
      <c r="T2102" s="24"/>
      <c r="U2102"/>
      <c r="V2102" s="1"/>
      <c r="W2102" s="24"/>
      <c r="X2102"/>
      <c r="Y2102" s="1"/>
      <c r="Z2102" s="24"/>
      <c r="AA2102"/>
      <c r="AB2102" s="1"/>
      <c r="AC2102" s="24"/>
      <c r="AD2102"/>
      <c r="AE2102"/>
      <c r="AF2102"/>
      <c r="AG2102"/>
      <c r="AH2102"/>
      <c r="AI2102"/>
      <c r="AJ2102"/>
      <c r="AK2102"/>
      <c r="AL2102"/>
      <c r="AM2102"/>
      <c r="AN2102"/>
      <c r="AO2102"/>
      <c r="AP2102"/>
      <c r="AQ2102"/>
      <c r="AR2102"/>
      <c r="AS2102"/>
      <c r="AT2102"/>
      <c r="AU2102"/>
      <c r="AV2102"/>
      <c r="AW2102"/>
      <c r="AX2102"/>
      <c r="AY2102"/>
      <c r="AZ2102"/>
      <c r="BA2102"/>
      <c r="BB2102"/>
      <c r="BC2102"/>
      <c r="BD2102"/>
      <c r="BE2102"/>
      <c r="BF2102"/>
      <c r="BG2102"/>
      <c r="BH2102"/>
      <c r="BI2102"/>
      <c r="BJ2102"/>
      <c r="BK2102"/>
      <c r="BL2102"/>
      <c r="BM2102"/>
      <c r="BN2102"/>
      <c r="BO2102"/>
      <c r="BP2102"/>
      <c r="BQ2102"/>
      <c r="BR2102"/>
      <c r="BS2102"/>
      <c r="BT2102"/>
      <c r="BU2102"/>
      <c r="BV2102"/>
      <c r="BW2102"/>
      <c r="BX2102"/>
      <c r="BY2102"/>
      <c r="BZ2102"/>
      <c r="CA2102"/>
      <c r="CB2102"/>
      <c r="CC2102"/>
      <c r="CD2102"/>
      <c r="CE2102"/>
      <c r="CF2102"/>
      <c r="CG2102"/>
      <c r="CH2102"/>
      <c r="CI2102"/>
      <c r="CJ2102"/>
      <c r="CK2102"/>
      <c r="CL2102"/>
      <c r="CM2102"/>
      <c r="CN2102"/>
      <c r="CO2102"/>
      <c r="CP2102"/>
      <c r="CQ2102"/>
      <c r="CR2102"/>
      <c r="CS2102"/>
    </row>
    <row r="2103" spans="2:97">
      <c r="B2103"/>
      <c r="C2103" s="1"/>
      <c r="D2103" s="1"/>
      <c r="E2103" s="1"/>
      <c r="F2103" s="1"/>
      <c r="G2103" s="1"/>
      <c r="H2103" s="1"/>
      <c r="I2103" s="1"/>
      <c r="J2103" s="1"/>
      <c r="K2103" s="1"/>
      <c r="L2103" s="1"/>
      <c r="M2103" s="1"/>
      <c r="N2103" s="1"/>
      <c r="O2103" s="1"/>
      <c r="P2103" s="1"/>
      <c r="Q2103" s="1"/>
      <c r="R2103"/>
      <c r="S2103" s="1"/>
      <c r="T2103" s="24"/>
      <c r="U2103"/>
      <c r="V2103" s="1"/>
      <c r="W2103" s="24"/>
      <c r="X2103"/>
      <c r="Y2103" s="1"/>
      <c r="Z2103" s="24"/>
      <c r="AA2103"/>
      <c r="AB2103" s="1"/>
      <c r="AC2103" s="24"/>
      <c r="AD2103"/>
      <c r="AE2103"/>
      <c r="AF2103"/>
      <c r="AG2103"/>
      <c r="AH2103"/>
      <c r="AI2103"/>
      <c r="AJ2103"/>
      <c r="AK2103"/>
      <c r="AL2103"/>
      <c r="AM2103"/>
      <c r="AN2103"/>
      <c r="AO2103"/>
      <c r="AP2103"/>
      <c r="AQ2103"/>
      <c r="AR2103"/>
      <c r="AS2103"/>
      <c r="AT2103"/>
      <c r="AU2103"/>
      <c r="AV2103"/>
      <c r="AW2103"/>
      <c r="AX2103"/>
      <c r="AY2103"/>
      <c r="AZ2103"/>
      <c r="BA2103"/>
      <c r="BB2103"/>
      <c r="BC2103"/>
      <c r="BD2103"/>
      <c r="BE2103"/>
      <c r="BF2103"/>
      <c r="BG2103"/>
      <c r="BH2103"/>
      <c r="BI2103"/>
      <c r="BJ2103"/>
      <c r="BK2103"/>
      <c r="BL2103"/>
      <c r="BM2103"/>
      <c r="BN2103"/>
      <c r="BO2103"/>
      <c r="BP2103"/>
      <c r="BQ2103"/>
      <c r="BR2103"/>
      <c r="BS2103"/>
      <c r="BT2103"/>
      <c r="BU2103"/>
      <c r="BV2103"/>
      <c r="BW2103"/>
      <c r="BX2103"/>
      <c r="BY2103"/>
      <c r="BZ2103"/>
      <c r="CA2103"/>
      <c r="CB2103"/>
      <c r="CC2103"/>
      <c r="CD2103"/>
      <c r="CE2103"/>
      <c r="CF2103"/>
      <c r="CG2103"/>
      <c r="CH2103"/>
      <c r="CI2103"/>
      <c r="CJ2103"/>
      <c r="CK2103"/>
      <c r="CL2103"/>
      <c r="CM2103"/>
      <c r="CN2103"/>
      <c r="CO2103"/>
      <c r="CP2103"/>
      <c r="CQ2103"/>
      <c r="CR2103"/>
      <c r="CS2103"/>
    </row>
    <row r="2104" spans="2:97">
      <c r="B2104"/>
      <c r="C2104" s="1"/>
      <c r="D2104" s="1"/>
      <c r="E2104" s="1"/>
      <c r="F2104" s="1"/>
      <c r="G2104" s="1"/>
      <c r="H2104" s="1"/>
      <c r="I2104" s="1"/>
      <c r="J2104" s="1"/>
      <c r="K2104" s="1"/>
      <c r="L2104" s="1"/>
      <c r="M2104" s="1"/>
      <c r="N2104" s="1"/>
      <c r="O2104" s="1"/>
      <c r="P2104" s="1"/>
      <c r="Q2104" s="1"/>
      <c r="R2104"/>
      <c r="S2104" s="1"/>
      <c r="T2104" s="24"/>
      <c r="U2104"/>
      <c r="V2104" s="1"/>
      <c r="W2104" s="24"/>
      <c r="X2104"/>
      <c r="Y2104" s="1"/>
      <c r="Z2104" s="24"/>
      <c r="AA2104"/>
      <c r="AB2104" s="1"/>
      <c r="AC2104" s="24"/>
      <c r="AD2104"/>
      <c r="AE2104"/>
      <c r="AF2104"/>
      <c r="AG2104"/>
      <c r="AH2104"/>
      <c r="AI2104"/>
      <c r="AJ2104"/>
      <c r="AK2104"/>
      <c r="AL2104"/>
      <c r="AM2104"/>
      <c r="AN2104"/>
      <c r="AO2104"/>
      <c r="AP2104"/>
      <c r="AQ2104"/>
      <c r="AR2104"/>
      <c r="AS2104"/>
      <c r="AT2104"/>
      <c r="AU2104"/>
      <c r="AV2104"/>
      <c r="AW2104"/>
      <c r="AX2104"/>
      <c r="AY2104"/>
      <c r="AZ2104"/>
      <c r="BA2104"/>
      <c r="BB2104"/>
      <c r="BC2104"/>
      <c r="BD2104"/>
      <c r="BE2104"/>
      <c r="BF2104"/>
      <c r="BG2104"/>
      <c r="BH2104"/>
      <c r="BI2104"/>
      <c r="BJ2104"/>
      <c r="BK2104"/>
      <c r="BL2104"/>
      <c r="BM2104"/>
      <c r="BN2104"/>
      <c r="BO2104"/>
      <c r="BP2104"/>
      <c r="BQ2104"/>
      <c r="BR2104"/>
      <c r="BS2104"/>
      <c r="BT2104"/>
      <c r="BU2104"/>
      <c r="BV2104"/>
      <c r="BW2104"/>
      <c r="BX2104"/>
      <c r="BY2104"/>
      <c r="BZ2104"/>
      <c r="CA2104"/>
      <c r="CB2104"/>
      <c r="CC2104"/>
      <c r="CD2104"/>
      <c r="CE2104"/>
      <c r="CF2104"/>
      <c r="CG2104"/>
      <c r="CH2104"/>
      <c r="CI2104"/>
      <c r="CJ2104"/>
      <c r="CK2104"/>
      <c r="CL2104"/>
      <c r="CM2104"/>
      <c r="CN2104"/>
      <c r="CO2104"/>
      <c r="CP2104"/>
      <c r="CQ2104"/>
      <c r="CR2104"/>
      <c r="CS2104"/>
    </row>
    <row r="2105" spans="2:97">
      <c r="B2105"/>
      <c r="C2105" s="1"/>
      <c r="D2105" s="1"/>
      <c r="E2105" s="1"/>
      <c r="F2105" s="1"/>
      <c r="G2105" s="1"/>
      <c r="H2105" s="1"/>
      <c r="I2105" s="1"/>
      <c r="J2105" s="1"/>
      <c r="K2105" s="1"/>
      <c r="L2105" s="1"/>
      <c r="M2105" s="1"/>
      <c r="N2105" s="1"/>
      <c r="O2105" s="1"/>
      <c r="P2105" s="1"/>
      <c r="Q2105" s="1"/>
      <c r="R2105"/>
      <c r="S2105" s="1"/>
      <c r="T2105" s="24"/>
      <c r="U2105"/>
      <c r="V2105" s="1"/>
      <c r="W2105" s="24"/>
      <c r="X2105"/>
      <c r="Y2105" s="1"/>
      <c r="Z2105" s="24"/>
      <c r="AA2105"/>
      <c r="AB2105" s="1"/>
      <c r="AC2105" s="24"/>
      <c r="AD2105"/>
      <c r="AE2105"/>
      <c r="AF2105"/>
      <c r="AG2105"/>
      <c r="AH2105"/>
      <c r="AI2105"/>
      <c r="AJ2105"/>
      <c r="AK2105"/>
      <c r="AL2105"/>
      <c r="AM2105"/>
      <c r="AN2105"/>
      <c r="AO2105"/>
      <c r="AP2105"/>
      <c r="AQ2105"/>
      <c r="AR2105"/>
      <c r="AS2105"/>
      <c r="AT2105"/>
      <c r="AU2105"/>
      <c r="AV2105"/>
      <c r="AW2105"/>
      <c r="AX2105"/>
      <c r="AY2105"/>
      <c r="AZ2105"/>
      <c r="BA2105"/>
      <c r="BB2105"/>
      <c r="BC2105"/>
      <c r="BD2105"/>
      <c r="BE2105"/>
      <c r="BF2105"/>
      <c r="BG2105"/>
      <c r="BH2105"/>
      <c r="BI2105"/>
      <c r="BJ2105"/>
      <c r="BK2105"/>
      <c r="BL2105"/>
      <c r="BM2105"/>
      <c r="BN2105"/>
      <c r="BO2105"/>
      <c r="BP2105"/>
      <c r="BQ2105"/>
      <c r="BR2105"/>
      <c r="BS2105"/>
      <c r="BT2105"/>
      <c r="BU2105"/>
      <c r="BV2105"/>
      <c r="BW2105"/>
      <c r="BX2105"/>
      <c r="BY2105"/>
      <c r="BZ2105"/>
      <c r="CA2105"/>
      <c r="CB2105"/>
      <c r="CC2105"/>
      <c r="CD2105"/>
      <c r="CE2105"/>
      <c r="CF2105"/>
      <c r="CG2105"/>
      <c r="CH2105"/>
      <c r="CI2105"/>
      <c r="CJ2105"/>
      <c r="CK2105"/>
      <c r="CL2105"/>
      <c r="CM2105"/>
      <c r="CN2105"/>
      <c r="CO2105"/>
      <c r="CP2105"/>
      <c r="CQ2105"/>
      <c r="CR2105"/>
      <c r="CS2105"/>
    </row>
    <row r="2106" spans="2:97">
      <c r="B2106"/>
      <c r="C2106" s="1"/>
      <c r="D2106" s="1"/>
      <c r="E2106" s="1"/>
      <c r="F2106" s="1"/>
      <c r="G2106" s="1"/>
      <c r="H2106" s="1"/>
      <c r="I2106" s="1"/>
      <c r="J2106" s="1"/>
      <c r="K2106" s="1"/>
      <c r="L2106" s="1"/>
      <c r="M2106" s="1"/>
      <c r="N2106" s="1"/>
      <c r="O2106" s="1"/>
      <c r="P2106" s="1"/>
      <c r="Q2106" s="1"/>
      <c r="R2106"/>
      <c r="S2106" s="1"/>
      <c r="T2106" s="24"/>
      <c r="U2106"/>
      <c r="V2106" s="1"/>
      <c r="W2106" s="24"/>
      <c r="X2106"/>
      <c r="Y2106" s="1"/>
      <c r="Z2106" s="24"/>
      <c r="AA2106"/>
      <c r="AB2106" s="1"/>
      <c r="AC2106" s="24"/>
      <c r="AD2106"/>
      <c r="AE2106"/>
      <c r="AF2106"/>
      <c r="AG2106"/>
      <c r="AH2106"/>
      <c r="AI2106"/>
      <c r="AJ2106"/>
      <c r="AK2106"/>
      <c r="AL2106"/>
      <c r="AM2106"/>
      <c r="AN2106"/>
      <c r="AO2106"/>
      <c r="AP2106"/>
      <c r="AQ2106"/>
      <c r="AR2106"/>
      <c r="AS2106"/>
      <c r="AT2106"/>
      <c r="AU2106"/>
      <c r="AV2106"/>
      <c r="AW2106"/>
      <c r="AX2106"/>
      <c r="AY2106"/>
      <c r="AZ2106"/>
      <c r="BA2106"/>
      <c r="BB2106"/>
      <c r="BC2106"/>
      <c r="BD2106"/>
      <c r="BE2106"/>
      <c r="BF2106"/>
      <c r="BG2106"/>
      <c r="BH2106"/>
      <c r="BI2106"/>
      <c r="BJ2106"/>
      <c r="BK2106"/>
      <c r="BL2106"/>
      <c r="BM2106"/>
      <c r="BN2106"/>
      <c r="BO2106"/>
      <c r="BP2106"/>
      <c r="BQ2106"/>
      <c r="BR2106"/>
      <c r="BS2106"/>
      <c r="BT2106"/>
      <c r="BU2106"/>
      <c r="BV2106"/>
      <c r="BW2106"/>
      <c r="BX2106"/>
      <c r="BY2106"/>
      <c r="BZ2106"/>
      <c r="CA2106"/>
      <c r="CB2106"/>
      <c r="CC2106"/>
      <c r="CD2106"/>
      <c r="CE2106"/>
      <c r="CF2106"/>
      <c r="CG2106"/>
      <c r="CH2106"/>
      <c r="CI2106"/>
      <c r="CJ2106"/>
      <c r="CK2106"/>
      <c r="CL2106"/>
      <c r="CM2106"/>
      <c r="CN2106"/>
      <c r="CO2106"/>
      <c r="CP2106"/>
      <c r="CQ2106"/>
      <c r="CR2106"/>
      <c r="CS2106"/>
    </row>
    <row r="2107" spans="2:97">
      <c r="B2107"/>
      <c r="C2107" s="1"/>
      <c r="D2107" s="1"/>
      <c r="E2107" s="1"/>
      <c r="F2107" s="1"/>
      <c r="G2107" s="1"/>
      <c r="H2107" s="1"/>
      <c r="I2107" s="1"/>
      <c r="J2107" s="1"/>
      <c r="K2107" s="1"/>
      <c r="L2107" s="1"/>
      <c r="M2107" s="1"/>
      <c r="N2107" s="1"/>
      <c r="O2107" s="1"/>
      <c r="P2107" s="1"/>
      <c r="Q2107" s="1"/>
      <c r="R2107"/>
      <c r="S2107" s="1"/>
      <c r="T2107" s="24"/>
      <c r="U2107"/>
      <c r="V2107" s="1"/>
      <c r="W2107" s="24"/>
      <c r="X2107"/>
      <c r="Y2107" s="1"/>
      <c r="Z2107" s="24"/>
      <c r="AA2107"/>
      <c r="AB2107" s="1"/>
      <c r="AC2107" s="24"/>
      <c r="AD2107"/>
      <c r="AE2107"/>
      <c r="AF2107"/>
      <c r="AG2107"/>
      <c r="AH2107"/>
      <c r="AI2107"/>
      <c r="AJ2107"/>
      <c r="AK2107"/>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c r="BP2107"/>
      <c r="BQ2107"/>
      <c r="BR2107"/>
      <c r="BS2107"/>
      <c r="BT2107"/>
      <c r="BU2107"/>
      <c r="BV2107"/>
      <c r="BW2107"/>
      <c r="BX2107"/>
      <c r="BY2107"/>
      <c r="BZ2107"/>
      <c r="CA2107"/>
      <c r="CB2107"/>
      <c r="CC2107"/>
      <c r="CD2107"/>
      <c r="CE2107"/>
      <c r="CF2107"/>
      <c r="CG2107"/>
      <c r="CH2107"/>
      <c r="CI2107"/>
      <c r="CJ2107"/>
      <c r="CK2107"/>
      <c r="CL2107"/>
      <c r="CM2107"/>
      <c r="CN2107"/>
      <c r="CO2107"/>
      <c r="CP2107"/>
      <c r="CQ2107"/>
      <c r="CR2107"/>
      <c r="CS2107"/>
    </row>
    <row r="2108" spans="2:97">
      <c r="B2108"/>
      <c r="C2108" s="1"/>
      <c r="D2108" s="1"/>
      <c r="E2108" s="1"/>
      <c r="F2108" s="1"/>
      <c r="G2108" s="1"/>
      <c r="H2108" s="1"/>
      <c r="I2108" s="1"/>
      <c r="J2108" s="1"/>
      <c r="K2108" s="1"/>
      <c r="L2108" s="1"/>
      <c r="M2108" s="1"/>
      <c r="N2108" s="1"/>
      <c r="O2108" s="1"/>
      <c r="P2108" s="1"/>
      <c r="Q2108" s="1"/>
      <c r="R2108"/>
      <c r="S2108" s="1"/>
      <c r="T2108" s="24"/>
      <c r="U2108"/>
      <c r="V2108" s="1"/>
      <c r="W2108" s="24"/>
      <c r="X2108"/>
      <c r="Y2108" s="1"/>
      <c r="Z2108" s="24"/>
      <c r="AA2108"/>
      <c r="AB2108" s="1"/>
      <c r="AC2108" s="24"/>
      <c r="AD2108"/>
      <c r="AE2108"/>
      <c r="AF2108"/>
      <c r="AG2108"/>
      <c r="AH2108"/>
      <c r="AI2108"/>
      <c r="AJ2108"/>
      <c r="AK2108"/>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c r="BP2108"/>
      <c r="BQ2108"/>
      <c r="BR2108"/>
      <c r="BS2108"/>
      <c r="BT2108"/>
      <c r="BU2108"/>
      <c r="BV2108"/>
      <c r="BW2108"/>
      <c r="BX2108"/>
      <c r="BY2108"/>
      <c r="BZ2108"/>
      <c r="CA2108"/>
      <c r="CB2108"/>
      <c r="CC2108"/>
      <c r="CD2108"/>
      <c r="CE2108"/>
      <c r="CF2108"/>
      <c r="CG2108"/>
      <c r="CH2108"/>
      <c r="CI2108"/>
      <c r="CJ2108"/>
      <c r="CK2108"/>
      <c r="CL2108"/>
      <c r="CM2108"/>
      <c r="CN2108"/>
      <c r="CO2108"/>
      <c r="CP2108"/>
      <c r="CQ2108"/>
      <c r="CR2108"/>
      <c r="CS2108"/>
    </row>
    <row r="2109" spans="2:97">
      <c r="B2109"/>
      <c r="C2109" s="1"/>
      <c r="D2109" s="1"/>
      <c r="E2109" s="1"/>
      <c r="F2109" s="1"/>
      <c r="G2109" s="1"/>
      <c r="H2109" s="1"/>
      <c r="I2109" s="1"/>
      <c r="J2109" s="1"/>
      <c r="K2109" s="1"/>
      <c r="L2109" s="1"/>
      <c r="M2109" s="1"/>
      <c r="N2109" s="1"/>
      <c r="O2109" s="1"/>
      <c r="P2109" s="1"/>
      <c r="Q2109" s="1"/>
      <c r="R2109"/>
      <c r="S2109" s="1"/>
      <c r="T2109" s="24"/>
      <c r="U2109"/>
      <c r="V2109" s="1"/>
      <c r="W2109" s="24"/>
      <c r="X2109"/>
      <c r="Y2109" s="1"/>
      <c r="Z2109" s="24"/>
      <c r="AA2109"/>
      <c r="AB2109" s="1"/>
      <c r="AC2109" s="24"/>
      <c r="AD2109"/>
      <c r="AE2109"/>
      <c r="AF2109"/>
      <c r="AG2109"/>
      <c r="AH2109"/>
      <c r="AI2109"/>
      <c r="AJ2109"/>
      <c r="AK2109"/>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c r="BP2109"/>
      <c r="BQ2109"/>
      <c r="BR2109"/>
      <c r="BS2109"/>
      <c r="BT2109"/>
      <c r="BU2109"/>
      <c r="BV2109"/>
      <c r="BW2109"/>
      <c r="BX2109"/>
      <c r="BY2109"/>
      <c r="BZ2109"/>
      <c r="CA2109"/>
      <c r="CB2109"/>
      <c r="CC2109"/>
      <c r="CD2109"/>
      <c r="CE2109"/>
      <c r="CF2109"/>
      <c r="CG2109"/>
      <c r="CH2109"/>
      <c r="CI2109"/>
      <c r="CJ2109"/>
      <c r="CK2109"/>
      <c r="CL2109"/>
      <c r="CM2109"/>
      <c r="CN2109"/>
      <c r="CO2109"/>
      <c r="CP2109"/>
      <c r="CQ2109"/>
      <c r="CR2109"/>
      <c r="CS2109"/>
    </row>
    <row r="2110" spans="2:97">
      <c r="B2110"/>
      <c r="C2110" s="1"/>
      <c r="D2110" s="1"/>
      <c r="E2110" s="1"/>
      <c r="F2110" s="1"/>
      <c r="G2110" s="1"/>
      <c r="H2110" s="1"/>
      <c r="I2110" s="1"/>
      <c r="J2110" s="1"/>
      <c r="K2110" s="1"/>
      <c r="L2110" s="1"/>
      <c r="M2110" s="1"/>
      <c r="N2110" s="1"/>
      <c r="O2110" s="1"/>
      <c r="P2110" s="1"/>
      <c r="Q2110" s="1"/>
      <c r="R2110"/>
      <c r="S2110" s="1"/>
      <c r="T2110" s="24"/>
      <c r="U2110"/>
      <c r="V2110" s="1"/>
      <c r="W2110" s="24"/>
      <c r="X2110"/>
      <c r="Y2110" s="1"/>
      <c r="Z2110" s="24"/>
      <c r="AA2110"/>
      <c r="AB2110" s="1"/>
      <c r="AC2110" s="24"/>
      <c r="AD2110"/>
      <c r="AE2110"/>
      <c r="AF2110"/>
      <c r="AG2110"/>
      <c r="AH2110"/>
      <c r="AI2110"/>
      <c r="AJ2110"/>
      <c r="AK2110"/>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c r="BN2110"/>
      <c r="BO2110"/>
      <c r="BP2110"/>
      <c r="BQ2110"/>
      <c r="BR2110"/>
      <c r="BS2110"/>
      <c r="BT2110"/>
      <c r="BU2110"/>
      <c r="BV2110"/>
      <c r="BW2110"/>
      <c r="BX2110"/>
      <c r="BY2110"/>
      <c r="BZ2110"/>
      <c r="CA2110"/>
      <c r="CB2110"/>
      <c r="CC2110"/>
      <c r="CD2110"/>
      <c r="CE2110"/>
      <c r="CF2110"/>
      <c r="CG2110"/>
      <c r="CH2110"/>
      <c r="CI2110"/>
      <c r="CJ2110"/>
      <c r="CK2110"/>
      <c r="CL2110"/>
      <c r="CM2110"/>
      <c r="CN2110"/>
      <c r="CO2110"/>
      <c r="CP2110"/>
      <c r="CQ2110"/>
      <c r="CR2110"/>
      <c r="CS2110"/>
    </row>
    <row r="2111" spans="2:97">
      <c r="B2111"/>
      <c r="C2111" s="1"/>
      <c r="D2111" s="1"/>
      <c r="E2111" s="1"/>
      <c r="F2111" s="1"/>
      <c r="G2111" s="1"/>
      <c r="H2111" s="1"/>
      <c r="I2111" s="1"/>
      <c r="J2111" s="1"/>
      <c r="K2111" s="1"/>
      <c r="L2111" s="1"/>
      <c r="M2111" s="1"/>
      <c r="N2111" s="1"/>
      <c r="O2111" s="1"/>
      <c r="P2111" s="1"/>
      <c r="Q2111" s="1"/>
      <c r="R2111"/>
      <c r="S2111" s="1"/>
      <c r="T2111" s="24"/>
      <c r="U2111"/>
      <c r="V2111" s="1"/>
      <c r="W2111" s="24"/>
      <c r="X2111"/>
      <c r="Y2111" s="1"/>
      <c r="Z2111" s="24"/>
      <c r="AA2111"/>
      <c r="AB2111" s="1"/>
      <c r="AC2111" s="24"/>
      <c r="AD2111"/>
      <c r="AE2111"/>
      <c r="AF2111"/>
      <c r="AG2111"/>
      <c r="AH2111"/>
      <c r="AI2111"/>
      <c r="AJ2111"/>
      <c r="AK2111"/>
      <c r="AL2111"/>
      <c r="AM2111"/>
      <c r="AN2111"/>
      <c r="AO2111"/>
      <c r="AP2111"/>
      <c r="AQ2111"/>
      <c r="AR2111"/>
      <c r="AS2111"/>
      <c r="AT2111"/>
      <c r="AU2111"/>
      <c r="AV2111"/>
      <c r="AW2111"/>
      <c r="AX2111"/>
      <c r="AY2111"/>
      <c r="AZ2111"/>
      <c r="BA2111"/>
      <c r="BB2111"/>
      <c r="BC2111"/>
      <c r="BD2111"/>
      <c r="BE2111"/>
      <c r="BF2111"/>
      <c r="BG2111"/>
      <c r="BH2111"/>
      <c r="BI2111"/>
      <c r="BJ2111"/>
      <c r="BK2111"/>
      <c r="BL2111"/>
      <c r="BM2111"/>
      <c r="BN2111"/>
      <c r="BO2111"/>
      <c r="BP2111"/>
      <c r="BQ2111"/>
      <c r="BR2111"/>
      <c r="BS2111"/>
      <c r="BT2111"/>
      <c r="BU2111"/>
      <c r="BV2111"/>
      <c r="BW2111"/>
      <c r="BX2111"/>
      <c r="BY2111"/>
      <c r="BZ2111"/>
      <c r="CA2111"/>
      <c r="CB2111"/>
      <c r="CC2111"/>
      <c r="CD2111"/>
      <c r="CE2111"/>
      <c r="CF2111"/>
      <c r="CG2111"/>
      <c r="CH2111"/>
      <c r="CI2111"/>
      <c r="CJ2111"/>
      <c r="CK2111"/>
      <c r="CL2111"/>
      <c r="CM2111"/>
      <c r="CN2111"/>
      <c r="CO2111"/>
      <c r="CP2111"/>
      <c r="CQ2111"/>
      <c r="CR2111"/>
      <c r="CS2111"/>
    </row>
    <row r="2112" spans="2:97">
      <c r="B2112"/>
      <c r="C2112" s="1"/>
      <c r="D2112" s="1"/>
      <c r="E2112" s="1"/>
      <c r="F2112" s="1"/>
      <c r="G2112" s="1"/>
      <c r="H2112" s="1"/>
      <c r="I2112" s="1"/>
      <c r="J2112" s="1"/>
      <c r="K2112" s="1"/>
      <c r="L2112" s="1"/>
      <c r="M2112" s="1"/>
      <c r="N2112" s="1"/>
      <c r="O2112" s="1"/>
      <c r="P2112" s="1"/>
      <c r="Q2112" s="1"/>
      <c r="R2112"/>
      <c r="S2112" s="1"/>
      <c r="T2112" s="24"/>
      <c r="U2112"/>
      <c r="V2112" s="1"/>
      <c r="W2112" s="24"/>
      <c r="X2112"/>
      <c r="Y2112" s="1"/>
      <c r="Z2112" s="24"/>
      <c r="AA2112"/>
      <c r="AB2112" s="1"/>
      <c r="AC2112" s="24"/>
      <c r="AD2112"/>
      <c r="AE2112"/>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c r="CA2112"/>
      <c r="CB2112"/>
      <c r="CC2112"/>
      <c r="CD2112"/>
      <c r="CE2112"/>
      <c r="CF2112"/>
      <c r="CG2112"/>
      <c r="CH2112"/>
      <c r="CI2112"/>
      <c r="CJ2112"/>
      <c r="CK2112"/>
      <c r="CL2112"/>
      <c r="CM2112"/>
      <c r="CN2112"/>
      <c r="CO2112"/>
      <c r="CP2112"/>
      <c r="CQ2112"/>
      <c r="CR2112"/>
      <c r="CS2112"/>
    </row>
    <row r="2113" spans="2:97">
      <c r="B2113"/>
      <c r="C2113" s="1"/>
      <c r="D2113" s="1"/>
      <c r="E2113" s="1"/>
      <c r="F2113" s="1"/>
      <c r="G2113" s="1"/>
      <c r="H2113" s="1"/>
      <c r="I2113" s="1"/>
      <c r="J2113" s="1"/>
      <c r="K2113" s="1"/>
      <c r="L2113" s="1"/>
      <c r="M2113" s="1"/>
      <c r="N2113" s="1"/>
      <c r="O2113" s="1"/>
      <c r="P2113" s="1"/>
      <c r="Q2113" s="1"/>
      <c r="R2113"/>
      <c r="S2113" s="1"/>
      <c r="T2113" s="24"/>
      <c r="U2113"/>
      <c r="V2113" s="1"/>
      <c r="W2113" s="24"/>
      <c r="X2113"/>
      <c r="Y2113" s="1"/>
      <c r="Z2113" s="24"/>
      <c r="AA2113"/>
      <c r="AB2113" s="1"/>
      <c r="AC2113" s="24"/>
      <c r="AD2113"/>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c r="BN2113"/>
      <c r="BO2113"/>
      <c r="BP2113"/>
      <c r="BQ2113"/>
      <c r="BR2113"/>
      <c r="BS2113"/>
      <c r="BT2113"/>
      <c r="BU2113"/>
      <c r="BV2113"/>
      <c r="BW2113"/>
      <c r="BX2113"/>
      <c r="BY2113"/>
      <c r="BZ2113"/>
      <c r="CA2113"/>
      <c r="CB2113"/>
      <c r="CC2113"/>
      <c r="CD2113"/>
      <c r="CE2113"/>
      <c r="CF2113"/>
      <c r="CG2113"/>
      <c r="CH2113"/>
      <c r="CI2113"/>
      <c r="CJ2113"/>
      <c r="CK2113"/>
      <c r="CL2113"/>
      <c r="CM2113"/>
      <c r="CN2113"/>
      <c r="CO2113"/>
      <c r="CP2113"/>
      <c r="CQ2113"/>
      <c r="CR2113"/>
      <c r="CS2113"/>
    </row>
    <row r="2114" spans="2:97">
      <c r="B2114"/>
      <c r="C2114" s="1"/>
      <c r="D2114" s="1"/>
      <c r="E2114" s="1"/>
      <c r="F2114" s="1"/>
      <c r="G2114" s="1"/>
      <c r="H2114" s="1"/>
      <c r="I2114" s="1"/>
      <c r="J2114" s="1"/>
      <c r="K2114" s="1"/>
      <c r="L2114" s="1"/>
      <c r="M2114" s="1"/>
      <c r="N2114" s="1"/>
      <c r="O2114" s="1"/>
      <c r="P2114" s="1"/>
      <c r="Q2114" s="1"/>
      <c r="R2114"/>
      <c r="S2114" s="1"/>
      <c r="T2114" s="24"/>
      <c r="U2114"/>
      <c r="V2114" s="1"/>
      <c r="W2114" s="24"/>
      <c r="X2114"/>
      <c r="Y2114" s="1"/>
      <c r="Z2114" s="24"/>
      <c r="AA2114"/>
      <c r="AB2114" s="1"/>
      <c r="AC2114" s="24"/>
      <c r="AD2114"/>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c r="BI2114"/>
      <c r="BJ2114"/>
      <c r="BK2114"/>
      <c r="BL2114"/>
      <c r="BM2114"/>
      <c r="BN2114"/>
      <c r="BO2114"/>
      <c r="BP2114"/>
      <c r="BQ2114"/>
      <c r="BR2114"/>
      <c r="BS2114"/>
      <c r="BT2114"/>
      <c r="BU2114"/>
      <c r="BV2114"/>
      <c r="BW2114"/>
      <c r="BX2114"/>
      <c r="BY2114"/>
      <c r="BZ2114"/>
      <c r="CA2114"/>
      <c r="CB2114"/>
      <c r="CC2114"/>
      <c r="CD2114"/>
      <c r="CE2114"/>
      <c r="CF2114"/>
      <c r="CG2114"/>
      <c r="CH2114"/>
      <c r="CI2114"/>
      <c r="CJ2114"/>
      <c r="CK2114"/>
      <c r="CL2114"/>
      <c r="CM2114"/>
      <c r="CN2114"/>
      <c r="CO2114"/>
      <c r="CP2114"/>
      <c r="CQ2114"/>
      <c r="CR2114"/>
      <c r="CS2114"/>
    </row>
    <row r="2115" spans="2:97">
      <c r="B2115"/>
      <c r="C2115" s="1"/>
      <c r="D2115" s="1"/>
      <c r="E2115" s="1"/>
      <c r="F2115" s="1"/>
      <c r="G2115" s="1"/>
      <c r="H2115" s="1"/>
      <c r="I2115" s="1"/>
      <c r="J2115" s="1"/>
      <c r="K2115" s="1"/>
      <c r="L2115" s="1"/>
      <c r="M2115" s="1"/>
      <c r="N2115" s="1"/>
      <c r="O2115" s="1"/>
      <c r="P2115" s="1"/>
      <c r="Q2115" s="1"/>
      <c r="R2115"/>
      <c r="S2115" s="1"/>
      <c r="T2115" s="24"/>
      <c r="U2115"/>
      <c r="V2115" s="1"/>
      <c r="W2115" s="24"/>
      <c r="X2115"/>
      <c r="Y2115" s="1"/>
      <c r="Z2115" s="24"/>
      <c r="AA2115"/>
      <c r="AB2115" s="1"/>
      <c r="AC2115" s="24"/>
      <c r="AD2115"/>
      <c r="AE2115"/>
      <c r="AF2115"/>
      <c r="AG2115"/>
      <c r="AH2115"/>
      <c r="AI2115"/>
      <c r="AJ2115"/>
      <c r="AK2115"/>
      <c r="AL2115"/>
      <c r="AM2115"/>
      <c r="AN2115"/>
      <c r="AO2115"/>
      <c r="AP2115"/>
      <c r="AQ2115"/>
      <c r="AR2115"/>
      <c r="AS2115"/>
      <c r="AT2115"/>
      <c r="AU2115"/>
      <c r="AV2115"/>
      <c r="AW2115"/>
      <c r="AX2115"/>
      <c r="AY2115"/>
      <c r="AZ2115"/>
      <c r="BA2115"/>
      <c r="BB2115"/>
      <c r="BC2115"/>
      <c r="BD2115"/>
      <c r="BE2115"/>
      <c r="BF2115"/>
      <c r="BG2115"/>
      <c r="BH2115"/>
      <c r="BI2115"/>
      <c r="BJ2115"/>
      <c r="BK2115"/>
      <c r="BL2115"/>
      <c r="BM2115"/>
      <c r="BN2115"/>
      <c r="BO2115"/>
      <c r="BP2115"/>
      <c r="BQ2115"/>
      <c r="BR2115"/>
      <c r="BS2115"/>
      <c r="BT2115"/>
      <c r="BU2115"/>
      <c r="BV2115"/>
      <c r="BW2115"/>
      <c r="BX2115"/>
      <c r="BY2115"/>
      <c r="BZ2115"/>
      <c r="CA2115"/>
      <c r="CB2115"/>
      <c r="CC2115"/>
      <c r="CD2115"/>
      <c r="CE2115"/>
      <c r="CF2115"/>
      <c r="CG2115"/>
      <c r="CH2115"/>
      <c r="CI2115"/>
      <c r="CJ2115"/>
      <c r="CK2115"/>
      <c r="CL2115"/>
      <c r="CM2115"/>
      <c r="CN2115"/>
      <c r="CO2115"/>
      <c r="CP2115"/>
      <c r="CQ2115"/>
      <c r="CR2115"/>
      <c r="CS2115"/>
    </row>
    <row r="2116" spans="2:97">
      <c r="B2116"/>
      <c r="C2116" s="1"/>
      <c r="D2116" s="1"/>
      <c r="E2116" s="1"/>
      <c r="F2116" s="1"/>
      <c r="G2116" s="1"/>
      <c r="H2116" s="1"/>
      <c r="I2116" s="1"/>
      <c r="J2116" s="1"/>
      <c r="K2116" s="1"/>
      <c r="L2116" s="1"/>
      <c r="M2116" s="1"/>
      <c r="N2116" s="1"/>
      <c r="O2116" s="1"/>
      <c r="P2116" s="1"/>
      <c r="Q2116" s="1"/>
      <c r="R2116"/>
      <c r="S2116" s="1"/>
      <c r="T2116" s="24"/>
      <c r="U2116"/>
      <c r="V2116" s="1"/>
      <c r="W2116" s="24"/>
      <c r="X2116"/>
      <c r="Y2116" s="1"/>
      <c r="Z2116" s="24"/>
      <c r="AA2116"/>
      <c r="AB2116" s="1"/>
      <c r="AC2116" s="24"/>
      <c r="AD2116"/>
      <c r="AE2116"/>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c r="BN2116"/>
      <c r="BO2116"/>
      <c r="BP2116"/>
      <c r="BQ2116"/>
      <c r="BR2116"/>
      <c r="BS2116"/>
      <c r="BT2116"/>
      <c r="BU2116"/>
      <c r="BV2116"/>
      <c r="BW2116"/>
      <c r="BX2116"/>
      <c r="BY2116"/>
      <c r="BZ2116"/>
      <c r="CA2116"/>
      <c r="CB2116"/>
      <c r="CC2116"/>
      <c r="CD2116"/>
      <c r="CE2116"/>
      <c r="CF2116"/>
      <c r="CG2116"/>
      <c r="CH2116"/>
      <c r="CI2116"/>
      <c r="CJ2116"/>
      <c r="CK2116"/>
      <c r="CL2116"/>
      <c r="CM2116"/>
      <c r="CN2116"/>
      <c r="CO2116"/>
      <c r="CP2116"/>
      <c r="CQ2116"/>
      <c r="CR2116"/>
      <c r="CS2116"/>
    </row>
    <row r="2117" spans="2:97">
      <c r="B2117"/>
      <c r="C2117" s="1"/>
      <c r="D2117" s="1"/>
      <c r="E2117" s="1"/>
      <c r="F2117" s="1"/>
      <c r="G2117" s="1"/>
      <c r="H2117" s="1"/>
      <c r="I2117" s="1"/>
      <c r="J2117" s="1"/>
      <c r="K2117" s="1"/>
      <c r="L2117" s="1"/>
      <c r="M2117" s="1"/>
      <c r="N2117" s="1"/>
      <c r="O2117" s="1"/>
      <c r="P2117" s="1"/>
      <c r="Q2117" s="1"/>
      <c r="R2117"/>
      <c r="S2117" s="1"/>
      <c r="T2117" s="24"/>
      <c r="U2117"/>
      <c r="V2117" s="1"/>
      <c r="W2117" s="24"/>
      <c r="X2117"/>
      <c r="Y2117" s="1"/>
      <c r="Z2117" s="24"/>
      <c r="AA2117"/>
      <c r="AB2117" s="1"/>
      <c r="AC2117" s="24"/>
      <c r="AD2117"/>
      <c r="AE2117"/>
      <c r="AF2117"/>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c r="BI2117"/>
      <c r="BJ2117"/>
      <c r="BK2117"/>
      <c r="BL2117"/>
      <c r="BM2117"/>
      <c r="BN2117"/>
      <c r="BO2117"/>
      <c r="BP2117"/>
      <c r="BQ2117"/>
      <c r="BR2117"/>
      <c r="BS2117"/>
      <c r="BT2117"/>
      <c r="BU2117"/>
      <c r="BV2117"/>
      <c r="BW2117"/>
      <c r="BX2117"/>
      <c r="BY2117"/>
      <c r="BZ2117"/>
      <c r="CA2117"/>
      <c r="CB2117"/>
      <c r="CC2117"/>
      <c r="CD2117"/>
      <c r="CE2117"/>
      <c r="CF2117"/>
      <c r="CG2117"/>
      <c r="CH2117"/>
      <c r="CI2117"/>
      <c r="CJ2117"/>
      <c r="CK2117"/>
      <c r="CL2117"/>
      <c r="CM2117"/>
      <c r="CN2117"/>
      <c r="CO2117"/>
      <c r="CP2117"/>
      <c r="CQ2117"/>
      <c r="CR2117"/>
      <c r="CS2117"/>
    </row>
    <row r="2118" spans="2:97">
      <c r="B2118"/>
      <c r="C2118" s="1"/>
      <c r="D2118" s="1"/>
      <c r="E2118" s="1"/>
      <c r="F2118" s="1"/>
      <c r="G2118" s="1"/>
      <c r="H2118" s="1"/>
      <c r="I2118" s="1"/>
      <c r="J2118" s="1"/>
      <c r="K2118" s="1"/>
      <c r="L2118" s="1"/>
      <c r="M2118" s="1"/>
      <c r="N2118" s="1"/>
      <c r="O2118" s="1"/>
      <c r="P2118" s="1"/>
      <c r="Q2118" s="1"/>
      <c r="R2118"/>
      <c r="S2118" s="1"/>
      <c r="T2118" s="24"/>
      <c r="U2118"/>
      <c r="V2118" s="1"/>
      <c r="W2118" s="24"/>
      <c r="X2118"/>
      <c r="Y2118" s="1"/>
      <c r="Z2118" s="24"/>
      <c r="AA2118"/>
      <c r="AB2118" s="1"/>
      <c r="AC2118" s="24"/>
      <c r="AD2118"/>
      <c r="AE2118"/>
      <c r="AF2118"/>
      <c r="AG2118"/>
      <c r="AH2118"/>
      <c r="AI2118"/>
      <c r="AJ2118"/>
      <c r="AK2118"/>
      <c r="AL2118"/>
      <c r="AM2118"/>
      <c r="AN2118"/>
      <c r="AO2118"/>
      <c r="AP2118"/>
      <c r="AQ2118"/>
      <c r="AR2118"/>
      <c r="AS2118"/>
      <c r="AT2118"/>
      <c r="AU2118"/>
      <c r="AV2118"/>
      <c r="AW2118"/>
      <c r="AX2118"/>
      <c r="AY2118"/>
      <c r="AZ2118"/>
      <c r="BA2118"/>
      <c r="BB2118"/>
      <c r="BC2118"/>
      <c r="BD2118"/>
      <c r="BE2118"/>
      <c r="BF2118"/>
      <c r="BG2118"/>
      <c r="BH2118"/>
      <c r="BI2118"/>
      <c r="BJ2118"/>
      <c r="BK2118"/>
      <c r="BL2118"/>
      <c r="BM2118"/>
      <c r="BN2118"/>
      <c r="BO2118"/>
      <c r="BP2118"/>
      <c r="BQ2118"/>
      <c r="BR2118"/>
      <c r="BS2118"/>
      <c r="BT2118"/>
      <c r="BU2118"/>
      <c r="BV2118"/>
      <c r="BW2118"/>
      <c r="BX2118"/>
      <c r="BY2118"/>
      <c r="BZ2118"/>
      <c r="CA2118"/>
      <c r="CB2118"/>
      <c r="CC2118"/>
      <c r="CD2118"/>
      <c r="CE2118"/>
      <c r="CF2118"/>
      <c r="CG2118"/>
      <c r="CH2118"/>
      <c r="CI2118"/>
      <c r="CJ2118"/>
      <c r="CK2118"/>
      <c r="CL2118"/>
      <c r="CM2118"/>
      <c r="CN2118"/>
      <c r="CO2118"/>
      <c r="CP2118"/>
      <c r="CQ2118"/>
      <c r="CR2118"/>
      <c r="CS2118"/>
    </row>
    <row r="2119" spans="2:97">
      <c r="B2119"/>
      <c r="C2119" s="1"/>
      <c r="D2119" s="1"/>
      <c r="E2119" s="1"/>
      <c r="F2119" s="1"/>
      <c r="G2119" s="1"/>
      <c r="H2119" s="1"/>
      <c r="I2119" s="1"/>
      <c r="J2119" s="1"/>
      <c r="K2119" s="1"/>
      <c r="L2119" s="1"/>
      <c r="M2119" s="1"/>
      <c r="N2119" s="1"/>
      <c r="O2119" s="1"/>
      <c r="P2119" s="1"/>
      <c r="Q2119" s="1"/>
      <c r="R2119"/>
      <c r="S2119" s="1"/>
      <c r="T2119" s="24"/>
      <c r="U2119"/>
      <c r="V2119" s="1"/>
      <c r="W2119" s="24"/>
      <c r="X2119"/>
      <c r="Y2119" s="1"/>
      <c r="Z2119" s="24"/>
      <c r="AA2119"/>
      <c r="AB2119" s="1"/>
      <c r="AC2119" s="24"/>
      <c r="AD2119"/>
      <c r="AE2119"/>
      <c r="AF2119"/>
      <c r="AG2119"/>
      <c r="AH2119"/>
      <c r="AI2119"/>
      <c r="AJ2119"/>
      <c r="AK2119"/>
      <c r="AL2119"/>
      <c r="AM2119"/>
      <c r="AN2119"/>
      <c r="AO2119"/>
      <c r="AP2119"/>
      <c r="AQ2119"/>
      <c r="AR2119"/>
      <c r="AS2119"/>
      <c r="AT2119"/>
      <c r="AU2119"/>
      <c r="AV2119"/>
      <c r="AW2119"/>
      <c r="AX2119"/>
      <c r="AY2119"/>
      <c r="AZ2119"/>
      <c r="BA2119"/>
      <c r="BB2119"/>
      <c r="BC2119"/>
      <c r="BD2119"/>
      <c r="BE2119"/>
      <c r="BF2119"/>
      <c r="BG2119"/>
      <c r="BH2119"/>
      <c r="BI2119"/>
      <c r="BJ2119"/>
      <c r="BK2119"/>
      <c r="BL2119"/>
      <c r="BM2119"/>
      <c r="BN2119"/>
      <c r="BO2119"/>
      <c r="BP2119"/>
      <c r="BQ2119"/>
      <c r="BR2119"/>
      <c r="BS2119"/>
      <c r="BT2119"/>
      <c r="BU2119"/>
      <c r="BV2119"/>
      <c r="BW2119"/>
      <c r="BX2119"/>
      <c r="BY2119"/>
      <c r="BZ2119"/>
      <c r="CA2119"/>
      <c r="CB2119"/>
      <c r="CC2119"/>
      <c r="CD2119"/>
      <c r="CE2119"/>
      <c r="CF2119"/>
      <c r="CG2119"/>
      <c r="CH2119"/>
      <c r="CI2119"/>
      <c r="CJ2119"/>
      <c r="CK2119"/>
      <c r="CL2119"/>
      <c r="CM2119"/>
      <c r="CN2119"/>
      <c r="CO2119"/>
      <c r="CP2119"/>
      <c r="CQ2119"/>
      <c r="CR2119"/>
      <c r="CS2119"/>
    </row>
    <row r="2120" spans="2:97">
      <c r="B2120"/>
      <c r="C2120" s="1"/>
      <c r="D2120" s="1"/>
      <c r="E2120" s="1"/>
      <c r="F2120" s="1"/>
      <c r="G2120" s="1"/>
      <c r="H2120" s="1"/>
      <c r="I2120" s="1"/>
      <c r="J2120" s="1"/>
      <c r="K2120" s="1"/>
      <c r="L2120" s="1"/>
      <c r="M2120" s="1"/>
      <c r="N2120" s="1"/>
      <c r="O2120" s="1"/>
      <c r="P2120" s="1"/>
      <c r="Q2120" s="1"/>
      <c r="R2120"/>
      <c r="S2120" s="1"/>
      <c r="T2120" s="24"/>
      <c r="U2120"/>
      <c r="V2120" s="1"/>
      <c r="W2120" s="24"/>
      <c r="X2120"/>
      <c r="Y2120" s="1"/>
      <c r="Z2120" s="24"/>
      <c r="AA2120"/>
      <c r="AB2120" s="1"/>
      <c r="AC2120" s="24"/>
      <c r="AD2120"/>
      <c r="AE2120"/>
      <c r="AF2120"/>
      <c r="AG2120"/>
      <c r="AH2120"/>
      <c r="AI2120"/>
      <c r="AJ2120"/>
      <c r="AK2120"/>
      <c r="AL2120"/>
      <c r="AM2120"/>
      <c r="AN2120"/>
      <c r="AO2120"/>
      <c r="AP2120"/>
      <c r="AQ2120"/>
      <c r="AR2120"/>
      <c r="AS2120"/>
      <c r="AT2120"/>
      <c r="AU2120"/>
      <c r="AV2120"/>
      <c r="AW2120"/>
      <c r="AX2120"/>
      <c r="AY2120"/>
      <c r="AZ2120"/>
      <c r="BA2120"/>
      <c r="BB2120"/>
      <c r="BC2120"/>
      <c r="BD2120"/>
      <c r="BE2120"/>
      <c r="BF2120"/>
      <c r="BG2120"/>
      <c r="BH2120"/>
      <c r="BI2120"/>
      <c r="BJ2120"/>
      <c r="BK2120"/>
      <c r="BL2120"/>
      <c r="BM2120"/>
      <c r="BN2120"/>
      <c r="BO2120"/>
      <c r="BP2120"/>
      <c r="BQ2120"/>
      <c r="BR2120"/>
      <c r="BS2120"/>
      <c r="BT2120"/>
      <c r="BU2120"/>
      <c r="BV2120"/>
      <c r="BW2120"/>
      <c r="BX2120"/>
      <c r="BY2120"/>
      <c r="BZ2120"/>
      <c r="CA2120"/>
      <c r="CB2120"/>
      <c r="CC2120"/>
      <c r="CD2120"/>
      <c r="CE2120"/>
      <c r="CF2120"/>
      <c r="CG2120"/>
      <c r="CH2120"/>
      <c r="CI2120"/>
      <c r="CJ2120"/>
      <c r="CK2120"/>
      <c r="CL2120"/>
      <c r="CM2120"/>
      <c r="CN2120"/>
      <c r="CO2120"/>
      <c r="CP2120"/>
      <c r="CQ2120"/>
      <c r="CR2120"/>
      <c r="CS2120"/>
    </row>
    <row r="2121" spans="2:97">
      <c r="B2121"/>
      <c r="C2121" s="1"/>
      <c r="D2121" s="1"/>
      <c r="E2121" s="1"/>
      <c r="F2121" s="1"/>
      <c r="G2121" s="1"/>
      <c r="H2121" s="1"/>
      <c r="I2121" s="1"/>
      <c r="J2121" s="1"/>
      <c r="K2121" s="1"/>
      <c r="L2121" s="1"/>
      <c r="M2121" s="1"/>
      <c r="N2121" s="1"/>
      <c r="O2121" s="1"/>
      <c r="P2121" s="1"/>
      <c r="Q2121" s="1"/>
      <c r="R2121"/>
      <c r="S2121" s="1"/>
      <c r="T2121" s="24"/>
      <c r="U2121"/>
      <c r="V2121" s="1"/>
      <c r="W2121" s="24"/>
      <c r="X2121"/>
      <c r="Y2121" s="1"/>
      <c r="Z2121" s="24"/>
      <c r="AA2121"/>
      <c r="AB2121" s="1"/>
      <c r="AC2121" s="24"/>
      <c r="AD2121"/>
      <c r="AE2121"/>
      <c r="AF2121"/>
      <c r="AG2121"/>
      <c r="AH2121"/>
      <c r="AI2121"/>
      <c r="AJ2121"/>
      <c r="AK2121"/>
      <c r="AL2121"/>
      <c r="AM2121"/>
      <c r="AN2121"/>
      <c r="AO2121"/>
      <c r="AP2121"/>
      <c r="AQ2121"/>
      <c r="AR2121"/>
      <c r="AS2121"/>
      <c r="AT2121"/>
      <c r="AU2121"/>
      <c r="AV2121"/>
      <c r="AW2121"/>
      <c r="AX2121"/>
      <c r="AY2121"/>
      <c r="AZ2121"/>
      <c r="BA2121"/>
      <c r="BB2121"/>
      <c r="BC2121"/>
      <c r="BD2121"/>
      <c r="BE2121"/>
      <c r="BF2121"/>
      <c r="BG2121"/>
      <c r="BH2121"/>
      <c r="BI2121"/>
      <c r="BJ2121"/>
      <c r="BK2121"/>
      <c r="BL2121"/>
      <c r="BM2121"/>
      <c r="BN2121"/>
      <c r="BO2121"/>
      <c r="BP2121"/>
      <c r="BQ2121"/>
      <c r="BR2121"/>
      <c r="BS2121"/>
      <c r="BT2121"/>
      <c r="BU2121"/>
      <c r="BV2121"/>
      <c r="BW2121"/>
      <c r="BX2121"/>
      <c r="BY2121"/>
      <c r="BZ2121"/>
      <c r="CA2121"/>
      <c r="CB2121"/>
      <c r="CC2121"/>
      <c r="CD2121"/>
      <c r="CE2121"/>
      <c r="CF2121"/>
      <c r="CG2121"/>
      <c r="CH2121"/>
      <c r="CI2121"/>
      <c r="CJ2121"/>
      <c r="CK2121"/>
      <c r="CL2121"/>
      <c r="CM2121"/>
      <c r="CN2121"/>
      <c r="CO2121"/>
      <c r="CP2121"/>
      <c r="CQ2121"/>
      <c r="CR2121"/>
      <c r="CS2121"/>
    </row>
    <row r="2122" spans="2:97">
      <c r="B2122"/>
      <c r="C2122" s="1"/>
      <c r="D2122" s="1"/>
      <c r="E2122" s="1"/>
      <c r="F2122" s="1"/>
      <c r="G2122" s="1"/>
      <c r="H2122" s="1"/>
      <c r="I2122" s="1"/>
      <c r="J2122" s="1"/>
      <c r="K2122" s="1"/>
      <c r="L2122" s="1"/>
      <c r="M2122" s="1"/>
      <c r="N2122" s="1"/>
      <c r="O2122" s="1"/>
      <c r="P2122" s="1"/>
      <c r="Q2122" s="1"/>
      <c r="R2122"/>
      <c r="S2122" s="1"/>
      <c r="T2122" s="24"/>
      <c r="U2122"/>
      <c r="V2122" s="1"/>
      <c r="W2122" s="24"/>
      <c r="X2122"/>
      <c r="Y2122" s="1"/>
      <c r="Z2122" s="24"/>
      <c r="AA2122"/>
      <c r="AB2122" s="1"/>
      <c r="AC2122" s="24"/>
      <c r="AD2122"/>
      <c r="AE2122"/>
      <c r="AF2122"/>
      <c r="AG2122"/>
      <c r="AH2122"/>
      <c r="AI2122"/>
      <c r="AJ2122"/>
      <c r="AK2122"/>
      <c r="AL2122"/>
      <c r="AM2122"/>
      <c r="AN2122"/>
      <c r="AO2122"/>
      <c r="AP2122"/>
      <c r="AQ2122"/>
      <c r="AR2122"/>
      <c r="AS2122"/>
      <c r="AT2122"/>
      <c r="AU2122"/>
      <c r="AV2122"/>
      <c r="AW2122"/>
      <c r="AX2122"/>
      <c r="AY2122"/>
      <c r="AZ2122"/>
      <c r="BA2122"/>
      <c r="BB2122"/>
      <c r="BC2122"/>
      <c r="BD2122"/>
      <c r="BE2122"/>
      <c r="BF2122"/>
      <c r="BG2122"/>
      <c r="BH2122"/>
      <c r="BI2122"/>
      <c r="BJ2122"/>
      <c r="BK2122"/>
      <c r="BL2122"/>
      <c r="BM2122"/>
      <c r="BN2122"/>
      <c r="BO2122"/>
      <c r="BP2122"/>
      <c r="BQ2122"/>
      <c r="BR2122"/>
      <c r="BS2122"/>
      <c r="BT2122"/>
      <c r="BU2122"/>
      <c r="BV2122"/>
      <c r="BW2122"/>
      <c r="BX2122"/>
      <c r="BY2122"/>
      <c r="BZ2122"/>
      <c r="CA2122"/>
      <c r="CB2122"/>
      <c r="CC2122"/>
      <c r="CD2122"/>
      <c r="CE2122"/>
      <c r="CF2122"/>
      <c r="CG2122"/>
      <c r="CH2122"/>
      <c r="CI2122"/>
      <c r="CJ2122"/>
      <c r="CK2122"/>
      <c r="CL2122"/>
      <c r="CM2122"/>
      <c r="CN2122"/>
      <c r="CO2122"/>
      <c r="CP2122"/>
      <c r="CQ2122"/>
      <c r="CR2122"/>
      <c r="CS2122"/>
    </row>
    <row r="2123" spans="2:97">
      <c r="B2123"/>
      <c r="C2123" s="1"/>
      <c r="D2123" s="1"/>
      <c r="E2123" s="1"/>
      <c r="F2123" s="1"/>
      <c r="G2123" s="1"/>
      <c r="H2123" s="1"/>
      <c r="I2123" s="1"/>
      <c r="J2123" s="1"/>
      <c r="K2123" s="1"/>
      <c r="L2123" s="1"/>
      <c r="M2123" s="1"/>
      <c r="N2123" s="1"/>
      <c r="O2123" s="1"/>
      <c r="P2123" s="1"/>
      <c r="Q2123" s="1"/>
      <c r="R2123"/>
      <c r="S2123" s="1"/>
      <c r="T2123" s="24"/>
      <c r="U2123"/>
      <c r="V2123" s="1"/>
      <c r="W2123" s="24"/>
      <c r="X2123"/>
      <c r="Y2123" s="1"/>
      <c r="Z2123" s="24"/>
      <c r="AA2123"/>
      <c r="AB2123" s="1"/>
      <c r="AC2123" s="24"/>
      <c r="AD2123"/>
      <c r="AE2123"/>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c r="BI2123"/>
      <c r="BJ2123"/>
      <c r="BK2123"/>
      <c r="BL2123"/>
      <c r="BM2123"/>
      <c r="BN2123"/>
      <c r="BO2123"/>
      <c r="BP2123"/>
      <c r="BQ2123"/>
      <c r="BR2123"/>
      <c r="BS2123"/>
      <c r="BT2123"/>
      <c r="BU2123"/>
      <c r="BV2123"/>
      <c r="BW2123"/>
      <c r="BX2123"/>
      <c r="BY2123"/>
      <c r="BZ2123"/>
      <c r="CA2123"/>
      <c r="CB2123"/>
      <c r="CC2123"/>
      <c r="CD2123"/>
      <c r="CE2123"/>
      <c r="CF2123"/>
      <c r="CG2123"/>
      <c r="CH2123"/>
      <c r="CI2123"/>
      <c r="CJ2123"/>
      <c r="CK2123"/>
      <c r="CL2123"/>
      <c r="CM2123"/>
      <c r="CN2123"/>
      <c r="CO2123"/>
      <c r="CP2123"/>
      <c r="CQ2123"/>
      <c r="CR2123"/>
      <c r="CS2123"/>
    </row>
    <row r="2124" spans="2:97">
      <c r="B2124"/>
      <c r="C2124" s="1"/>
      <c r="D2124" s="1"/>
      <c r="E2124" s="1"/>
      <c r="F2124" s="1"/>
      <c r="G2124" s="1"/>
      <c r="H2124" s="1"/>
      <c r="I2124" s="1"/>
      <c r="J2124" s="1"/>
      <c r="K2124" s="1"/>
      <c r="L2124" s="1"/>
      <c r="M2124" s="1"/>
      <c r="N2124" s="1"/>
      <c r="O2124" s="1"/>
      <c r="P2124" s="1"/>
      <c r="Q2124" s="1"/>
      <c r="R2124"/>
      <c r="S2124" s="1"/>
      <c r="T2124" s="24"/>
      <c r="U2124"/>
      <c r="V2124" s="1"/>
      <c r="W2124" s="24"/>
      <c r="X2124"/>
      <c r="Y2124" s="1"/>
      <c r="Z2124" s="24"/>
      <c r="AA2124"/>
      <c r="AB2124" s="1"/>
      <c r="AC2124" s="24"/>
      <c r="AD2124"/>
      <c r="AE2124"/>
      <c r="AF2124"/>
      <c r="AG2124"/>
      <c r="AH2124"/>
      <c r="AI2124"/>
      <c r="AJ2124"/>
      <c r="AK2124"/>
      <c r="AL2124"/>
      <c r="AM2124"/>
      <c r="AN2124"/>
      <c r="AO2124"/>
      <c r="AP2124"/>
      <c r="AQ2124"/>
      <c r="AR2124"/>
      <c r="AS2124"/>
      <c r="AT2124"/>
      <c r="AU2124"/>
      <c r="AV2124"/>
      <c r="AW2124"/>
      <c r="AX2124"/>
      <c r="AY2124"/>
      <c r="AZ2124"/>
      <c r="BA2124"/>
      <c r="BB2124"/>
      <c r="BC2124"/>
      <c r="BD2124"/>
      <c r="BE2124"/>
      <c r="BF2124"/>
      <c r="BG2124"/>
      <c r="BH2124"/>
      <c r="BI2124"/>
      <c r="BJ2124"/>
      <c r="BK2124"/>
      <c r="BL2124"/>
      <c r="BM2124"/>
      <c r="BN2124"/>
      <c r="BO2124"/>
      <c r="BP2124"/>
      <c r="BQ2124"/>
      <c r="BR2124"/>
      <c r="BS2124"/>
      <c r="BT2124"/>
      <c r="BU2124"/>
      <c r="BV2124"/>
      <c r="BW2124"/>
      <c r="BX2124"/>
      <c r="BY2124"/>
      <c r="BZ2124"/>
      <c r="CA2124"/>
      <c r="CB2124"/>
      <c r="CC2124"/>
      <c r="CD2124"/>
      <c r="CE2124"/>
      <c r="CF2124"/>
      <c r="CG2124"/>
      <c r="CH2124"/>
      <c r="CI2124"/>
      <c r="CJ2124"/>
      <c r="CK2124"/>
      <c r="CL2124"/>
      <c r="CM2124"/>
      <c r="CN2124"/>
      <c r="CO2124"/>
      <c r="CP2124"/>
      <c r="CQ2124"/>
      <c r="CR2124"/>
      <c r="CS2124"/>
    </row>
    <row r="2125" spans="2:97">
      <c r="B2125"/>
      <c r="C2125" s="1"/>
      <c r="D2125" s="1"/>
      <c r="E2125" s="1"/>
      <c r="F2125" s="1"/>
      <c r="G2125" s="1"/>
      <c r="H2125" s="1"/>
      <c r="I2125" s="1"/>
      <c r="J2125" s="1"/>
      <c r="K2125" s="1"/>
      <c r="L2125" s="1"/>
      <c r="M2125" s="1"/>
      <c r="N2125" s="1"/>
      <c r="O2125" s="1"/>
      <c r="P2125" s="1"/>
      <c r="Q2125" s="1"/>
      <c r="R2125"/>
      <c r="S2125" s="1"/>
      <c r="T2125" s="24"/>
      <c r="U2125"/>
      <c r="V2125" s="1"/>
      <c r="W2125" s="24"/>
      <c r="X2125"/>
      <c r="Y2125" s="1"/>
      <c r="Z2125" s="24"/>
      <c r="AA2125"/>
      <c r="AB2125" s="1"/>
      <c r="AC2125" s="24"/>
      <c r="AD2125"/>
      <c r="AE2125"/>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c r="BI2125"/>
      <c r="BJ2125"/>
      <c r="BK2125"/>
      <c r="BL2125"/>
      <c r="BM2125"/>
      <c r="BN2125"/>
      <c r="BO2125"/>
      <c r="BP2125"/>
      <c r="BQ2125"/>
      <c r="BR2125"/>
      <c r="BS2125"/>
      <c r="BT2125"/>
      <c r="BU2125"/>
      <c r="BV2125"/>
      <c r="BW2125"/>
      <c r="BX2125"/>
      <c r="BY2125"/>
      <c r="BZ2125"/>
      <c r="CA2125"/>
      <c r="CB2125"/>
      <c r="CC2125"/>
      <c r="CD2125"/>
      <c r="CE2125"/>
      <c r="CF2125"/>
      <c r="CG2125"/>
      <c r="CH2125"/>
      <c r="CI2125"/>
      <c r="CJ2125"/>
      <c r="CK2125"/>
      <c r="CL2125"/>
      <c r="CM2125"/>
      <c r="CN2125"/>
      <c r="CO2125"/>
      <c r="CP2125"/>
      <c r="CQ2125"/>
      <c r="CR2125"/>
      <c r="CS2125"/>
    </row>
    <row r="2126" spans="2:97">
      <c r="B2126"/>
      <c r="C2126" s="1"/>
      <c r="D2126" s="1"/>
      <c r="E2126" s="1"/>
      <c r="F2126" s="1"/>
      <c r="G2126" s="1"/>
      <c r="H2126" s="1"/>
      <c r="I2126" s="1"/>
      <c r="J2126" s="1"/>
      <c r="K2126" s="1"/>
      <c r="L2126" s="1"/>
      <c r="M2126" s="1"/>
      <c r="N2126" s="1"/>
      <c r="O2126" s="1"/>
      <c r="P2126" s="1"/>
      <c r="Q2126" s="1"/>
      <c r="R2126"/>
      <c r="S2126" s="1"/>
      <c r="T2126" s="24"/>
      <c r="U2126"/>
      <c r="V2126" s="1"/>
      <c r="W2126" s="24"/>
      <c r="X2126"/>
      <c r="Y2126" s="1"/>
      <c r="Z2126" s="24"/>
      <c r="AA2126"/>
      <c r="AB2126" s="1"/>
      <c r="AC2126" s="24"/>
      <c r="AD2126"/>
      <c r="AE2126"/>
      <c r="AF2126"/>
      <c r="AG2126"/>
      <c r="AH2126"/>
      <c r="AI2126"/>
      <c r="AJ2126"/>
      <c r="AK2126"/>
      <c r="AL2126"/>
      <c r="AM2126"/>
      <c r="AN2126"/>
      <c r="AO2126"/>
      <c r="AP2126"/>
      <c r="AQ2126"/>
      <c r="AR2126"/>
      <c r="AS2126"/>
      <c r="AT2126"/>
      <c r="AU2126"/>
      <c r="AV2126"/>
      <c r="AW2126"/>
      <c r="AX2126"/>
      <c r="AY2126"/>
      <c r="AZ2126"/>
      <c r="BA2126"/>
      <c r="BB2126"/>
      <c r="BC2126"/>
      <c r="BD2126"/>
      <c r="BE2126"/>
      <c r="BF2126"/>
      <c r="BG2126"/>
      <c r="BH2126"/>
      <c r="BI2126"/>
      <c r="BJ2126"/>
      <c r="BK2126"/>
      <c r="BL2126"/>
      <c r="BM2126"/>
      <c r="BN2126"/>
      <c r="BO2126"/>
      <c r="BP2126"/>
      <c r="BQ2126"/>
      <c r="BR2126"/>
      <c r="BS2126"/>
      <c r="BT2126"/>
      <c r="BU2126"/>
      <c r="BV2126"/>
      <c r="BW2126"/>
      <c r="BX2126"/>
      <c r="BY2126"/>
      <c r="BZ2126"/>
      <c r="CA2126"/>
      <c r="CB2126"/>
      <c r="CC2126"/>
      <c r="CD2126"/>
      <c r="CE2126"/>
      <c r="CF2126"/>
      <c r="CG2126"/>
      <c r="CH2126"/>
      <c r="CI2126"/>
      <c r="CJ2126"/>
      <c r="CK2126"/>
      <c r="CL2126"/>
      <c r="CM2126"/>
      <c r="CN2126"/>
      <c r="CO2126"/>
      <c r="CP2126"/>
      <c r="CQ2126"/>
      <c r="CR2126"/>
      <c r="CS2126"/>
    </row>
    <row r="2127" spans="2:97">
      <c r="B2127"/>
      <c r="C2127" s="1"/>
      <c r="D2127" s="1"/>
      <c r="E2127" s="1"/>
      <c r="F2127" s="1"/>
      <c r="G2127" s="1"/>
      <c r="H2127" s="1"/>
      <c r="I2127" s="1"/>
      <c r="J2127" s="1"/>
      <c r="K2127" s="1"/>
      <c r="L2127" s="1"/>
      <c r="M2127" s="1"/>
      <c r="N2127" s="1"/>
      <c r="O2127" s="1"/>
      <c r="P2127" s="1"/>
      <c r="Q2127" s="1"/>
      <c r="R2127"/>
      <c r="S2127" s="1"/>
      <c r="T2127" s="24"/>
      <c r="U2127"/>
      <c r="V2127" s="1"/>
      <c r="W2127" s="24"/>
      <c r="X2127"/>
      <c r="Y2127" s="1"/>
      <c r="Z2127" s="24"/>
      <c r="AA2127"/>
      <c r="AB2127" s="1"/>
      <c r="AC2127" s="24"/>
      <c r="AD2127"/>
      <c r="AE2127"/>
      <c r="AF2127"/>
      <c r="AG2127"/>
      <c r="AH2127"/>
      <c r="AI2127"/>
      <c r="AJ2127"/>
      <c r="AK2127"/>
      <c r="AL2127"/>
      <c r="AM2127"/>
      <c r="AN2127"/>
      <c r="AO2127"/>
      <c r="AP2127"/>
      <c r="AQ2127"/>
      <c r="AR2127"/>
      <c r="AS2127"/>
      <c r="AT2127"/>
      <c r="AU2127"/>
      <c r="AV2127"/>
      <c r="AW2127"/>
      <c r="AX2127"/>
      <c r="AY2127"/>
      <c r="AZ2127"/>
      <c r="BA2127"/>
      <c r="BB2127"/>
      <c r="BC2127"/>
      <c r="BD2127"/>
      <c r="BE2127"/>
      <c r="BF2127"/>
      <c r="BG2127"/>
      <c r="BH2127"/>
      <c r="BI2127"/>
      <c r="BJ2127"/>
      <c r="BK2127"/>
      <c r="BL2127"/>
      <c r="BM2127"/>
      <c r="BN2127"/>
      <c r="BO2127"/>
      <c r="BP2127"/>
      <c r="BQ2127"/>
      <c r="BR2127"/>
      <c r="BS2127"/>
      <c r="BT2127"/>
      <c r="BU2127"/>
      <c r="BV2127"/>
      <c r="BW2127"/>
      <c r="BX2127"/>
      <c r="BY2127"/>
      <c r="BZ2127"/>
      <c r="CA2127"/>
      <c r="CB2127"/>
      <c r="CC2127"/>
      <c r="CD2127"/>
      <c r="CE2127"/>
      <c r="CF2127"/>
      <c r="CG2127"/>
      <c r="CH2127"/>
      <c r="CI2127"/>
      <c r="CJ2127"/>
      <c r="CK2127"/>
      <c r="CL2127"/>
      <c r="CM2127"/>
      <c r="CN2127"/>
      <c r="CO2127"/>
      <c r="CP2127"/>
      <c r="CQ2127"/>
      <c r="CR2127"/>
      <c r="CS2127"/>
    </row>
    <row r="2128" spans="2:97">
      <c r="B2128"/>
      <c r="C2128" s="1"/>
      <c r="D2128" s="1"/>
      <c r="E2128" s="1"/>
      <c r="F2128" s="1"/>
      <c r="G2128" s="1"/>
      <c r="H2128" s="1"/>
      <c r="I2128" s="1"/>
      <c r="J2128" s="1"/>
      <c r="K2128" s="1"/>
      <c r="L2128" s="1"/>
      <c r="M2128" s="1"/>
      <c r="N2128" s="1"/>
      <c r="O2128" s="1"/>
      <c r="P2128" s="1"/>
      <c r="Q2128" s="1"/>
      <c r="R2128"/>
      <c r="S2128" s="1"/>
      <c r="T2128" s="24"/>
      <c r="U2128"/>
      <c r="V2128" s="1"/>
      <c r="W2128" s="24"/>
      <c r="X2128"/>
      <c r="Y2128" s="1"/>
      <c r="Z2128" s="24"/>
      <c r="AA2128"/>
      <c r="AB2128" s="1"/>
      <c r="AC2128" s="24"/>
      <c r="AD2128"/>
      <c r="AE2128"/>
      <c r="AF2128"/>
      <c r="AG2128"/>
      <c r="AH2128"/>
      <c r="AI2128"/>
      <c r="AJ2128"/>
      <c r="AK2128"/>
      <c r="AL2128"/>
      <c r="AM2128"/>
      <c r="AN2128"/>
      <c r="AO2128"/>
      <c r="AP2128"/>
      <c r="AQ2128"/>
      <c r="AR2128"/>
      <c r="AS2128"/>
      <c r="AT2128"/>
      <c r="AU2128"/>
      <c r="AV2128"/>
      <c r="AW2128"/>
      <c r="AX2128"/>
      <c r="AY2128"/>
      <c r="AZ2128"/>
      <c r="BA2128"/>
      <c r="BB2128"/>
      <c r="BC2128"/>
      <c r="BD2128"/>
      <c r="BE2128"/>
      <c r="BF2128"/>
      <c r="BG2128"/>
      <c r="BH2128"/>
      <c r="BI2128"/>
      <c r="BJ2128"/>
      <c r="BK2128"/>
      <c r="BL2128"/>
      <c r="BM2128"/>
      <c r="BN2128"/>
      <c r="BO2128"/>
      <c r="BP2128"/>
      <c r="BQ2128"/>
      <c r="BR2128"/>
      <c r="BS2128"/>
      <c r="BT2128"/>
      <c r="BU2128"/>
      <c r="BV2128"/>
      <c r="BW2128"/>
      <c r="BX2128"/>
      <c r="BY2128"/>
      <c r="BZ2128"/>
      <c r="CA2128"/>
      <c r="CB2128"/>
      <c r="CC2128"/>
      <c r="CD2128"/>
      <c r="CE2128"/>
      <c r="CF2128"/>
      <c r="CG2128"/>
      <c r="CH2128"/>
      <c r="CI2128"/>
      <c r="CJ2128"/>
      <c r="CK2128"/>
      <c r="CL2128"/>
      <c r="CM2128"/>
      <c r="CN2128"/>
      <c r="CO2128"/>
      <c r="CP2128"/>
      <c r="CQ2128"/>
      <c r="CR2128"/>
      <c r="CS2128"/>
    </row>
    <row r="2129" spans="2:97">
      <c r="B2129"/>
      <c r="C2129" s="1"/>
      <c r="D2129" s="1"/>
      <c r="E2129" s="1"/>
      <c r="F2129" s="1"/>
      <c r="G2129" s="1"/>
      <c r="H2129" s="1"/>
      <c r="I2129" s="1"/>
      <c r="J2129" s="1"/>
      <c r="K2129" s="1"/>
      <c r="L2129" s="1"/>
      <c r="M2129" s="1"/>
      <c r="N2129" s="1"/>
      <c r="O2129" s="1"/>
      <c r="P2129" s="1"/>
      <c r="Q2129" s="1"/>
      <c r="R2129"/>
      <c r="S2129" s="1"/>
      <c r="T2129" s="24"/>
      <c r="U2129"/>
      <c r="V2129" s="1"/>
      <c r="W2129" s="24"/>
      <c r="X2129"/>
      <c r="Y2129" s="1"/>
      <c r="Z2129" s="24"/>
      <c r="AA2129"/>
      <c r="AB2129" s="1"/>
      <c r="AC2129" s="24"/>
      <c r="AD2129"/>
      <c r="AE2129"/>
      <c r="AF2129"/>
      <c r="AG2129"/>
      <c r="AH2129"/>
      <c r="AI2129"/>
      <c r="AJ2129"/>
      <c r="AK2129"/>
      <c r="AL2129"/>
      <c r="AM2129"/>
      <c r="AN2129"/>
      <c r="AO2129"/>
      <c r="AP2129"/>
      <c r="AQ2129"/>
      <c r="AR2129"/>
      <c r="AS2129"/>
      <c r="AT2129"/>
      <c r="AU2129"/>
      <c r="AV2129"/>
      <c r="AW2129"/>
      <c r="AX2129"/>
      <c r="AY2129"/>
      <c r="AZ2129"/>
      <c r="BA2129"/>
      <c r="BB2129"/>
      <c r="BC2129"/>
      <c r="BD2129"/>
      <c r="BE2129"/>
      <c r="BF2129"/>
      <c r="BG2129"/>
      <c r="BH2129"/>
      <c r="BI2129"/>
      <c r="BJ2129"/>
      <c r="BK2129"/>
      <c r="BL2129"/>
      <c r="BM2129"/>
      <c r="BN2129"/>
      <c r="BO2129"/>
      <c r="BP2129"/>
      <c r="BQ2129"/>
      <c r="BR2129"/>
      <c r="BS2129"/>
      <c r="BT2129"/>
      <c r="BU2129"/>
      <c r="BV2129"/>
      <c r="BW2129"/>
      <c r="BX2129"/>
      <c r="BY2129"/>
      <c r="BZ2129"/>
      <c r="CA2129"/>
      <c r="CB2129"/>
      <c r="CC2129"/>
      <c r="CD2129"/>
      <c r="CE2129"/>
      <c r="CF2129"/>
      <c r="CG2129"/>
      <c r="CH2129"/>
      <c r="CI2129"/>
      <c r="CJ2129"/>
      <c r="CK2129"/>
      <c r="CL2129"/>
      <c r="CM2129"/>
      <c r="CN2129"/>
      <c r="CO2129"/>
      <c r="CP2129"/>
      <c r="CQ2129"/>
      <c r="CR2129"/>
      <c r="CS2129"/>
    </row>
    <row r="2130" spans="2:97">
      <c r="B2130"/>
      <c r="C2130" s="1"/>
      <c r="D2130" s="1"/>
      <c r="E2130" s="1"/>
      <c r="F2130" s="1"/>
      <c r="G2130" s="1"/>
      <c r="H2130" s="1"/>
      <c r="I2130" s="1"/>
      <c r="J2130" s="1"/>
      <c r="K2130" s="1"/>
      <c r="L2130" s="1"/>
      <c r="M2130" s="1"/>
      <c r="N2130" s="1"/>
      <c r="O2130" s="1"/>
      <c r="P2130" s="1"/>
      <c r="Q2130" s="1"/>
      <c r="R2130"/>
      <c r="S2130" s="1"/>
      <c r="T2130" s="24"/>
      <c r="U2130"/>
      <c r="V2130" s="1"/>
      <c r="W2130" s="24"/>
      <c r="X2130"/>
      <c r="Y2130" s="1"/>
      <c r="Z2130" s="24"/>
      <c r="AA2130"/>
      <c r="AB2130" s="1"/>
      <c r="AC2130" s="24"/>
      <c r="AD2130"/>
      <c r="AE2130"/>
      <c r="AF2130"/>
      <c r="AG2130"/>
      <c r="AH2130"/>
      <c r="AI2130"/>
      <c r="AJ2130"/>
      <c r="AK2130"/>
      <c r="AL2130"/>
      <c r="AM2130"/>
      <c r="AN2130"/>
      <c r="AO2130"/>
      <c r="AP2130"/>
      <c r="AQ2130"/>
      <c r="AR2130"/>
      <c r="AS2130"/>
      <c r="AT2130"/>
      <c r="AU2130"/>
      <c r="AV2130"/>
      <c r="AW2130"/>
      <c r="AX2130"/>
      <c r="AY2130"/>
      <c r="AZ2130"/>
      <c r="BA2130"/>
      <c r="BB2130"/>
      <c r="BC2130"/>
      <c r="BD2130"/>
      <c r="BE2130"/>
      <c r="BF2130"/>
      <c r="BG2130"/>
      <c r="BH2130"/>
      <c r="BI2130"/>
      <c r="BJ2130"/>
      <c r="BK2130"/>
      <c r="BL2130"/>
      <c r="BM2130"/>
      <c r="BN2130"/>
      <c r="BO2130"/>
      <c r="BP2130"/>
      <c r="BQ2130"/>
      <c r="BR2130"/>
      <c r="BS2130"/>
      <c r="BT2130"/>
      <c r="BU2130"/>
      <c r="BV2130"/>
      <c r="BW2130"/>
      <c r="BX2130"/>
      <c r="BY2130"/>
      <c r="BZ2130"/>
      <c r="CA2130"/>
      <c r="CB2130"/>
      <c r="CC2130"/>
      <c r="CD2130"/>
      <c r="CE2130"/>
      <c r="CF2130"/>
      <c r="CG2130"/>
      <c r="CH2130"/>
      <c r="CI2130"/>
      <c r="CJ2130"/>
      <c r="CK2130"/>
      <c r="CL2130"/>
      <c r="CM2130"/>
      <c r="CN2130"/>
      <c r="CO2130"/>
      <c r="CP2130"/>
      <c r="CQ2130"/>
      <c r="CR2130"/>
      <c r="CS2130"/>
    </row>
    <row r="2131" spans="2:97">
      <c r="B2131"/>
      <c r="C2131" s="1"/>
      <c r="D2131" s="1"/>
      <c r="E2131" s="1"/>
      <c r="F2131" s="1"/>
      <c r="G2131" s="1"/>
      <c r="H2131" s="1"/>
      <c r="I2131" s="1"/>
      <c r="J2131" s="1"/>
      <c r="K2131" s="1"/>
      <c r="L2131" s="1"/>
      <c r="M2131" s="1"/>
      <c r="N2131" s="1"/>
      <c r="O2131" s="1"/>
      <c r="P2131" s="1"/>
      <c r="Q2131" s="1"/>
      <c r="R2131"/>
      <c r="S2131" s="1"/>
      <c r="T2131" s="24"/>
      <c r="U2131"/>
      <c r="V2131" s="1"/>
      <c r="W2131" s="24"/>
      <c r="X2131"/>
      <c r="Y2131" s="1"/>
      <c r="Z2131" s="24"/>
      <c r="AA2131"/>
      <c r="AB2131" s="1"/>
      <c r="AC2131" s="24"/>
      <c r="AD2131"/>
      <c r="AE2131"/>
      <c r="AF2131"/>
      <c r="AG2131"/>
      <c r="AH2131"/>
      <c r="AI2131"/>
      <c r="AJ2131"/>
      <c r="AK2131"/>
      <c r="AL2131"/>
      <c r="AM2131"/>
      <c r="AN2131"/>
      <c r="AO2131"/>
      <c r="AP2131"/>
      <c r="AQ2131"/>
      <c r="AR2131"/>
      <c r="AS2131"/>
      <c r="AT2131"/>
      <c r="AU2131"/>
      <c r="AV2131"/>
      <c r="AW2131"/>
      <c r="AX2131"/>
      <c r="AY2131"/>
      <c r="AZ2131"/>
      <c r="BA2131"/>
      <c r="BB2131"/>
      <c r="BC2131"/>
      <c r="BD2131"/>
      <c r="BE2131"/>
      <c r="BF2131"/>
      <c r="BG2131"/>
      <c r="BH2131"/>
      <c r="BI2131"/>
      <c r="BJ2131"/>
      <c r="BK2131"/>
      <c r="BL2131"/>
      <c r="BM2131"/>
      <c r="BN2131"/>
      <c r="BO2131"/>
      <c r="BP2131"/>
      <c r="BQ2131"/>
      <c r="BR2131"/>
      <c r="BS2131"/>
      <c r="BT2131"/>
      <c r="BU2131"/>
      <c r="BV2131"/>
      <c r="BW2131"/>
      <c r="BX2131"/>
      <c r="BY2131"/>
      <c r="BZ2131"/>
      <c r="CA2131"/>
      <c r="CB2131"/>
      <c r="CC2131"/>
      <c r="CD2131"/>
      <c r="CE2131"/>
      <c r="CF2131"/>
      <c r="CG2131"/>
      <c r="CH2131"/>
      <c r="CI2131"/>
      <c r="CJ2131"/>
      <c r="CK2131"/>
      <c r="CL2131"/>
      <c r="CM2131"/>
      <c r="CN2131"/>
      <c r="CO2131"/>
      <c r="CP2131"/>
      <c r="CQ2131"/>
      <c r="CR2131"/>
      <c r="CS2131"/>
    </row>
    <row r="2132" spans="2:97">
      <c r="B2132"/>
      <c r="C2132" s="1"/>
      <c r="D2132" s="1"/>
      <c r="E2132" s="1"/>
      <c r="F2132" s="1"/>
      <c r="G2132" s="1"/>
      <c r="H2132" s="1"/>
      <c r="I2132" s="1"/>
      <c r="J2132" s="1"/>
      <c r="K2132" s="1"/>
      <c r="L2132" s="1"/>
      <c r="M2132" s="1"/>
      <c r="N2132" s="1"/>
      <c r="O2132" s="1"/>
      <c r="P2132" s="1"/>
      <c r="Q2132" s="1"/>
      <c r="R2132"/>
      <c r="S2132" s="1"/>
      <c r="T2132" s="24"/>
      <c r="U2132"/>
      <c r="V2132" s="1"/>
      <c r="W2132" s="24"/>
      <c r="X2132"/>
      <c r="Y2132" s="1"/>
      <c r="Z2132" s="24"/>
      <c r="AA2132"/>
      <c r="AB2132" s="1"/>
      <c r="AC2132" s="24"/>
      <c r="AD2132"/>
      <c r="AE2132"/>
      <c r="AF2132"/>
      <c r="AG2132"/>
      <c r="AH2132"/>
      <c r="AI2132"/>
      <c r="AJ2132"/>
      <c r="AK2132"/>
      <c r="AL2132"/>
      <c r="AM2132"/>
      <c r="AN2132"/>
      <c r="AO2132"/>
      <c r="AP2132"/>
      <c r="AQ2132"/>
      <c r="AR2132"/>
      <c r="AS2132"/>
      <c r="AT2132"/>
      <c r="AU2132"/>
      <c r="AV2132"/>
      <c r="AW2132"/>
      <c r="AX2132"/>
      <c r="AY2132"/>
      <c r="AZ2132"/>
      <c r="BA2132"/>
      <c r="BB2132"/>
      <c r="BC2132"/>
      <c r="BD2132"/>
      <c r="BE2132"/>
      <c r="BF2132"/>
      <c r="BG2132"/>
      <c r="BH2132"/>
      <c r="BI2132"/>
      <c r="BJ2132"/>
      <c r="BK2132"/>
      <c r="BL2132"/>
      <c r="BM2132"/>
      <c r="BN2132"/>
      <c r="BO2132"/>
      <c r="BP2132"/>
      <c r="BQ2132"/>
      <c r="BR2132"/>
      <c r="BS2132"/>
      <c r="BT2132"/>
      <c r="BU2132"/>
      <c r="BV2132"/>
      <c r="BW2132"/>
      <c r="BX2132"/>
      <c r="BY2132"/>
      <c r="BZ2132"/>
      <c r="CA2132"/>
      <c r="CB2132"/>
      <c r="CC2132"/>
      <c r="CD2132"/>
      <c r="CE2132"/>
      <c r="CF2132"/>
      <c r="CG2132"/>
      <c r="CH2132"/>
      <c r="CI2132"/>
      <c r="CJ2132"/>
      <c r="CK2132"/>
      <c r="CL2132"/>
      <c r="CM2132"/>
      <c r="CN2132"/>
      <c r="CO2132"/>
      <c r="CP2132"/>
      <c r="CQ2132"/>
      <c r="CR2132"/>
      <c r="CS2132"/>
    </row>
    <row r="2133" spans="2:97">
      <c r="B2133"/>
      <c r="C2133" s="1"/>
      <c r="D2133" s="1"/>
      <c r="E2133" s="1"/>
      <c r="F2133" s="1"/>
      <c r="G2133" s="1"/>
      <c r="H2133" s="1"/>
      <c r="I2133" s="1"/>
      <c r="J2133" s="1"/>
      <c r="K2133" s="1"/>
      <c r="L2133" s="1"/>
      <c r="M2133" s="1"/>
      <c r="N2133" s="1"/>
      <c r="O2133" s="1"/>
      <c r="P2133" s="1"/>
      <c r="Q2133" s="1"/>
      <c r="R2133"/>
      <c r="S2133" s="1"/>
      <c r="T2133" s="24"/>
      <c r="U2133"/>
      <c r="V2133" s="1"/>
      <c r="W2133" s="24"/>
      <c r="X2133"/>
      <c r="Y2133" s="1"/>
      <c r="Z2133" s="24"/>
      <c r="AA2133"/>
      <c r="AB2133" s="1"/>
      <c r="AC2133" s="24"/>
      <c r="AD2133"/>
      <c r="AE2133"/>
      <c r="AF2133"/>
      <c r="AG2133"/>
      <c r="AH2133"/>
      <c r="AI2133"/>
      <c r="AJ2133"/>
      <c r="AK2133"/>
      <c r="AL2133"/>
      <c r="AM2133"/>
      <c r="AN2133"/>
      <c r="AO2133"/>
      <c r="AP2133"/>
      <c r="AQ2133"/>
      <c r="AR2133"/>
      <c r="AS2133"/>
      <c r="AT2133"/>
      <c r="AU2133"/>
      <c r="AV2133"/>
      <c r="AW2133"/>
      <c r="AX2133"/>
      <c r="AY2133"/>
      <c r="AZ2133"/>
      <c r="BA2133"/>
      <c r="BB2133"/>
      <c r="BC2133"/>
      <c r="BD2133"/>
      <c r="BE2133"/>
      <c r="BF2133"/>
      <c r="BG2133"/>
      <c r="BH2133"/>
      <c r="BI2133"/>
      <c r="BJ2133"/>
      <c r="BK2133"/>
      <c r="BL2133"/>
      <c r="BM2133"/>
      <c r="BN2133"/>
      <c r="BO2133"/>
      <c r="BP2133"/>
      <c r="BQ2133"/>
      <c r="BR2133"/>
      <c r="BS2133"/>
      <c r="BT2133"/>
      <c r="BU2133"/>
      <c r="BV2133"/>
      <c r="BW2133"/>
      <c r="BX2133"/>
      <c r="BY2133"/>
      <c r="BZ2133"/>
      <c r="CA2133"/>
      <c r="CB2133"/>
      <c r="CC2133"/>
      <c r="CD2133"/>
      <c r="CE2133"/>
      <c r="CF2133"/>
      <c r="CG2133"/>
      <c r="CH2133"/>
      <c r="CI2133"/>
      <c r="CJ2133"/>
      <c r="CK2133"/>
      <c r="CL2133"/>
      <c r="CM2133"/>
      <c r="CN2133"/>
      <c r="CO2133"/>
      <c r="CP2133"/>
      <c r="CQ2133"/>
      <c r="CR2133"/>
      <c r="CS2133"/>
    </row>
    <row r="2134" spans="2:97">
      <c r="B2134"/>
      <c r="C2134" s="1"/>
      <c r="D2134" s="1"/>
      <c r="E2134" s="1"/>
      <c r="F2134" s="1"/>
      <c r="G2134" s="1"/>
      <c r="H2134" s="1"/>
      <c r="I2134" s="1"/>
      <c r="J2134" s="1"/>
      <c r="K2134" s="1"/>
      <c r="L2134" s="1"/>
      <c r="M2134" s="1"/>
      <c r="N2134" s="1"/>
      <c r="O2134" s="1"/>
      <c r="P2134" s="1"/>
      <c r="Q2134" s="1"/>
      <c r="R2134"/>
      <c r="S2134" s="1"/>
      <c r="T2134" s="24"/>
      <c r="U2134"/>
      <c r="V2134" s="1"/>
      <c r="W2134" s="24"/>
      <c r="X2134"/>
      <c r="Y2134" s="1"/>
      <c r="Z2134" s="24"/>
      <c r="AA2134"/>
      <c r="AB2134" s="1"/>
      <c r="AC2134" s="24"/>
      <c r="AD2134"/>
      <c r="AE2134"/>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c r="BM2134"/>
      <c r="BN2134"/>
      <c r="BO2134"/>
      <c r="BP2134"/>
      <c r="BQ2134"/>
      <c r="BR2134"/>
      <c r="BS2134"/>
      <c r="BT2134"/>
      <c r="BU2134"/>
      <c r="BV2134"/>
      <c r="BW2134"/>
      <c r="BX2134"/>
      <c r="BY2134"/>
      <c r="BZ2134"/>
      <c r="CA2134"/>
      <c r="CB2134"/>
      <c r="CC2134"/>
      <c r="CD2134"/>
      <c r="CE2134"/>
      <c r="CF2134"/>
      <c r="CG2134"/>
      <c r="CH2134"/>
      <c r="CI2134"/>
      <c r="CJ2134"/>
      <c r="CK2134"/>
      <c r="CL2134"/>
      <c r="CM2134"/>
      <c r="CN2134"/>
      <c r="CO2134"/>
      <c r="CP2134"/>
      <c r="CQ2134"/>
      <c r="CR2134"/>
      <c r="CS2134"/>
    </row>
    <row r="2135" spans="2:97">
      <c r="B2135"/>
      <c r="C2135" s="1"/>
      <c r="D2135" s="1"/>
      <c r="E2135" s="1"/>
      <c r="F2135" s="1"/>
      <c r="G2135" s="1"/>
      <c r="H2135" s="1"/>
      <c r="I2135" s="1"/>
      <c r="J2135" s="1"/>
      <c r="K2135" s="1"/>
      <c r="L2135" s="1"/>
      <c r="M2135" s="1"/>
      <c r="N2135" s="1"/>
      <c r="O2135" s="1"/>
      <c r="P2135" s="1"/>
      <c r="Q2135" s="1"/>
      <c r="R2135"/>
      <c r="S2135" s="1"/>
      <c r="T2135" s="24"/>
      <c r="U2135"/>
      <c r="V2135" s="1"/>
      <c r="W2135" s="24"/>
      <c r="X2135"/>
      <c r="Y2135" s="1"/>
      <c r="Z2135" s="24"/>
      <c r="AA2135"/>
      <c r="AB2135" s="1"/>
      <c r="AC2135" s="24"/>
      <c r="AD2135"/>
      <c r="AE2135"/>
      <c r="AF2135"/>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c r="BI2135"/>
      <c r="BJ2135"/>
      <c r="BK2135"/>
      <c r="BL2135"/>
      <c r="BM2135"/>
      <c r="BN2135"/>
      <c r="BO2135"/>
      <c r="BP2135"/>
      <c r="BQ2135"/>
      <c r="BR2135"/>
      <c r="BS2135"/>
      <c r="BT2135"/>
      <c r="BU2135"/>
      <c r="BV2135"/>
      <c r="BW2135"/>
      <c r="BX2135"/>
      <c r="BY2135"/>
      <c r="BZ2135"/>
      <c r="CA2135"/>
      <c r="CB2135"/>
      <c r="CC2135"/>
      <c r="CD2135"/>
      <c r="CE2135"/>
      <c r="CF2135"/>
      <c r="CG2135"/>
      <c r="CH2135"/>
      <c r="CI2135"/>
      <c r="CJ2135"/>
      <c r="CK2135"/>
      <c r="CL2135"/>
      <c r="CM2135"/>
      <c r="CN2135"/>
      <c r="CO2135"/>
      <c r="CP2135"/>
      <c r="CQ2135"/>
      <c r="CR2135"/>
      <c r="CS2135"/>
    </row>
    <row r="2136" spans="2:97">
      <c r="B2136"/>
      <c r="C2136" s="1"/>
      <c r="D2136" s="1"/>
      <c r="E2136" s="1"/>
      <c r="F2136" s="1"/>
      <c r="G2136" s="1"/>
      <c r="H2136" s="1"/>
      <c r="I2136" s="1"/>
      <c r="J2136" s="1"/>
      <c r="K2136" s="1"/>
      <c r="L2136" s="1"/>
      <c r="M2136" s="1"/>
      <c r="N2136" s="1"/>
      <c r="O2136" s="1"/>
      <c r="P2136" s="1"/>
      <c r="Q2136" s="1"/>
      <c r="R2136"/>
      <c r="S2136" s="1"/>
      <c r="T2136" s="24"/>
      <c r="U2136"/>
      <c r="V2136" s="1"/>
      <c r="W2136" s="24"/>
      <c r="X2136"/>
      <c r="Y2136" s="1"/>
      <c r="Z2136" s="24"/>
      <c r="AA2136"/>
      <c r="AB2136" s="1"/>
      <c r="AC2136" s="24"/>
      <c r="AD2136"/>
      <c r="AE2136"/>
      <c r="AF2136"/>
      <c r="AG2136"/>
      <c r="AH2136"/>
      <c r="AI2136"/>
      <c r="AJ2136"/>
      <c r="AK2136"/>
      <c r="AL2136"/>
      <c r="AM2136"/>
      <c r="AN2136"/>
      <c r="AO2136"/>
      <c r="AP2136"/>
      <c r="AQ2136"/>
      <c r="AR2136"/>
      <c r="AS2136"/>
      <c r="AT2136"/>
      <c r="AU2136"/>
      <c r="AV2136"/>
      <c r="AW2136"/>
      <c r="AX2136"/>
      <c r="AY2136"/>
      <c r="AZ2136"/>
      <c r="BA2136"/>
      <c r="BB2136"/>
      <c r="BC2136"/>
      <c r="BD2136"/>
      <c r="BE2136"/>
      <c r="BF2136"/>
      <c r="BG2136"/>
      <c r="BH2136"/>
      <c r="BI2136"/>
      <c r="BJ2136"/>
      <c r="BK2136"/>
      <c r="BL2136"/>
      <c r="BM2136"/>
      <c r="BN2136"/>
      <c r="BO2136"/>
      <c r="BP2136"/>
      <c r="BQ2136"/>
      <c r="BR2136"/>
      <c r="BS2136"/>
      <c r="BT2136"/>
      <c r="BU2136"/>
      <c r="BV2136"/>
      <c r="BW2136"/>
      <c r="BX2136"/>
      <c r="BY2136"/>
      <c r="BZ2136"/>
      <c r="CA2136"/>
      <c r="CB2136"/>
      <c r="CC2136"/>
      <c r="CD2136"/>
      <c r="CE2136"/>
      <c r="CF2136"/>
      <c r="CG2136"/>
      <c r="CH2136"/>
      <c r="CI2136"/>
      <c r="CJ2136"/>
      <c r="CK2136"/>
      <c r="CL2136"/>
      <c r="CM2136"/>
      <c r="CN2136"/>
      <c r="CO2136"/>
      <c r="CP2136"/>
      <c r="CQ2136"/>
      <c r="CR2136"/>
      <c r="CS2136"/>
    </row>
    <row r="2137" spans="2:97">
      <c r="B2137"/>
      <c r="C2137" s="1"/>
      <c r="D2137" s="1"/>
      <c r="E2137" s="1"/>
      <c r="F2137" s="1"/>
      <c r="G2137" s="1"/>
      <c r="H2137" s="1"/>
      <c r="I2137" s="1"/>
      <c r="J2137" s="1"/>
      <c r="K2137" s="1"/>
      <c r="L2137" s="1"/>
      <c r="M2137" s="1"/>
      <c r="N2137" s="1"/>
      <c r="O2137" s="1"/>
      <c r="P2137" s="1"/>
      <c r="Q2137" s="1"/>
      <c r="R2137"/>
      <c r="S2137" s="1"/>
      <c r="T2137" s="24"/>
      <c r="U2137"/>
      <c r="V2137" s="1"/>
      <c r="W2137" s="24"/>
      <c r="X2137"/>
      <c r="Y2137" s="1"/>
      <c r="Z2137" s="24"/>
      <c r="AA2137"/>
      <c r="AB2137" s="1"/>
      <c r="AC2137" s="24"/>
      <c r="AD2137"/>
      <c r="AE2137"/>
      <c r="AF2137"/>
      <c r="AG2137"/>
      <c r="AH2137"/>
      <c r="AI2137"/>
      <c r="AJ2137"/>
      <c r="AK2137"/>
      <c r="AL2137"/>
      <c r="AM2137"/>
      <c r="AN2137"/>
      <c r="AO2137"/>
      <c r="AP2137"/>
      <c r="AQ2137"/>
      <c r="AR2137"/>
      <c r="AS2137"/>
      <c r="AT2137"/>
      <c r="AU2137"/>
      <c r="AV2137"/>
      <c r="AW2137"/>
      <c r="AX2137"/>
      <c r="AY2137"/>
      <c r="AZ2137"/>
      <c r="BA2137"/>
      <c r="BB2137"/>
      <c r="BC2137"/>
      <c r="BD2137"/>
      <c r="BE2137"/>
      <c r="BF2137"/>
      <c r="BG2137"/>
      <c r="BH2137"/>
      <c r="BI2137"/>
      <c r="BJ2137"/>
      <c r="BK2137"/>
      <c r="BL2137"/>
      <c r="BM2137"/>
      <c r="BN2137"/>
      <c r="BO2137"/>
      <c r="BP2137"/>
      <c r="BQ2137"/>
      <c r="BR2137"/>
      <c r="BS2137"/>
      <c r="BT2137"/>
      <c r="BU2137"/>
      <c r="BV2137"/>
      <c r="BW2137"/>
      <c r="BX2137"/>
      <c r="BY2137"/>
      <c r="BZ2137"/>
      <c r="CA2137"/>
      <c r="CB2137"/>
      <c r="CC2137"/>
      <c r="CD2137"/>
      <c r="CE2137"/>
      <c r="CF2137"/>
      <c r="CG2137"/>
      <c r="CH2137"/>
      <c r="CI2137"/>
      <c r="CJ2137"/>
      <c r="CK2137"/>
      <c r="CL2137"/>
      <c r="CM2137"/>
      <c r="CN2137"/>
      <c r="CO2137"/>
      <c r="CP2137"/>
      <c r="CQ2137"/>
      <c r="CR2137"/>
      <c r="CS2137"/>
    </row>
    <row r="2138" spans="2:97">
      <c r="B2138"/>
      <c r="C2138" s="1"/>
      <c r="D2138" s="1"/>
      <c r="E2138" s="1"/>
      <c r="F2138" s="1"/>
      <c r="G2138" s="1"/>
      <c r="H2138" s="1"/>
      <c r="I2138" s="1"/>
      <c r="J2138" s="1"/>
      <c r="K2138" s="1"/>
      <c r="L2138" s="1"/>
      <c r="M2138" s="1"/>
      <c r="N2138" s="1"/>
      <c r="O2138" s="1"/>
      <c r="P2138" s="1"/>
      <c r="Q2138" s="1"/>
      <c r="R2138"/>
      <c r="S2138" s="1"/>
      <c r="T2138" s="24"/>
      <c r="U2138"/>
      <c r="V2138" s="1"/>
      <c r="W2138" s="24"/>
      <c r="X2138"/>
      <c r="Y2138" s="1"/>
      <c r="Z2138" s="24"/>
      <c r="AA2138"/>
      <c r="AB2138" s="1"/>
      <c r="AC2138" s="24"/>
      <c r="AD2138"/>
      <c r="AE2138"/>
      <c r="AF2138"/>
      <c r="AG2138"/>
      <c r="AH2138"/>
      <c r="AI2138"/>
      <c r="AJ2138"/>
      <c r="AK2138"/>
      <c r="AL2138"/>
      <c r="AM2138"/>
      <c r="AN2138"/>
      <c r="AO2138"/>
      <c r="AP2138"/>
      <c r="AQ2138"/>
      <c r="AR2138"/>
      <c r="AS2138"/>
      <c r="AT2138"/>
      <c r="AU2138"/>
      <c r="AV2138"/>
      <c r="AW2138"/>
      <c r="AX2138"/>
      <c r="AY2138"/>
      <c r="AZ2138"/>
      <c r="BA2138"/>
      <c r="BB2138"/>
      <c r="BC2138"/>
      <c r="BD2138"/>
      <c r="BE2138"/>
      <c r="BF2138"/>
      <c r="BG2138"/>
      <c r="BH2138"/>
      <c r="BI2138"/>
      <c r="BJ2138"/>
      <c r="BK2138"/>
      <c r="BL2138"/>
      <c r="BM2138"/>
      <c r="BN2138"/>
      <c r="BO2138"/>
      <c r="BP2138"/>
      <c r="BQ2138"/>
      <c r="BR2138"/>
      <c r="BS2138"/>
      <c r="BT2138"/>
      <c r="BU2138"/>
      <c r="BV2138"/>
      <c r="BW2138"/>
      <c r="BX2138"/>
      <c r="BY2138"/>
      <c r="BZ2138"/>
      <c r="CA2138"/>
      <c r="CB2138"/>
      <c r="CC2138"/>
      <c r="CD2138"/>
      <c r="CE2138"/>
      <c r="CF2138"/>
      <c r="CG2138"/>
      <c r="CH2138"/>
      <c r="CI2138"/>
      <c r="CJ2138"/>
      <c r="CK2138"/>
      <c r="CL2138"/>
      <c r="CM2138"/>
      <c r="CN2138"/>
      <c r="CO2138"/>
      <c r="CP2138"/>
      <c r="CQ2138"/>
      <c r="CR2138"/>
      <c r="CS2138"/>
    </row>
    <row r="2139" spans="2:97">
      <c r="B2139"/>
      <c r="C2139" s="1"/>
      <c r="D2139" s="1"/>
      <c r="E2139" s="1"/>
      <c r="F2139" s="1"/>
      <c r="G2139" s="1"/>
      <c r="H2139" s="1"/>
      <c r="I2139" s="1"/>
      <c r="J2139" s="1"/>
      <c r="K2139" s="1"/>
      <c r="L2139" s="1"/>
      <c r="M2139" s="1"/>
      <c r="N2139" s="1"/>
      <c r="O2139" s="1"/>
      <c r="P2139" s="1"/>
      <c r="Q2139" s="1"/>
      <c r="R2139"/>
      <c r="S2139" s="1"/>
      <c r="T2139" s="24"/>
      <c r="U2139"/>
      <c r="V2139" s="1"/>
      <c r="W2139" s="24"/>
      <c r="X2139"/>
      <c r="Y2139" s="1"/>
      <c r="Z2139" s="24"/>
      <c r="AA2139"/>
      <c r="AB2139" s="1"/>
      <c r="AC2139" s="24"/>
      <c r="AD2139"/>
      <c r="AE2139"/>
      <c r="AF2139"/>
      <c r="AG2139"/>
      <c r="AH2139"/>
      <c r="AI2139"/>
      <c r="AJ2139"/>
      <c r="AK2139"/>
      <c r="AL2139"/>
      <c r="AM2139"/>
      <c r="AN2139"/>
      <c r="AO2139"/>
      <c r="AP2139"/>
      <c r="AQ2139"/>
      <c r="AR2139"/>
      <c r="AS2139"/>
      <c r="AT2139"/>
      <c r="AU2139"/>
      <c r="AV2139"/>
      <c r="AW2139"/>
      <c r="AX2139"/>
      <c r="AY2139"/>
      <c r="AZ2139"/>
      <c r="BA2139"/>
      <c r="BB2139"/>
      <c r="BC2139"/>
      <c r="BD2139"/>
      <c r="BE2139"/>
      <c r="BF2139"/>
      <c r="BG2139"/>
      <c r="BH2139"/>
      <c r="BI2139"/>
      <c r="BJ2139"/>
      <c r="BK2139"/>
      <c r="BL2139"/>
      <c r="BM2139"/>
      <c r="BN2139"/>
      <c r="BO2139"/>
      <c r="BP2139"/>
      <c r="BQ2139"/>
      <c r="BR2139"/>
      <c r="BS2139"/>
      <c r="BT2139"/>
      <c r="BU2139"/>
      <c r="BV2139"/>
      <c r="BW2139"/>
      <c r="BX2139"/>
      <c r="BY2139"/>
      <c r="BZ2139"/>
      <c r="CA2139"/>
      <c r="CB2139"/>
      <c r="CC2139"/>
      <c r="CD2139"/>
      <c r="CE2139"/>
      <c r="CF2139"/>
      <c r="CG2139"/>
      <c r="CH2139"/>
      <c r="CI2139"/>
      <c r="CJ2139"/>
      <c r="CK2139"/>
      <c r="CL2139"/>
      <c r="CM2139"/>
      <c r="CN2139"/>
      <c r="CO2139"/>
      <c r="CP2139"/>
      <c r="CQ2139"/>
      <c r="CR2139"/>
      <c r="CS2139"/>
    </row>
    <row r="2140" spans="2:97">
      <c r="B2140"/>
      <c r="C2140" s="1"/>
      <c r="D2140" s="1"/>
      <c r="E2140" s="1"/>
      <c r="F2140" s="1"/>
      <c r="G2140" s="1"/>
      <c r="H2140" s="1"/>
      <c r="I2140" s="1"/>
      <c r="J2140" s="1"/>
      <c r="K2140" s="1"/>
      <c r="L2140" s="1"/>
      <c r="M2140" s="1"/>
      <c r="N2140" s="1"/>
      <c r="O2140" s="1"/>
      <c r="P2140" s="1"/>
      <c r="Q2140" s="1"/>
      <c r="R2140"/>
      <c r="S2140" s="1"/>
      <c r="T2140" s="24"/>
      <c r="U2140"/>
      <c r="V2140" s="1"/>
      <c r="W2140" s="24"/>
      <c r="X2140"/>
      <c r="Y2140" s="1"/>
      <c r="Z2140" s="24"/>
      <c r="AA2140"/>
      <c r="AB2140" s="1"/>
      <c r="AC2140" s="24"/>
      <c r="AD2140"/>
      <c r="AE2140"/>
      <c r="AF2140"/>
      <c r="AG2140"/>
      <c r="AH2140"/>
      <c r="AI2140"/>
      <c r="AJ2140"/>
      <c r="AK2140"/>
      <c r="AL2140"/>
      <c r="AM2140"/>
      <c r="AN2140"/>
      <c r="AO2140"/>
      <c r="AP2140"/>
      <c r="AQ2140"/>
      <c r="AR2140"/>
      <c r="AS2140"/>
      <c r="AT2140"/>
      <c r="AU2140"/>
      <c r="AV2140"/>
      <c r="AW2140"/>
      <c r="AX2140"/>
      <c r="AY2140"/>
      <c r="AZ2140"/>
      <c r="BA2140"/>
      <c r="BB2140"/>
      <c r="BC2140"/>
      <c r="BD2140"/>
      <c r="BE2140"/>
      <c r="BF2140"/>
      <c r="BG2140"/>
      <c r="BH2140"/>
      <c r="BI2140"/>
      <c r="BJ2140"/>
      <c r="BK2140"/>
      <c r="BL2140"/>
      <c r="BM2140"/>
      <c r="BN2140"/>
      <c r="BO2140"/>
      <c r="BP2140"/>
      <c r="BQ2140"/>
      <c r="BR2140"/>
      <c r="BS2140"/>
      <c r="BT2140"/>
      <c r="BU2140"/>
      <c r="BV2140"/>
      <c r="BW2140"/>
      <c r="BX2140"/>
      <c r="BY2140"/>
      <c r="BZ2140"/>
      <c r="CA2140"/>
      <c r="CB2140"/>
      <c r="CC2140"/>
      <c r="CD2140"/>
      <c r="CE2140"/>
      <c r="CF2140"/>
      <c r="CG2140"/>
      <c r="CH2140"/>
      <c r="CI2140"/>
      <c r="CJ2140"/>
      <c r="CK2140"/>
      <c r="CL2140"/>
      <c r="CM2140"/>
      <c r="CN2140"/>
      <c r="CO2140"/>
      <c r="CP2140"/>
      <c r="CQ2140"/>
      <c r="CR2140"/>
      <c r="CS2140"/>
    </row>
    <row r="2141" spans="2:97">
      <c r="B2141"/>
      <c r="C2141" s="1"/>
      <c r="D2141" s="1"/>
      <c r="E2141" s="1"/>
      <c r="F2141" s="1"/>
      <c r="G2141" s="1"/>
      <c r="H2141" s="1"/>
      <c r="I2141" s="1"/>
      <c r="J2141" s="1"/>
      <c r="K2141" s="1"/>
      <c r="L2141" s="1"/>
      <c r="M2141" s="1"/>
      <c r="N2141" s="1"/>
      <c r="O2141" s="1"/>
      <c r="P2141" s="1"/>
      <c r="Q2141" s="1"/>
      <c r="R2141"/>
      <c r="S2141" s="1"/>
      <c r="T2141" s="24"/>
      <c r="U2141"/>
      <c r="V2141" s="1"/>
      <c r="W2141" s="24"/>
      <c r="X2141"/>
      <c r="Y2141" s="1"/>
      <c r="Z2141" s="24"/>
      <c r="AA2141"/>
      <c r="AB2141" s="1"/>
      <c r="AC2141" s="24"/>
      <c r="AD2141"/>
      <c r="AE2141"/>
      <c r="AF2141"/>
      <c r="AG2141"/>
      <c r="AH2141"/>
      <c r="AI2141"/>
      <c r="AJ2141"/>
      <c r="AK2141"/>
      <c r="AL2141"/>
      <c r="AM2141"/>
      <c r="AN2141"/>
      <c r="AO2141"/>
      <c r="AP2141"/>
      <c r="AQ2141"/>
      <c r="AR2141"/>
      <c r="AS2141"/>
      <c r="AT2141"/>
      <c r="AU2141"/>
      <c r="AV2141"/>
      <c r="AW2141"/>
      <c r="AX2141"/>
      <c r="AY2141"/>
      <c r="AZ2141"/>
      <c r="BA2141"/>
      <c r="BB2141"/>
      <c r="BC2141"/>
      <c r="BD2141"/>
      <c r="BE2141"/>
      <c r="BF2141"/>
      <c r="BG2141"/>
      <c r="BH2141"/>
      <c r="BI2141"/>
      <c r="BJ2141"/>
      <c r="BK2141"/>
      <c r="BL2141"/>
      <c r="BM2141"/>
      <c r="BN2141"/>
      <c r="BO2141"/>
      <c r="BP2141"/>
      <c r="BQ2141"/>
      <c r="BR2141"/>
      <c r="BS2141"/>
      <c r="BT2141"/>
      <c r="BU2141"/>
      <c r="BV2141"/>
      <c r="BW2141"/>
      <c r="BX2141"/>
      <c r="BY2141"/>
      <c r="BZ2141"/>
      <c r="CA2141"/>
      <c r="CB2141"/>
      <c r="CC2141"/>
      <c r="CD2141"/>
      <c r="CE2141"/>
      <c r="CF2141"/>
      <c r="CG2141"/>
      <c r="CH2141"/>
      <c r="CI2141"/>
      <c r="CJ2141"/>
      <c r="CK2141"/>
      <c r="CL2141"/>
      <c r="CM2141"/>
      <c r="CN2141"/>
      <c r="CO2141"/>
      <c r="CP2141"/>
      <c r="CQ2141"/>
      <c r="CR2141"/>
      <c r="CS2141"/>
    </row>
    <row r="2142" spans="2:97">
      <c r="B2142"/>
      <c r="C2142" s="1"/>
      <c r="D2142" s="1"/>
      <c r="E2142" s="1"/>
      <c r="F2142" s="1"/>
      <c r="G2142" s="1"/>
      <c r="H2142" s="1"/>
      <c r="I2142" s="1"/>
      <c r="J2142" s="1"/>
      <c r="K2142" s="1"/>
      <c r="L2142" s="1"/>
      <c r="M2142" s="1"/>
      <c r="N2142" s="1"/>
      <c r="O2142" s="1"/>
      <c r="P2142" s="1"/>
      <c r="Q2142" s="1"/>
      <c r="R2142"/>
      <c r="S2142" s="1"/>
      <c r="T2142" s="24"/>
      <c r="U2142"/>
      <c r="V2142" s="1"/>
      <c r="W2142" s="24"/>
      <c r="X2142"/>
      <c r="Y2142" s="1"/>
      <c r="Z2142" s="24"/>
      <c r="AA2142"/>
      <c r="AB2142" s="1"/>
      <c r="AC2142" s="24"/>
      <c r="AD2142"/>
      <c r="AE2142"/>
      <c r="AF2142"/>
      <c r="AG2142"/>
      <c r="AH2142"/>
      <c r="AI2142"/>
      <c r="AJ2142"/>
      <c r="AK2142"/>
      <c r="AL2142"/>
      <c r="AM2142"/>
      <c r="AN2142"/>
      <c r="AO2142"/>
      <c r="AP2142"/>
      <c r="AQ2142"/>
      <c r="AR2142"/>
      <c r="AS2142"/>
      <c r="AT2142"/>
      <c r="AU2142"/>
      <c r="AV2142"/>
      <c r="AW2142"/>
      <c r="AX2142"/>
      <c r="AY2142"/>
      <c r="AZ2142"/>
      <c r="BA2142"/>
      <c r="BB2142"/>
      <c r="BC2142"/>
      <c r="BD2142"/>
      <c r="BE2142"/>
      <c r="BF2142"/>
      <c r="BG2142"/>
      <c r="BH2142"/>
      <c r="BI2142"/>
      <c r="BJ2142"/>
      <c r="BK2142"/>
      <c r="BL2142"/>
      <c r="BM2142"/>
      <c r="BN2142"/>
      <c r="BO2142"/>
      <c r="BP2142"/>
      <c r="BQ2142"/>
      <c r="BR2142"/>
      <c r="BS2142"/>
      <c r="BT2142"/>
      <c r="BU2142"/>
      <c r="BV2142"/>
      <c r="BW2142"/>
      <c r="BX2142"/>
      <c r="BY2142"/>
      <c r="BZ2142"/>
      <c r="CA2142"/>
      <c r="CB2142"/>
      <c r="CC2142"/>
      <c r="CD2142"/>
      <c r="CE2142"/>
      <c r="CF2142"/>
      <c r="CG2142"/>
      <c r="CH2142"/>
      <c r="CI2142"/>
      <c r="CJ2142"/>
      <c r="CK2142"/>
      <c r="CL2142"/>
      <c r="CM2142"/>
      <c r="CN2142"/>
      <c r="CO2142"/>
      <c r="CP2142"/>
      <c r="CQ2142"/>
      <c r="CR2142"/>
      <c r="CS2142"/>
    </row>
    <row r="2143" spans="2:97">
      <c r="B2143"/>
      <c r="C2143" s="1"/>
      <c r="D2143" s="1"/>
      <c r="E2143" s="1"/>
      <c r="F2143" s="1"/>
      <c r="G2143" s="1"/>
      <c r="H2143" s="1"/>
      <c r="I2143" s="1"/>
      <c r="J2143" s="1"/>
      <c r="K2143" s="1"/>
      <c r="L2143" s="1"/>
      <c r="M2143" s="1"/>
      <c r="N2143" s="1"/>
      <c r="O2143" s="1"/>
      <c r="P2143" s="1"/>
      <c r="Q2143" s="1"/>
      <c r="R2143"/>
      <c r="S2143" s="1"/>
      <c r="T2143" s="24"/>
      <c r="U2143"/>
      <c r="V2143" s="1"/>
      <c r="W2143" s="24"/>
      <c r="X2143"/>
      <c r="Y2143" s="1"/>
      <c r="Z2143" s="24"/>
      <c r="AA2143"/>
      <c r="AB2143" s="1"/>
      <c r="AC2143" s="24"/>
      <c r="AD2143"/>
      <c r="AE2143"/>
      <c r="AF2143"/>
      <c r="AG2143"/>
      <c r="AH2143"/>
      <c r="AI2143"/>
      <c r="AJ2143"/>
      <c r="AK2143"/>
      <c r="AL2143"/>
      <c r="AM2143"/>
      <c r="AN2143"/>
      <c r="AO2143"/>
      <c r="AP2143"/>
      <c r="AQ2143"/>
      <c r="AR2143"/>
      <c r="AS2143"/>
      <c r="AT2143"/>
      <c r="AU2143"/>
      <c r="AV2143"/>
      <c r="AW2143"/>
      <c r="AX2143"/>
      <c r="AY2143"/>
      <c r="AZ2143"/>
      <c r="BA2143"/>
      <c r="BB2143"/>
      <c r="BC2143"/>
      <c r="BD2143"/>
      <c r="BE2143"/>
      <c r="BF2143"/>
      <c r="BG2143"/>
      <c r="BH2143"/>
      <c r="BI2143"/>
      <c r="BJ2143"/>
      <c r="BK2143"/>
      <c r="BL2143"/>
      <c r="BM2143"/>
      <c r="BN2143"/>
      <c r="BO2143"/>
      <c r="BP2143"/>
      <c r="BQ2143"/>
      <c r="BR2143"/>
      <c r="BS2143"/>
      <c r="BT2143"/>
      <c r="BU2143"/>
      <c r="BV2143"/>
      <c r="BW2143"/>
      <c r="BX2143"/>
      <c r="BY2143"/>
      <c r="BZ2143"/>
      <c r="CA2143"/>
      <c r="CB2143"/>
      <c r="CC2143"/>
      <c r="CD2143"/>
      <c r="CE2143"/>
      <c r="CF2143"/>
      <c r="CG2143"/>
      <c r="CH2143"/>
      <c r="CI2143"/>
      <c r="CJ2143"/>
      <c r="CK2143"/>
      <c r="CL2143"/>
      <c r="CM2143"/>
      <c r="CN2143"/>
      <c r="CO2143"/>
      <c r="CP2143"/>
      <c r="CQ2143"/>
      <c r="CR2143"/>
      <c r="CS2143"/>
    </row>
    <row r="2144" spans="2:97">
      <c r="B2144"/>
      <c r="C2144" s="1"/>
      <c r="D2144" s="1"/>
      <c r="E2144" s="1"/>
      <c r="F2144" s="1"/>
      <c r="G2144" s="1"/>
      <c r="H2144" s="1"/>
      <c r="I2144" s="1"/>
      <c r="J2144" s="1"/>
      <c r="K2144" s="1"/>
      <c r="L2144" s="1"/>
      <c r="M2144" s="1"/>
      <c r="N2144" s="1"/>
      <c r="O2144" s="1"/>
      <c r="P2144" s="1"/>
      <c r="Q2144" s="1"/>
      <c r="R2144"/>
      <c r="S2144" s="1"/>
      <c r="T2144" s="24"/>
      <c r="U2144"/>
      <c r="V2144" s="1"/>
      <c r="W2144" s="24"/>
      <c r="X2144"/>
      <c r="Y2144" s="1"/>
      <c r="Z2144" s="24"/>
      <c r="AA2144"/>
      <c r="AB2144" s="1"/>
      <c r="AC2144" s="24"/>
      <c r="AD2144"/>
      <c r="AE2144"/>
      <c r="AF2144"/>
      <c r="AG2144"/>
      <c r="AH2144"/>
      <c r="AI2144"/>
      <c r="AJ2144"/>
      <c r="AK2144"/>
      <c r="AL2144"/>
      <c r="AM2144"/>
      <c r="AN2144"/>
      <c r="AO2144"/>
      <c r="AP2144"/>
      <c r="AQ2144"/>
      <c r="AR2144"/>
      <c r="AS2144"/>
      <c r="AT2144"/>
      <c r="AU2144"/>
      <c r="AV2144"/>
      <c r="AW2144"/>
      <c r="AX2144"/>
      <c r="AY2144"/>
      <c r="AZ2144"/>
      <c r="BA2144"/>
      <c r="BB2144"/>
      <c r="BC2144"/>
      <c r="BD2144"/>
      <c r="BE2144"/>
      <c r="BF2144"/>
      <c r="BG2144"/>
      <c r="BH2144"/>
      <c r="BI2144"/>
      <c r="BJ2144"/>
      <c r="BK2144"/>
      <c r="BL2144"/>
      <c r="BM2144"/>
      <c r="BN2144"/>
      <c r="BO2144"/>
      <c r="BP2144"/>
      <c r="BQ2144"/>
      <c r="BR2144"/>
      <c r="BS2144"/>
      <c r="BT2144"/>
      <c r="BU2144"/>
      <c r="BV2144"/>
      <c r="BW2144"/>
      <c r="BX2144"/>
      <c r="BY2144"/>
      <c r="BZ2144"/>
      <c r="CA2144"/>
      <c r="CB2144"/>
      <c r="CC2144"/>
      <c r="CD2144"/>
      <c r="CE2144"/>
      <c r="CF2144"/>
      <c r="CG2144"/>
      <c r="CH2144"/>
      <c r="CI2144"/>
      <c r="CJ2144"/>
      <c r="CK2144"/>
      <c r="CL2144"/>
      <c r="CM2144"/>
      <c r="CN2144"/>
      <c r="CO2144"/>
      <c r="CP2144"/>
      <c r="CQ2144"/>
      <c r="CR2144"/>
      <c r="CS2144"/>
    </row>
    <row r="2145" spans="2:97">
      <c r="B2145"/>
      <c r="C2145" s="1"/>
      <c r="D2145" s="1"/>
      <c r="E2145" s="1"/>
      <c r="F2145" s="1"/>
      <c r="G2145" s="1"/>
      <c r="H2145" s="1"/>
      <c r="I2145" s="1"/>
      <c r="J2145" s="1"/>
      <c r="K2145" s="1"/>
      <c r="L2145" s="1"/>
      <c r="M2145" s="1"/>
      <c r="N2145" s="1"/>
      <c r="O2145" s="1"/>
      <c r="P2145" s="1"/>
      <c r="Q2145" s="1"/>
      <c r="R2145"/>
      <c r="S2145" s="1"/>
      <c r="T2145" s="24"/>
      <c r="U2145"/>
      <c r="V2145" s="1"/>
      <c r="W2145" s="24"/>
      <c r="X2145"/>
      <c r="Y2145" s="1"/>
      <c r="Z2145" s="24"/>
      <c r="AA2145"/>
      <c r="AB2145" s="1"/>
      <c r="AC2145" s="24"/>
      <c r="AD2145"/>
      <c r="AE2145"/>
      <c r="AF2145"/>
      <c r="AG2145"/>
      <c r="AH2145"/>
      <c r="AI2145"/>
      <c r="AJ2145"/>
      <c r="AK2145"/>
      <c r="AL2145"/>
      <c r="AM2145"/>
      <c r="AN2145"/>
      <c r="AO2145"/>
      <c r="AP2145"/>
      <c r="AQ2145"/>
      <c r="AR2145"/>
      <c r="AS2145"/>
      <c r="AT2145"/>
      <c r="AU2145"/>
      <c r="AV2145"/>
      <c r="AW2145"/>
      <c r="AX2145"/>
      <c r="AY2145"/>
      <c r="AZ2145"/>
      <c r="BA2145"/>
      <c r="BB2145"/>
      <c r="BC2145"/>
      <c r="BD2145"/>
      <c r="BE2145"/>
      <c r="BF2145"/>
      <c r="BG2145"/>
      <c r="BH2145"/>
      <c r="BI2145"/>
      <c r="BJ2145"/>
      <c r="BK2145"/>
      <c r="BL2145"/>
      <c r="BM2145"/>
      <c r="BN2145"/>
      <c r="BO2145"/>
      <c r="BP2145"/>
      <c r="BQ2145"/>
      <c r="BR2145"/>
      <c r="BS2145"/>
      <c r="BT2145"/>
      <c r="BU2145"/>
      <c r="BV2145"/>
      <c r="BW2145"/>
      <c r="BX2145"/>
      <c r="BY2145"/>
      <c r="BZ2145"/>
      <c r="CA2145"/>
      <c r="CB2145"/>
      <c r="CC2145"/>
      <c r="CD2145"/>
      <c r="CE2145"/>
      <c r="CF2145"/>
      <c r="CG2145"/>
      <c r="CH2145"/>
      <c r="CI2145"/>
      <c r="CJ2145"/>
      <c r="CK2145"/>
      <c r="CL2145"/>
      <c r="CM2145"/>
      <c r="CN2145"/>
      <c r="CO2145"/>
      <c r="CP2145"/>
      <c r="CQ2145"/>
      <c r="CR2145"/>
      <c r="CS2145"/>
    </row>
    <row r="2146" spans="2:97">
      <c r="B2146"/>
      <c r="C2146" s="1"/>
      <c r="D2146" s="1"/>
      <c r="E2146" s="1"/>
      <c r="F2146" s="1"/>
      <c r="G2146" s="1"/>
      <c r="H2146" s="1"/>
      <c r="I2146" s="1"/>
      <c r="J2146" s="1"/>
      <c r="K2146" s="1"/>
      <c r="L2146" s="1"/>
      <c r="M2146" s="1"/>
      <c r="N2146" s="1"/>
      <c r="O2146" s="1"/>
      <c r="P2146" s="1"/>
      <c r="Q2146" s="1"/>
      <c r="R2146"/>
      <c r="S2146" s="1"/>
      <c r="T2146" s="24"/>
      <c r="U2146"/>
      <c r="V2146" s="1"/>
      <c r="W2146" s="24"/>
      <c r="X2146"/>
      <c r="Y2146" s="1"/>
      <c r="Z2146" s="24"/>
      <c r="AA2146"/>
      <c r="AB2146" s="1"/>
      <c r="AC2146" s="24"/>
      <c r="AD2146"/>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c r="BR2146"/>
      <c r="BS2146"/>
      <c r="BT2146"/>
      <c r="BU2146"/>
      <c r="BV2146"/>
      <c r="BW2146"/>
      <c r="BX2146"/>
      <c r="BY2146"/>
      <c r="BZ2146"/>
      <c r="CA2146"/>
      <c r="CB2146"/>
      <c r="CC2146"/>
      <c r="CD2146"/>
      <c r="CE2146"/>
      <c r="CF2146"/>
      <c r="CG2146"/>
      <c r="CH2146"/>
      <c r="CI2146"/>
      <c r="CJ2146"/>
      <c r="CK2146"/>
      <c r="CL2146"/>
      <c r="CM2146"/>
      <c r="CN2146"/>
      <c r="CO2146"/>
      <c r="CP2146"/>
      <c r="CQ2146"/>
      <c r="CR2146"/>
      <c r="CS2146"/>
    </row>
    <row r="2147" spans="2:97">
      <c r="B2147"/>
      <c r="C2147" s="1"/>
      <c r="D2147" s="1"/>
      <c r="E2147" s="1"/>
      <c r="F2147" s="1"/>
      <c r="G2147" s="1"/>
      <c r="H2147" s="1"/>
      <c r="I2147" s="1"/>
      <c r="J2147" s="1"/>
      <c r="K2147" s="1"/>
      <c r="L2147" s="1"/>
      <c r="M2147" s="1"/>
      <c r="N2147" s="1"/>
      <c r="O2147" s="1"/>
      <c r="P2147" s="1"/>
      <c r="Q2147" s="1"/>
      <c r="R2147"/>
      <c r="S2147" s="1"/>
      <c r="T2147" s="24"/>
      <c r="U2147"/>
      <c r="V2147" s="1"/>
      <c r="W2147" s="24"/>
      <c r="X2147"/>
      <c r="Y2147" s="1"/>
      <c r="Z2147" s="24"/>
      <c r="AA2147"/>
      <c r="AB2147" s="1"/>
      <c r="AC2147" s="24"/>
      <c r="AD2147"/>
      <c r="AE2147"/>
      <c r="AF2147"/>
      <c r="AG2147"/>
      <c r="AH2147"/>
      <c r="AI2147"/>
      <c r="AJ2147"/>
      <c r="AK2147"/>
      <c r="AL2147"/>
      <c r="AM2147"/>
      <c r="AN2147"/>
      <c r="AO2147"/>
      <c r="AP2147"/>
      <c r="AQ2147"/>
      <c r="AR2147"/>
      <c r="AS2147"/>
      <c r="AT2147"/>
      <c r="AU2147"/>
      <c r="AV2147"/>
      <c r="AW2147"/>
      <c r="AX2147"/>
      <c r="AY2147"/>
      <c r="AZ2147"/>
      <c r="BA2147"/>
      <c r="BB2147"/>
      <c r="BC2147"/>
      <c r="BD2147"/>
      <c r="BE2147"/>
      <c r="BF2147"/>
      <c r="BG2147"/>
      <c r="BH2147"/>
      <c r="BI2147"/>
      <c r="BJ2147"/>
      <c r="BK2147"/>
      <c r="BL2147"/>
      <c r="BM2147"/>
      <c r="BN2147"/>
      <c r="BO2147"/>
      <c r="BP2147"/>
      <c r="BQ2147"/>
      <c r="BR2147"/>
      <c r="BS2147"/>
      <c r="BT2147"/>
      <c r="BU2147"/>
      <c r="BV2147"/>
      <c r="BW2147"/>
      <c r="BX2147"/>
      <c r="BY2147"/>
      <c r="BZ2147"/>
      <c r="CA2147"/>
      <c r="CB2147"/>
      <c r="CC2147"/>
      <c r="CD2147"/>
      <c r="CE2147"/>
      <c r="CF2147"/>
      <c r="CG2147"/>
      <c r="CH2147"/>
      <c r="CI2147"/>
      <c r="CJ2147"/>
      <c r="CK2147"/>
      <c r="CL2147"/>
      <c r="CM2147"/>
      <c r="CN2147"/>
      <c r="CO2147"/>
      <c r="CP2147"/>
      <c r="CQ2147"/>
      <c r="CR2147"/>
      <c r="CS2147"/>
    </row>
    <row r="2148" spans="2:97">
      <c r="B2148"/>
      <c r="C2148" s="1"/>
      <c r="D2148" s="1"/>
      <c r="E2148" s="1"/>
      <c r="F2148" s="1"/>
      <c r="G2148" s="1"/>
      <c r="H2148" s="1"/>
      <c r="I2148" s="1"/>
      <c r="J2148" s="1"/>
      <c r="K2148" s="1"/>
      <c r="L2148" s="1"/>
      <c r="M2148" s="1"/>
      <c r="N2148" s="1"/>
      <c r="O2148" s="1"/>
      <c r="P2148" s="1"/>
      <c r="Q2148" s="1"/>
      <c r="R2148"/>
      <c r="S2148" s="1"/>
      <c r="T2148" s="24"/>
      <c r="U2148"/>
      <c r="V2148" s="1"/>
      <c r="W2148" s="24"/>
      <c r="X2148"/>
      <c r="Y2148" s="1"/>
      <c r="Z2148" s="24"/>
      <c r="AA2148"/>
      <c r="AB2148" s="1"/>
      <c r="AC2148" s="24"/>
      <c r="AD2148"/>
      <c r="AE2148"/>
      <c r="AF2148"/>
      <c r="AG2148"/>
      <c r="AH2148"/>
      <c r="AI2148"/>
      <c r="AJ2148"/>
      <c r="AK2148"/>
      <c r="AL2148"/>
      <c r="AM2148"/>
      <c r="AN2148"/>
      <c r="AO2148"/>
      <c r="AP2148"/>
      <c r="AQ2148"/>
      <c r="AR2148"/>
      <c r="AS2148"/>
      <c r="AT2148"/>
      <c r="AU2148"/>
      <c r="AV2148"/>
      <c r="AW2148"/>
      <c r="AX2148"/>
      <c r="AY2148"/>
      <c r="AZ2148"/>
      <c r="BA2148"/>
      <c r="BB2148"/>
      <c r="BC2148"/>
      <c r="BD2148"/>
      <c r="BE2148"/>
      <c r="BF2148"/>
      <c r="BG2148"/>
      <c r="BH2148"/>
      <c r="BI2148"/>
      <c r="BJ2148"/>
      <c r="BK2148"/>
      <c r="BL2148"/>
      <c r="BM2148"/>
      <c r="BN2148"/>
      <c r="BO2148"/>
      <c r="BP2148"/>
      <c r="BQ2148"/>
      <c r="BR2148"/>
      <c r="BS2148"/>
      <c r="BT2148"/>
      <c r="BU2148"/>
      <c r="BV2148"/>
      <c r="BW2148"/>
      <c r="BX2148"/>
      <c r="BY2148"/>
      <c r="BZ2148"/>
      <c r="CA2148"/>
      <c r="CB2148"/>
      <c r="CC2148"/>
      <c r="CD2148"/>
      <c r="CE2148"/>
      <c r="CF2148"/>
      <c r="CG2148"/>
      <c r="CH2148"/>
      <c r="CI2148"/>
      <c r="CJ2148"/>
      <c r="CK2148"/>
      <c r="CL2148"/>
      <c r="CM2148"/>
      <c r="CN2148"/>
      <c r="CO2148"/>
      <c r="CP2148"/>
      <c r="CQ2148"/>
      <c r="CR2148"/>
      <c r="CS2148"/>
    </row>
    <row r="2149" spans="2:97">
      <c r="B2149"/>
      <c r="C2149" s="1"/>
      <c r="D2149" s="1"/>
      <c r="E2149" s="1"/>
      <c r="F2149" s="1"/>
      <c r="G2149" s="1"/>
      <c r="H2149" s="1"/>
      <c r="I2149" s="1"/>
      <c r="J2149" s="1"/>
      <c r="K2149" s="1"/>
      <c r="L2149" s="1"/>
      <c r="M2149" s="1"/>
      <c r="N2149" s="1"/>
      <c r="O2149" s="1"/>
      <c r="P2149" s="1"/>
      <c r="Q2149" s="1"/>
      <c r="R2149"/>
      <c r="S2149" s="1"/>
      <c r="T2149" s="24"/>
      <c r="U2149"/>
      <c r="V2149" s="1"/>
      <c r="W2149" s="24"/>
      <c r="X2149"/>
      <c r="Y2149" s="1"/>
      <c r="Z2149" s="24"/>
      <c r="AA2149"/>
      <c r="AB2149" s="1"/>
      <c r="AC2149" s="24"/>
      <c r="AD2149"/>
      <c r="AE2149"/>
      <c r="AF2149"/>
      <c r="AG2149"/>
      <c r="AH2149"/>
      <c r="AI2149"/>
      <c r="AJ2149"/>
      <c r="AK2149"/>
      <c r="AL2149"/>
      <c r="AM2149"/>
      <c r="AN2149"/>
      <c r="AO2149"/>
      <c r="AP2149"/>
      <c r="AQ2149"/>
      <c r="AR2149"/>
      <c r="AS2149"/>
      <c r="AT2149"/>
      <c r="AU2149"/>
      <c r="AV2149"/>
      <c r="AW2149"/>
      <c r="AX2149"/>
      <c r="AY2149"/>
      <c r="AZ2149"/>
      <c r="BA2149"/>
      <c r="BB2149"/>
      <c r="BC2149"/>
      <c r="BD2149"/>
      <c r="BE2149"/>
      <c r="BF2149"/>
      <c r="BG2149"/>
      <c r="BH2149"/>
      <c r="BI2149"/>
      <c r="BJ2149"/>
      <c r="BK2149"/>
      <c r="BL2149"/>
      <c r="BM2149"/>
      <c r="BN2149"/>
      <c r="BO2149"/>
      <c r="BP2149"/>
      <c r="BQ2149"/>
      <c r="BR2149"/>
      <c r="BS2149"/>
      <c r="BT2149"/>
      <c r="BU2149"/>
      <c r="BV2149"/>
      <c r="BW2149"/>
      <c r="BX2149"/>
      <c r="BY2149"/>
      <c r="BZ2149"/>
      <c r="CA2149"/>
      <c r="CB2149"/>
      <c r="CC2149"/>
      <c r="CD2149"/>
      <c r="CE2149"/>
      <c r="CF2149"/>
      <c r="CG2149"/>
      <c r="CH2149"/>
      <c r="CI2149"/>
      <c r="CJ2149"/>
      <c r="CK2149"/>
      <c r="CL2149"/>
      <c r="CM2149"/>
      <c r="CN2149"/>
      <c r="CO2149"/>
      <c r="CP2149"/>
      <c r="CQ2149"/>
      <c r="CR2149"/>
      <c r="CS2149"/>
    </row>
    <row r="2150" spans="2:97">
      <c r="B2150"/>
      <c r="C2150" s="1"/>
      <c r="D2150" s="1"/>
      <c r="E2150" s="1"/>
      <c r="F2150" s="1"/>
      <c r="G2150" s="1"/>
      <c r="H2150" s="1"/>
      <c r="I2150" s="1"/>
      <c r="J2150" s="1"/>
      <c r="K2150" s="1"/>
      <c r="L2150" s="1"/>
      <c r="M2150" s="1"/>
      <c r="N2150" s="1"/>
      <c r="O2150" s="1"/>
      <c r="P2150" s="1"/>
      <c r="Q2150" s="1"/>
      <c r="R2150"/>
      <c r="S2150" s="1"/>
      <c r="T2150" s="24"/>
      <c r="U2150"/>
      <c r="V2150" s="1"/>
      <c r="W2150" s="24"/>
      <c r="X2150"/>
      <c r="Y2150" s="1"/>
      <c r="Z2150" s="24"/>
      <c r="AA2150"/>
      <c r="AB2150" s="1"/>
      <c r="AC2150" s="24"/>
      <c r="AD2150"/>
      <c r="AE2150"/>
      <c r="AF2150"/>
      <c r="AG2150"/>
      <c r="AH2150"/>
      <c r="AI2150"/>
      <c r="AJ2150"/>
      <c r="AK2150"/>
      <c r="AL2150"/>
      <c r="AM2150"/>
      <c r="AN2150"/>
      <c r="AO2150"/>
      <c r="AP2150"/>
      <c r="AQ2150"/>
      <c r="AR2150"/>
      <c r="AS2150"/>
      <c r="AT2150"/>
      <c r="AU2150"/>
      <c r="AV2150"/>
      <c r="AW2150"/>
      <c r="AX2150"/>
      <c r="AY2150"/>
      <c r="AZ2150"/>
      <c r="BA2150"/>
      <c r="BB2150"/>
      <c r="BC2150"/>
      <c r="BD2150"/>
      <c r="BE2150"/>
      <c r="BF2150"/>
      <c r="BG2150"/>
      <c r="BH2150"/>
      <c r="BI2150"/>
      <c r="BJ2150"/>
      <c r="BK2150"/>
      <c r="BL2150"/>
      <c r="BM2150"/>
      <c r="BN2150"/>
      <c r="BO2150"/>
      <c r="BP2150"/>
      <c r="BQ2150"/>
      <c r="BR2150"/>
      <c r="BS2150"/>
      <c r="BT2150"/>
      <c r="BU2150"/>
      <c r="BV2150"/>
      <c r="BW2150"/>
      <c r="BX2150"/>
      <c r="BY2150"/>
      <c r="BZ2150"/>
      <c r="CA2150"/>
      <c r="CB2150"/>
      <c r="CC2150"/>
      <c r="CD2150"/>
      <c r="CE2150"/>
      <c r="CF2150"/>
      <c r="CG2150"/>
      <c r="CH2150"/>
      <c r="CI2150"/>
      <c r="CJ2150"/>
      <c r="CK2150"/>
      <c r="CL2150"/>
      <c r="CM2150"/>
      <c r="CN2150"/>
      <c r="CO2150"/>
      <c r="CP2150"/>
      <c r="CQ2150"/>
      <c r="CR2150"/>
      <c r="CS2150"/>
    </row>
    <row r="2151" spans="2:97">
      <c r="B2151"/>
      <c r="C2151" s="1"/>
      <c r="D2151" s="1"/>
      <c r="E2151" s="1"/>
      <c r="F2151" s="1"/>
      <c r="G2151" s="1"/>
      <c r="H2151" s="1"/>
      <c r="I2151" s="1"/>
      <c r="J2151" s="1"/>
      <c r="K2151" s="1"/>
      <c r="L2151" s="1"/>
      <c r="M2151" s="1"/>
      <c r="N2151" s="1"/>
      <c r="O2151" s="1"/>
      <c r="P2151" s="1"/>
      <c r="Q2151" s="1"/>
      <c r="R2151"/>
      <c r="S2151" s="1"/>
      <c r="T2151" s="24"/>
      <c r="U2151"/>
      <c r="V2151" s="1"/>
      <c r="W2151" s="24"/>
      <c r="X2151"/>
      <c r="Y2151" s="1"/>
      <c r="Z2151" s="24"/>
      <c r="AA2151"/>
      <c r="AB2151" s="1"/>
      <c r="AC2151" s="24"/>
      <c r="AD2151"/>
      <c r="AE2151"/>
      <c r="AF2151"/>
      <c r="AG2151"/>
      <c r="AH2151"/>
      <c r="AI2151"/>
      <c r="AJ2151"/>
      <c r="AK2151"/>
      <c r="AL2151"/>
      <c r="AM2151"/>
      <c r="AN2151"/>
      <c r="AO2151"/>
      <c r="AP2151"/>
      <c r="AQ2151"/>
      <c r="AR2151"/>
      <c r="AS2151"/>
      <c r="AT2151"/>
      <c r="AU2151"/>
      <c r="AV2151"/>
      <c r="AW2151"/>
      <c r="AX2151"/>
      <c r="AY2151"/>
      <c r="AZ2151"/>
      <c r="BA2151"/>
      <c r="BB2151"/>
      <c r="BC2151"/>
      <c r="BD2151"/>
      <c r="BE2151"/>
      <c r="BF2151"/>
      <c r="BG2151"/>
      <c r="BH2151"/>
      <c r="BI2151"/>
      <c r="BJ2151"/>
      <c r="BK2151"/>
      <c r="BL2151"/>
      <c r="BM2151"/>
      <c r="BN2151"/>
      <c r="BO2151"/>
      <c r="BP2151"/>
      <c r="BQ2151"/>
      <c r="BR2151"/>
      <c r="BS2151"/>
      <c r="BT2151"/>
      <c r="BU2151"/>
      <c r="BV2151"/>
      <c r="BW2151"/>
      <c r="BX2151"/>
      <c r="BY2151"/>
      <c r="BZ2151"/>
      <c r="CA2151"/>
      <c r="CB2151"/>
      <c r="CC2151"/>
      <c r="CD2151"/>
      <c r="CE2151"/>
      <c r="CF2151"/>
      <c r="CG2151"/>
      <c r="CH2151"/>
      <c r="CI2151"/>
      <c r="CJ2151"/>
      <c r="CK2151"/>
      <c r="CL2151"/>
      <c r="CM2151"/>
      <c r="CN2151"/>
      <c r="CO2151"/>
      <c r="CP2151"/>
      <c r="CQ2151"/>
      <c r="CR2151"/>
      <c r="CS2151"/>
    </row>
    <row r="2152" spans="2:97">
      <c r="B2152"/>
      <c r="C2152" s="1"/>
      <c r="D2152" s="1"/>
      <c r="E2152" s="1"/>
      <c r="F2152" s="1"/>
      <c r="G2152" s="1"/>
      <c r="H2152" s="1"/>
      <c r="I2152" s="1"/>
      <c r="J2152" s="1"/>
      <c r="K2152" s="1"/>
      <c r="L2152" s="1"/>
      <c r="M2152" s="1"/>
      <c r="N2152" s="1"/>
      <c r="O2152" s="1"/>
      <c r="P2152" s="1"/>
      <c r="Q2152" s="1"/>
      <c r="R2152"/>
      <c r="S2152" s="1"/>
      <c r="T2152" s="24"/>
      <c r="U2152"/>
      <c r="V2152" s="1"/>
      <c r="W2152" s="24"/>
      <c r="X2152"/>
      <c r="Y2152" s="1"/>
      <c r="Z2152" s="24"/>
      <c r="AA2152"/>
      <c r="AB2152" s="1"/>
      <c r="AC2152" s="24"/>
      <c r="AD2152"/>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c r="BM2152"/>
      <c r="BN2152"/>
      <c r="BO2152"/>
      <c r="BP2152"/>
      <c r="BQ2152"/>
      <c r="BR2152"/>
      <c r="BS2152"/>
      <c r="BT2152"/>
      <c r="BU2152"/>
      <c r="BV2152"/>
      <c r="BW2152"/>
      <c r="BX2152"/>
      <c r="BY2152"/>
      <c r="BZ2152"/>
      <c r="CA2152"/>
      <c r="CB2152"/>
      <c r="CC2152"/>
      <c r="CD2152"/>
      <c r="CE2152"/>
      <c r="CF2152"/>
      <c r="CG2152"/>
      <c r="CH2152"/>
      <c r="CI2152"/>
      <c r="CJ2152"/>
      <c r="CK2152"/>
      <c r="CL2152"/>
      <c r="CM2152"/>
      <c r="CN2152"/>
      <c r="CO2152"/>
      <c r="CP2152"/>
      <c r="CQ2152"/>
      <c r="CR2152"/>
      <c r="CS2152"/>
    </row>
    <row r="2153" spans="2:97">
      <c r="B2153"/>
      <c r="C2153" s="1"/>
      <c r="D2153" s="1"/>
      <c r="E2153" s="1"/>
      <c r="F2153" s="1"/>
      <c r="G2153" s="1"/>
      <c r="H2153" s="1"/>
      <c r="I2153" s="1"/>
      <c r="J2153" s="1"/>
      <c r="K2153" s="1"/>
      <c r="L2153" s="1"/>
      <c r="M2153" s="1"/>
      <c r="N2153" s="1"/>
      <c r="O2153" s="1"/>
      <c r="P2153" s="1"/>
      <c r="Q2153" s="1"/>
      <c r="R2153"/>
      <c r="S2153" s="1"/>
      <c r="T2153" s="24"/>
      <c r="U2153"/>
      <c r="V2153" s="1"/>
      <c r="W2153" s="24"/>
      <c r="X2153"/>
      <c r="Y2153" s="1"/>
      <c r="Z2153" s="24"/>
      <c r="AA2153"/>
      <c r="AB2153" s="1"/>
      <c r="AC2153" s="24"/>
      <c r="AD2153"/>
      <c r="AE2153"/>
      <c r="AF2153"/>
      <c r="AG2153"/>
      <c r="AH2153"/>
      <c r="AI2153"/>
      <c r="AJ2153"/>
      <c r="AK2153"/>
      <c r="AL2153"/>
      <c r="AM2153"/>
      <c r="AN2153"/>
      <c r="AO2153"/>
      <c r="AP2153"/>
      <c r="AQ2153"/>
      <c r="AR2153"/>
      <c r="AS2153"/>
      <c r="AT2153"/>
      <c r="AU2153"/>
      <c r="AV2153"/>
      <c r="AW2153"/>
      <c r="AX2153"/>
      <c r="AY2153"/>
      <c r="AZ2153"/>
      <c r="BA2153"/>
      <c r="BB2153"/>
      <c r="BC2153"/>
      <c r="BD2153"/>
      <c r="BE2153"/>
      <c r="BF2153"/>
      <c r="BG2153"/>
      <c r="BH2153"/>
      <c r="BI2153"/>
      <c r="BJ2153"/>
      <c r="BK2153"/>
      <c r="BL2153"/>
      <c r="BM2153"/>
      <c r="BN2153"/>
      <c r="BO2153"/>
      <c r="BP2153"/>
      <c r="BQ2153"/>
      <c r="BR2153"/>
      <c r="BS2153"/>
      <c r="BT2153"/>
      <c r="BU2153"/>
      <c r="BV2153"/>
      <c r="BW2153"/>
      <c r="BX2153"/>
      <c r="BY2153"/>
      <c r="BZ2153"/>
      <c r="CA2153"/>
      <c r="CB2153"/>
      <c r="CC2153"/>
      <c r="CD2153"/>
      <c r="CE2153"/>
      <c r="CF2153"/>
      <c r="CG2153"/>
      <c r="CH2153"/>
      <c r="CI2153"/>
      <c r="CJ2153"/>
      <c r="CK2153"/>
      <c r="CL2153"/>
      <c r="CM2153"/>
      <c r="CN2153"/>
      <c r="CO2153"/>
      <c r="CP2153"/>
      <c r="CQ2153"/>
      <c r="CR2153"/>
      <c r="CS2153"/>
    </row>
    <row r="2154" spans="2:97">
      <c r="B2154"/>
      <c r="C2154" s="1"/>
      <c r="D2154" s="1"/>
      <c r="E2154" s="1"/>
      <c r="F2154" s="1"/>
      <c r="G2154" s="1"/>
      <c r="H2154" s="1"/>
      <c r="I2154" s="1"/>
      <c r="J2154" s="1"/>
      <c r="K2154" s="1"/>
      <c r="L2154" s="1"/>
      <c r="M2154" s="1"/>
      <c r="N2154" s="1"/>
      <c r="O2154" s="1"/>
      <c r="P2154" s="1"/>
      <c r="Q2154" s="1"/>
      <c r="R2154"/>
      <c r="S2154" s="1"/>
      <c r="T2154" s="24"/>
      <c r="U2154"/>
      <c r="V2154" s="1"/>
      <c r="W2154" s="24"/>
      <c r="X2154"/>
      <c r="Y2154" s="1"/>
      <c r="Z2154" s="24"/>
      <c r="AA2154"/>
      <c r="AB2154" s="1"/>
      <c r="AC2154" s="24"/>
      <c r="AD2154"/>
      <c r="AE2154"/>
      <c r="AF2154"/>
      <c r="AG2154"/>
      <c r="AH2154"/>
      <c r="AI2154"/>
      <c r="AJ2154"/>
      <c r="AK2154"/>
      <c r="AL2154"/>
      <c r="AM2154"/>
      <c r="AN2154"/>
      <c r="AO2154"/>
      <c r="AP2154"/>
      <c r="AQ2154"/>
      <c r="AR2154"/>
      <c r="AS2154"/>
      <c r="AT2154"/>
      <c r="AU2154"/>
      <c r="AV2154"/>
      <c r="AW2154"/>
      <c r="AX2154"/>
      <c r="AY2154"/>
      <c r="AZ2154"/>
      <c r="BA2154"/>
      <c r="BB2154"/>
      <c r="BC2154"/>
      <c r="BD2154"/>
      <c r="BE2154"/>
      <c r="BF2154"/>
      <c r="BG2154"/>
      <c r="BH2154"/>
      <c r="BI2154"/>
      <c r="BJ2154"/>
      <c r="BK2154"/>
      <c r="BL2154"/>
      <c r="BM2154"/>
      <c r="BN2154"/>
      <c r="BO2154"/>
      <c r="BP2154"/>
      <c r="BQ2154"/>
      <c r="BR2154"/>
      <c r="BS2154"/>
      <c r="BT2154"/>
      <c r="BU2154"/>
      <c r="BV2154"/>
      <c r="BW2154"/>
      <c r="BX2154"/>
      <c r="BY2154"/>
      <c r="BZ2154"/>
      <c r="CA2154"/>
      <c r="CB2154"/>
      <c r="CC2154"/>
      <c r="CD2154"/>
      <c r="CE2154"/>
      <c r="CF2154"/>
      <c r="CG2154"/>
      <c r="CH2154"/>
      <c r="CI2154"/>
      <c r="CJ2154"/>
      <c r="CK2154"/>
      <c r="CL2154"/>
      <c r="CM2154"/>
      <c r="CN2154"/>
      <c r="CO2154"/>
      <c r="CP2154"/>
      <c r="CQ2154"/>
      <c r="CR2154"/>
      <c r="CS2154"/>
    </row>
    <row r="2155" spans="2:97">
      <c r="B2155"/>
      <c r="C2155" s="1"/>
      <c r="D2155" s="1"/>
      <c r="E2155" s="1"/>
      <c r="F2155" s="1"/>
      <c r="G2155" s="1"/>
      <c r="H2155" s="1"/>
      <c r="I2155" s="1"/>
      <c r="J2155" s="1"/>
      <c r="K2155" s="1"/>
      <c r="L2155" s="1"/>
      <c r="M2155" s="1"/>
      <c r="N2155" s="1"/>
      <c r="O2155" s="1"/>
      <c r="P2155" s="1"/>
      <c r="Q2155" s="1"/>
      <c r="R2155"/>
      <c r="S2155" s="1"/>
      <c r="T2155" s="24"/>
      <c r="U2155"/>
      <c r="V2155" s="1"/>
      <c r="W2155" s="24"/>
      <c r="X2155"/>
      <c r="Y2155" s="1"/>
      <c r="Z2155" s="24"/>
      <c r="AA2155"/>
      <c r="AB2155" s="1"/>
      <c r="AC2155" s="24"/>
      <c r="AD2155"/>
      <c r="AE2155"/>
      <c r="AF2155"/>
      <c r="AG2155"/>
      <c r="AH2155"/>
      <c r="AI2155"/>
      <c r="AJ2155"/>
      <c r="AK2155"/>
      <c r="AL2155"/>
      <c r="AM2155"/>
      <c r="AN2155"/>
      <c r="AO2155"/>
      <c r="AP2155"/>
      <c r="AQ2155"/>
      <c r="AR2155"/>
      <c r="AS2155"/>
      <c r="AT2155"/>
      <c r="AU2155"/>
      <c r="AV2155"/>
      <c r="AW2155"/>
      <c r="AX2155"/>
      <c r="AY2155"/>
      <c r="AZ2155"/>
      <c r="BA2155"/>
      <c r="BB2155"/>
      <c r="BC2155"/>
      <c r="BD2155"/>
      <c r="BE2155"/>
      <c r="BF2155"/>
      <c r="BG2155"/>
      <c r="BH2155"/>
      <c r="BI2155"/>
      <c r="BJ2155"/>
      <c r="BK2155"/>
      <c r="BL2155"/>
      <c r="BM2155"/>
      <c r="BN2155"/>
      <c r="BO2155"/>
      <c r="BP2155"/>
      <c r="BQ2155"/>
      <c r="BR2155"/>
      <c r="BS2155"/>
      <c r="BT2155"/>
      <c r="BU2155"/>
      <c r="BV2155"/>
      <c r="BW2155"/>
      <c r="BX2155"/>
      <c r="BY2155"/>
      <c r="BZ2155"/>
      <c r="CA2155"/>
      <c r="CB2155"/>
      <c r="CC2155"/>
      <c r="CD2155"/>
      <c r="CE2155"/>
      <c r="CF2155"/>
      <c r="CG2155"/>
      <c r="CH2155"/>
      <c r="CI2155"/>
      <c r="CJ2155"/>
      <c r="CK2155"/>
      <c r="CL2155"/>
      <c r="CM2155"/>
      <c r="CN2155"/>
      <c r="CO2155"/>
      <c r="CP2155"/>
      <c r="CQ2155"/>
      <c r="CR2155"/>
      <c r="CS2155"/>
    </row>
    <row r="2156" spans="2:97">
      <c r="B2156"/>
      <c r="C2156" s="1"/>
      <c r="D2156" s="1"/>
      <c r="E2156" s="1"/>
      <c r="F2156" s="1"/>
      <c r="G2156" s="1"/>
      <c r="H2156" s="1"/>
      <c r="I2156" s="1"/>
      <c r="J2156" s="1"/>
      <c r="K2156" s="1"/>
      <c r="L2156" s="1"/>
      <c r="M2156" s="1"/>
      <c r="N2156" s="1"/>
      <c r="O2156" s="1"/>
      <c r="P2156" s="1"/>
      <c r="Q2156" s="1"/>
      <c r="R2156"/>
      <c r="S2156" s="1"/>
      <c r="T2156" s="24"/>
      <c r="U2156"/>
      <c r="V2156" s="1"/>
      <c r="W2156" s="24"/>
      <c r="X2156"/>
      <c r="Y2156" s="1"/>
      <c r="Z2156" s="24"/>
      <c r="AA2156"/>
      <c r="AB2156" s="1"/>
      <c r="AC2156" s="24"/>
      <c r="AD2156"/>
      <c r="AE2156"/>
      <c r="AF2156"/>
      <c r="AG2156"/>
      <c r="AH2156"/>
      <c r="AI2156"/>
      <c r="AJ2156"/>
      <c r="AK2156"/>
      <c r="AL2156"/>
      <c r="AM2156"/>
      <c r="AN2156"/>
      <c r="AO2156"/>
      <c r="AP2156"/>
      <c r="AQ2156"/>
      <c r="AR2156"/>
      <c r="AS2156"/>
      <c r="AT2156"/>
      <c r="AU2156"/>
      <c r="AV2156"/>
      <c r="AW2156"/>
      <c r="AX2156"/>
      <c r="AY2156"/>
      <c r="AZ2156"/>
      <c r="BA2156"/>
      <c r="BB2156"/>
      <c r="BC2156"/>
      <c r="BD2156"/>
      <c r="BE2156"/>
      <c r="BF2156"/>
      <c r="BG2156"/>
      <c r="BH2156"/>
      <c r="BI2156"/>
      <c r="BJ2156"/>
      <c r="BK2156"/>
      <c r="BL2156"/>
      <c r="BM2156"/>
      <c r="BN2156"/>
      <c r="BO2156"/>
      <c r="BP2156"/>
      <c r="BQ2156"/>
      <c r="BR2156"/>
      <c r="BS2156"/>
      <c r="BT2156"/>
      <c r="BU2156"/>
      <c r="BV2156"/>
      <c r="BW2156"/>
      <c r="BX2156"/>
      <c r="BY2156"/>
      <c r="BZ2156"/>
      <c r="CA2156"/>
      <c r="CB2156"/>
      <c r="CC2156"/>
      <c r="CD2156"/>
      <c r="CE2156"/>
      <c r="CF2156"/>
      <c r="CG2156"/>
      <c r="CH2156"/>
      <c r="CI2156"/>
      <c r="CJ2156"/>
      <c r="CK2156"/>
      <c r="CL2156"/>
      <c r="CM2156"/>
      <c r="CN2156"/>
      <c r="CO2156"/>
      <c r="CP2156"/>
      <c r="CQ2156"/>
      <c r="CR2156"/>
      <c r="CS2156"/>
    </row>
    <row r="2157" spans="2:97">
      <c r="B2157"/>
      <c r="C2157" s="1"/>
      <c r="D2157" s="1"/>
      <c r="E2157" s="1"/>
      <c r="F2157" s="1"/>
      <c r="G2157" s="1"/>
      <c r="H2157" s="1"/>
      <c r="I2157" s="1"/>
      <c r="J2157" s="1"/>
      <c r="K2157" s="1"/>
      <c r="L2157" s="1"/>
      <c r="M2157" s="1"/>
      <c r="N2157" s="1"/>
      <c r="O2157" s="1"/>
      <c r="P2157" s="1"/>
      <c r="Q2157" s="1"/>
      <c r="R2157"/>
      <c r="S2157" s="1"/>
      <c r="T2157" s="24"/>
      <c r="U2157"/>
      <c r="V2157" s="1"/>
      <c r="W2157" s="24"/>
      <c r="X2157"/>
      <c r="Y2157" s="1"/>
      <c r="Z2157" s="24"/>
      <c r="AA2157"/>
      <c r="AB2157" s="1"/>
      <c r="AC2157" s="24"/>
      <c r="AD2157"/>
      <c r="AE2157"/>
      <c r="AF2157"/>
      <c r="AG2157"/>
      <c r="AH2157"/>
      <c r="AI2157"/>
      <c r="AJ2157"/>
      <c r="AK2157"/>
      <c r="AL2157"/>
      <c r="AM2157"/>
      <c r="AN2157"/>
      <c r="AO2157"/>
      <c r="AP2157"/>
      <c r="AQ2157"/>
      <c r="AR2157"/>
      <c r="AS2157"/>
      <c r="AT2157"/>
      <c r="AU2157"/>
      <c r="AV2157"/>
      <c r="AW2157"/>
      <c r="AX2157"/>
      <c r="AY2157"/>
      <c r="AZ2157"/>
      <c r="BA2157"/>
      <c r="BB2157"/>
      <c r="BC2157"/>
      <c r="BD2157"/>
      <c r="BE2157"/>
      <c r="BF2157"/>
      <c r="BG2157"/>
      <c r="BH2157"/>
      <c r="BI2157"/>
      <c r="BJ2157"/>
      <c r="BK2157"/>
      <c r="BL2157"/>
      <c r="BM2157"/>
      <c r="BN2157"/>
      <c r="BO2157"/>
      <c r="BP2157"/>
      <c r="BQ2157"/>
      <c r="BR2157"/>
      <c r="BS2157"/>
      <c r="BT2157"/>
      <c r="BU2157"/>
      <c r="BV2157"/>
      <c r="BW2157"/>
      <c r="BX2157"/>
      <c r="BY2157"/>
      <c r="BZ2157"/>
      <c r="CA2157"/>
      <c r="CB2157"/>
      <c r="CC2157"/>
      <c r="CD2157"/>
      <c r="CE2157"/>
      <c r="CF2157"/>
      <c r="CG2157"/>
      <c r="CH2157"/>
      <c r="CI2157"/>
      <c r="CJ2157"/>
      <c r="CK2157"/>
      <c r="CL2157"/>
      <c r="CM2157"/>
      <c r="CN2157"/>
      <c r="CO2157"/>
      <c r="CP2157"/>
      <c r="CQ2157"/>
      <c r="CR2157"/>
      <c r="CS2157"/>
    </row>
    <row r="2158" spans="2:97">
      <c r="B2158"/>
      <c r="C2158" s="1"/>
      <c r="D2158" s="1"/>
      <c r="E2158" s="1"/>
      <c r="F2158" s="1"/>
      <c r="G2158" s="1"/>
      <c r="H2158" s="1"/>
      <c r="I2158" s="1"/>
      <c r="J2158" s="1"/>
      <c r="K2158" s="1"/>
      <c r="L2158" s="1"/>
      <c r="M2158" s="1"/>
      <c r="N2158" s="1"/>
      <c r="O2158" s="1"/>
      <c r="P2158" s="1"/>
      <c r="Q2158" s="1"/>
      <c r="R2158"/>
      <c r="S2158" s="1"/>
      <c r="T2158" s="24"/>
      <c r="U2158"/>
      <c r="V2158" s="1"/>
      <c r="W2158" s="24"/>
      <c r="X2158"/>
      <c r="Y2158" s="1"/>
      <c r="Z2158" s="24"/>
      <c r="AA2158"/>
      <c r="AB2158" s="1"/>
      <c r="AC2158" s="24"/>
      <c r="AD2158"/>
      <c r="AE2158"/>
      <c r="AF2158"/>
      <c r="AG2158"/>
      <c r="AH2158"/>
      <c r="AI2158"/>
      <c r="AJ2158"/>
      <c r="AK2158"/>
      <c r="AL2158"/>
      <c r="AM2158"/>
      <c r="AN2158"/>
      <c r="AO2158"/>
      <c r="AP2158"/>
      <c r="AQ2158"/>
      <c r="AR2158"/>
      <c r="AS2158"/>
      <c r="AT2158"/>
      <c r="AU2158"/>
      <c r="AV2158"/>
      <c r="AW2158"/>
      <c r="AX2158"/>
      <c r="AY2158"/>
      <c r="AZ2158"/>
      <c r="BA2158"/>
      <c r="BB2158"/>
      <c r="BC2158"/>
      <c r="BD2158"/>
      <c r="BE2158"/>
      <c r="BF2158"/>
      <c r="BG2158"/>
      <c r="BH2158"/>
      <c r="BI2158"/>
      <c r="BJ2158"/>
      <c r="BK2158"/>
      <c r="BL2158"/>
      <c r="BM2158"/>
      <c r="BN2158"/>
      <c r="BO2158"/>
      <c r="BP2158"/>
      <c r="BQ2158"/>
      <c r="BR2158"/>
      <c r="BS2158"/>
      <c r="BT2158"/>
      <c r="BU2158"/>
      <c r="BV2158"/>
      <c r="BW2158"/>
      <c r="BX2158"/>
      <c r="BY2158"/>
      <c r="BZ2158"/>
      <c r="CA2158"/>
      <c r="CB2158"/>
      <c r="CC2158"/>
      <c r="CD2158"/>
      <c r="CE2158"/>
      <c r="CF2158"/>
      <c r="CG2158"/>
      <c r="CH2158"/>
      <c r="CI2158"/>
      <c r="CJ2158"/>
      <c r="CK2158"/>
      <c r="CL2158"/>
      <c r="CM2158"/>
      <c r="CN2158"/>
      <c r="CO2158"/>
      <c r="CP2158"/>
      <c r="CQ2158"/>
      <c r="CR2158"/>
      <c r="CS2158"/>
    </row>
    <row r="2159" spans="2:97">
      <c r="B2159"/>
      <c r="C2159" s="1"/>
      <c r="D2159" s="1"/>
      <c r="E2159" s="1"/>
      <c r="F2159" s="1"/>
      <c r="G2159" s="1"/>
      <c r="H2159" s="1"/>
      <c r="I2159" s="1"/>
      <c r="J2159" s="1"/>
      <c r="K2159" s="1"/>
      <c r="L2159" s="1"/>
      <c r="M2159" s="1"/>
      <c r="N2159" s="1"/>
      <c r="O2159" s="1"/>
      <c r="P2159" s="1"/>
      <c r="Q2159" s="1"/>
      <c r="R2159"/>
      <c r="S2159" s="1"/>
      <c r="T2159" s="24"/>
      <c r="U2159"/>
      <c r="V2159" s="1"/>
      <c r="W2159" s="24"/>
      <c r="X2159"/>
      <c r="Y2159" s="1"/>
      <c r="Z2159" s="24"/>
      <c r="AA2159"/>
      <c r="AB2159" s="1"/>
      <c r="AC2159" s="24"/>
      <c r="AD2159"/>
      <c r="AE2159"/>
      <c r="AF2159"/>
      <c r="AG2159"/>
      <c r="AH2159"/>
      <c r="AI2159"/>
      <c r="AJ2159"/>
      <c r="AK2159"/>
      <c r="AL2159"/>
      <c r="AM2159"/>
      <c r="AN2159"/>
      <c r="AO2159"/>
      <c r="AP2159"/>
      <c r="AQ2159"/>
      <c r="AR2159"/>
      <c r="AS2159"/>
      <c r="AT2159"/>
      <c r="AU2159"/>
      <c r="AV2159"/>
      <c r="AW2159"/>
      <c r="AX2159"/>
      <c r="AY2159"/>
      <c r="AZ2159"/>
      <c r="BA2159"/>
      <c r="BB2159"/>
      <c r="BC2159"/>
      <c r="BD2159"/>
      <c r="BE2159"/>
      <c r="BF2159"/>
      <c r="BG2159"/>
      <c r="BH2159"/>
      <c r="BI2159"/>
      <c r="BJ2159"/>
      <c r="BK2159"/>
      <c r="BL2159"/>
      <c r="BM2159"/>
      <c r="BN2159"/>
      <c r="BO2159"/>
      <c r="BP2159"/>
      <c r="BQ2159"/>
      <c r="BR2159"/>
      <c r="BS2159"/>
      <c r="BT2159"/>
      <c r="BU2159"/>
      <c r="BV2159"/>
      <c r="BW2159"/>
      <c r="BX2159"/>
      <c r="BY2159"/>
      <c r="BZ2159"/>
      <c r="CA2159"/>
      <c r="CB2159"/>
      <c r="CC2159"/>
      <c r="CD2159"/>
      <c r="CE2159"/>
      <c r="CF2159"/>
      <c r="CG2159"/>
      <c r="CH2159"/>
      <c r="CI2159"/>
      <c r="CJ2159"/>
      <c r="CK2159"/>
      <c r="CL2159"/>
      <c r="CM2159"/>
      <c r="CN2159"/>
      <c r="CO2159"/>
      <c r="CP2159"/>
      <c r="CQ2159"/>
      <c r="CR2159"/>
      <c r="CS2159"/>
    </row>
    <row r="2160" spans="2:97">
      <c r="B2160"/>
      <c r="C2160" s="1"/>
      <c r="D2160" s="1"/>
      <c r="E2160" s="1"/>
      <c r="F2160" s="1"/>
      <c r="G2160" s="1"/>
      <c r="H2160" s="1"/>
      <c r="I2160" s="1"/>
      <c r="J2160" s="1"/>
      <c r="K2160" s="1"/>
      <c r="L2160" s="1"/>
      <c r="M2160" s="1"/>
      <c r="N2160" s="1"/>
      <c r="O2160" s="1"/>
      <c r="P2160" s="1"/>
      <c r="Q2160" s="1"/>
      <c r="R2160"/>
      <c r="S2160" s="1"/>
      <c r="T2160" s="24"/>
      <c r="U2160"/>
      <c r="V2160" s="1"/>
      <c r="W2160" s="24"/>
      <c r="X2160"/>
      <c r="Y2160" s="1"/>
      <c r="Z2160" s="24"/>
      <c r="AA2160"/>
      <c r="AB2160" s="1"/>
      <c r="AC2160" s="24"/>
      <c r="AD2160"/>
      <c r="AE2160"/>
      <c r="AF2160"/>
      <c r="AG2160"/>
      <c r="AH2160"/>
      <c r="AI2160"/>
      <c r="AJ2160"/>
      <c r="AK2160"/>
      <c r="AL2160"/>
      <c r="AM2160"/>
      <c r="AN2160"/>
      <c r="AO2160"/>
      <c r="AP2160"/>
      <c r="AQ2160"/>
      <c r="AR2160"/>
      <c r="AS2160"/>
      <c r="AT2160"/>
      <c r="AU2160"/>
      <c r="AV2160"/>
      <c r="AW2160"/>
      <c r="AX2160"/>
      <c r="AY2160"/>
      <c r="AZ2160"/>
      <c r="BA2160"/>
      <c r="BB2160"/>
      <c r="BC2160"/>
      <c r="BD2160"/>
      <c r="BE2160"/>
      <c r="BF2160"/>
      <c r="BG2160"/>
      <c r="BH2160"/>
      <c r="BI2160"/>
      <c r="BJ2160"/>
      <c r="BK2160"/>
      <c r="BL2160"/>
      <c r="BM2160"/>
      <c r="BN2160"/>
      <c r="BO2160"/>
      <c r="BP2160"/>
      <c r="BQ2160"/>
      <c r="BR2160"/>
      <c r="BS2160"/>
      <c r="BT2160"/>
      <c r="BU2160"/>
      <c r="BV2160"/>
      <c r="BW2160"/>
      <c r="BX2160"/>
      <c r="BY2160"/>
      <c r="BZ2160"/>
      <c r="CA2160"/>
      <c r="CB2160"/>
      <c r="CC2160"/>
      <c r="CD2160"/>
      <c r="CE2160"/>
      <c r="CF2160"/>
      <c r="CG2160"/>
      <c r="CH2160"/>
      <c r="CI2160"/>
      <c r="CJ2160"/>
      <c r="CK2160"/>
      <c r="CL2160"/>
      <c r="CM2160"/>
      <c r="CN2160"/>
      <c r="CO2160"/>
      <c r="CP2160"/>
      <c r="CQ2160"/>
      <c r="CR2160"/>
      <c r="CS2160"/>
    </row>
    <row r="2161" spans="2:97">
      <c r="B2161"/>
      <c r="C2161" s="1"/>
      <c r="D2161" s="1"/>
      <c r="E2161" s="1"/>
      <c r="F2161" s="1"/>
      <c r="G2161" s="1"/>
      <c r="H2161" s="1"/>
      <c r="I2161" s="1"/>
      <c r="J2161" s="1"/>
      <c r="K2161" s="1"/>
      <c r="L2161" s="1"/>
      <c r="M2161" s="1"/>
      <c r="N2161" s="1"/>
      <c r="O2161" s="1"/>
      <c r="P2161" s="1"/>
      <c r="Q2161" s="1"/>
      <c r="R2161"/>
      <c r="S2161" s="1"/>
      <c r="T2161" s="24"/>
      <c r="U2161"/>
      <c r="V2161" s="1"/>
      <c r="W2161" s="24"/>
      <c r="X2161"/>
      <c r="Y2161" s="1"/>
      <c r="Z2161" s="24"/>
      <c r="AA2161"/>
      <c r="AB2161" s="1"/>
      <c r="AC2161" s="24"/>
      <c r="AD2161"/>
      <c r="AE2161"/>
      <c r="AF2161"/>
      <c r="AG2161"/>
      <c r="AH2161"/>
      <c r="AI2161"/>
      <c r="AJ2161"/>
      <c r="AK2161"/>
      <c r="AL2161"/>
      <c r="AM2161"/>
      <c r="AN2161"/>
      <c r="AO2161"/>
      <c r="AP2161"/>
      <c r="AQ2161"/>
      <c r="AR2161"/>
      <c r="AS2161"/>
      <c r="AT2161"/>
      <c r="AU2161"/>
      <c r="AV2161"/>
      <c r="AW2161"/>
      <c r="AX2161"/>
      <c r="AY2161"/>
      <c r="AZ2161"/>
      <c r="BA2161"/>
      <c r="BB2161"/>
      <c r="BC2161"/>
      <c r="BD2161"/>
      <c r="BE2161"/>
      <c r="BF2161"/>
      <c r="BG2161"/>
      <c r="BH2161"/>
      <c r="BI2161"/>
      <c r="BJ2161"/>
      <c r="BK2161"/>
      <c r="BL2161"/>
      <c r="BM2161"/>
      <c r="BN2161"/>
      <c r="BO2161"/>
      <c r="BP2161"/>
      <c r="BQ2161"/>
      <c r="BR2161"/>
      <c r="BS2161"/>
      <c r="BT2161"/>
      <c r="BU2161"/>
      <c r="BV2161"/>
      <c r="BW2161"/>
      <c r="BX2161"/>
      <c r="BY2161"/>
      <c r="BZ2161"/>
      <c r="CA2161"/>
      <c r="CB2161"/>
      <c r="CC2161"/>
      <c r="CD2161"/>
      <c r="CE2161"/>
      <c r="CF2161"/>
      <c r="CG2161"/>
      <c r="CH2161"/>
      <c r="CI2161"/>
      <c r="CJ2161"/>
      <c r="CK2161"/>
      <c r="CL2161"/>
      <c r="CM2161"/>
      <c r="CN2161"/>
      <c r="CO2161"/>
      <c r="CP2161"/>
      <c r="CQ2161"/>
      <c r="CR2161"/>
      <c r="CS2161"/>
    </row>
    <row r="2162" spans="2:97">
      <c r="B2162"/>
      <c r="C2162" s="1"/>
      <c r="D2162" s="1"/>
      <c r="E2162" s="1"/>
      <c r="F2162" s="1"/>
      <c r="G2162" s="1"/>
      <c r="H2162" s="1"/>
      <c r="I2162" s="1"/>
      <c r="J2162" s="1"/>
      <c r="K2162" s="1"/>
      <c r="L2162" s="1"/>
      <c r="M2162" s="1"/>
      <c r="N2162" s="1"/>
      <c r="O2162" s="1"/>
      <c r="P2162" s="1"/>
      <c r="Q2162" s="1"/>
      <c r="R2162"/>
      <c r="S2162" s="1"/>
      <c r="T2162" s="24"/>
      <c r="U2162"/>
      <c r="V2162" s="1"/>
      <c r="W2162" s="24"/>
      <c r="X2162"/>
      <c r="Y2162" s="1"/>
      <c r="Z2162" s="24"/>
      <c r="AA2162"/>
      <c r="AB2162" s="1"/>
      <c r="AC2162" s="24"/>
      <c r="AD2162"/>
      <c r="AE2162"/>
      <c r="AF2162"/>
      <c r="AG2162"/>
      <c r="AH2162"/>
      <c r="AI2162"/>
      <c r="AJ2162"/>
      <c r="AK2162"/>
      <c r="AL2162"/>
      <c r="AM2162"/>
      <c r="AN2162"/>
      <c r="AO2162"/>
      <c r="AP2162"/>
      <c r="AQ2162"/>
      <c r="AR2162"/>
      <c r="AS2162"/>
      <c r="AT2162"/>
      <c r="AU2162"/>
      <c r="AV2162"/>
      <c r="AW2162"/>
      <c r="AX2162"/>
      <c r="AY2162"/>
      <c r="AZ2162"/>
      <c r="BA2162"/>
      <c r="BB2162"/>
      <c r="BC2162"/>
      <c r="BD2162"/>
      <c r="BE2162"/>
      <c r="BF2162"/>
      <c r="BG2162"/>
      <c r="BH2162"/>
      <c r="BI2162"/>
      <c r="BJ2162"/>
      <c r="BK2162"/>
      <c r="BL2162"/>
      <c r="BM2162"/>
      <c r="BN2162"/>
      <c r="BO2162"/>
      <c r="BP2162"/>
      <c r="BQ2162"/>
      <c r="BR2162"/>
      <c r="BS2162"/>
      <c r="BT2162"/>
      <c r="BU2162"/>
      <c r="BV2162"/>
      <c r="BW2162"/>
      <c r="BX2162"/>
      <c r="BY2162"/>
      <c r="BZ2162"/>
      <c r="CA2162"/>
      <c r="CB2162"/>
      <c r="CC2162"/>
      <c r="CD2162"/>
      <c r="CE2162"/>
      <c r="CF2162"/>
      <c r="CG2162"/>
      <c r="CH2162"/>
      <c r="CI2162"/>
      <c r="CJ2162"/>
      <c r="CK2162"/>
      <c r="CL2162"/>
      <c r="CM2162"/>
      <c r="CN2162"/>
      <c r="CO2162"/>
      <c r="CP2162"/>
      <c r="CQ2162"/>
      <c r="CR2162"/>
      <c r="CS2162"/>
    </row>
    <row r="2163" spans="2:97">
      <c r="B2163"/>
      <c r="C2163" s="1"/>
      <c r="D2163" s="1"/>
      <c r="E2163" s="1"/>
      <c r="F2163" s="1"/>
      <c r="G2163" s="1"/>
      <c r="H2163" s="1"/>
      <c r="I2163" s="1"/>
      <c r="J2163" s="1"/>
      <c r="K2163" s="1"/>
      <c r="L2163" s="1"/>
      <c r="M2163" s="1"/>
      <c r="N2163" s="1"/>
      <c r="O2163" s="1"/>
      <c r="P2163" s="1"/>
      <c r="Q2163" s="1"/>
      <c r="R2163"/>
      <c r="S2163" s="1"/>
      <c r="T2163" s="24"/>
      <c r="U2163"/>
      <c r="V2163" s="1"/>
      <c r="W2163" s="24"/>
      <c r="X2163"/>
      <c r="Y2163" s="1"/>
      <c r="Z2163" s="24"/>
      <c r="AA2163"/>
      <c r="AB2163" s="1"/>
      <c r="AC2163" s="24"/>
      <c r="AD2163"/>
      <c r="AE2163"/>
      <c r="AF2163"/>
      <c r="AG2163"/>
      <c r="AH2163"/>
      <c r="AI2163"/>
      <c r="AJ2163"/>
      <c r="AK2163"/>
      <c r="AL2163"/>
      <c r="AM2163"/>
      <c r="AN2163"/>
      <c r="AO2163"/>
      <c r="AP2163"/>
      <c r="AQ2163"/>
      <c r="AR2163"/>
      <c r="AS2163"/>
      <c r="AT2163"/>
      <c r="AU2163"/>
      <c r="AV2163"/>
      <c r="AW2163"/>
      <c r="AX2163"/>
      <c r="AY2163"/>
      <c r="AZ2163"/>
      <c r="BA2163"/>
      <c r="BB2163"/>
      <c r="BC2163"/>
      <c r="BD2163"/>
      <c r="BE2163"/>
      <c r="BF2163"/>
      <c r="BG2163"/>
      <c r="BH2163"/>
      <c r="BI2163"/>
      <c r="BJ2163"/>
      <c r="BK2163"/>
      <c r="BL2163"/>
      <c r="BM2163"/>
      <c r="BN2163"/>
      <c r="BO2163"/>
      <c r="BP2163"/>
      <c r="BQ2163"/>
      <c r="BR2163"/>
      <c r="BS2163"/>
      <c r="BT2163"/>
      <c r="BU2163"/>
      <c r="BV2163"/>
      <c r="BW2163"/>
      <c r="BX2163"/>
      <c r="BY2163"/>
      <c r="BZ2163"/>
      <c r="CA2163"/>
      <c r="CB2163"/>
      <c r="CC2163"/>
      <c r="CD2163"/>
      <c r="CE2163"/>
      <c r="CF2163"/>
      <c r="CG2163"/>
      <c r="CH2163"/>
      <c r="CI2163"/>
      <c r="CJ2163"/>
      <c r="CK2163"/>
      <c r="CL2163"/>
      <c r="CM2163"/>
      <c r="CN2163"/>
      <c r="CO2163"/>
      <c r="CP2163"/>
      <c r="CQ2163"/>
      <c r="CR2163"/>
      <c r="CS2163"/>
    </row>
    <row r="2164" spans="2:97">
      <c r="B2164"/>
      <c r="C2164" s="1"/>
      <c r="D2164" s="1"/>
      <c r="E2164" s="1"/>
      <c r="F2164" s="1"/>
      <c r="G2164" s="1"/>
      <c r="H2164" s="1"/>
      <c r="I2164" s="1"/>
      <c r="J2164" s="1"/>
      <c r="K2164" s="1"/>
      <c r="L2164" s="1"/>
      <c r="M2164" s="1"/>
      <c r="N2164" s="1"/>
      <c r="O2164" s="1"/>
      <c r="P2164" s="1"/>
      <c r="Q2164" s="1"/>
      <c r="R2164"/>
      <c r="S2164" s="1"/>
      <c r="T2164" s="24"/>
      <c r="U2164"/>
      <c r="V2164" s="1"/>
      <c r="W2164" s="24"/>
      <c r="X2164"/>
      <c r="Y2164" s="1"/>
      <c r="Z2164" s="24"/>
      <c r="AA2164"/>
      <c r="AB2164" s="1"/>
      <c r="AC2164" s="24"/>
      <c r="AD2164"/>
      <c r="AE2164"/>
      <c r="AF2164"/>
      <c r="AG2164"/>
      <c r="AH2164"/>
      <c r="AI2164"/>
      <c r="AJ2164"/>
      <c r="AK2164"/>
      <c r="AL2164"/>
      <c r="AM2164"/>
      <c r="AN2164"/>
      <c r="AO2164"/>
      <c r="AP2164"/>
      <c r="AQ2164"/>
      <c r="AR2164"/>
      <c r="AS2164"/>
      <c r="AT2164"/>
      <c r="AU2164"/>
      <c r="AV2164"/>
      <c r="AW2164"/>
      <c r="AX2164"/>
      <c r="AY2164"/>
      <c r="AZ2164"/>
      <c r="BA2164"/>
      <c r="BB2164"/>
      <c r="BC2164"/>
      <c r="BD2164"/>
      <c r="BE2164"/>
      <c r="BF2164"/>
      <c r="BG2164"/>
      <c r="BH2164"/>
      <c r="BI2164"/>
      <c r="BJ2164"/>
      <c r="BK2164"/>
      <c r="BL2164"/>
      <c r="BM2164"/>
      <c r="BN2164"/>
      <c r="BO2164"/>
      <c r="BP2164"/>
      <c r="BQ2164"/>
      <c r="BR2164"/>
      <c r="BS2164"/>
      <c r="BT2164"/>
      <c r="BU2164"/>
      <c r="BV2164"/>
      <c r="BW2164"/>
      <c r="BX2164"/>
      <c r="BY2164"/>
      <c r="BZ2164"/>
      <c r="CA2164"/>
      <c r="CB2164"/>
      <c r="CC2164"/>
      <c r="CD2164"/>
      <c r="CE2164"/>
      <c r="CF2164"/>
      <c r="CG2164"/>
      <c r="CH2164"/>
      <c r="CI2164"/>
      <c r="CJ2164"/>
      <c r="CK2164"/>
      <c r="CL2164"/>
      <c r="CM2164"/>
      <c r="CN2164"/>
      <c r="CO2164"/>
      <c r="CP2164"/>
      <c r="CQ2164"/>
      <c r="CR2164"/>
      <c r="CS2164"/>
    </row>
    <row r="2165" spans="2:97">
      <c r="B2165"/>
      <c r="C2165" s="1"/>
      <c r="D2165" s="1"/>
      <c r="E2165" s="1"/>
      <c r="F2165" s="1"/>
      <c r="G2165" s="1"/>
      <c r="H2165" s="1"/>
      <c r="I2165" s="1"/>
      <c r="J2165" s="1"/>
      <c r="K2165" s="1"/>
      <c r="L2165" s="1"/>
      <c r="M2165" s="1"/>
      <c r="N2165" s="1"/>
      <c r="O2165" s="1"/>
      <c r="P2165" s="1"/>
      <c r="Q2165" s="1"/>
      <c r="R2165"/>
      <c r="S2165" s="1"/>
      <c r="T2165" s="24"/>
      <c r="U2165"/>
      <c r="V2165" s="1"/>
      <c r="W2165" s="24"/>
      <c r="X2165"/>
      <c r="Y2165" s="1"/>
      <c r="Z2165" s="24"/>
      <c r="AA2165"/>
      <c r="AB2165" s="1"/>
      <c r="AC2165" s="24"/>
      <c r="AD2165"/>
      <c r="AE2165"/>
      <c r="AF2165"/>
      <c r="AG2165"/>
      <c r="AH2165"/>
      <c r="AI2165"/>
      <c r="AJ2165"/>
      <c r="AK2165"/>
      <c r="AL2165"/>
      <c r="AM2165"/>
      <c r="AN2165"/>
      <c r="AO2165"/>
      <c r="AP2165"/>
      <c r="AQ2165"/>
      <c r="AR2165"/>
      <c r="AS2165"/>
      <c r="AT2165"/>
      <c r="AU2165"/>
      <c r="AV2165"/>
      <c r="AW2165"/>
      <c r="AX2165"/>
      <c r="AY2165"/>
      <c r="AZ2165"/>
      <c r="BA2165"/>
      <c r="BB2165"/>
      <c r="BC2165"/>
      <c r="BD2165"/>
      <c r="BE2165"/>
      <c r="BF2165"/>
      <c r="BG2165"/>
      <c r="BH2165"/>
      <c r="BI2165"/>
      <c r="BJ2165"/>
      <c r="BK2165"/>
      <c r="BL2165"/>
      <c r="BM2165"/>
      <c r="BN2165"/>
      <c r="BO2165"/>
      <c r="BP2165"/>
      <c r="BQ2165"/>
      <c r="BR2165"/>
      <c r="BS2165"/>
      <c r="BT2165"/>
      <c r="BU2165"/>
      <c r="BV2165"/>
      <c r="BW2165"/>
      <c r="BX2165"/>
      <c r="BY2165"/>
      <c r="BZ2165"/>
      <c r="CA2165"/>
      <c r="CB2165"/>
      <c r="CC2165"/>
      <c r="CD2165"/>
      <c r="CE2165"/>
      <c r="CF2165"/>
      <c r="CG2165"/>
      <c r="CH2165"/>
      <c r="CI2165"/>
      <c r="CJ2165"/>
      <c r="CK2165"/>
      <c r="CL2165"/>
      <c r="CM2165"/>
      <c r="CN2165"/>
      <c r="CO2165"/>
      <c r="CP2165"/>
      <c r="CQ2165"/>
      <c r="CR2165"/>
      <c r="CS2165"/>
    </row>
    <row r="2166" spans="2:97">
      <c r="B2166"/>
      <c r="C2166" s="1"/>
      <c r="D2166" s="1"/>
      <c r="E2166" s="1"/>
      <c r="F2166" s="1"/>
      <c r="G2166" s="1"/>
      <c r="H2166" s="1"/>
      <c r="I2166" s="1"/>
      <c r="J2166" s="1"/>
      <c r="K2166" s="1"/>
      <c r="L2166" s="1"/>
      <c r="M2166" s="1"/>
      <c r="N2166" s="1"/>
      <c r="O2166" s="1"/>
      <c r="P2166" s="1"/>
      <c r="Q2166" s="1"/>
      <c r="R2166"/>
      <c r="S2166" s="1"/>
      <c r="T2166" s="24"/>
      <c r="U2166"/>
      <c r="V2166" s="1"/>
      <c r="W2166" s="24"/>
      <c r="X2166"/>
      <c r="Y2166" s="1"/>
      <c r="Z2166" s="24"/>
      <c r="AA2166"/>
      <c r="AB2166" s="1"/>
      <c r="AC2166" s="24"/>
      <c r="AD2166"/>
      <c r="AE2166"/>
      <c r="AF2166"/>
      <c r="AG2166"/>
      <c r="AH2166"/>
      <c r="AI2166"/>
      <c r="AJ2166"/>
      <c r="AK2166"/>
      <c r="AL2166"/>
      <c r="AM2166"/>
      <c r="AN2166"/>
      <c r="AO2166"/>
      <c r="AP2166"/>
      <c r="AQ2166"/>
      <c r="AR2166"/>
      <c r="AS2166"/>
      <c r="AT2166"/>
      <c r="AU2166"/>
      <c r="AV2166"/>
      <c r="AW2166"/>
      <c r="AX2166"/>
      <c r="AY2166"/>
      <c r="AZ2166"/>
      <c r="BA2166"/>
      <c r="BB2166"/>
      <c r="BC2166"/>
      <c r="BD2166"/>
      <c r="BE2166"/>
      <c r="BF2166"/>
      <c r="BG2166"/>
      <c r="BH2166"/>
      <c r="BI2166"/>
      <c r="BJ2166"/>
      <c r="BK2166"/>
      <c r="BL2166"/>
      <c r="BM2166"/>
      <c r="BN2166"/>
      <c r="BO2166"/>
      <c r="BP2166"/>
      <c r="BQ2166"/>
      <c r="BR2166"/>
      <c r="BS2166"/>
      <c r="BT2166"/>
      <c r="BU2166"/>
      <c r="BV2166"/>
      <c r="BW2166"/>
      <c r="BX2166"/>
      <c r="BY2166"/>
      <c r="BZ2166"/>
      <c r="CA2166"/>
      <c r="CB2166"/>
      <c r="CC2166"/>
      <c r="CD2166"/>
      <c r="CE2166"/>
      <c r="CF2166"/>
      <c r="CG2166"/>
      <c r="CH2166"/>
      <c r="CI2166"/>
      <c r="CJ2166"/>
      <c r="CK2166"/>
      <c r="CL2166"/>
      <c r="CM2166"/>
      <c r="CN2166"/>
      <c r="CO2166"/>
      <c r="CP2166"/>
      <c r="CQ2166"/>
      <c r="CR2166"/>
      <c r="CS2166"/>
    </row>
    <row r="2167" spans="2:97">
      <c r="B2167"/>
      <c r="C2167" s="1"/>
      <c r="D2167" s="1"/>
      <c r="E2167" s="1"/>
      <c r="F2167" s="1"/>
      <c r="G2167" s="1"/>
      <c r="H2167" s="1"/>
      <c r="I2167" s="1"/>
      <c r="J2167" s="1"/>
      <c r="K2167" s="1"/>
      <c r="L2167" s="1"/>
      <c r="M2167" s="1"/>
      <c r="N2167" s="1"/>
      <c r="O2167" s="1"/>
      <c r="P2167" s="1"/>
      <c r="Q2167" s="1"/>
      <c r="R2167"/>
      <c r="S2167" s="1"/>
      <c r="T2167" s="24"/>
      <c r="U2167"/>
      <c r="V2167" s="1"/>
      <c r="W2167" s="24"/>
      <c r="X2167"/>
      <c r="Y2167" s="1"/>
      <c r="Z2167" s="24"/>
      <c r="AA2167"/>
      <c r="AB2167" s="1"/>
      <c r="AC2167" s="24"/>
      <c r="AD2167"/>
      <c r="AE2167"/>
      <c r="AF2167"/>
      <c r="AG2167"/>
      <c r="AH2167"/>
      <c r="AI2167"/>
      <c r="AJ2167"/>
      <c r="AK2167"/>
      <c r="AL2167"/>
      <c r="AM2167"/>
      <c r="AN2167"/>
      <c r="AO2167"/>
      <c r="AP2167"/>
      <c r="AQ2167"/>
      <c r="AR2167"/>
      <c r="AS2167"/>
      <c r="AT2167"/>
      <c r="AU2167"/>
      <c r="AV2167"/>
      <c r="AW2167"/>
      <c r="AX2167"/>
      <c r="AY2167"/>
      <c r="AZ2167"/>
      <c r="BA2167"/>
      <c r="BB2167"/>
      <c r="BC2167"/>
      <c r="BD2167"/>
      <c r="BE2167"/>
      <c r="BF2167"/>
      <c r="BG2167"/>
      <c r="BH2167"/>
      <c r="BI2167"/>
      <c r="BJ2167"/>
      <c r="BK2167"/>
      <c r="BL2167"/>
      <c r="BM2167"/>
      <c r="BN2167"/>
      <c r="BO2167"/>
      <c r="BP2167"/>
      <c r="BQ2167"/>
      <c r="BR2167"/>
      <c r="BS2167"/>
      <c r="BT2167"/>
      <c r="BU2167"/>
      <c r="BV2167"/>
      <c r="BW2167"/>
      <c r="BX2167"/>
      <c r="BY2167"/>
      <c r="BZ2167"/>
      <c r="CA2167"/>
      <c r="CB2167"/>
      <c r="CC2167"/>
      <c r="CD2167"/>
      <c r="CE2167"/>
      <c r="CF2167"/>
      <c r="CG2167"/>
      <c r="CH2167"/>
      <c r="CI2167"/>
      <c r="CJ2167"/>
      <c r="CK2167"/>
      <c r="CL2167"/>
      <c r="CM2167"/>
      <c r="CN2167"/>
      <c r="CO2167"/>
      <c r="CP2167"/>
      <c r="CQ2167"/>
      <c r="CR2167"/>
      <c r="CS2167"/>
    </row>
    <row r="2168" spans="2:97">
      <c r="B2168"/>
      <c r="C2168" s="1"/>
      <c r="D2168" s="1"/>
      <c r="E2168" s="1"/>
      <c r="F2168" s="1"/>
      <c r="G2168" s="1"/>
      <c r="H2168" s="1"/>
      <c r="I2168" s="1"/>
      <c r="J2168" s="1"/>
      <c r="K2168" s="1"/>
      <c r="L2168" s="1"/>
      <c r="M2168" s="1"/>
      <c r="N2168" s="1"/>
      <c r="O2168" s="1"/>
      <c r="P2168" s="1"/>
      <c r="Q2168" s="1"/>
      <c r="R2168"/>
      <c r="S2168" s="1"/>
      <c r="T2168" s="24"/>
      <c r="U2168"/>
      <c r="V2168" s="1"/>
      <c r="W2168" s="24"/>
      <c r="X2168"/>
      <c r="Y2168" s="1"/>
      <c r="Z2168" s="24"/>
      <c r="AA2168"/>
      <c r="AB2168" s="1"/>
      <c r="AC2168" s="24"/>
      <c r="AD2168"/>
      <c r="AE2168"/>
      <c r="AF2168"/>
      <c r="AG2168"/>
      <c r="AH2168"/>
      <c r="AI2168"/>
      <c r="AJ2168"/>
      <c r="AK2168"/>
      <c r="AL2168"/>
      <c r="AM2168"/>
      <c r="AN2168"/>
      <c r="AO2168"/>
      <c r="AP2168"/>
      <c r="AQ2168"/>
      <c r="AR2168"/>
      <c r="AS2168"/>
      <c r="AT2168"/>
      <c r="AU2168"/>
      <c r="AV2168"/>
      <c r="AW2168"/>
      <c r="AX2168"/>
      <c r="AY2168"/>
      <c r="AZ2168"/>
      <c r="BA2168"/>
      <c r="BB2168"/>
      <c r="BC2168"/>
      <c r="BD2168"/>
      <c r="BE2168"/>
      <c r="BF2168"/>
      <c r="BG2168"/>
      <c r="BH2168"/>
      <c r="BI2168"/>
      <c r="BJ2168"/>
      <c r="BK2168"/>
      <c r="BL2168"/>
      <c r="BM2168"/>
      <c r="BN2168"/>
      <c r="BO2168"/>
      <c r="BP2168"/>
      <c r="BQ2168"/>
      <c r="BR2168"/>
      <c r="BS2168"/>
      <c r="BT2168"/>
      <c r="BU2168"/>
      <c r="BV2168"/>
      <c r="BW2168"/>
      <c r="BX2168"/>
      <c r="BY2168"/>
      <c r="BZ2168"/>
      <c r="CA2168"/>
      <c r="CB2168"/>
      <c r="CC2168"/>
      <c r="CD2168"/>
      <c r="CE2168"/>
      <c r="CF2168"/>
      <c r="CG2168"/>
      <c r="CH2168"/>
      <c r="CI2168"/>
      <c r="CJ2168"/>
      <c r="CK2168"/>
      <c r="CL2168"/>
      <c r="CM2168"/>
      <c r="CN2168"/>
      <c r="CO2168"/>
      <c r="CP2168"/>
      <c r="CQ2168"/>
      <c r="CR2168"/>
      <c r="CS2168"/>
    </row>
    <row r="2169" spans="2:97">
      <c r="B2169"/>
      <c r="C2169" s="1"/>
      <c r="D2169" s="1"/>
      <c r="E2169" s="1"/>
      <c r="F2169" s="1"/>
      <c r="G2169" s="1"/>
      <c r="H2169" s="1"/>
      <c r="I2169" s="1"/>
      <c r="J2169" s="1"/>
      <c r="K2169" s="1"/>
      <c r="L2169" s="1"/>
      <c r="M2169" s="1"/>
      <c r="N2169" s="1"/>
      <c r="O2169" s="1"/>
      <c r="P2169" s="1"/>
      <c r="Q2169" s="1"/>
      <c r="R2169"/>
      <c r="S2169" s="1"/>
      <c r="T2169" s="24"/>
      <c r="U2169"/>
      <c r="V2169" s="1"/>
      <c r="W2169" s="24"/>
      <c r="X2169"/>
      <c r="Y2169" s="1"/>
      <c r="Z2169" s="24"/>
      <c r="AA2169"/>
      <c r="AB2169" s="1"/>
      <c r="AC2169" s="24"/>
      <c r="AD2169"/>
      <c r="AE2169"/>
      <c r="AF2169"/>
      <c r="AG2169"/>
      <c r="AH2169"/>
      <c r="AI2169"/>
      <c r="AJ2169"/>
      <c r="AK2169"/>
      <c r="AL2169"/>
      <c r="AM2169"/>
      <c r="AN2169"/>
      <c r="AO2169"/>
      <c r="AP2169"/>
      <c r="AQ2169"/>
      <c r="AR2169"/>
      <c r="AS2169"/>
      <c r="AT2169"/>
      <c r="AU2169"/>
      <c r="AV2169"/>
      <c r="AW2169"/>
      <c r="AX2169"/>
      <c r="AY2169"/>
      <c r="AZ2169"/>
      <c r="BA2169"/>
      <c r="BB2169"/>
      <c r="BC2169"/>
      <c r="BD2169"/>
      <c r="BE2169"/>
      <c r="BF2169"/>
      <c r="BG2169"/>
      <c r="BH2169"/>
      <c r="BI2169"/>
      <c r="BJ2169"/>
      <c r="BK2169"/>
      <c r="BL2169"/>
      <c r="BM2169"/>
      <c r="BN2169"/>
      <c r="BO2169"/>
      <c r="BP2169"/>
      <c r="BQ2169"/>
      <c r="BR2169"/>
      <c r="BS2169"/>
      <c r="BT2169"/>
      <c r="BU2169"/>
      <c r="BV2169"/>
      <c r="BW2169"/>
      <c r="BX2169"/>
      <c r="BY2169"/>
      <c r="BZ2169"/>
      <c r="CA2169"/>
      <c r="CB2169"/>
      <c r="CC2169"/>
      <c r="CD2169"/>
      <c r="CE2169"/>
      <c r="CF2169"/>
      <c r="CG2169"/>
      <c r="CH2169"/>
      <c r="CI2169"/>
      <c r="CJ2169"/>
      <c r="CK2169"/>
      <c r="CL2169"/>
      <c r="CM2169"/>
      <c r="CN2169"/>
      <c r="CO2169"/>
      <c r="CP2169"/>
      <c r="CQ2169"/>
      <c r="CR2169"/>
      <c r="CS2169"/>
    </row>
    <row r="2170" spans="2:97">
      <c r="B2170"/>
      <c r="C2170" s="1"/>
      <c r="D2170" s="1"/>
      <c r="E2170" s="1"/>
      <c r="F2170" s="1"/>
      <c r="G2170" s="1"/>
      <c r="H2170" s="1"/>
      <c r="I2170" s="1"/>
      <c r="J2170" s="1"/>
      <c r="K2170" s="1"/>
      <c r="L2170" s="1"/>
      <c r="M2170" s="1"/>
      <c r="N2170" s="1"/>
      <c r="O2170" s="1"/>
      <c r="P2170" s="1"/>
      <c r="Q2170" s="1"/>
      <c r="R2170"/>
      <c r="S2170" s="1"/>
      <c r="T2170" s="24"/>
      <c r="U2170"/>
      <c r="V2170" s="1"/>
      <c r="W2170" s="24"/>
      <c r="X2170"/>
      <c r="Y2170" s="1"/>
      <c r="Z2170" s="24"/>
      <c r="AA2170"/>
      <c r="AB2170" s="1"/>
      <c r="AC2170" s="24"/>
      <c r="AD2170"/>
      <c r="AE2170"/>
      <c r="AF2170"/>
      <c r="AG2170"/>
      <c r="AH2170"/>
      <c r="AI2170"/>
      <c r="AJ2170"/>
      <c r="AK2170"/>
      <c r="AL2170"/>
      <c r="AM2170"/>
      <c r="AN2170"/>
      <c r="AO2170"/>
      <c r="AP2170"/>
      <c r="AQ2170"/>
      <c r="AR2170"/>
      <c r="AS2170"/>
      <c r="AT2170"/>
      <c r="AU2170"/>
      <c r="AV2170"/>
      <c r="AW2170"/>
      <c r="AX2170"/>
      <c r="AY2170"/>
      <c r="AZ2170"/>
      <c r="BA2170"/>
      <c r="BB2170"/>
      <c r="BC2170"/>
      <c r="BD2170"/>
      <c r="BE2170"/>
      <c r="BF2170"/>
      <c r="BG2170"/>
      <c r="BH2170"/>
      <c r="BI2170"/>
      <c r="BJ2170"/>
      <c r="BK2170"/>
      <c r="BL2170"/>
      <c r="BM2170"/>
      <c r="BN2170"/>
      <c r="BO2170"/>
      <c r="BP2170"/>
      <c r="BQ2170"/>
      <c r="BR2170"/>
      <c r="BS2170"/>
      <c r="BT2170"/>
      <c r="BU2170"/>
      <c r="BV2170"/>
      <c r="BW2170"/>
      <c r="BX2170"/>
      <c r="BY2170"/>
      <c r="BZ2170"/>
      <c r="CA2170"/>
      <c r="CB2170"/>
      <c r="CC2170"/>
      <c r="CD2170"/>
      <c r="CE2170"/>
      <c r="CF2170"/>
      <c r="CG2170"/>
      <c r="CH2170"/>
      <c r="CI2170"/>
      <c r="CJ2170"/>
      <c r="CK2170"/>
      <c r="CL2170"/>
      <c r="CM2170"/>
      <c r="CN2170"/>
      <c r="CO2170"/>
      <c r="CP2170"/>
      <c r="CQ2170"/>
      <c r="CR2170"/>
      <c r="CS2170"/>
    </row>
    <row r="2171" spans="2:97">
      <c r="B2171"/>
      <c r="C2171" s="1"/>
      <c r="D2171" s="1"/>
      <c r="E2171" s="1"/>
      <c r="F2171" s="1"/>
      <c r="G2171" s="1"/>
      <c r="H2171" s="1"/>
      <c r="I2171" s="1"/>
      <c r="J2171" s="1"/>
      <c r="K2171" s="1"/>
      <c r="L2171" s="1"/>
      <c r="M2171" s="1"/>
      <c r="N2171" s="1"/>
      <c r="O2171" s="1"/>
      <c r="P2171" s="1"/>
      <c r="Q2171" s="1"/>
      <c r="R2171"/>
      <c r="S2171" s="1"/>
      <c r="T2171" s="24"/>
      <c r="U2171"/>
      <c r="V2171" s="1"/>
      <c r="W2171" s="24"/>
      <c r="X2171"/>
      <c r="Y2171" s="1"/>
      <c r="Z2171" s="24"/>
      <c r="AA2171"/>
      <c r="AB2171" s="1"/>
      <c r="AC2171" s="24"/>
      <c r="AD2171"/>
      <c r="AE2171"/>
      <c r="AF2171"/>
      <c r="AG2171"/>
      <c r="AH2171"/>
      <c r="AI2171"/>
      <c r="AJ2171"/>
      <c r="AK2171"/>
      <c r="AL2171"/>
      <c r="AM2171"/>
      <c r="AN2171"/>
      <c r="AO2171"/>
      <c r="AP2171"/>
      <c r="AQ2171"/>
      <c r="AR2171"/>
      <c r="AS2171"/>
      <c r="AT2171"/>
      <c r="AU2171"/>
      <c r="AV2171"/>
      <c r="AW2171"/>
      <c r="AX2171"/>
      <c r="AY2171"/>
      <c r="AZ2171"/>
      <c r="BA2171"/>
      <c r="BB2171"/>
      <c r="BC2171"/>
      <c r="BD2171"/>
      <c r="BE2171"/>
      <c r="BF2171"/>
      <c r="BG2171"/>
      <c r="BH2171"/>
      <c r="BI2171"/>
      <c r="BJ2171"/>
      <c r="BK2171"/>
      <c r="BL2171"/>
      <c r="BM2171"/>
      <c r="BN2171"/>
      <c r="BO2171"/>
      <c r="BP2171"/>
      <c r="BQ2171"/>
      <c r="BR2171"/>
      <c r="BS2171"/>
      <c r="BT2171"/>
      <c r="BU2171"/>
      <c r="BV2171"/>
      <c r="BW2171"/>
      <c r="BX2171"/>
      <c r="BY2171"/>
      <c r="BZ2171"/>
      <c r="CA2171"/>
      <c r="CB2171"/>
      <c r="CC2171"/>
      <c r="CD2171"/>
      <c r="CE2171"/>
      <c r="CF2171"/>
      <c r="CG2171"/>
      <c r="CH2171"/>
      <c r="CI2171"/>
      <c r="CJ2171"/>
      <c r="CK2171"/>
      <c r="CL2171"/>
      <c r="CM2171"/>
      <c r="CN2171"/>
      <c r="CO2171"/>
      <c r="CP2171"/>
      <c r="CQ2171"/>
      <c r="CR2171"/>
      <c r="CS2171"/>
    </row>
    <row r="2172" spans="2:97">
      <c r="B2172"/>
      <c r="C2172" s="1"/>
      <c r="D2172" s="1"/>
      <c r="E2172" s="1"/>
      <c r="F2172" s="1"/>
      <c r="G2172" s="1"/>
      <c r="H2172" s="1"/>
      <c r="I2172" s="1"/>
      <c r="J2172" s="1"/>
      <c r="K2172" s="1"/>
      <c r="L2172" s="1"/>
      <c r="M2172" s="1"/>
      <c r="N2172" s="1"/>
      <c r="O2172" s="1"/>
      <c r="P2172" s="1"/>
      <c r="Q2172" s="1"/>
      <c r="R2172"/>
      <c r="S2172" s="1"/>
      <c r="T2172" s="24"/>
      <c r="U2172"/>
      <c r="V2172" s="1"/>
      <c r="W2172" s="24"/>
      <c r="X2172"/>
      <c r="Y2172" s="1"/>
      <c r="Z2172" s="24"/>
      <c r="AA2172"/>
      <c r="AB2172" s="1"/>
      <c r="AC2172" s="24"/>
      <c r="AD2172"/>
      <c r="AE2172"/>
      <c r="AF2172"/>
      <c r="AG2172"/>
      <c r="AH2172"/>
      <c r="AI2172"/>
      <c r="AJ2172"/>
      <c r="AK2172"/>
      <c r="AL2172"/>
      <c r="AM2172"/>
      <c r="AN2172"/>
      <c r="AO2172"/>
      <c r="AP2172"/>
      <c r="AQ2172"/>
      <c r="AR2172"/>
      <c r="AS2172"/>
      <c r="AT2172"/>
      <c r="AU2172"/>
      <c r="AV2172"/>
      <c r="AW2172"/>
      <c r="AX2172"/>
      <c r="AY2172"/>
      <c r="AZ2172"/>
      <c r="BA2172"/>
      <c r="BB2172"/>
      <c r="BC2172"/>
      <c r="BD2172"/>
      <c r="BE2172"/>
      <c r="BF2172"/>
      <c r="BG2172"/>
      <c r="BH2172"/>
      <c r="BI2172"/>
      <c r="BJ2172"/>
      <c r="BK2172"/>
      <c r="BL2172"/>
      <c r="BM2172"/>
      <c r="BN2172"/>
      <c r="BO2172"/>
      <c r="BP2172"/>
      <c r="BQ2172"/>
      <c r="BR2172"/>
      <c r="BS2172"/>
      <c r="BT2172"/>
      <c r="BU2172"/>
      <c r="BV2172"/>
      <c r="BW2172"/>
      <c r="BX2172"/>
      <c r="BY2172"/>
      <c r="BZ2172"/>
      <c r="CA2172"/>
      <c r="CB2172"/>
      <c r="CC2172"/>
      <c r="CD2172"/>
      <c r="CE2172"/>
      <c r="CF2172"/>
      <c r="CG2172"/>
      <c r="CH2172"/>
      <c r="CI2172"/>
      <c r="CJ2172"/>
      <c r="CK2172"/>
      <c r="CL2172"/>
      <c r="CM2172"/>
      <c r="CN2172"/>
      <c r="CO2172"/>
      <c r="CP2172"/>
      <c r="CQ2172"/>
      <c r="CR2172"/>
      <c r="CS2172"/>
    </row>
    <row r="2173" spans="2:97">
      <c r="B2173"/>
      <c r="C2173" s="1"/>
      <c r="D2173" s="1"/>
      <c r="E2173" s="1"/>
      <c r="F2173" s="1"/>
      <c r="G2173" s="1"/>
      <c r="H2173" s="1"/>
      <c r="I2173" s="1"/>
      <c r="J2173" s="1"/>
      <c r="K2173" s="1"/>
      <c r="L2173" s="1"/>
      <c r="M2173" s="1"/>
      <c r="N2173" s="1"/>
      <c r="O2173" s="1"/>
      <c r="P2173" s="1"/>
      <c r="Q2173" s="1"/>
      <c r="R2173"/>
      <c r="S2173" s="1"/>
      <c r="T2173" s="24"/>
      <c r="U2173"/>
      <c r="V2173" s="1"/>
      <c r="W2173" s="24"/>
      <c r="X2173"/>
      <c r="Y2173" s="1"/>
      <c r="Z2173" s="24"/>
      <c r="AA2173"/>
      <c r="AB2173" s="1"/>
      <c r="AC2173" s="24"/>
      <c r="AD2173"/>
      <c r="AE2173"/>
      <c r="AF2173"/>
      <c r="AG2173"/>
      <c r="AH2173"/>
      <c r="AI2173"/>
      <c r="AJ2173"/>
      <c r="AK2173"/>
      <c r="AL2173"/>
      <c r="AM2173"/>
      <c r="AN2173"/>
      <c r="AO2173"/>
      <c r="AP2173"/>
      <c r="AQ2173"/>
      <c r="AR2173"/>
      <c r="AS2173"/>
      <c r="AT2173"/>
      <c r="AU2173"/>
      <c r="AV2173"/>
      <c r="AW2173"/>
      <c r="AX2173"/>
      <c r="AY2173"/>
      <c r="AZ2173"/>
      <c r="BA2173"/>
      <c r="BB2173"/>
      <c r="BC2173"/>
      <c r="BD2173"/>
      <c r="BE2173"/>
      <c r="BF2173"/>
      <c r="BG2173"/>
      <c r="BH2173"/>
      <c r="BI2173"/>
      <c r="BJ2173"/>
      <c r="BK2173"/>
      <c r="BL2173"/>
      <c r="BM2173"/>
      <c r="BN2173"/>
      <c r="BO2173"/>
      <c r="BP2173"/>
      <c r="BQ2173"/>
      <c r="BR2173"/>
      <c r="BS2173"/>
      <c r="BT2173"/>
      <c r="BU2173"/>
      <c r="BV2173"/>
      <c r="BW2173"/>
      <c r="BX2173"/>
      <c r="BY2173"/>
      <c r="BZ2173"/>
      <c r="CA2173"/>
      <c r="CB2173"/>
      <c r="CC2173"/>
      <c r="CD2173"/>
      <c r="CE2173"/>
      <c r="CF2173"/>
      <c r="CG2173"/>
      <c r="CH2173"/>
      <c r="CI2173"/>
      <c r="CJ2173"/>
      <c r="CK2173"/>
      <c r="CL2173"/>
      <c r="CM2173"/>
      <c r="CN2173"/>
      <c r="CO2173"/>
      <c r="CP2173"/>
      <c r="CQ2173"/>
      <c r="CR2173"/>
      <c r="CS2173"/>
    </row>
    <row r="2174" spans="2:97">
      <c r="B2174"/>
      <c r="C2174" s="1"/>
      <c r="D2174" s="1"/>
      <c r="E2174" s="1"/>
      <c r="F2174" s="1"/>
      <c r="G2174" s="1"/>
      <c r="H2174" s="1"/>
      <c r="I2174" s="1"/>
      <c r="J2174" s="1"/>
      <c r="K2174" s="1"/>
      <c r="L2174" s="1"/>
      <c r="M2174" s="1"/>
      <c r="N2174" s="1"/>
      <c r="O2174" s="1"/>
      <c r="P2174" s="1"/>
      <c r="Q2174" s="1"/>
      <c r="R2174"/>
      <c r="S2174" s="1"/>
      <c r="T2174" s="24"/>
      <c r="U2174"/>
      <c r="V2174" s="1"/>
      <c r="W2174" s="24"/>
      <c r="X2174"/>
      <c r="Y2174" s="1"/>
      <c r="Z2174" s="24"/>
      <c r="AA2174"/>
      <c r="AB2174" s="1"/>
      <c r="AC2174" s="24"/>
      <c r="AD2174"/>
      <c r="AE2174"/>
      <c r="AF2174"/>
      <c r="AG2174"/>
      <c r="AH2174"/>
      <c r="AI2174"/>
      <c r="AJ2174"/>
      <c r="AK2174"/>
      <c r="AL2174"/>
      <c r="AM2174"/>
      <c r="AN2174"/>
      <c r="AO2174"/>
      <c r="AP2174"/>
      <c r="AQ2174"/>
      <c r="AR2174"/>
      <c r="AS2174"/>
      <c r="AT2174"/>
      <c r="AU2174"/>
      <c r="AV2174"/>
      <c r="AW2174"/>
      <c r="AX2174"/>
      <c r="AY2174"/>
      <c r="AZ2174"/>
      <c r="BA2174"/>
      <c r="BB2174"/>
      <c r="BC2174"/>
      <c r="BD2174"/>
      <c r="BE2174"/>
      <c r="BF2174"/>
      <c r="BG2174"/>
      <c r="BH2174"/>
      <c r="BI2174"/>
      <c r="BJ2174"/>
      <c r="BK2174"/>
      <c r="BL2174"/>
      <c r="BM2174"/>
      <c r="BN2174"/>
      <c r="BO2174"/>
      <c r="BP2174"/>
      <c r="BQ2174"/>
      <c r="BR2174"/>
      <c r="BS2174"/>
      <c r="BT2174"/>
      <c r="BU2174"/>
      <c r="BV2174"/>
      <c r="BW2174"/>
      <c r="BX2174"/>
      <c r="BY2174"/>
      <c r="BZ2174"/>
      <c r="CA2174"/>
      <c r="CB2174"/>
      <c r="CC2174"/>
      <c r="CD2174"/>
      <c r="CE2174"/>
      <c r="CF2174"/>
      <c r="CG2174"/>
      <c r="CH2174"/>
      <c r="CI2174"/>
      <c r="CJ2174"/>
      <c r="CK2174"/>
      <c r="CL2174"/>
      <c r="CM2174"/>
      <c r="CN2174"/>
      <c r="CO2174"/>
      <c r="CP2174"/>
      <c r="CQ2174"/>
      <c r="CR2174"/>
      <c r="CS2174"/>
    </row>
    <row r="2175" spans="2:97">
      <c r="B2175"/>
      <c r="C2175" s="1"/>
      <c r="D2175" s="1"/>
      <c r="E2175" s="1"/>
      <c r="F2175" s="1"/>
      <c r="G2175" s="1"/>
      <c r="H2175" s="1"/>
      <c r="I2175" s="1"/>
      <c r="J2175" s="1"/>
      <c r="K2175" s="1"/>
      <c r="L2175" s="1"/>
      <c r="M2175" s="1"/>
      <c r="N2175" s="1"/>
      <c r="O2175" s="1"/>
      <c r="P2175" s="1"/>
      <c r="Q2175" s="1"/>
      <c r="R2175"/>
      <c r="S2175" s="1"/>
      <c r="T2175" s="24"/>
      <c r="U2175"/>
      <c r="V2175" s="1"/>
      <c r="W2175" s="24"/>
      <c r="X2175"/>
      <c r="Y2175" s="1"/>
      <c r="Z2175" s="24"/>
      <c r="AA2175"/>
      <c r="AB2175" s="1"/>
      <c r="AC2175" s="24"/>
      <c r="AD2175"/>
      <c r="AE2175"/>
      <c r="AF2175"/>
      <c r="AG2175"/>
      <c r="AH2175"/>
      <c r="AI2175"/>
      <c r="AJ2175"/>
      <c r="AK2175"/>
      <c r="AL2175"/>
      <c r="AM2175"/>
      <c r="AN2175"/>
      <c r="AO2175"/>
      <c r="AP2175"/>
      <c r="AQ2175"/>
      <c r="AR2175"/>
      <c r="AS2175"/>
      <c r="AT2175"/>
      <c r="AU2175"/>
      <c r="AV2175"/>
      <c r="AW2175"/>
      <c r="AX2175"/>
      <c r="AY2175"/>
      <c r="AZ2175"/>
      <c r="BA2175"/>
      <c r="BB2175"/>
      <c r="BC2175"/>
      <c r="BD2175"/>
      <c r="BE2175"/>
      <c r="BF2175"/>
      <c r="BG2175"/>
      <c r="BH2175"/>
      <c r="BI2175"/>
      <c r="BJ2175"/>
      <c r="BK2175"/>
      <c r="BL2175"/>
      <c r="BM2175"/>
      <c r="BN2175"/>
      <c r="BO2175"/>
      <c r="BP2175"/>
      <c r="BQ2175"/>
      <c r="BR2175"/>
      <c r="BS2175"/>
      <c r="BT2175"/>
      <c r="BU2175"/>
      <c r="BV2175"/>
      <c r="BW2175"/>
      <c r="BX2175"/>
      <c r="BY2175"/>
      <c r="BZ2175"/>
      <c r="CA2175"/>
      <c r="CB2175"/>
      <c r="CC2175"/>
      <c r="CD2175"/>
      <c r="CE2175"/>
      <c r="CF2175"/>
      <c r="CG2175"/>
      <c r="CH2175"/>
      <c r="CI2175"/>
      <c r="CJ2175"/>
      <c r="CK2175"/>
      <c r="CL2175"/>
      <c r="CM2175"/>
      <c r="CN2175"/>
      <c r="CO2175"/>
      <c r="CP2175"/>
      <c r="CQ2175"/>
      <c r="CR2175"/>
      <c r="CS2175"/>
    </row>
    <row r="2176" spans="2:97">
      <c r="B2176"/>
      <c r="C2176" s="1"/>
      <c r="D2176" s="1"/>
      <c r="E2176" s="1"/>
      <c r="F2176" s="1"/>
      <c r="G2176" s="1"/>
      <c r="H2176" s="1"/>
      <c r="I2176" s="1"/>
      <c r="J2176" s="1"/>
      <c r="K2176" s="1"/>
      <c r="L2176" s="1"/>
      <c r="M2176" s="1"/>
      <c r="N2176" s="1"/>
      <c r="O2176" s="1"/>
      <c r="P2176" s="1"/>
      <c r="Q2176" s="1"/>
      <c r="R2176"/>
      <c r="S2176" s="1"/>
      <c r="T2176" s="24"/>
      <c r="U2176"/>
      <c r="V2176" s="1"/>
      <c r="W2176" s="24"/>
      <c r="X2176"/>
      <c r="Y2176" s="1"/>
      <c r="Z2176" s="24"/>
      <c r="AA2176"/>
      <c r="AB2176" s="1"/>
      <c r="AC2176" s="24"/>
      <c r="AD2176"/>
      <c r="AE2176"/>
      <c r="AF2176"/>
      <c r="AG2176"/>
      <c r="AH2176"/>
      <c r="AI2176"/>
      <c r="AJ2176"/>
      <c r="AK2176"/>
      <c r="AL2176"/>
      <c r="AM2176"/>
      <c r="AN2176"/>
      <c r="AO2176"/>
      <c r="AP2176"/>
      <c r="AQ2176"/>
      <c r="AR2176"/>
      <c r="AS2176"/>
      <c r="AT2176"/>
      <c r="AU2176"/>
      <c r="AV2176"/>
      <c r="AW2176"/>
      <c r="AX2176"/>
      <c r="AY2176"/>
      <c r="AZ2176"/>
      <c r="BA2176"/>
      <c r="BB2176"/>
      <c r="BC2176"/>
      <c r="BD2176"/>
      <c r="BE2176"/>
      <c r="BF2176"/>
      <c r="BG2176"/>
      <c r="BH2176"/>
      <c r="BI2176"/>
      <c r="BJ2176"/>
      <c r="BK2176"/>
      <c r="BL2176"/>
      <c r="BM2176"/>
      <c r="BN2176"/>
      <c r="BO2176"/>
      <c r="BP2176"/>
      <c r="BQ2176"/>
      <c r="BR2176"/>
      <c r="BS2176"/>
      <c r="BT2176"/>
      <c r="BU2176"/>
      <c r="BV2176"/>
      <c r="BW2176"/>
      <c r="BX2176"/>
      <c r="BY2176"/>
      <c r="BZ2176"/>
      <c r="CA2176"/>
      <c r="CB2176"/>
      <c r="CC2176"/>
      <c r="CD2176"/>
      <c r="CE2176"/>
      <c r="CF2176"/>
      <c r="CG2176"/>
      <c r="CH2176"/>
      <c r="CI2176"/>
      <c r="CJ2176"/>
      <c r="CK2176"/>
      <c r="CL2176"/>
      <c r="CM2176"/>
      <c r="CN2176"/>
      <c r="CO2176"/>
      <c r="CP2176"/>
      <c r="CQ2176"/>
      <c r="CR2176"/>
      <c r="CS2176"/>
    </row>
    <row r="2177" spans="2:97">
      <c r="B2177"/>
      <c r="C2177" s="1"/>
      <c r="D2177" s="1"/>
      <c r="E2177" s="1"/>
      <c r="F2177" s="1"/>
      <c r="G2177" s="1"/>
      <c r="H2177" s="1"/>
      <c r="I2177" s="1"/>
      <c r="J2177" s="1"/>
      <c r="K2177" s="1"/>
      <c r="L2177" s="1"/>
      <c r="M2177" s="1"/>
      <c r="N2177" s="1"/>
      <c r="O2177" s="1"/>
      <c r="P2177" s="1"/>
      <c r="Q2177" s="1"/>
      <c r="R2177"/>
      <c r="S2177" s="1"/>
      <c r="T2177" s="24"/>
      <c r="U2177"/>
      <c r="V2177" s="1"/>
      <c r="W2177" s="24"/>
      <c r="X2177"/>
      <c r="Y2177" s="1"/>
      <c r="Z2177" s="24"/>
      <c r="AA2177"/>
      <c r="AB2177" s="1"/>
      <c r="AC2177" s="24"/>
      <c r="AD2177"/>
      <c r="AE2177"/>
      <c r="AF2177"/>
      <c r="AG2177"/>
      <c r="AH2177"/>
      <c r="AI2177"/>
      <c r="AJ2177"/>
      <c r="AK2177"/>
      <c r="AL2177"/>
      <c r="AM2177"/>
      <c r="AN2177"/>
      <c r="AO2177"/>
      <c r="AP2177"/>
      <c r="AQ2177"/>
      <c r="AR2177"/>
      <c r="AS2177"/>
      <c r="AT2177"/>
      <c r="AU2177"/>
      <c r="AV2177"/>
      <c r="AW2177"/>
      <c r="AX2177"/>
      <c r="AY2177"/>
      <c r="AZ2177"/>
      <c r="BA2177"/>
      <c r="BB2177"/>
      <c r="BC2177"/>
      <c r="BD2177"/>
      <c r="BE2177"/>
      <c r="BF2177"/>
      <c r="BG2177"/>
      <c r="BH2177"/>
      <c r="BI2177"/>
      <c r="BJ2177"/>
      <c r="BK2177"/>
      <c r="BL2177"/>
      <c r="BM2177"/>
      <c r="BN2177"/>
      <c r="BO2177"/>
      <c r="BP2177"/>
      <c r="BQ2177"/>
      <c r="BR2177"/>
      <c r="BS2177"/>
      <c r="BT2177"/>
      <c r="BU2177"/>
      <c r="BV2177"/>
      <c r="BW2177"/>
      <c r="BX2177"/>
      <c r="BY2177"/>
      <c r="BZ2177"/>
      <c r="CA2177"/>
      <c r="CB2177"/>
      <c r="CC2177"/>
      <c r="CD2177"/>
      <c r="CE2177"/>
      <c r="CF2177"/>
      <c r="CG2177"/>
      <c r="CH2177"/>
      <c r="CI2177"/>
      <c r="CJ2177"/>
      <c r="CK2177"/>
      <c r="CL2177"/>
      <c r="CM2177"/>
      <c r="CN2177"/>
      <c r="CO2177"/>
      <c r="CP2177"/>
      <c r="CQ2177"/>
      <c r="CR2177"/>
      <c r="CS2177"/>
    </row>
    <row r="2178" spans="2:97">
      <c r="B2178"/>
      <c r="C2178" s="1"/>
      <c r="D2178" s="1"/>
      <c r="E2178" s="1"/>
      <c r="F2178" s="1"/>
      <c r="G2178" s="1"/>
      <c r="H2178" s="1"/>
      <c r="I2178" s="1"/>
      <c r="J2178" s="1"/>
      <c r="K2178" s="1"/>
      <c r="L2178" s="1"/>
      <c r="M2178" s="1"/>
      <c r="N2178" s="1"/>
      <c r="O2178" s="1"/>
      <c r="P2178" s="1"/>
      <c r="Q2178" s="1"/>
      <c r="R2178"/>
      <c r="S2178" s="1"/>
      <c r="T2178" s="24"/>
      <c r="U2178"/>
      <c r="V2178" s="1"/>
      <c r="W2178" s="24"/>
      <c r="X2178"/>
      <c r="Y2178" s="1"/>
      <c r="Z2178" s="24"/>
      <c r="AA2178"/>
      <c r="AB2178" s="1"/>
      <c r="AC2178" s="24"/>
      <c r="AD2178"/>
      <c r="AE2178"/>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c r="BM2178"/>
      <c r="BN2178"/>
      <c r="BO2178"/>
      <c r="BP2178"/>
      <c r="BQ2178"/>
      <c r="BR2178"/>
      <c r="BS2178"/>
      <c r="BT2178"/>
      <c r="BU2178"/>
      <c r="BV2178"/>
      <c r="BW2178"/>
      <c r="BX2178"/>
      <c r="BY2178"/>
      <c r="BZ2178"/>
      <c r="CA2178"/>
      <c r="CB2178"/>
      <c r="CC2178"/>
      <c r="CD2178"/>
      <c r="CE2178"/>
      <c r="CF2178"/>
      <c r="CG2178"/>
      <c r="CH2178"/>
      <c r="CI2178"/>
      <c r="CJ2178"/>
      <c r="CK2178"/>
      <c r="CL2178"/>
      <c r="CM2178"/>
      <c r="CN2178"/>
      <c r="CO2178"/>
      <c r="CP2178"/>
      <c r="CQ2178"/>
      <c r="CR2178"/>
      <c r="CS2178"/>
    </row>
    <row r="2179" spans="2:97">
      <c r="B2179"/>
      <c r="C2179" s="1"/>
      <c r="D2179" s="1"/>
      <c r="E2179" s="1"/>
      <c r="F2179" s="1"/>
      <c r="G2179" s="1"/>
      <c r="H2179" s="1"/>
      <c r="I2179" s="1"/>
      <c r="J2179" s="1"/>
      <c r="K2179" s="1"/>
      <c r="L2179" s="1"/>
      <c r="M2179" s="1"/>
      <c r="N2179" s="1"/>
      <c r="O2179" s="1"/>
      <c r="P2179" s="1"/>
      <c r="Q2179" s="1"/>
      <c r="R2179"/>
      <c r="S2179" s="1"/>
      <c r="T2179" s="24"/>
      <c r="U2179"/>
      <c r="V2179" s="1"/>
      <c r="W2179" s="24"/>
      <c r="X2179"/>
      <c r="Y2179" s="1"/>
      <c r="Z2179" s="24"/>
      <c r="AA2179"/>
      <c r="AB2179" s="1"/>
      <c r="AC2179" s="24"/>
      <c r="AD2179"/>
      <c r="AE2179"/>
      <c r="AF2179"/>
      <c r="AG2179"/>
      <c r="AH2179"/>
      <c r="AI2179"/>
      <c r="AJ2179"/>
      <c r="AK2179"/>
      <c r="AL2179"/>
      <c r="AM2179"/>
      <c r="AN2179"/>
      <c r="AO2179"/>
      <c r="AP2179"/>
      <c r="AQ2179"/>
      <c r="AR2179"/>
      <c r="AS2179"/>
      <c r="AT2179"/>
      <c r="AU2179"/>
      <c r="AV2179"/>
      <c r="AW2179"/>
      <c r="AX2179"/>
      <c r="AY2179"/>
      <c r="AZ2179"/>
      <c r="BA2179"/>
      <c r="BB2179"/>
      <c r="BC2179"/>
      <c r="BD2179"/>
      <c r="BE2179"/>
      <c r="BF2179"/>
      <c r="BG2179"/>
      <c r="BH2179"/>
      <c r="BI2179"/>
      <c r="BJ2179"/>
      <c r="BK2179"/>
      <c r="BL2179"/>
      <c r="BM2179"/>
      <c r="BN2179"/>
      <c r="BO2179"/>
      <c r="BP2179"/>
      <c r="BQ2179"/>
      <c r="BR2179"/>
      <c r="BS2179"/>
      <c r="BT2179"/>
      <c r="BU2179"/>
      <c r="BV2179"/>
      <c r="BW2179"/>
      <c r="BX2179"/>
      <c r="BY2179"/>
      <c r="BZ2179"/>
      <c r="CA2179"/>
      <c r="CB2179"/>
      <c r="CC2179"/>
      <c r="CD2179"/>
      <c r="CE2179"/>
      <c r="CF2179"/>
      <c r="CG2179"/>
      <c r="CH2179"/>
      <c r="CI2179"/>
      <c r="CJ2179"/>
      <c r="CK2179"/>
      <c r="CL2179"/>
      <c r="CM2179"/>
      <c r="CN2179"/>
      <c r="CO2179"/>
      <c r="CP2179"/>
      <c r="CQ2179"/>
      <c r="CR2179"/>
      <c r="CS2179"/>
    </row>
  </sheetData>
  <autoFilter ref="C8:AB164" xr:uid="{AF1011A7-7642-440F-9935-0F1C119473C7}">
    <filterColumn colId="0" showButton="0">
      <filters>
        <filter val="(NonBlanks)"/>
        <filter val="Air China"/>
        <filter val="Air China Cargo"/>
        <filter val="China Airlines"/>
        <filter val="China Eastern"/>
        <filter val="China Minsheng Investment Group Capital"/>
        <filter val="China Southern Airlines"/>
      </filters>
    </filterColumn>
  </autoFilter>
  <mergeCells count="9">
    <mergeCell ref="C166:D166"/>
    <mergeCell ref="C8:D8"/>
    <mergeCell ref="C1191:D1191"/>
    <mergeCell ref="C2:CR5"/>
    <mergeCell ref="N9:P9"/>
    <mergeCell ref="Q9:S9"/>
    <mergeCell ref="T9:X9"/>
    <mergeCell ref="Y9:Z9"/>
    <mergeCell ref="G9:M9"/>
  </mergeCells>
  <pageMargins left="0.7" right="0.7" top="0.75" bottom="0.75" header="0.3" footer="0.3"/>
  <customProperties>
    <customPr name="_pios_id" r:id="rId1"/>
  </customPropertie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15458-CEB1-476B-96A5-15BE77FF9ADF}">
  <sheetPr codeName="Sheet5">
    <tabColor rgb="FF00B0F0"/>
  </sheetPr>
  <dimension ref="B2:O85"/>
  <sheetViews>
    <sheetView zoomScale="91" workbookViewId="0">
      <selection activeCell="K17" sqref="K17"/>
    </sheetView>
  </sheetViews>
  <sheetFormatPr defaultColWidth="8.7109375" defaultRowHeight="13.9"/>
  <cols>
    <col min="1" max="1" width="30.5703125" style="4" customWidth="1"/>
    <col min="2" max="2" width="1.5703125" style="4" customWidth="1"/>
    <col min="3" max="3" width="10.7109375" style="5" bestFit="1" customWidth="1"/>
    <col min="4" max="4" width="10.5703125" style="4" bestFit="1" customWidth="1"/>
    <col min="5" max="5" width="9.28515625" style="5" bestFit="1" customWidth="1"/>
    <col min="6" max="6" width="6.7109375" style="5" bestFit="1" customWidth="1"/>
    <col min="7" max="7" width="11.7109375" style="4" bestFit="1" customWidth="1"/>
    <col min="8" max="9" width="5" style="4" bestFit="1" customWidth="1"/>
    <col min="10" max="11" width="17.5703125" style="4" customWidth="1"/>
    <col min="12" max="12" width="7.5703125" style="4" customWidth="1"/>
    <col min="13" max="14" width="17.5703125" style="4" customWidth="1"/>
    <col min="15" max="15" width="1.5703125" style="4" customWidth="1"/>
    <col min="16" max="16384" width="8.7109375" style="4"/>
  </cols>
  <sheetData>
    <row r="2" spans="2:15">
      <c r="B2" s="6"/>
      <c r="C2" s="7"/>
      <c r="D2" s="6"/>
      <c r="E2" s="7"/>
      <c r="F2" s="7"/>
      <c r="G2" s="6"/>
      <c r="H2" s="6"/>
      <c r="I2" s="6"/>
      <c r="J2" s="6"/>
      <c r="K2" s="6"/>
      <c r="L2" s="6"/>
      <c r="M2" s="6"/>
      <c r="N2" s="6"/>
      <c r="O2" s="6"/>
    </row>
    <row r="3" spans="2:15" ht="14.65" customHeight="1">
      <c r="B3" s="6"/>
      <c r="C3" s="210" t="s">
        <v>323</v>
      </c>
      <c r="D3" s="210"/>
      <c r="E3" s="210"/>
      <c r="F3" s="210"/>
      <c r="G3" s="210"/>
      <c r="H3" s="210"/>
      <c r="I3" s="210"/>
      <c r="J3" s="210"/>
      <c r="K3" s="210"/>
      <c r="L3" s="210"/>
      <c r="M3" s="210"/>
      <c r="N3" s="210"/>
      <c r="O3" s="6"/>
    </row>
    <row r="4" spans="2:15" ht="14.65" customHeight="1">
      <c r="B4" s="6"/>
      <c r="C4" s="210"/>
      <c r="D4" s="210"/>
      <c r="E4" s="210"/>
      <c r="F4" s="210"/>
      <c r="G4" s="210"/>
      <c r="H4" s="210"/>
      <c r="I4" s="210"/>
      <c r="J4" s="210"/>
      <c r="K4" s="210"/>
      <c r="L4" s="210"/>
      <c r="M4" s="210"/>
      <c r="N4" s="210"/>
      <c r="O4" s="6"/>
    </row>
    <row r="5" spans="2:15" ht="13.15" customHeight="1">
      <c r="B5" s="6"/>
      <c r="C5" s="210"/>
      <c r="D5" s="210"/>
      <c r="E5" s="210"/>
      <c r="F5" s="210"/>
      <c r="G5" s="210"/>
      <c r="H5" s="210"/>
      <c r="I5" s="210"/>
      <c r="J5" s="210"/>
      <c r="K5" s="210"/>
      <c r="L5" s="210"/>
      <c r="M5" s="210"/>
      <c r="N5" s="210"/>
      <c r="O5" s="6"/>
    </row>
    <row r="6" spans="2:15" ht="13.5" customHeight="1">
      <c r="B6" s="6"/>
      <c r="C6" s="210"/>
      <c r="D6" s="210"/>
      <c r="E6" s="210"/>
      <c r="F6" s="210"/>
      <c r="G6" s="210"/>
      <c r="H6" s="210"/>
      <c r="I6" s="210"/>
      <c r="J6" s="210"/>
      <c r="K6" s="210"/>
      <c r="L6" s="210"/>
      <c r="M6" s="210"/>
      <c r="N6" s="210"/>
      <c r="O6" s="6"/>
    </row>
    <row r="7" spans="2:15" ht="13.5" customHeight="1">
      <c r="B7" s="6"/>
      <c r="C7" s="8"/>
      <c r="D7" s="8"/>
      <c r="E7" s="8"/>
      <c r="F7" s="8"/>
      <c r="G7" s="9"/>
      <c r="H7" s="8"/>
      <c r="I7" s="8"/>
      <c r="J7" s="8"/>
      <c r="K7" s="8"/>
      <c r="L7" s="8"/>
      <c r="M7" s="8"/>
      <c r="N7" s="8"/>
      <c r="O7" s="6"/>
    </row>
    <row r="8" spans="2:15" ht="13.5" customHeight="1">
      <c r="B8" s="6"/>
      <c r="C8"/>
      <c r="D8"/>
      <c r="E8"/>
      <c r="F8"/>
      <c r="G8"/>
      <c r="H8"/>
      <c r="I8"/>
      <c r="J8"/>
      <c r="K8"/>
      <c r="L8"/>
      <c r="M8"/>
      <c r="N8"/>
      <c r="O8" s="6"/>
    </row>
    <row r="9" spans="2:15" ht="14.65" customHeight="1">
      <c r="B9" s="6"/>
      <c r="C9"/>
      <c r="D9"/>
      <c r="E9"/>
      <c r="F9"/>
      <c r="G9" s="211" t="s">
        <v>324</v>
      </c>
      <c r="H9" s="211"/>
      <c r="I9" s="211"/>
      <c r="J9"/>
      <c r="K9"/>
      <c r="L9"/>
      <c r="M9"/>
      <c r="N9"/>
      <c r="O9" s="6"/>
    </row>
    <row r="10" spans="2:15" ht="14.65" customHeight="1">
      <c r="B10" s="6"/>
      <c r="C10" s="11" t="s">
        <v>279</v>
      </c>
      <c r="D10" s="11" t="s">
        <v>280</v>
      </c>
      <c r="E10" s="11" t="s">
        <v>281</v>
      </c>
      <c r="F10" s="11" t="s">
        <v>325</v>
      </c>
      <c r="G10" s="22" t="s">
        <v>309</v>
      </c>
      <c r="H10" s="22">
        <v>2026</v>
      </c>
      <c r="I10" s="22">
        <v>2027</v>
      </c>
      <c r="J10"/>
      <c r="K10"/>
      <c r="L10"/>
      <c r="M10"/>
      <c r="N10"/>
      <c r="O10" s="6"/>
    </row>
    <row r="11" spans="2:15" ht="14.65" customHeight="1">
      <c r="B11" s="6"/>
      <c r="C11" s="14" t="s">
        <v>326</v>
      </c>
      <c r="D11" s="21" t="s">
        <v>327</v>
      </c>
      <c r="E11" s="14" t="s">
        <v>328</v>
      </c>
      <c r="F11" s="14" t="s">
        <v>50</v>
      </c>
      <c r="G11" s="20" t="str" cm="1">
        <f t="array" ref="G11">IFERROR(SUM(_xlfn._xlws.FILTER('GLOBAL LOG'!#REF!,
 ( (SUM!C11 = "") + ('GLOBAL LOG'!#REF! = SUM!C11) ) *
 ( (SUM!D11 = "") + ('GLOBAL LOG'!#REF! = SUM!D11) ) *
 ( (SUM!E11 = "") + ('GLOBAL LOG'!#REF! = SUM!E11) ) *
 ( (SUM!F11 = "") + ('GLOBAL LOG'!$C$6:$C$128 = SUM!F11) )
)),"")</f>
        <v/>
      </c>
      <c r="H11" s="14" t="str" cm="1">
        <f t="array" ref="H11">IFERROR(SUM(_xlfn._xlws.FILTER('GLOBAL LOG'!$Q$6:$Q$128,
 ( (SUM!C11 = "") + ('GLOBAL LOG'!#REF! = SUM!C11) ) *
 ( (SUM!D11 = "") + ('GLOBAL LOG'!#REF! = SUM!D11) ) *
 ( (SUM!E11 = "") + ('GLOBAL LOG'!#REF! = SUM!E11) ) *
 ( (SUM!F11 = "") + ('GLOBAL LOG'!$C$6:$C$128 = SUM!F11) )
)),"")</f>
        <v/>
      </c>
      <c r="I11" s="14" t="str" cm="1">
        <f t="array" ref="I11">IFERROR(SUM(_xlfn._xlws.FILTER('GLOBAL LOG'!$R$6:$R$128,
 ( (SUM!C11 = "") + ('GLOBAL LOG'!#REF! = SUM!C11) ) *
 ( (SUM!D11 = "") + ('GLOBAL LOG'!#REF! = SUM!D11) ) *
 ( (SUM!E11 = "") + ('GLOBAL LOG'!#REF! = SUM!E11) ) *
 ( (SUM!F11 = "") + ('GLOBAL LOG'!$C$6:$C$128 = SUM!F11) )
)),"")</f>
        <v/>
      </c>
      <c r="J11"/>
      <c r="K11"/>
      <c r="L11"/>
      <c r="M11"/>
      <c r="N11"/>
      <c r="O11" s="6"/>
    </row>
    <row r="12" spans="2:15" ht="14.45">
      <c r="B12" s="6"/>
      <c r="C12" s="14" t="s">
        <v>329</v>
      </c>
      <c r="D12" s="21" t="s">
        <v>329</v>
      </c>
      <c r="E12" s="14" t="s">
        <v>329</v>
      </c>
      <c r="F12" s="14"/>
      <c r="G12" s="20" t="str" cm="1">
        <f t="array" ref="G12">IFERROR(SUM(_xlfn._xlws.FILTER('GLOBAL LOG'!#REF!,
 ( (SUM!C12 = "") + ('GLOBAL LOG'!#REF! = SUM!C12) ) *
 ( (SUM!D12 = "") + ('GLOBAL LOG'!#REF! = SUM!D12) ) *
 ( (SUM!E12 = "") + ('GLOBAL LOG'!#REF! = SUM!E12) ) *
 ( (SUM!F12 = "") + ('GLOBAL LOG'!$C$6:$C$128 = SUM!F12) )
)),"")</f>
        <v/>
      </c>
      <c r="H12" s="14" t="str" cm="1">
        <f t="array" ref="H12">IFERROR(SUM(_xlfn._xlws.FILTER('GLOBAL LOG'!$Q$6:$Q$128,
 ( (SUM!C12 = "") + ('GLOBAL LOG'!#REF! = SUM!C12) ) *
 ( (SUM!D12 = "") + ('GLOBAL LOG'!#REF! = SUM!D12) ) *
 ( (SUM!E12 = "") + ('GLOBAL LOG'!#REF! = SUM!E12) ) *
 ( (SUM!F12 = "") + ('GLOBAL LOG'!$C$6:$C$128 = SUM!F12) )
)),"")</f>
        <v/>
      </c>
      <c r="I12" s="14" t="str" cm="1">
        <f t="array" ref="I12">IFERROR(SUM(_xlfn._xlws.FILTER('GLOBAL LOG'!$R$6:$R$128,
 ( (SUM!C12 = "") + ('GLOBAL LOG'!#REF! = SUM!C12) ) *
 ( (SUM!D12 = "") + ('GLOBAL LOG'!#REF! = SUM!D12) ) *
 ( (SUM!E12 = "") + ('GLOBAL LOG'!#REF! = SUM!E12) ) *
 ( (SUM!F12 = "") + ('GLOBAL LOG'!$C$6:$C$128 = SUM!F12) )
)),"")</f>
        <v/>
      </c>
      <c r="J12"/>
      <c r="K12"/>
      <c r="L12"/>
      <c r="M12"/>
      <c r="N12"/>
      <c r="O12" s="6"/>
    </row>
    <row r="13" spans="2:15" ht="14.45">
      <c r="B13" s="6"/>
      <c r="C13" s="14" t="s">
        <v>329</v>
      </c>
      <c r="D13" s="21" t="s">
        <v>329</v>
      </c>
      <c r="E13" s="14" t="s">
        <v>329</v>
      </c>
      <c r="F13" s="14"/>
      <c r="G13" s="20" t="str" cm="1">
        <f t="array" ref="G13">IFERROR(SUM(_xlfn._xlws.FILTER('GLOBAL LOG'!#REF!,
 ( (SUM!C13 = "") + ('GLOBAL LOG'!#REF! = SUM!C13) ) *
 ( (SUM!D13 = "") + ('GLOBAL LOG'!#REF! = SUM!D13) ) *
 ( (SUM!E13 = "") + ('GLOBAL LOG'!#REF! = SUM!E13) ) *
 ( (SUM!F13 = "") + ('GLOBAL LOG'!$C$6:$C$128 = SUM!F13) )
)),"")</f>
        <v/>
      </c>
      <c r="H13" s="14" t="str" cm="1">
        <f t="array" ref="H13">IFERROR(SUM(_xlfn._xlws.FILTER('GLOBAL LOG'!$Q$6:$Q$128,
 ( (SUM!C13 = "") + ('GLOBAL LOG'!#REF! = SUM!C13) ) *
 ( (SUM!D13 = "") + ('GLOBAL LOG'!#REF! = SUM!D13) ) *
 ( (SUM!E13 = "") + ('GLOBAL LOG'!#REF! = SUM!E13) ) *
 ( (SUM!F13 = "") + ('GLOBAL LOG'!$C$6:$C$128 = SUM!F13) )
)),"")</f>
        <v/>
      </c>
      <c r="I13" s="14" t="str" cm="1">
        <f t="array" ref="I13">IFERROR(SUM(_xlfn._xlws.FILTER('GLOBAL LOG'!$R$6:$R$128,
 ( (SUM!C13 = "") + ('GLOBAL LOG'!#REF! = SUM!C13) ) *
 ( (SUM!D13 = "") + ('GLOBAL LOG'!#REF! = SUM!D13) ) *
 ( (SUM!E13 = "") + ('GLOBAL LOG'!#REF! = SUM!E13) ) *
 ( (SUM!F13 = "") + ('GLOBAL LOG'!$C$6:$C$128 = SUM!F13) )
)),"")</f>
        <v/>
      </c>
      <c r="J13"/>
      <c r="K13"/>
      <c r="L13"/>
      <c r="M13"/>
      <c r="N13"/>
      <c r="O13" s="6"/>
    </row>
    <row r="14" spans="2:15" ht="14.45">
      <c r="B14" s="6"/>
      <c r="C14" s="14" t="s">
        <v>329</v>
      </c>
      <c r="D14" s="21" t="s">
        <v>329</v>
      </c>
      <c r="E14" s="14" t="s">
        <v>329</v>
      </c>
      <c r="F14" s="14"/>
      <c r="G14" s="20" t="str" cm="1">
        <f t="array" ref="G14">IFERROR(SUM(_xlfn._xlws.FILTER('GLOBAL LOG'!#REF!,
 ( (SUM!C14 = "") + ('GLOBAL LOG'!#REF! = SUM!C14) ) *
 ( (SUM!D14 = "") + ('GLOBAL LOG'!#REF! = SUM!D14) ) *
 ( (SUM!E14 = "") + ('GLOBAL LOG'!#REF! = SUM!E14) ) *
 ( (SUM!F14 = "") + ('GLOBAL LOG'!$C$6:$C$128 = SUM!F14) )
)),"")</f>
        <v/>
      </c>
      <c r="H14" s="14" t="str" cm="1">
        <f t="array" ref="H14">IFERROR(SUM(_xlfn._xlws.FILTER('GLOBAL LOG'!$Q$6:$Q$128,
 ( (SUM!C14 = "") + ('GLOBAL LOG'!#REF! = SUM!C14) ) *
 ( (SUM!D14 = "") + ('GLOBAL LOG'!#REF! = SUM!D14) ) *
 ( (SUM!E14 = "") + ('GLOBAL LOG'!#REF! = SUM!E14) ) *
 ( (SUM!F14 = "") + ('GLOBAL LOG'!$C$6:$C$128 = SUM!F14) )
)),"")</f>
        <v/>
      </c>
      <c r="I14" s="14" t="str" cm="1">
        <f t="array" ref="I14">IFERROR(SUM(_xlfn._xlws.FILTER('GLOBAL LOG'!$R$6:$R$128,
 ( (SUM!C14 = "") + ('GLOBAL LOG'!#REF! = SUM!C14) ) *
 ( (SUM!D14 = "") + ('GLOBAL LOG'!#REF! = SUM!D14) ) *
 ( (SUM!E14 = "") + ('GLOBAL LOG'!#REF! = SUM!E14) ) *
 ( (SUM!F14 = "") + ('GLOBAL LOG'!$C$6:$C$128 = SUM!F14) )
)),"")</f>
        <v/>
      </c>
      <c r="J14"/>
      <c r="K14"/>
      <c r="L14"/>
      <c r="M14"/>
      <c r="N14"/>
      <c r="O14" s="6"/>
    </row>
    <row r="15" spans="2:15" ht="15" thickBot="1">
      <c r="B15" s="6"/>
      <c r="C15" s="14" t="s">
        <v>329</v>
      </c>
      <c r="D15" s="21" t="s">
        <v>329</v>
      </c>
      <c r="E15" s="14" t="s">
        <v>329</v>
      </c>
      <c r="F15" s="14"/>
      <c r="G15" s="20" t="str" cm="1">
        <f t="array" ref="G15">IFERROR(SUM(_xlfn._xlws.FILTER('GLOBAL LOG'!#REF!,
 ( (SUM!C15 = "") + ('GLOBAL LOG'!#REF! = SUM!C15) ) *
 ( (SUM!D15 = "") + ('GLOBAL LOG'!#REF! = SUM!D15) ) *
 ( (SUM!E15 = "") + ('GLOBAL LOG'!#REF! = SUM!E15) ) *
 ( (SUM!F15 = "") + ('GLOBAL LOG'!$C$6:$C$128 = SUM!F15) )
)),"")</f>
        <v/>
      </c>
      <c r="H15" s="14" t="str" cm="1">
        <f t="array" ref="H15">IFERROR(SUM(_xlfn._xlws.FILTER('GLOBAL LOG'!$Q$6:$Q$128,
 ( (SUM!C15 = "") + ('GLOBAL LOG'!#REF! = SUM!C15) ) *
 ( (SUM!D15 = "") + ('GLOBAL LOG'!#REF! = SUM!D15) ) *
 ( (SUM!E15 = "") + ('GLOBAL LOG'!#REF! = SUM!E15) ) *
 ( (SUM!F15 = "") + ('GLOBAL LOG'!$C$6:$C$128 = SUM!F15) )
)),"")</f>
        <v/>
      </c>
      <c r="I15" s="14" t="str" cm="1">
        <f t="array" ref="I15">IFERROR(SUM(_xlfn._xlws.FILTER('GLOBAL LOG'!$R$6:$R$128,
 ( (SUM!C15 = "") + ('GLOBAL LOG'!#REF! = SUM!C15) ) *
 ( (SUM!D15 = "") + ('GLOBAL LOG'!#REF! = SUM!D15) ) *
 ( (SUM!E15 = "") + ('GLOBAL LOG'!#REF! = SUM!E15) ) *
 ( (SUM!F15 = "") + ('GLOBAL LOG'!$C$6:$C$128 = SUM!F15) )
)),"")</f>
        <v/>
      </c>
      <c r="J15"/>
      <c r="K15"/>
      <c r="L15"/>
      <c r="M15"/>
      <c r="N15"/>
      <c r="O15" s="6"/>
    </row>
    <row r="16" spans="2:15" ht="14.65" customHeight="1" thickBot="1">
      <c r="B16" s="6"/>
      <c r="C16"/>
      <c r="D16"/>
      <c r="E16"/>
      <c r="F16"/>
      <c r="G16" s="19">
        <f>SUM(G11:G15)</f>
        <v>0</v>
      </c>
      <c r="H16" s="18">
        <f>SUM(H11:H15)</f>
        <v>0</v>
      </c>
      <c r="I16" s="17">
        <f>SUM(I11:I15)</f>
        <v>0</v>
      </c>
      <c r="J16"/>
      <c r="K16"/>
      <c r="L16"/>
      <c r="M16"/>
      <c r="N16"/>
      <c r="O16" s="6"/>
    </row>
    <row r="17" spans="2:15" ht="14.65" customHeight="1">
      <c r="B17" s="6"/>
      <c r="C17"/>
      <c r="D17"/>
      <c r="E17"/>
      <c r="F17"/>
      <c r="G17"/>
      <c r="H17"/>
      <c r="I17"/>
      <c r="J17"/>
      <c r="K17" s="28" t="s">
        <v>330</v>
      </c>
      <c r="L17"/>
      <c r="M17"/>
      <c r="N17"/>
      <c r="O17" s="6"/>
    </row>
    <row r="18" spans="2:15" ht="14.45">
      <c r="B18" s="6"/>
      <c r="C18"/>
      <c r="D18"/>
      <c r="E18"/>
      <c r="F18"/>
      <c r="G18"/>
      <c r="H18"/>
      <c r="I18"/>
      <c r="J18"/>
      <c r="K18"/>
      <c r="L18"/>
      <c r="M18"/>
      <c r="N18"/>
      <c r="O18" s="6"/>
    </row>
    <row r="19" spans="2:15" ht="14.65" customHeight="1">
      <c r="C19" s="16"/>
      <c r="D19" s="16"/>
      <c r="E19" s="16"/>
      <c r="F19" s="16"/>
      <c r="G19" s="16"/>
      <c r="H19" s="16"/>
      <c r="I19" s="16"/>
      <c r="J19" s="16"/>
      <c r="K19" s="16"/>
      <c r="L19" s="16"/>
      <c r="M19" s="16"/>
      <c r="N19" s="16"/>
      <c r="O19" s="16"/>
    </row>
    <row r="20" spans="2:15" ht="14.65" customHeight="1">
      <c r="C20" s="16"/>
      <c r="D20" s="16"/>
      <c r="E20" s="16"/>
      <c r="F20" s="16"/>
      <c r="G20" s="16"/>
      <c r="H20" s="16"/>
      <c r="I20" s="16"/>
      <c r="J20" s="16"/>
      <c r="K20" s="16"/>
      <c r="L20" s="16"/>
      <c r="M20" s="16"/>
      <c r="N20" s="16"/>
      <c r="O20" s="16"/>
    </row>
    <row r="21" spans="2:15" ht="14.65" customHeight="1">
      <c r="C21" s="16"/>
      <c r="D21" s="16"/>
      <c r="E21" s="16"/>
      <c r="F21" s="16"/>
      <c r="G21" s="16"/>
      <c r="H21" s="16"/>
      <c r="I21" s="16"/>
      <c r="J21" s="16"/>
      <c r="K21" s="16"/>
      <c r="L21" s="16"/>
      <c r="M21" s="16"/>
      <c r="N21" s="16"/>
      <c r="O21" s="16"/>
    </row>
    <row r="22" spans="2:15" ht="14.65" customHeight="1">
      <c r="C22" s="16"/>
      <c r="D22" s="16"/>
      <c r="E22" s="16"/>
      <c r="F22" s="16"/>
      <c r="G22" s="16"/>
      <c r="H22" s="16"/>
      <c r="I22" s="16"/>
      <c r="J22" s="16"/>
      <c r="K22" s="16"/>
      <c r="L22" s="16"/>
      <c r="M22" s="16"/>
      <c r="N22" s="16"/>
      <c r="O22" s="16"/>
    </row>
    <row r="23" spans="2:15" ht="14.65" customHeight="1">
      <c r="C23" s="16"/>
      <c r="D23" s="16"/>
      <c r="E23" s="16"/>
      <c r="F23" s="16"/>
      <c r="G23" s="16"/>
      <c r="H23" s="16"/>
      <c r="I23" s="16"/>
      <c r="J23" s="16"/>
      <c r="K23" s="16"/>
      <c r="L23" s="16"/>
      <c r="M23" s="16"/>
      <c r="N23" s="16"/>
      <c r="O23" s="16"/>
    </row>
    <row r="24" spans="2:15" ht="14.65" customHeight="1">
      <c r="C24" s="16"/>
      <c r="D24" s="16"/>
      <c r="E24" s="16"/>
      <c r="F24" s="16"/>
      <c r="G24" s="16"/>
      <c r="H24" s="16"/>
      <c r="I24" s="16"/>
      <c r="J24" s="16"/>
      <c r="K24" s="16"/>
      <c r="L24" s="16"/>
      <c r="M24" s="16"/>
      <c r="N24" s="16"/>
      <c r="O24" s="16"/>
    </row>
    <row r="25" spans="2:15" ht="14.65" customHeight="1">
      <c r="C25" s="16"/>
      <c r="D25" s="16"/>
      <c r="E25" s="16"/>
      <c r="F25" s="16"/>
      <c r="G25" s="16"/>
      <c r="H25" s="16"/>
      <c r="I25" s="16"/>
      <c r="J25" s="16"/>
      <c r="K25" s="16"/>
      <c r="L25" s="16"/>
      <c r="M25" s="16"/>
      <c r="N25" s="16"/>
      <c r="O25" s="16"/>
    </row>
    <row r="26" spans="2:15" ht="14.65" customHeight="1">
      <c r="C26" s="16"/>
      <c r="D26" s="16"/>
      <c r="E26" s="16"/>
      <c r="F26" s="16"/>
      <c r="G26" s="16"/>
      <c r="H26" s="16"/>
      <c r="I26" s="16"/>
      <c r="J26" s="16"/>
      <c r="K26" s="16"/>
      <c r="L26" s="16"/>
      <c r="M26" s="16"/>
      <c r="N26" s="16"/>
      <c r="O26" s="16"/>
    </row>
    <row r="27" spans="2:15" ht="14.65" customHeight="1">
      <c r="C27" s="16"/>
      <c r="D27" s="16"/>
      <c r="E27" s="16"/>
      <c r="F27" s="16"/>
      <c r="G27" s="16"/>
      <c r="H27" s="16"/>
      <c r="I27" s="16"/>
      <c r="J27" s="16"/>
      <c r="K27" s="16"/>
      <c r="L27" s="16"/>
      <c r="M27" s="16"/>
      <c r="N27" s="16"/>
      <c r="O27" s="16"/>
    </row>
    <row r="28" spans="2:15" ht="14.65" customHeight="1">
      <c r="C28" s="16"/>
      <c r="D28" s="16"/>
      <c r="E28" s="16"/>
      <c r="F28" s="16"/>
      <c r="G28" s="16"/>
      <c r="H28" s="16"/>
      <c r="I28" s="16"/>
      <c r="J28" s="16"/>
      <c r="K28" s="16"/>
      <c r="L28" s="16"/>
      <c r="M28" s="16"/>
      <c r="N28" s="16"/>
      <c r="O28" s="16"/>
    </row>
    <row r="29" spans="2:15" ht="14.65" customHeight="1">
      <c r="C29" s="16"/>
      <c r="D29" s="16"/>
      <c r="E29" s="16"/>
      <c r="F29" s="16"/>
      <c r="G29" s="16"/>
      <c r="H29" s="16"/>
      <c r="I29" s="16"/>
      <c r="J29" s="16"/>
      <c r="K29" s="16"/>
      <c r="L29" s="16"/>
      <c r="M29" s="16"/>
      <c r="N29" s="16"/>
      <c r="O29" s="16"/>
    </row>
    <row r="30" spans="2:15" ht="14.65" customHeight="1">
      <c r="C30" s="16"/>
      <c r="D30" s="16"/>
      <c r="E30" s="16"/>
      <c r="F30" s="16"/>
      <c r="G30" s="16"/>
      <c r="H30" s="16"/>
      <c r="I30" s="16"/>
      <c r="J30" s="16"/>
      <c r="K30" s="16"/>
      <c r="L30" s="16"/>
      <c r="M30" s="16"/>
      <c r="N30" s="16"/>
      <c r="O30" s="16"/>
    </row>
    <row r="31" spans="2:15" ht="14.65" customHeight="1">
      <c r="C31" s="16"/>
      <c r="D31" s="16"/>
      <c r="E31" s="16"/>
      <c r="F31" s="16"/>
      <c r="G31" s="16"/>
      <c r="H31" s="16"/>
      <c r="I31" s="16"/>
      <c r="J31" s="16"/>
      <c r="K31" s="16"/>
      <c r="L31" s="16"/>
      <c r="M31" s="16"/>
      <c r="N31" s="16"/>
      <c r="O31" s="16"/>
    </row>
    <row r="32" spans="2:15" ht="14.65" customHeight="1">
      <c r="C32" s="16"/>
      <c r="D32" s="16"/>
      <c r="E32" s="16"/>
      <c r="F32" s="16"/>
      <c r="G32" s="16"/>
      <c r="H32" s="16"/>
      <c r="I32" s="16"/>
      <c r="J32" s="16"/>
      <c r="K32" s="16"/>
      <c r="L32" s="16"/>
      <c r="M32" s="16"/>
      <c r="N32" s="16"/>
      <c r="O32" s="16"/>
    </row>
    <row r="33" spans="3:15" ht="14.65" customHeight="1">
      <c r="C33" s="16"/>
      <c r="D33" s="16"/>
      <c r="E33" s="16"/>
      <c r="F33" s="16"/>
      <c r="G33" s="16"/>
      <c r="H33" s="16"/>
      <c r="I33" s="16"/>
      <c r="J33" s="16"/>
      <c r="K33" s="16"/>
      <c r="L33" s="16"/>
      <c r="M33" s="16"/>
      <c r="N33" s="16"/>
      <c r="O33" s="16"/>
    </row>
    <row r="34" spans="3:15" ht="14.65" customHeight="1">
      <c r="C34" s="16"/>
      <c r="D34" s="16"/>
      <c r="E34" s="16"/>
      <c r="F34" s="16"/>
      <c r="G34" s="16"/>
      <c r="H34" s="16"/>
      <c r="I34" s="16"/>
      <c r="J34" s="16"/>
      <c r="K34" s="16"/>
      <c r="L34" s="16"/>
      <c r="M34" s="16"/>
      <c r="N34" s="16"/>
      <c r="O34" s="16"/>
    </row>
    <row r="35" spans="3:15" ht="14.65" customHeight="1">
      <c r="C35" s="16"/>
      <c r="D35" s="16"/>
      <c r="E35" s="16"/>
      <c r="F35" s="16"/>
      <c r="G35" s="16"/>
      <c r="H35" s="16"/>
      <c r="I35" s="16"/>
      <c r="J35" s="16"/>
      <c r="K35" s="16"/>
      <c r="L35" s="16"/>
      <c r="M35" s="16"/>
      <c r="N35" s="16"/>
      <c r="O35" s="16"/>
    </row>
    <row r="36" spans="3:15" ht="14.65" customHeight="1">
      <c r="C36" s="16"/>
      <c r="D36" s="16"/>
      <c r="E36" s="16"/>
      <c r="F36" s="16"/>
      <c r="G36" s="16"/>
      <c r="H36" s="16"/>
      <c r="I36" s="16"/>
      <c r="J36" s="16"/>
      <c r="K36" s="16"/>
      <c r="L36" s="16"/>
      <c r="M36" s="16"/>
      <c r="N36" s="16"/>
      <c r="O36" s="16"/>
    </row>
    <row r="37" spans="3:15" ht="14.65" customHeight="1">
      <c r="C37" s="16"/>
      <c r="D37" s="16"/>
      <c r="E37" s="16"/>
      <c r="F37" s="16"/>
      <c r="G37" s="16"/>
      <c r="H37" s="16"/>
      <c r="I37" s="16"/>
      <c r="J37" s="16"/>
      <c r="K37" s="16"/>
      <c r="L37" s="16"/>
      <c r="M37" s="16"/>
      <c r="N37" s="16"/>
      <c r="O37" s="16"/>
    </row>
    <row r="38" spans="3:15" ht="14.65" customHeight="1">
      <c r="C38" s="16"/>
      <c r="D38" s="16"/>
      <c r="E38" s="16"/>
      <c r="F38" s="16"/>
      <c r="G38" s="16"/>
      <c r="H38" s="16"/>
      <c r="I38" s="16"/>
      <c r="J38" s="16"/>
      <c r="K38" s="16"/>
      <c r="L38" s="16"/>
      <c r="M38" s="16"/>
      <c r="N38" s="16"/>
      <c r="O38" s="16"/>
    </row>
    <row r="39" spans="3:15" ht="14.65" customHeight="1">
      <c r="C39" s="16"/>
      <c r="D39" s="16"/>
      <c r="E39" s="16"/>
      <c r="F39" s="16"/>
      <c r="G39" s="16"/>
      <c r="H39" s="16"/>
      <c r="I39" s="16"/>
      <c r="J39" s="16"/>
      <c r="K39" s="16"/>
      <c r="L39" s="16"/>
      <c r="M39" s="16"/>
      <c r="N39" s="16"/>
      <c r="O39" s="16"/>
    </row>
    <row r="40" spans="3:15" ht="14.65" customHeight="1">
      <c r="C40" s="16"/>
      <c r="D40" s="16"/>
      <c r="E40" s="16"/>
      <c r="F40" s="16"/>
      <c r="G40" s="16"/>
      <c r="H40" s="16"/>
      <c r="I40" s="16"/>
      <c r="J40" s="16"/>
      <c r="K40" s="16"/>
      <c r="L40" s="16"/>
      <c r="M40" s="16"/>
      <c r="N40" s="16"/>
      <c r="O40" s="16"/>
    </row>
    <row r="41" spans="3:15" ht="14.65" customHeight="1">
      <c r="C41" s="16"/>
      <c r="D41" s="16"/>
      <c r="E41" s="16"/>
      <c r="F41" s="16"/>
      <c r="G41" s="16"/>
      <c r="H41" s="16"/>
      <c r="I41" s="16"/>
      <c r="J41" s="16"/>
      <c r="K41" s="16"/>
      <c r="L41" s="16"/>
      <c r="M41" s="16"/>
      <c r="N41" s="16"/>
      <c r="O41" s="16"/>
    </row>
    <row r="42" spans="3:15" ht="14.65" customHeight="1">
      <c r="C42" s="16"/>
      <c r="D42" s="16"/>
      <c r="E42" s="16"/>
      <c r="F42" s="16"/>
      <c r="G42" s="16"/>
      <c r="H42" s="16"/>
      <c r="I42" s="16"/>
      <c r="J42" s="16"/>
      <c r="K42" s="16"/>
      <c r="L42" s="16"/>
      <c r="M42" s="16"/>
      <c r="N42" s="16"/>
      <c r="O42" s="16"/>
    </row>
    <row r="43" spans="3:15" ht="14.65" customHeight="1">
      <c r="C43" s="16"/>
      <c r="D43" s="16"/>
      <c r="E43" s="16"/>
      <c r="F43" s="16"/>
      <c r="G43" s="16"/>
      <c r="H43" s="16"/>
      <c r="I43" s="16"/>
      <c r="J43" s="16"/>
      <c r="K43" s="16"/>
      <c r="L43" s="16"/>
      <c r="M43" s="16"/>
      <c r="N43" s="16"/>
      <c r="O43" s="16"/>
    </row>
    <row r="44" spans="3:15" ht="14.65" customHeight="1">
      <c r="C44" s="16"/>
      <c r="D44" s="16"/>
      <c r="E44" s="16"/>
      <c r="F44" s="16"/>
      <c r="G44" s="16"/>
      <c r="H44" s="16"/>
      <c r="I44" s="16"/>
      <c r="J44" s="16"/>
      <c r="K44" s="16"/>
      <c r="L44" s="16"/>
      <c r="M44" s="16"/>
      <c r="N44" s="16"/>
      <c r="O44" s="16"/>
    </row>
    <row r="45" spans="3:15" ht="14.65" customHeight="1">
      <c r="C45" s="16"/>
      <c r="D45" s="16"/>
      <c r="E45" s="16"/>
      <c r="F45" s="16"/>
      <c r="G45" s="16"/>
      <c r="H45" s="16"/>
      <c r="I45" s="16"/>
      <c r="J45" s="16"/>
      <c r="K45" s="16"/>
      <c r="L45" s="16"/>
      <c r="M45" s="16"/>
      <c r="N45" s="16"/>
      <c r="O45" s="16"/>
    </row>
    <row r="46" spans="3:15" ht="14.65" customHeight="1">
      <c r="C46" s="16"/>
      <c r="D46" s="16"/>
      <c r="E46" s="16"/>
      <c r="F46" s="16"/>
      <c r="G46" s="16"/>
      <c r="H46" s="16"/>
      <c r="I46" s="16"/>
      <c r="J46" s="16"/>
      <c r="K46" s="16"/>
      <c r="L46" s="16"/>
      <c r="M46" s="16"/>
      <c r="N46" s="16"/>
      <c r="O46" s="16"/>
    </row>
    <row r="47" spans="3:15" ht="14.65" customHeight="1">
      <c r="C47" s="16"/>
      <c r="D47" s="16"/>
      <c r="E47" s="16"/>
      <c r="F47" s="16"/>
      <c r="G47" s="16"/>
      <c r="H47" s="16"/>
      <c r="I47" s="16"/>
      <c r="J47" s="16"/>
      <c r="K47" s="16"/>
      <c r="L47" s="16"/>
      <c r="M47" s="16"/>
      <c r="N47" s="16"/>
      <c r="O47" s="16"/>
    </row>
    <row r="48" spans="3:15" ht="14.65" customHeight="1">
      <c r="C48" s="16"/>
      <c r="D48" s="16"/>
      <c r="E48" s="16"/>
      <c r="F48" s="16"/>
      <c r="G48" s="16"/>
      <c r="H48" s="16"/>
      <c r="I48" s="16"/>
      <c r="J48" s="16"/>
      <c r="K48" s="16"/>
      <c r="L48" s="16"/>
      <c r="M48" s="16"/>
      <c r="N48" s="16"/>
      <c r="O48" s="16"/>
    </row>
    <row r="49" spans="3:15" ht="14.65" customHeight="1">
      <c r="C49" s="16"/>
      <c r="D49" s="16"/>
      <c r="E49" s="16"/>
      <c r="F49" s="16"/>
      <c r="G49" s="16"/>
      <c r="H49" s="16"/>
      <c r="I49" s="16"/>
      <c r="J49" s="16"/>
      <c r="K49" s="16"/>
      <c r="L49" s="16"/>
      <c r="M49" s="16"/>
      <c r="N49" s="16"/>
      <c r="O49" s="16"/>
    </row>
    <row r="50" spans="3:15" ht="14.65" customHeight="1">
      <c r="C50" s="16"/>
      <c r="D50" s="16"/>
      <c r="E50" s="16"/>
      <c r="F50" s="16"/>
      <c r="G50" s="16"/>
      <c r="H50" s="16"/>
      <c r="I50" s="16"/>
      <c r="J50" s="16"/>
      <c r="K50" s="16"/>
      <c r="L50" s="16"/>
      <c r="M50" s="16"/>
      <c r="N50" s="16"/>
      <c r="O50" s="16"/>
    </row>
    <row r="51" spans="3:15" ht="14.65" customHeight="1">
      <c r="C51" s="16"/>
      <c r="D51" s="16"/>
      <c r="E51" s="16"/>
      <c r="F51" s="16"/>
      <c r="G51" s="16"/>
      <c r="H51" s="16"/>
      <c r="I51" s="16"/>
      <c r="J51" s="16"/>
      <c r="K51" s="16"/>
      <c r="L51" s="16"/>
      <c r="M51" s="16"/>
      <c r="N51" s="16"/>
      <c r="O51" s="16"/>
    </row>
    <row r="52" spans="3:15" ht="14.65" customHeight="1">
      <c r="C52" s="16"/>
      <c r="D52" s="16"/>
      <c r="E52" s="16"/>
      <c r="F52" s="16"/>
      <c r="G52" s="16"/>
      <c r="H52" s="16"/>
      <c r="I52" s="16"/>
      <c r="J52" s="16"/>
      <c r="K52" s="16"/>
      <c r="L52" s="16"/>
      <c r="M52" s="16"/>
      <c r="N52" s="16"/>
      <c r="O52" s="16"/>
    </row>
    <row r="53" spans="3:15" ht="14.65" customHeight="1">
      <c r="C53" s="4"/>
      <c r="E53" s="4"/>
      <c r="F53" s="4"/>
    </row>
    <row r="54" spans="3:15" ht="14.65" customHeight="1">
      <c r="C54" s="4"/>
      <c r="E54" s="4"/>
      <c r="F54" s="4"/>
    </row>
    <row r="55" spans="3:15" ht="14.65" customHeight="1">
      <c r="C55" s="4"/>
      <c r="E55" s="4"/>
      <c r="F55" s="4"/>
    </row>
    <row r="56" spans="3:15" ht="14.65" customHeight="1">
      <c r="C56" s="4"/>
      <c r="E56" s="4"/>
      <c r="F56" s="4"/>
    </row>
    <row r="57" spans="3:15" ht="14.65" customHeight="1">
      <c r="C57" s="4"/>
      <c r="E57" s="4"/>
      <c r="F57" s="4"/>
    </row>
    <row r="58" spans="3:15" ht="14.65" customHeight="1">
      <c r="C58" s="4"/>
      <c r="E58" s="4"/>
      <c r="F58" s="4"/>
    </row>
    <row r="59" spans="3:15" ht="14.65" customHeight="1">
      <c r="C59" s="4"/>
      <c r="E59" s="4"/>
      <c r="F59" s="4"/>
    </row>
    <row r="60" spans="3:15" ht="14.65" customHeight="1">
      <c r="C60" s="4"/>
      <c r="E60" s="4"/>
      <c r="F60" s="4"/>
    </row>
    <row r="61" spans="3:15" ht="14.65" customHeight="1">
      <c r="C61" s="4"/>
      <c r="E61" s="4"/>
      <c r="F61" s="4"/>
    </row>
    <row r="62" spans="3:15" ht="14.65" customHeight="1">
      <c r="C62" s="4"/>
      <c r="E62" s="4"/>
      <c r="F62" s="4"/>
    </row>
    <row r="63" spans="3:15" ht="14.65" customHeight="1">
      <c r="C63" s="4"/>
      <c r="E63" s="4"/>
      <c r="F63" s="4"/>
    </row>
    <row r="64" spans="3:15" ht="14.65" customHeight="1">
      <c r="C64" s="4"/>
      <c r="E64" s="4"/>
      <c r="F64" s="4"/>
    </row>
    <row r="65" s="4" customFormat="1" ht="14.65" customHeight="1"/>
    <row r="66" s="4" customFormat="1" ht="14.65" customHeight="1"/>
    <row r="67" s="4" customFormat="1" ht="14.65" customHeight="1"/>
    <row r="68" s="4" customFormat="1" ht="14.65" customHeight="1"/>
    <row r="69" s="4" customFormat="1" ht="14.65" customHeight="1"/>
    <row r="70" s="4" customFormat="1" ht="14.65" customHeight="1"/>
    <row r="71" s="4" customFormat="1" ht="14.65" customHeight="1"/>
    <row r="72" s="4" customFormat="1" ht="14.65" customHeight="1"/>
    <row r="73" s="4" customFormat="1" ht="14.65" customHeight="1"/>
    <row r="74" s="4" customFormat="1" ht="14.65" customHeight="1"/>
    <row r="75" s="4" customFormat="1" ht="14.65" customHeight="1"/>
    <row r="76" s="4" customFormat="1" ht="14.65" customHeight="1"/>
    <row r="77" s="4" customFormat="1" ht="14.65" customHeight="1"/>
    <row r="78" s="4" customFormat="1" ht="14.65" customHeight="1"/>
    <row r="79" s="4" customFormat="1" ht="14.65" customHeight="1"/>
    <row r="80" s="4" customFormat="1" ht="14.65" customHeight="1"/>
    <row r="81" s="4" customFormat="1"/>
    <row r="82" s="4" customFormat="1"/>
    <row r="83" s="4" customFormat="1"/>
    <row r="84" s="4" customFormat="1"/>
    <row r="85" s="4" customFormat="1"/>
  </sheetData>
  <mergeCells count="2">
    <mergeCell ref="C3:N6"/>
    <mergeCell ref="G9:I9"/>
  </mergeCells>
  <dataValidations count="1">
    <dataValidation type="list" allowBlank="1" showInputMessage="1" showErrorMessage="1" sqref="C11:E15" xr:uid="{A7F60246-CB2B-4DE2-B73C-E032256742A6}">
      <formula1>#REF!</formula1>
    </dataValidation>
  </dataValidations>
  <pageMargins left="0.7" right="0.7" top="0.75" bottom="0.75" header="0.3" footer="0.3"/>
  <customProperties>
    <customPr name="_pios_id" r:id="rId1"/>
  </customProperties>
  <extLst>
    <ext xmlns:x14="http://schemas.microsoft.com/office/spreadsheetml/2009/9/main" uri="{CCE6A557-97BC-4b89-ADB6-D9C93CAAB3DF}">
      <x14:dataValidations xmlns:xm="http://schemas.microsoft.com/office/excel/2006/main" count="2">
        <x14:dataValidation type="list" allowBlank="1" showInputMessage="1" showErrorMessage="1" xr:uid="{EBC8A8B0-20D9-4622-84D2-BAB3BA98CE20}">
          <x14:formula1>
            <xm:f>'Data Validations'!$E$3:$E$9</xm:f>
          </x14:formula1>
          <xm:sqref>K17</xm:sqref>
        </x14:dataValidation>
        <x14:dataValidation type="list" allowBlank="1" showInputMessage="1" showErrorMessage="1" xr:uid="{36DA8244-5EDD-4B41-9801-A7B1C9E21B23}">
          <x14:formula1>
            <xm:f>'Data Validations'!$J$2:$J$6</xm:f>
          </x14:formula1>
          <xm:sqref>F11:F15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36CF4-63B6-4341-A039-20F063BB9A32}">
  <sheetPr codeName="Sheet4">
    <tabColor rgb="FF06109F"/>
  </sheetPr>
  <dimension ref="A1:K362"/>
  <sheetViews>
    <sheetView showGridLines="0" topLeftCell="A48" workbookViewId="0">
      <selection activeCell="G19" sqref="G19"/>
    </sheetView>
  </sheetViews>
  <sheetFormatPr defaultColWidth="2.7109375" defaultRowHeight="14.45"/>
  <cols>
    <col min="1" max="1" width="18.28515625" customWidth="1"/>
    <col min="2" max="2" width="22.28515625" customWidth="1"/>
    <col min="3" max="3" width="26.42578125" customWidth="1"/>
    <col min="4" max="4" width="22.28515625" style="25" customWidth="1"/>
    <col min="5" max="5" width="16.5703125" style="34" customWidth="1"/>
    <col min="6" max="6" width="255.7109375" style="3" bestFit="1" customWidth="1"/>
    <col min="7" max="7" width="25.28515625" bestFit="1" customWidth="1"/>
    <col min="8" max="11" width="18.7109375" bestFit="1" customWidth="1"/>
  </cols>
  <sheetData>
    <row r="1" spans="1:11">
      <c r="A1" s="32" t="s">
        <v>331</v>
      </c>
    </row>
    <row r="15" spans="1:11" ht="31.15">
      <c r="A15" s="38" t="s">
        <v>10</v>
      </c>
      <c r="B15" s="31" t="s">
        <v>8</v>
      </c>
      <c r="C15" s="38" t="s">
        <v>9</v>
      </c>
      <c r="D15" s="37" t="s">
        <v>13</v>
      </c>
      <c r="E15" s="38" t="s">
        <v>14</v>
      </c>
      <c r="F15" s="38" t="s">
        <v>16</v>
      </c>
      <c r="G15" s="39" t="s">
        <v>332</v>
      </c>
      <c r="H15" s="39" t="s">
        <v>333</v>
      </c>
      <c r="I15" s="39" t="s">
        <v>334</v>
      </c>
      <c r="J15" s="39" t="s">
        <v>335</v>
      </c>
      <c r="K15" s="39" t="s">
        <v>336</v>
      </c>
    </row>
    <row r="16" spans="1:11">
      <c r="A16" s="78" t="s">
        <v>147</v>
      </c>
      <c r="B16" t="s">
        <v>27</v>
      </c>
      <c r="C16" s="78" t="s">
        <v>146</v>
      </c>
      <c r="D16" t="s">
        <v>31</v>
      </c>
      <c r="E16" t="s">
        <v>32</v>
      </c>
      <c r="F16" t="s">
        <v>148</v>
      </c>
      <c r="G16" s="35">
        <v>3.87</v>
      </c>
      <c r="H16" s="35">
        <v>0</v>
      </c>
      <c r="I16" s="35"/>
      <c r="J16" s="35"/>
      <c r="K16" s="35"/>
    </row>
    <row r="17" spans="1:11">
      <c r="A17" s="78" t="s">
        <v>140</v>
      </c>
      <c r="B17" t="s">
        <v>27</v>
      </c>
      <c r="C17" s="78" t="s">
        <v>211</v>
      </c>
      <c r="D17" t="s">
        <v>97</v>
      </c>
      <c r="E17" t="s">
        <v>32</v>
      </c>
      <c r="F17" t="s">
        <v>212</v>
      </c>
      <c r="G17" s="35"/>
      <c r="H17" s="35">
        <v>0</v>
      </c>
      <c r="I17" s="35"/>
      <c r="J17" s="35"/>
      <c r="K17" s="35"/>
    </row>
    <row r="18" spans="1:11">
      <c r="A18" s="78" t="s">
        <v>140</v>
      </c>
      <c r="B18" t="s">
        <v>27</v>
      </c>
      <c r="C18" s="78" t="s">
        <v>139</v>
      </c>
      <c r="D18" t="s">
        <v>97</v>
      </c>
      <c r="E18" t="s">
        <v>32</v>
      </c>
      <c r="F18" t="s">
        <v>158</v>
      </c>
      <c r="G18" s="35">
        <v>1</v>
      </c>
      <c r="H18" s="35">
        <v>0</v>
      </c>
      <c r="I18" s="35"/>
      <c r="J18" s="35"/>
      <c r="K18" s="35"/>
    </row>
    <row r="19" spans="1:11" ht="15" customHeight="1">
      <c r="A19" s="78" t="s">
        <v>140</v>
      </c>
      <c r="B19" t="s">
        <v>27</v>
      </c>
      <c r="C19" s="78" t="s">
        <v>139</v>
      </c>
      <c r="D19" t="s">
        <v>97</v>
      </c>
      <c r="E19" t="s">
        <v>32</v>
      </c>
      <c r="F19" t="s">
        <v>142</v>
      </c>
      <c r="G19" s="35">
        <v>5</v>
      </c>
      <c r="H19" s="35">
        <v>0</v>
      </c>
      <c r="I19" s="35"/>
      <c r="J19" s="35"/>
      <c r="K19" s="35"/>
    </row>
    <row r="20" spans="1:11">
      <c r="A20" s="78" t="s">
        <v>140</v>
      </c>
      <c r="B20" t="s">
        <v>27</v>
      </c>
      <c r="C20" s="78" t="s">
        <v>159</v>
      </c>
      <c r="D20" t="s">
        <v>97</v>
      </c>
      <c r="E20" t="s">
        <v>65</v>
      </c>
      <c r="F20" s="120" t="s">
        <v>160</v>
      </c>
      <c r="G20" s="35">
        <v>1</v>
      </c>
      <c r="H20" s="35">
        <v>0</v>
      </c>
      <c r="I20" s="35"/>
      <c r="J20" s="35"/>
      <c r="K20" s="35"/>
    </row>
    <row r="21" spans="1:11">
      <c r="A21" s="78" t="s">
        <v>140</v>
      </c>
      <c r="B21" t="s">
        <v>27</v>
      </c>
      <c r="C21" s="78" t="s">
        <v>208</v>
      </c>
      <c r="D21" t="s">
        <v>97</v>
      </c>
      <c r="E21" t="s">
        <v>65</v>
      </c>
      <c r="F21" s="120" t="s">
        <v>210</v>
      </c>
      <c r="G21" s="35"/>
      <c r="H21" s="35">
        <v>0</v>
      </c>
      <c r="I21" s="35"/>
      <c r="J21" s="35"/>
      <c r="K21" s="35"/>
    </row>
    <row r="22" spans="1:11">
      <c r="A22" s="78" t="s">
        <v>140</v>
      </c>
      <c r="B22" t="s">
        <v>27</v>
      </c>
      <c r="C22" s="78" t="s">
        <v>208</v>
      </c>
      <c r="D22" t="s">
        <v>97</v>
      </c>
      <c r="E22" s="78" t="s">
        <v>32</v>
      </c>
      <c r="F22" s="120" t="s">
        <v>209</v>
      </c>
      <c r="G22" s="35"/>
      <c r="H22" s="35">
        <v>0</v>
      </c>
      <c r="I22" s="35"/>
      <c r="J22" s="35"/>
      <c r="K22" s="35"/>
    </row>
    <row r="23" spans="1:11">
      <c r="A23" s="78" t="s">
        <v>29</v>
      </c>
      <c r="B23" t="s">
        <v>27</v>
      </c>
      <c r="C23" s="78" t="s">
        <v>162</v>
      </c>
      <c r="D23" t="s">
        <v>337</v>
      </c>
      <c r="E23" t="s">
        <v>65</v>
      </c>
      <c r="F23" s="121" t="s">
        <v>163</v>
      </c>
      <c r="G23" s="35">
        <v>0</v>
      </c>
      <c r="H23" s="35">
        <v>0</v>
      </c>
      <c r="I23" s="35">
        <v>0</v>
      </c>
      <c r="J23" s="35">
        <v>0</v>
      </c>
      <c r="K23" s="35">
        <v>0</v>
      </c>
    </row>
    <row r="24" spans="1:11">
      <c r="A24" s="78" t="s">
        <v>29</v>
      </c>
      <c r="B24" t="s">
        <v>27</v>
      </c>
      <c r="C24" t="s">
        <v>28</v>
      </c>
      <c r="D24" t="s">
        <v>31</v>
      </c>
      <c r="E24" t="s">
        <v>32</v>
      </c>
      <c r="F24" t="s">
        <v>34</v>
      </c>
      <c r="G24" s="35">
        <v>21.15</v>
      </c>
      <c r="H24" s="35">
        <v>6.43</v>
      </c>
      <c r="I24" s="35">
        <v>6.96</v>
      </c>
      <c r="J24" s="35">
        <v>7.77</v>
      </c>
      <c r="K24" s="35"/>
    </row>
    <row r="25" spans="1:11">
      <c r="A25" s="78" t="s">
        <v>64</v>
      </c>
      <c r="B25" t="s">
        <v>27</v>
      </c>
      <c r="C25" s="78" t="s">
        <v>201</v>
      </c>
      <c r="D25" t="s">
        <v>31</v>
      </c>
      <c r="E25" t="s">
        <v>65</v>
      </c>
      <c r="F25" s="120" t="s">
        <v>202</v>
      </c>
      <c r="G25" s="35">
        <v>50</v>
      </c>
      <c r="H25" s="35">
        <v>50</v>
      </c>
      <c r="I25" s="35"/>
      <c r="J25" s="35"/>
      <c r="K25" s="35"/>
    </row>
    <row r="26" spans="1:11" ht="28.9">
      <c r="A26" s="78" t="s">
        <v>64</v>
      </c>
      <c r="B26" t="s">
        <v>43</v>
      </c>
      <c r="C26" t="s">
        <v>164</v>
      </c>
      <c r="D26" t="s">
        <v>97</v>
      </c>
      <c r="E26" t="s">
        <v>65</v>
      </c>
      <c r="F26" s="25" t="s">
        <v>165</v>
      </c>
      <c r="G26" s="35">
        <v>14</v>
      </c>
      <c r="H26" s="35">
        <v>14</v>
      </c>
      <c r="I26" s="35">
        <v>0</v>
      </c>
      <c r="J26" s="35">
        <v>0</v>
      </c>
      <c r="K26" s="35">
        <v>0</v>
      </c>
    </row>
    <row r="27" spans="1:11" ht="28.9">
      <c r="A27" s="78" t="s">
        <v>64</v>
      </c>
      <c r="B27" t="s">
        <v>43</v>
      </c>
      <c r="C27" t="s">
        <v>143</v>
      </c>
      <c r="D27" t="s">
        <v>84</v>
      </c>
      <c r="E27" t="s">
        <v>65</v>
      </c>
      <c r="F27" s="25" t="s">
        <v>145</v>
      </c>
      <c r="G27" s="35">
        <v>4.9000000000000004</v>
      </c>
      <c r="H27" s="35">
        <v>2.0580000000000003</v>
      </c>
      <c r="I27" s="35"/>
      <c r="J27" s="35"/>
      <c r="K27" s="35"/>
    </row>
    <row r="28" spans="1:11" ht="24.6">
      <c r="A28" s="78" t="s">
        <v>64</v>
      </c>
      <c r="B28" t="s">
        <v>43</v>
      </c>
      <c r="C28" t="s">
        <v>143</v>
      </c>
      <c r="D28" t="s">
        <v>337</v>
      </c>
      <c r="E28" t="s">
        <v>65</v>
      </c>
      <c r="F28" s="122" t="s">
        <v>166</v>
      </c>
      <c r="G28" s="35"/>
      <c r="H28" s="35">
        <v>0</v>
      </c>
      <c r="I28" s="35"/>
      <c r="J28" s="35"/>
      <c r="K28" s="35"/>
    </row>
    <row r="29" spans="1:11">
      <c r="A29" s="78" t="s">
        <v>64</v>
      </c>
      <c r="B29" t="s">
        <v>43</v>
      </c>
      <c r="C29" t="s">
        <v>112</v>
      </c>
      <c r="D29" t="s">
        <v>337</v>
      </c>
      <c r="E29" t="s">
        <v>32</v>
      </c>
      <c r="F29" t="s">
        <v>113</v>
      </c>
      <c r="G29" s="35">
        <v>13</v>
      </c>
      <c r="H29" s="35">
        <v>4</v>
      </c>
      <c r="I29" s="35">
        <v>0</v>
      </c>
      <c r="J29" s="35">
        <v>0</v>
      </c>
      <c r="K29" s="35">
        <v>0</v>
      </c>
    </row>
    <row r="30" spans="1:11">
      <c r="A30" s="78" t="s">
        <v>64</v>
      </c>
      <c r="B30" t="s">
        <v>43</v>
      </c>
      <c r="C30" t="s">
        <v>56</v>
      </c>
      <c r="D30" t="s">
        <v>31</v>
      </c>
      <c r="E30" t="s">
        <v>65</v>
      </c>
      <c r="F30" t="s">
        <v>66</v>
      </c>
      <c r="G30" s="35">
        <v>80</v>
      </c>
      <c r="H30" s="35">
        <v>80</v>
      </c>
      <c r="I30" s="35">
        <v>0</v>
      </c>
      <c r="J30" s="35">
        <v>0</v>
      </c>
      <c r="K30" s="35">
        <v>0</v>
      </c>
    </row>
    <row r="31" spans="1:11">
      <c r="A31" s="78" t="s">
        <v>64</v>
      </c>
      <c r="B31" t="s">
        <v>73</v>
      </c>
      <c r="C31" t="s">
        <v>74</v>
      </c>
      <c r="D31" t="s">
        <v>31</v>
      </c>
      <c r="E31" t="s">
        <v>65</v>
      </c>
      <c r="F31" s="25" t="s">
        <v>225</v>
      </c>
      <c r="G31" s="35"/>
      <c r="H31" s="35"/>
      <c r="I31" s="35"/>
      <c r="J31" s="35"/>
      <c r="K31" s="35"/>
    </row>
    <row r="32" spans="1:11">
      <c r="A32" s="78" t="s">
        <v>64</v>
      </c>
      <c r="B32" t="s">
        <v>73</v>
      </c>
      <c r="C32" t="s">
        <v>74</v>
      </c>
      <c r="D32" t="s">
        <v>31</v>
      </c>
      <c r="E32" t="s">
        <v>32</v>
      </c>
      <c r="F32" s="122" t="s">
        <v>86</v>
      </c>
      <c r="G32" s="35">
        <v>303</v>
      </c>
      <c r="H32" s="35">
        <v>35</v>
      </c>
      <c r="I32" s="35"/>
      <c r="J32" s="35"/>
      <c r="K32" s="35"/>
    </row>
    <row r="33" spans="1:11">
      <c r="A33" s="78" t="s">
        <v>64</v>
      </c>
      <c r="B33" t="s">
        <v>73</v>
      </c>
      <c r="C33" t="s">
        <v>117</v>
      </c>
      <c r="D33" t="s">
        <v>84</v>
      </c>
      <c r="E33" t="s">
        <v>65</v>
      </c>
      <c r="F33" t="s">
        <v>119</v>
      </c>
      <c r="G33" s="35">
        <v>10</v>
      </c>
      <c r="H33" s="35"/>
      <c r="I33" s="35"/>
      <c r="J33" s="35"/>
      <c r="K33" s="35"/>
    </row>
    <row r="34" spans="1:11">
      <c r="A34" s="78" t="s">
        <v>64</v>
      </c>
      <c r="B34" t="s">
        <v>73</v>
      </c>
      <c r="C34" t="s">
        <v>155</v>
      </c>
      <c r="D34" t="s">
        <v>84</v>
      </c>
      <c r="E34" t="s">
        <v>32</v>
      </c>
      <c r="F34" s="25" t="s">
        <v>156</v>
      </c>
      <c r="G34" s="35">
        <v>2</v>
      </c>
      <c r="H34" s="35">
        <v>2</v>
      </c>
      <c r="I34" s="35"/>
      <c r="J34" s="35"/>
      <c r="K34" s="35"/>
    </row>
    <row r="35" spans="1:11">
      <c r="A35" s="78" t="s">
        <v>64</v>
      </c>
      <c r="B35" t="s">
        <v>73</v>
      </c>
      <c r="C35" t="s">
        <v>155</v>
      </c>
      <c r="D35" t="s">
        <v>97</v>
      </c>
      <c r="E35" t="s">
        <v>65</v>
      </c>
      <c r="F35" s="25" t="s">
        <v>200</v>
      </c>
      <c r="G35" s="35"/>
      <c r="H35" s="35"/>
      <c r="I35" s="35"/>
      <c r="J35" s="35"/>
      <c r="K35" s="35"/>
    </row>
    <row r="36" spans="1:11">
      <c r="A36" s="78" t="s">
        <v>64</v>
      </c>
      <c r="B36" t="s">
        <v>135</v>
      </c>
      <c r="C36" t="s">
        <v>188</v>
      </c>
      <c r="D36" t="s">
        <v>31</v>
      </c>
      <c r="E36" t="s">
        <v>65</v>
      </c>
      <c r="F36" t="s">
        <v>337</v>
      </c>
      <c r="G36" s="35">
        <v>30</v>
      </c>
      <c r="H36" s="35"/>
      <c r="I36" s="35">
        <v>30</v>
      </c>
      <c r="J36" s="35"/>
      <c r="K36" s="35"/>
    </row>
    <row r="37" spans="1:11">
      <c r="A37" s="78" t="s">
        <v>64</v>
      </c>
      <c r="B37" t="s">
        <v>50</v>
      </c>
      <c r="C37" t="s">
        <v>149</v>
      </c>
      <c r="D37" t="s">
        <v>31</v>
      </c>
      <c r="E37" t="s">
        <v>65</v>
      </c>
      <c r="F37" t="s">
        <v>150</v>
      </c>
      <c r="G37" s="35">
        <v>3.552</v>
      </c>
      <c r="H37" s="35">
        <v>0</v>
      </c>
      <c r="I37" s="35"/>
      <c r="J37" s="35"/>
      <c r="K37" s="35"/>
    </row>
    <row r="38" spans="1:11">
      <c r="A38" s="78" t="s">
        <v>64</v>
      </c>
      <c r="B38" t="s">
        <v>50</v>
      </c>
      <c r="C38" t="s">
        <v>127</v>
      </c>
      <c r="D38" t="s">
        <v>31</v>
      </c>
      <c r="E38" t="s">
        <v>32</v>
      </c>
      <c r="F38" t="s">
        <v>129</v>
      </c>
      <c r="G38" s="35">
        <v>32.299999999999997</v>
      </c>
      <c r="H38" s="35">
        <v>-7.4</v>
      </c>
      <c r="I38" s="35">
        <v>2.5</v>
      </c>
      <c r="J38" s="35">
        <v>3.4</v>
      </c>
      <c r="K38" s="35">
        <v>4.5999999999999996</v>
      </c>
    </row>
    <row r="39" spans="1:11">
      <c r="A39" s="78" t="s">
        <v>64</v>
      </c>
      <c r="B39" t="s">
        <v>50</v>
      </c>
      <c r="C39" t="s">
        <v>152</v>
      </c>
      <c r="D39" t="s">
        <v>84</v>
      </c>
      <c r="E39" t="s">
        <v>32</v>
      </c>
      <c r="F39" t="s">
        <v>153</v>
      </c>
      <c r="G39" s="35">
        <v>2.6284800000000001</v>
      </c>
      <c r="H39" s="35">
        <v>0.52569600000000005</v>
      </c>
      <c r="I39" s="35">
        <v>0.52569600000000005</v>
      </c>
      <c r="J39" s="35"/>
      <c r="K39" s="35"/>
    </row>
    <row r="40" spans="1:11">
      <c r="A40" s="78" t="s">
        <v>64</v>
      </c>
      <c r="B40" t="s">
        <v>50</v>
      </c>
      <c r="C40" t="s">
        <v>102</v>
      </c>
      <c r="D40" t="s">
        <v>31</v>
      </c>
      <c r="E40" t="s">
        <v>32</v>
      </c>
      <c r="F40" t="s">
        <v>151</v>
      </c>
      <c r="G40" s="35"/>
      <c r="H40" s="35">
        <v>23</v>
      </c>
      <c r="I40" s="35"/>
      <c r="J40" s="35"/>
      <c r="K40" s="35"/>
    </row>
    <row r="41" spans="1:11">
      <c r="A41" s="78" t="s">
        <v>79</v>
      </c>
      <c r="B41" t="s">
        <v>27</v>
      </c>
      <c r="C41" s="78" t="s">
        <v>106</v>
      </c>
      <c r="D41" t="s">
        <v>337</v>
      </c>
      <c r="E41" t="s">
        <v>65</v>
      </c>
      <c r="F41" s="121" t="s">
        <v>107</v>
      </c>
      <c r="G41" s="35">
        <v>15</v>
      </c>
      <c r="H41" s="35">
        <v>1E-3</v>
      </c>
      <c r="I41" s="35">
        <v>1E-3</v>
      </c>
      <c r="J41" s="35">
        <v>5</v>
      </c>
      <c r="K41" s="35">
        <v>5</v>
      </c>
    </row>
    <row r="42" spans="1:11">
      <c r="A42" s="78" t="s">
        <v>79</v>
      </c>
      <c r="B42" t="s">
        <v>27</v>
      </c>
      <c r="C42" s="78" t="s">
        <v>203</v>
      </c>
      <c r="D42" t="s">
        <v>337</v>
      </c>
      <c r="E42" t="s">
        <v>65</v>
      </c>
      <c r="F42" s="121" t="s">
        <v>205</v>
      </c>
      <c r="G42" s="35"/>
      <c r="H42" s="35">
        <v>0</v>
      </c>
      <c r="I42" s="35"/>
      <c r="J42" s="35"/>
      <c r="K42" s="35"/>
    </row>
    <row r="43" spans="1:11">
      <c r="A43" s="78" t="s">
        <v>79</v>
      </c>
      <c r="B43" t="s">
        <v>27</v>
      </c>
      <c r="C43" s="78" t="s">
        <v>87</v>
      </c>
      <c r="D43" t="s">
        <v>31</v>
      </c>
      <c r="E43" s="78" t="s">
        <v>32</v>
      </c>
      <c r="F43" s="120" t="s">
        <v>89</v>
      </c>
      <c r="G43" s="35">
        <v>53.2</v>
      </c>
      <c r="H43" s="35">
        <v>7.6</v>
      </c>
      <c r="I43" s="35">
        <v>7.6</v>
      </c>
      <c r="J43" s="35">
        <v>7.6</v>
      </c>
      <c r="K43" s="35">
        <v>7.6</v>
      </c>
    </row>
    <row r="44" spans="1:11">
      <c r="A44" s="78" t="s">
        <v>79</v>
      </c>
      <c r="B44" t="s">
        <v>27</v>
      </c>
      <c r="C44" s="78" t="s">
        <v>206</v>
      </c>
      <c r="D44" t="s">
        <v>97</v>
      </c>
      <c r="E44" s="78" t="s">
        <v>65</v>
      </c>
      <c r="F44" s="120" t="s">
        <v>207</v>
      </c>
      <c r="G44" s="35"/>
      <c r="H44" s="35">
        <v>0</v>
      </c>
      <c r="I44" s="35"/>
      <c r="J44" s="35"/>
      <c r="K44" s="35"/>
    </row>
    <row r="45" spans="1:11" ht="28.9">
      <c r="A45" s="78" t="s">
        <v>79</v>
      </c>
      <c r="B45" t="s">
        <v>43</v>
      </c>
      <c r="C45" t="s">
        <v>78</v>
      </c>
      <c r="D45" t="s">
        <v>31</v>
      </c>
      <c r="E45" t="s">
        <v>32</v>
      </c>
      <c r="F45" s="25" t="s">
        <v>81</v>
      </c>
      <c r="G45" s="35">
        <v>104.16666666666667</v>
      </c>
      <c r="H45" s="35">
        <v>20</v>
      </c>
      <c r="I45" s="35">
        <v>2</v>
      </c>
      <c r="J45" s="35">
        <v>1</v>
      </c>
      <c r="K45" s="35">
        <v>8</v>
      </c>
    </row>
    <row r="46" spans="1:11" ht="24.6">
      <c r="A46" s="78" t="s">
        <v>79</v>
      </c>
      <c r="B46" t="s">
        <v>43</v>
      </c>
      <c r="C46" t="s">
        <v>174</v>
      </c>
      <c r="D46" t="s">
        <v>337</v>
      </c>
      <c r="E46" t="s">
        <v>32</v>
      </c>
      <c r="F46" s="122" t="s">
        <v>176</v>
      </c>
      <c r="G46" s="35"/>
      <c r="H46" s="35">
        <v>0</v>
      </c>
      <c r="I46" s="35">
        <v>0</v>
      </c>
      <c r="J46" s="35">
        <v>0</v>
      </c>
      <c r="K46" s="35">
        <v>0</v>
      </c>
    </row>
    <row r="47" spans="1:11">
      <c r="A47" s="78" t="s">
        <v>79</v>
      </c>
      <c r="B47" t="s">
        <v>73</v>
      </c>
      <c r="C47" t="s">
        <v>223</v>
      </c>
      <c r="D47" t="s">
        <v>97</v>
      </c>
      <c r="E47" t="s">
        <v>65</v>
      </c>
      <c r="F47" s="25" t="s">
        <v>224</v>
      </c>
      <c r="G47" s="35"/>
      <c r="H47" s="35"/>
      <c r="I47" s="35"/>
      <c r="J47" s="35"/>
      <c r="K47" s="35"/>
    </row>
    <row r="48" spans="1:11">
      <c r="A48" s="78" t="s">
        <v>79</v>
      </c>
      <c r="B48" t="s">
        <v>73</v>
      </c>
      <c r="C48" t="s">
        <v>221</v>
      </c>
      <c r="D48" t="s">
        <v>31</v>
      </c>
      <c r="E48" t="s">
        <v>32</v>
      </c>
      <c r="F48" s="25" t="s">
        <v>222</v>
      </c>
      <c r="G48" s="35"/>
      <c r="H48" s="35"/>
      <c r="I48" s="35"/>
      <c r="J48" s="35"/>
      <c r="K48" s="35"/>
    </row>
    <row r="49" spans="1:11">
      <c r="A49" s="78" t="s">
        <v>79</v>
      </c>
      <c r="B49" t="s">
        <v>73</v>
      </c>
      <c r="C49" t="s">
        <v>269</v>
      </c>
      <c r="D49" t="s">
        <v>97</v>
      </c>
      <c r="E49" t="s">
        <v>32</v>
      </c>
      <c r="F49" t="s">
        <v>270</v>
      </c>
      <c r="G49" s="35"/>
      <c r="H49" s="35"/>
      <c r="I49" s="35"/>
      <c r="J49" s="35"/>
      <c r="K49" s="35"/>
    </row>
    <row r="50" spans="1:11">
      <c r="A50" s="78" t="s">
        <v>79</v>
      </c>
      <c r="B50" t="s">
        <v>135</v>
      </c>
      <c r="C50" t="s">
        <v>136</v>
      </c>
      <c r="D50" t="s">
        <v>97</v>
      </c>
      <c r="E50" t="s">
        <v>32</v>
      </c>
      <c r="F50" t="s">
        <v>138</v>
      </c>
      <c r="G50" s="35">
        <v>5</v>
      </c>
      <c r="H50" s="35">
        <v>5</v>
      </c>
      <c r="I50" s="35"/>
      <c r="J50" s="35"/>
      <c r="K50" s="35"/>
    </row>
    <row r="51" spans="1:11">
      <c r="A51" s="78" t="s">
        <v>79</v>
      </c>
      <c r="B51" t="s">
        <v>50</v>
      </c>
      <c r="C51" t="s">
        <v>130</v>
      </c>
      <c r="D51" t="s">
        <v>31</v>
      </c>
      <c r="E51" t="s">
        <v>65</v>
      </c>
      <c r="F51" t="s">
        <v>131</v>
      </c>
      <c r="G51" s="35">
        <v>8.879999999999999</v>
      </c>
      <c r="H51" s="35">
        <v>0</v>
      </c>
      <c r="I51" s="35">
        <v>0</v>
      </c>
      <c r="J51" s="35"/>
      <c r="K51" s="35"/>
    </row>
    <row r="52" spans="1:11">
      <c r="A52" s="78" t="s">
        <v>79</v>
      </c>
      <c r="B52" t="s">
        <v>50</v>
      </c>
      <c r="C52" t="s">
        <v>114</v>
      </c>
      <c r="D52" t="s">
        <v>31</v>
      </c>
      <c r="E52" t="s">
        <v>65</v>
      </c>
      <c r="F52" s="25" t="s">
        <v>116</v>
      </c>
      <c r="G52" s="35"/>
      <c r="H52" s="35">
        <v>0</v>
      </c>
      <c r="I52" s="35">
        <v>0</v>
      </c>
      <c r="J52" s="35"/>
      <c r="K52" s="35"/>
    </row>
    <row r="53" spans="1:11">
      <c r="A53" s="78" t="s">
        <v>121</v>
      </c>
      <c r="B53" t="s">
        <v>27</v>
      </c>
      <c r="C53" s="78" t="s">
        <v>198</v>
      </c>
      <c r="D53" t="s">
        <v>84</v>
      </c>
      <c r="E53" t="s">
        <v>65</v>
      </c>
      <c r="F53" t="s">
        <v>199</v>
      </c>
      <c r="G53" s="35"/>
      <c r="H53" s="35">
        <v>0</v>
      </c>
      <c r="I53" s="35"/>
      <c r="J53" s="35"/>
      <c r="K53" s="35"/>
    </row>
    <row r="54" spans="1:11">
      <c r="A54" s="78" t="s">
        <v>121</v>
      </c>
      <c r="B54" t="s">
        <v>27</v>
      </c>
      <c r="C54" t="s">
        <v>237</v>
      </c>
      <c r="D54" t="s">
        <v>31</v>
      </c>
      <c r="E54" t="s">
        <v>32</v>
      </c>
      <c r="F54" t="s">
        <v>273</v>
      </c>
      <c r="G54" s="35">
        <v>59</v>
      </c>
      <c r="H54" s="35">
        <v>59</v>
      </c>
      <c r="I54" s="35"/>
      <c r="J54" s="35"/>
      <c r="K54" s="35"/>
    </row>
    <row r="55" spans="1:11">
      <c r="A55" s="78" t="s">
        <v>121</v>
      </c>
      <c r="B55" t="s">
        <v>43</v>
      </c>
      <c r="C55" t="s">
        <v>191</v>
      </c>
      <c r="D55" t="s">
        <v>337</v>
      </c>
      <c r="E55" t="s">
        <v>65</v>
      </c>
      <c r="F55" s="122" t="s">
        <v>192</v>
      </c>
      <c r="G55" s="35"/>
      <c r="H55" s="35">
        <v>0</v>
      </c>
      <c r="I55" s="35"/>
      <c r="J55" s="35"/>
      <c r="K55" s="35"/>
    </row>
    <row r="56" spans="1:11">
      <c r="A56" s="78" t="s">
        <v>121</v>
      </c>
      <c r="B56" t="s">
        <v>43</v>
      </c>
      <c r="C56" t="s">
        <v>196</v>
      </c>
      <c r="D56" t="s">
        <v>337</v>
      </c>
      <c r="E56" t="s">
        <v>65</v>
      </c>
      <c r="F56" s="122" t="s">
        <v>197</v>
      </c>
      <c r="G56" s="35"/>
      <c r="H56" s="35">
        <v>0</v>
      </c>
      <c r="I56" s="35"/>
      <c r="J56" s="35"/>
      <c r="K56" s="35"/>
    </row>
    <row r="57" spans="1:11">
      <c r="A57" s="78" t="s">
        <v>121</v>
      </c>
      <c r="B57" t="s">
        <v>43</v>
      </c>
      <c r="C57" t="s">
        <v>193</v>
      </c>
      <c r="D57" t="s">
        <v>31</v>
      </c>
      <c r="E57" t="s">
        <v>32</v>
      </c>
      <c r="F57" t="s">
        <v>194</v>
      </c>
      <c r="G57" s="35">
        <v>30</v>
      </c>
      <c r="H57" s="35">
        <v>8.5</v>
      </c>
      <c r="I57" s="35">
        <v>0</v>
      </c>
      <c r="J57" s="35">
        <v>0</v>
      </c>
      <c r="K57" s="35">
        <v>0</v>
      </c>
    </row>
    <row r="58" spans="1:11">
      <c r="A58" s="78" t="s">
        <v>121</v>
      </c>
      <c r="B58" t="s">
        <v>73</v>
      </c>
      <c r="C58" t="s">
        <v>120</v>
      </c>
      <c r="D58" t="s">
        <v>84</v>
      </c>
      <c r="E58" t="s">
        <v>32</v>
      </c>
      <c r="F58" s="25" t="s">
        <v>123</v>
      </c>
      <c r="G58" s="35">
        <v>9.3478260869565233</v>
      </c>
      <c r="H58" s="35"/>
      <c r="I58" s="35"/>
      <c r="J58" s="35"/>
      <c r="K58" s="35"/>
    </row>
    <row r="59" spans="1:11">
      <c r="A59" s="78" t="s">
        <v>121</v>
      </c>
      <c r="B59" t="s">
        <v>73</v>
      </c>
      <c r="C59" t="s">
        <v>217</v>
      </c>
      <c r="D59" t="s">
        <v>84</v>
      </c>
      <c r="E59" t="s">
        <v>32</v>
      </c>
      <c r="F59" s="25" t="s">
        <v>218</v>
      </c>
      <c r="G59" s="35"/>
      <c r="H59" s="35"/>
      <c r="I59" s="35"/>
      <c r="J59" s="35"/>
      <c r="K59" s="35"/>
    </row>
    <row r="60" spans="1:11">
      <c r="A60" s="78" t="s">
        <v>121</v>
      </c>
      <c r="B60" t="s">
        <v>73</v>
      </c>
      <c r="C60" t="s">
        <v>124</v>
      </c>
      <c r="D60" t="s">
        <v>84</v>
      </c>
      <c r="E60" t="s">
        <v>32</v>
      </c>
      <c r="F60" s="25" t="s">
        <v>126</v>
      </c>
      <c r="G60" s="35">
        <v>6</v>
      </c>
      <c r="H60" s="35"/>
      <c r="I60" s="35"/>
      <c r="J60" s="35"/>
      <c r="K60" s="35"/>
    </row>
    <row r="61" spans="1:11">
      <c r="A61" s="78" t="s">
        <v>121</v>
      </c>
      <c r="B61" t="s">
        <v>73</v>
      </c>
      <c r="C61" t="s">
        <v>155</v>
      </c>
      <c r="D61" t="s">
        <v>31</v>
      </c>
      <c r="E61" t="s">
        <v>65</v>
      </c>
      <c r="F61" s="25" t="s">
        <v>171</v>
      </c>
      <c r="G61" s="35"/>
      <c r="H61" s="35"/>
      <c r="I61" s="35"/>
      <c r="J61" s="35"/>
      <c r="K61" s="35"/>
    </row>
    <row r="62" spans="1:11">
      <c r="A62" s="78" t="s">
        <v>121</v>
      </c>
      <c r="B62" t="s">
        <v>73</v>
      </c>
      <c r="C62" t="s">
        <v>219</v>
      </c>
      <c r="D62" t="s">
        <v>84</v>
      </c>
      <c r="E62" t="s">
        <v>32</v>
      </c>
      <c r="F62" t="s">
        <v>220</v>
      </c>
      <c r="G62" s="35"/>
      <c r="H62" s="35"/>
      <c r="I62" s="35"/>
      <c r="J62" s="35"/>
      <c r="K62" s="35"/>
    </row>
    <row r="63" spans="1:11">
      <c r="A63" s="78" t="s">
        <v>121</v>
      </c>
      <c r="B63" t="s">
        <v>73</v>
      </c>
      <c r="C63" t="s">
        <v>219</v>
      </c>
      <c r="D63" t="s">
        <v>84</v>
      </c>
      <c r="E63" t="s">
        <v>32</v>
      </c>
      <c r="F63" t="s">
        <v>230</v>
      </c>
      <c r="G63" s="35">
        <v>1.9</v>
      </c>
      <c r="H63" s="35"/>
      <c r="I63" s="35"/>
      <c r="J63" s="35"/>
      <c r="K63" s="35"/>
    </row>
    <row r="64" spans="1:11">
      <c r="A64" s="78" t="s">
        <v>121</v>
      </c>
      <c r="B64" t="s">
        <v>73</v>
      </c>
      <c r="C64" t="s">
        <v>235</v>
      </c>
      <c r="D64" t="s">
        <v>84</v>
      </c>
      <c r="E64" t="s">
        <v>65</v>
      </c>
      <c r="F64" t="s">
        <v>236</v>
      </c>
      <c r="G64" s="35">
        <v>2.5</v>
      </c>
      <c r="H64" s="35"/>
      <c r="I64" s="35"/>
      <c r="J64" s="35"/>
      <c r="K64" s="35"/>
    </row>
    <row r="65" spans="1:11">
      <c r="A65" s="78" t="s">
        <v>38</v>
      </c>
      <c r="B65" t="s">
        <v>27</v>
      </c>
      <c r="C65" s="78" t="s">
        <v>37</v>
      </c>
      <c r="D65" t="s">
        <v>31</v>
      </c>
      <c r="E65" t="s">
        <v>32</v>
      </c>
      <c r="F65" t="s">
        <v>40</v>
      </c>
      <c r="G65" s="35">
        <v>318</v>
      </c>
      <c r="H65" s="35">
        <v>0</v>
      </c>
      <c r="I65" s="35"/>
      <c r="J65" s="35"/>
      <c r="K65" s="35"/>
    </row>
    <row r="66" spans="1:11">
      <c r="A66" s="78" t="s">
        <v>38</v>
      </c>
      <c r="B66" t="s">
        <v>73</v>
      </c>
      <c r="C66" t="s">
        <v>74</v>
      </c>
      <c r="D66" t="s">
        <v>97</v>
      </c>
      <c r="E66" t="s">
        <v>65</v>
      </c>
      <c r="F66" s="25" t="s">
        <v>216</v>
      </c>
      <c r="G66" s="35"/>
      <c r="H66" s="35"/>
      <c r="I66" s="35"/>
      <c r="J66" s="35"/>
      <c r="K66" s="35"/>
    </row>
    <row r="67" spans="1:11" ht="24.6">
      <c r="A67" t="s">
        <v>69</v>
      </c>
      <c r="B67" t="s">
        <v>43</v>
      </c>
      <c r="C67" t="s">
        <v>56</v>
      </c>
      <c r="D67" t="s">
        <v>337</v>
      </c>
      <c r="E67" t="s">
        <v>32</v>
      </c>
      <c r="F67" s="122" t="s">
        <v>167</v>
      </c>
      <c r="G67" s="35"/>
      <c r="H67" s="35">
        <v>0</v>
      </c>
      <c r="I67" s="35"/>
      <c r="J67" s="35"/>
      <c r="K67" s="35"/>
    </row>
    <row r="68" spans="1:11">
      <c r="A68" t="s">
        <v>69</v>
      </c>
      <c r="B68" t="s">
        <v>73</v>
      </c>
      <c r="C68" t="s">
        <v>74</v>
      </c>
      <c r="D68" t="s">
        <v>31</v>
      </c>
      <c r="E68" t="s">
        <v>65</v>
      </c>
      <c r="F68" t="s">
        <v>226</v>
      </c>
      <c r="G68" s="35"/>
      <c r="H68" s="35"/>
      <c r="I68" s="35"/>
      <c r="J68" s="35"/>
      <c r="K68" s="35"/>
    </row>
    <row r="69" spans="1:11">
      <c r="A69" t="s">
        <v>69</v>
      </c>
      <c r="B69" t="s">
        <v>73</v>
      </c>
      <c r="C69" t="s">
        <v>74</v>
      </c>
      <c r="D69" t="s">
        <v>31</v>
      </c>
      <c r="E69" t="s">
        <v>32</v>
      </c>
      <c r="F69" t="s">
        <v>157</v>
      </c>
      <c r="G69" s="35">
        <v>1.1000000000000001</v>
      </c>
      <c r="H69" s="35">
        <v>0.5</v>
      </c>
      <c r="I69" s="35">
        <v>0</v>
      </c>
      <c r="J69" s="35"/>
      <c r="K69" s="35"/>
    </row>
    <row r="70" spans="1:11">
      <c r="A70" t="s">
        <v>69</v>
      </c>
      <c r="B70" t="s">
        <v>73</v>
      </c>
      <c r="C70" t="s">
        <v>232</v>
      </c>
      <c r="D70" t="s">
        <v>97</v>
      </c>
      <c r="E70" t="s">
        <v>32</v>
      </c>
      <c r="F70" t="s">
        <v>234</v>
      </c>
      <c r="G70" s="35"/>
      <c r="H70" s="35"/>
      <c r="I70" s="35"/>
      <c r="J70" s="35"/>
      <c r="K70" s="35"/>
    </row>
    <row r="71" spans="1:11">
      <c r="A71" t="s">
        <v>69</v>
      </c>
      <c r="B71" t="s">
        <v>50</v>
      </c>
      <c r="C71" t="s">
        <v>51</v>
      </c>
      <c r="D71" t="s">
        <v>31</v>
      </c>
      <c r="E71" t="s">
        <v>65</v>
      </c>
      <c r="F71" t="s">
        <v>70</v>
      </c>
      <c r="G71" s="35">
        <v>100</v>
      </c>
      <c r="H71" s="35">
        <v>0</v>
      </c>
      <c r="I71" s="35">
        <v>0</v>
      </c>
      <c r="J71" s="35"/>
      <c r="K71" s="35"/>
    </row>
    <row r="72" spans="1:11">
      <c r="A72" t="s">
        <v>45</v>
      </c>
      <c r="B72" t="s">
        <v>27</v>
      </c>
      <c r="C72" t="s">
        <v>237</v>
      </c>
      <c r="D72" t="s">
        <v>84</v>
      </c>
      <c r="E72" t="s">
        <v>65</v>
      </c>
      <c r="F72" t="s">
        <v>238</v>
      </c>
      <c r="G72" s="35"/>
      <c r="H72" s="35"/>
      <c r="I72" s="35"/>
      <c r="J72" s="35"/>
      <c r="K72" s="35"/>
    </row>
    <row r="73" spans="1:11">
      <c r="A73" t="s">
        <v>45</v>
      </c>
      <c r="B73" t="s">
        <v>27</v>
      </c>
      <c r="C73" t="s">
        <v>237</v>
      </c>
      <c r="D73" t="s">
        <v>97</v>
      </c>
      <c r="E73" t="s">
        <v>65</v>
      </c>
      <c r="F73" t="s">
        <v>239</v>
      </c>
      <c r="G73" s="35"/>
      <c r="H73" s="35"/>
      <c r="I73" s="35"/>
      <c r="J73" s="35"/>
      <c r="K73" s="35"/>
    </row>
    <row r="74" spans="1:11">
      <c r="A74" t="s">
        <v>45</v>
      </c>
      <c r="B74" t="s">
        <v>43</v>
      </c>
      <c r="C74" t="s">
        <v>183</v>
      </c>
      <c r="D74" t="s">
        <v>31</v>
      </c>
      <c r="E74" t="s">
        <v>65</v>
      </c>
      <c r="F74" t="s">
        <v>184</v>
      </c>
      <c r="G74" s="35">
        <v>0</v>
      </c>
      <c r="H74" s="35">
        <v>0</v>
      </c>
      <c r="I74" s="35"/>
      <c r="J74" s="35"/>
      <c r="K74" s="35"/>
    </row>
    <row r="75" spans="1:11">
      <c r="A75" t="s">
        <v>45</v>
      </c>
      <c r="B75" t="s">
        <v>43</v>
      </c>
      <c r="C75" t="s">
        <v>56</v>
      </c>
      <c r="D75" t="s">
        <v>31</v>
      </c>
      <c r="E75" t="s">
        <v>65</v>
      </c>
      <c r="F75" t="s">
        <v>243</v>
      </c>
      <c r="G75" s="35"/>
      <c r="H75" s="35"/>
      <c r="I75" s="35"/>
      <c r="J75" s="35"/>
      <c r="K75" s="35"/>
    </row>
    <row r="76" spans="1:11">
      <c r="A76" t="s">
        <v>45</v>
      </c>
      <c r="B76" t="s">
        <v>43</v>
      </c>
      <c r="C76" t="s">
        <v>56</v>
      </c>
      <c r="D76" t="s">
        <v>31</v>
      </c>
      <c r="E76" t="s">
        <v>32</v>
      </c>
      <c r="F76" t="s">
        <v>59</v>
      </c>
      <c r="G76" s="35">
        <v>231</v>
      </c>
      <c r="H76" s="35">
        <v>24</v>
      </c>
      <c r="I76" s="35">
        <v>0</v>
      </c>
      <c r="J76" s="35">
        <v>0</v>
      </c>
      <c r="K76" s="35">
        <v>0</v>
      </c>
    </row>
    <row r="77" spans="1:11">
      <c r="A77" t="s">
        <v>45</v>
      </c>
      <c r="B77" t="s">
        <v>43</v>
      </c>
      <c r="C77" t="s">
        <v>44</v>
      </c>
      <c r="D77" t="s">
        <v>31</v>
      </c>
      <c r="E77" t="s">
        <v>32</v>
      </c>
      <c r="F77" t="s">
        <v>338</v>
      </c>
      <c r="G77" s="35">
        <v>294.10000000000002</v>
      </c>
      <c r="H77" s="35">
        <v>0</v>
      </c>
      <c r="I77" s="35">
        <v>0</v>
      </c>
      <c r="J77" s="35">
        <v>0</v>
      </c>
      <c r="K77" s="35">
        <v>0</v>
      </c>
    </row>
    <row r="78" spans="1:11">
      <c r="A78" t="s">
        <v>45</v>
      </c>
      <c r="B78" t="s">
        <v>43</v>
      </c>
      <c r="C78" t="s">
        <v>62</v>
      </c>
      <c r="D78" t="s">
        <v>31</v>
      </c>
      <c r="E78" t="s">
        <v>32</v>
      </c>
      <c r="F78" t="s">
        <v>63</v>
      </c>
      <c r="G78" s="35">
        <v>186</v>
      </c>
      <c r="H78" s="35">
        <v>10</v>
      </c>
      <c r="I78" s="35">
        <v>6</v>
      </c>
      <c r="J78" s="35">
        <v>7</v>
      </c>
      <c r="K78" s="35">
        <v>20</v>
      </c>
    </row>
    <row r="79" spans="1:11">
      <c r="A79" t="s">
        <v>45</v>
      </c>
      <c r="B79" t="s">
        <v>43</v>
      </c>
      <c r="C79" t="s">
        <v>240</v>
      </c>
      <c r="D79" t="s">
        <v>31</v>
      </c>
      <c r="E79" t="s">
        <v>65</v>
      </c>
      <c r="F79" t="s">
        <v>241</v>
      </c>
      <c r="G79" s="35"/>
      <c r="H79" s="35"/>
      <c r="I79" s="35"/>
      <c r="J79" s="35"/>
      <c r="K79" s="35"/>
    </row>
    <row r="80" spans="1:11">
      <c r="A80" t="s">
        <v>45</v>
      </c>
      <c r="B80" t="s">
        <v>43</v>
      </c>
      <c r="C80" t="s">
        <v>244</v>
      </c>
      <c r="D80" t="s">
        <v>31</v>
      </c>
      <c r="E80" t="s">
        <v>32</v>
      </c>
      <c r="F80" t="s">
        <v>245</v>
      </c>
      <c r="G80" s="35"/>
      <c r="H80" s="35"/>
      <c r="I80" s="35"/>
      <c r="J80" s="35"/>
      <c r="K80" s="35"/>
    </row>
    <row r="81" spans="1:11">
      <c r="A81" t="s">
        <v>45</v>
      </c>
      <c r="B81" t="s">
        <v>43</v>
      </c>
      <c r="C81" t="s">
        <v>247</v>
      </c>
      <c r="D81" t="s">
        <v>97</v>
      </c>
      <c r="E81" t="s">
        <v>32</v>
      </c>
      <c r="F81" t="s">
        <v>251</v>
      </c>
      <c r="G81" s="35">
        <v>442</v>
      </c>
      <c r="H81" s="35">
        <v>3.2</v>
      </c>
      <c r="I81" s="35">
        <v>0</v>
      </c>
      <c r="J81" s="35">
        <v>0</v>
      </c>
      <c r="K81" s="35">
        <v>0</v>
      </c>
    </row>
    <row r="82" spans="1:11">
      <c r="A82" t="s">
        <v>45</v>
      </c>
      <c r="B82" t="s">
        <v>43</v>
      </c>
      <c r="C82" t="s">
        <v>253</v>
      </c>
      <c r="D82" t="s">
        <v>97</v>
      </c>
      <c r="E82" t="s">
        <v>65</v>
      </c>
      <c r="F82" t="s">
        <v>255</v>
      </c>
      <c r="G82" s="35"/>
      <c r="H82" s="35"/>
      <c r="I82" s="35"/>
      <c r="J82" s="35"/>
      <c r="K82" s="35"/>
    </row>
    <row r="83" spans="1:11">
      <c r="A83" t="s">
        <v>45</v>
      </c>
      <c r="B83" t="s">
        <v>43</v>
      </c>
      <c r="C83" t="s">
        <v>253</v>
      </c>
      <c r="D83" t="s">
        <v>97</v>
      </c>
      <c r="E83" t="s">
        <v>65</v>
      </c>
      <c r="F83" t="s">
        <v>254</v>
      </c>
      <c r="G83" s="35"/>
      <c r="H83" s="35"/>
      <c r="I83" s="35"/>
      <c r="J83" s="35"/>
      <c r="K83" s="35"/>
    </row>
    <row r="84" spans="1:11">
      <c r="A84" t="s">
        <v>45</v>
      </c>
      <c r="B84" t="s">
        <v>73</v>
      </c>
      <c r="C84" t="s">
        <v>179</v>
      </c>
      <c r="D84" t="s">
        <v>31</v>
      </c>
      <c r="E84" t="s">
        <v>65</v>
      </c>
      <c r="F84" t="s">
        <v>229</v>
      </c>
      <c r="G84" s="35"/>
      <c r="H84" s="35"/>
      <c r="I84" s="35"/>
      <c r="J84" s="35"/>
      <c r="K84" s="35"/>
    </row>
    <row r="85" spans="1:11">
      <c r="A85" t="s">
        <v>45</v>
      </c>
      <c r="B85" t="s">
        <v>73</v>
      </c>
      <c r="C85" t="s">
        <v>179</v>
      </c>
      <c r="D85" t="s">
        <v>31</v>
      </c>
      <c r="E85" t="s">
        <v>32</v>
      </c>
      <c r="F85" s="25" t="s">
        <v>180</v>
      </c>
      <c r="G85" s="35"/>
      <c r="H85" s="35"/>
      <c r="I85" s="35"/>
      <c r="J85" s="35"/>
      <c r="K85" s="35"/>
    </row>
    <row r="86" spans="1:11">
      <c r="A86" t="s">
        <v>45</v>
      </c>
      <c r="B86" t="s">
        <v>73</v>
      </c>
      <c r="C86" t="s">
        <v>172</v>
      </c>
      <c r="D86" t="s">
        <v>31</v>
      </c>
      <c r="E86" t="s">
        <v>32</v>
      </c>
      <c r="F86" s="25" t="s">
        <v>215</v>
      </c>
      <c r="G86" s="35"/>
      <c r="H86" s="35"/>
      <c r="I86" s="35"/>
      <c r="J86" s="35"/>
      <c r="K86" s="35"/>
    </row>
    <row r="87" spans="1:11">
      <c r="A87" t="s">
        <v>45</v>
      </c>
      <c r="B87" t="s">
        <v>73</v>
      </c>
      <c r="C87" t="s">
        <v>172</v>
      </c>
      <c r="D87" t="s">
        <v>31</v>
      </c>
      <c r="E87" t="s">
        <v>32</v>
      </c>
      <c r="F87" t="s">
        <v>173</v>
      </c>
      <c r="G87" s="35"/>
      <c r="H87" s="35"/>
      <c r="I87" s="35"/>
      <c r="J87" s="35"/>
      <c r="K87" s="35"/>
    </row>
    <row r="88" spans="1:11">
      <c r="A88" t="s">
        <v>45</v>
      </c>
      <c r="B88" t="s">
        <v>73</v>
      </c>
      <c r="C88" t="s">
        <v>172</v>
      </c>
      <c r="D88" t="s">
        <v>31</v>
      </c>
      <c r="E88" t="s">
        <v>32</v>
      </c>
      <c r="F88" t="s">
        <v>214</v>
      </c>
      <c r="G88" s="35"/>
      <c r="H88" s="35"/>
      <c r="I88" s="35"/>
      <c r="J88" s="35"/>
      <c r="K88" s="35"/>
    </row>
    <row r="89" spans="1:11">
      <c r="A89" t="s">
        <v>45</v>
      </c>
      <c r="B89" t="s">
        <v>73</v>
      </c>
      <c r="C89" t="s">
        <v>168</v>
      </c>
      <c r="D89" t="s">
        <v>31</v>
      </c>
      <c r="E89" t="s">
        <v>65</v>
      </c>
      <c r="F89" s="25" t="s">
        <v>170</v>
      </c>
      <c r="G89" s="35"/>
      <c r="H89" s="35"/>
      <c r="I89" s="35"/>
      <c r="J89" s="35"/>
      <c r="K89" s="35"/>
    </row>
    <row r="90" spans="1:11">
      <c r="A90" t="s">
        <v>45</v>
      </c>
      <c r="B90" t="s">
        <v>73</v>
      </c>
      <c r="C90" t="s">
        <v>104</v>
      </c>
      <c r="D90" t="s">
        <v>97</v>
      </c>
      <c r="E90" t="s">
        <v>32</v>
      </c>
      <c r="F90" t="s">
        <v>105</v>
      </c>
      <c r="G90" s="35"/>
      <c r="H90" s="35"/>
      <c r="I90" s="35"/>
      <c r="J90" s="35"/>
      <c r="K90" s="35"/>
    </row>
    <row r="91" spans="1:11">
      <c r="A91" t="s">
        <v>45</v>
      </c>
      <c r="B91" t="s">
        <v>73</v>
      </c>
      <c r="C91" t="s">
        <v>108</v>
      </c>
      <c r="D91" t="s">
        <v>31</v>
      </c>
      <c r="E91" t="s">
        <v>32</v>
      </c>
      <c r="F91" s="25" t="s">
        <v>178</v>
      </c>
      <c r="G91" s="35"/>
      <c r="H91" s="35"/>
      <c r="I91" s="35"/>
      <c r="J91" s="35"/>
      <c r="K91" s="35"/>
    </row>
    <row r="92" spans="1:11">
      <c r="A92" t="s">
        <v>45</v>
      </c>
      <c r="B92" t="s">
        <v>73</v>
      </c>
      <c r="C92" t="s">
        <v>108</v>
      </c>
      <c r="D92" t="s">
        <v>97</v>
      </c>
      <c r="E92" t="s">
        <v>32</v>
      </c>
      <c r="F92" s="25" t="s">
        <v>110</v>
      </c>
      <c r="G92" s="35">
        <v>14</v>
      </c>
      <c r="H92" s="35"/>
      <c r="I92" s="35"/>
      <c r="J92" s="35"/>
      <c r="K92" s="35"/>
    </row>
    <row r="93" spans="1:11" ht="28.9">
      <c r="A93" t="s">
        <v>45</v>
      </c>
      <c r="B93" t="s">
        <v>73</v>
      </c>
      <c r="C93" t="s">
        <v>82</v>
      </c>
      <c r="D93" t="s">
        <v>84</v>
      </c>
      <c r="E93" t="s">
        <v>32</v>
      </c>
      <c r="F93" s="25" t="s">
        <v>85</v>
      </c>
      <c r="G93" s="35"/>
      <c r="H93" s="35"/>
      <c r="I93" s="35"/>
      <c r="J93" s="35"/>
      <c r="K93" s="35"/>
    </row>
    <row r="94" spans="1:11">
      <c r="A94" t="s">
        <v>45</v>
      </c>
      <c r="B94" t="s">
        <v>73</v>
      </c>
      <c r="C94" t="s">
        <v>219</v>
      </c>
      <c r="D94" t="s">
        <v>97</v>
      </c>
      <c r="E94" t="s">
        <v>65</v>
      </c>
      <c r="F94" t="s">
        <v>231</v>
      </c>
      <c r="G94" s="35"/>
      <c r="H94" s="35"/>
      <c r="I94" s="35"/>
      <c r="J94" s="35"/>
      <c r="K94" s="35"/>
    </row>
    <row r="95" spans="1:11">
      <c r="A95" t="s">
        <v>45</v>
      </c>
      <c r="B95" t="s">
        <v>73</v>
      </c>
      <c r="C95" t="s">
        <v>256</v>
      </c>
      <c r="D95" t="s">
        <v>31</v>
      </c>
      <c r="E95" t="s">
        <v>65</v>
      </c>
      <c r="F95" t="s">
        <v>258</v>
      </c>
      <c r="G95" s="35"/>
      <c r="H95" s="35"/>
      <c r="I95" s="35"/>
      <c r="J95" s="35"/>
      <c r="K95" s="35"/>
    </row>
    <row r="96" spans="1:11">
      <c r="A96" t="s">
        <v>45</v>
      </c>
      <c r="B96" t="s">
        <v>73</v>
      </c>
      <c r="C96" t="s">
        <v>266</v>
      </c>
      <c r="D96" t="s">
        <v>31</v>
      </c>
      <c r="E96" t="s">
        <v>32</v>
      </c>
      <c r="F96" t="s">
        <v>267</v>
      </c>
      <c r="G96" s="35"/>
      <c r="H96" s="35"/>
      <c r="I96" s="35"/>
      <c r="J96" s="35"/>
      <c r="K96" s="35"/>
    </row>
    <row r="97" spans="1:11">
      <c r="A97" t="s">
        <v>45</v>
      </c>
      <c r="B97" t="s">
        <v>73</v>
      </c>
      <c r="C97" t="s">
        <v>266</v>
      </c>
      <c r="D97" t="s">
        <v>97</v>
      </c>
      <c r="E97" t="s">
        <v>32</v>
      </c>
      <c r="F97" t="s">
        <v>268</v>
      </c>
      <c r="G97" s="35"/>
      <c r="H97" s="35"/>
      <c r="I97" s="35"/>
      <c r="J97" s="35"/>
      <c r="K97" s="35"/>
    </row>
    <row r="98" spans="1:11">
      <c r="A98" t="s">
        <v>45</v>
      </c>
      <c r="B98" t="s">
        <v>135</v>
      </c>
      <c r="C98" t="s">
        <v>188</v>
      </c>
      <c r="D98" t="s">
        <v>84</v>
      </c>
      <c r="E98" t="s">
        <v>65</v>
      </c>
      <c r="F98" t="s">
        <v>213</v>
      </c>
      <c r="G98" s="35">
        <v>19.3</v>
      </c>
      <c r="H98" s="35">
        <v>5.3</v>
      </c>
      <c r="I98" s="35">
        <v>3.6</v>
      </c>
      <c r="J98" s="35">
        <v>2</v>
      </c>
      <c r="K98" s="35">
        <v>1.3</v>
      </c>
    </row>
    <row r="99" spans="1:11">
      <c r="A99" t="s">
        <v>45</v>
      </c>
      <c r="B99" t="s">
        <v>135</v>
      </c>
      <c r="C99" t="s">
        <v>188</v>
      </c>
      <c r="D99" t="s">
        <v>337</v>
      </c>
      <c r="E99" t="s">
        <v>337</v>
      </c>
      <c r="F99" t="s">
        <v>337</v>
      </c>
      <c r="G99" s="35"/>
      <c r="H99" s="35"/>
      <c r="I99" s="35"/>
      <c r="J99" s="35"/>
      <c r="K99" s="35"/>
    </row>
    <row r="100" spans="1:11">
      <c r="A100" t="s">
        <v>45</v>
      </c>
      <c r="B100" t="s">
        <v>135</v>
      </c>
      <c r="C100" t="s">
        <v>186</v>
      </c>
      <c r="D100" t="s">
        <v>97</v>
      </c>
      <c r="E100" t="s">
        <v>32</v>
      </c>
      <c r="F100" t="s">
        <v>187</v>
      </c>
      <c r="G100" s="35">
        <v>30</v>
      </c>
      <c r="H100" s="35">
        <v>12</v>
      </c>
      <c r="I100" s="35"/>
      <c r="J100" s="35"/>
      <c r="K100" s="35"/>
    </row>
    <row r="101" spans="1:11">
      <c r="A101" t="s">
        <v>45</v>
      </c>
      <c r="B101" t="s">
        <v>135</v>
      </c>
      <c r="C101" t="s">
        <v>181</v>
      </c>
      <c r="D101" t="s">
        <v>97</v>
      </c>
      <c r="E101" t="s">
        <v>32</v>
      </c>
      <c r="F101" t="s">
        <v>339</v>
      </c>
      <c r="G101" s="35">
        <v>23</v>
      </c>
      <c r="H101" s="35">
        <v>9</v>
      </c>
      <c r="I101" s="35">
        <v>4</v>
      </c>
      <c r="J101" s="35">
        <v>3</v>
      </c>
      <c r="K101" s="35">
        <v>4</v>
      </c>
    </row>
    <row r="102" spans="1:11">
      <c r="A102" t="s">
        <v>45</v>
      </c>
      <c r="B102" t="s">
        <v>135</v>
      </c>
      <c r="C102" t="s">
        <v>136</v>
      </c>
      <c r="D102" t="s">
        <v>84</v>
      </c>
      <c r="E102" t="s">
        <v>65</v>
      </c>
      <c r="F102" t="s">
        <v>263</v>
      </c>
      <c r="G102" s="35"/>
      <c r="H102" s="35"/>
      <c r="I102" s="35"/>
      <c r="J102" s="35"/>
      <c r="K102" s="35"/>
    </row>
    <row r="103" spans="1:11">
      <c r="A103" t="s">
        <v>45</v>
      </c>
      <c r="B103" t="s">
        <v>135</v>
      </c>
      <c r="C103" t="s">
        <v>259</v>
      </c>
      <c r="D103" t="s">
        <v>31</v>
      </c>
      <c r="E103" t="s">
        <v>65</v>
      </c>
      <c r="F103" t="s">
        <v>262</v>
      </c>
      <c r="G103" s="35"/>
      <c r="H103" s="35"/>
      <c r="I103" s="35"/>
      <c r="J103" s="35"/>
      <c r="K103" s="35"/>
    </row>
    <row r="104" spans="1:11">
      <c r="A104" t="s">
        <v>45</v>
      </c>
      <c r="B104" t="s">
        <v>135</v>
      </c>
      <c r="C104" t="s">
        <v>259</v>
      </c>
      <c r="D104" t="s">
        <v>97</v>
      </c>
      <c r="E104" t="s">
        <v>32</v>
      </c>
      <c r="F104" t="s">
        <v>260</v>
      </c>
      <c r="G104" s="35"/>
      <c r="H104" s="35"/>
      <c r="I104" s="35"/>
      <c r="J104" s="35"/>
      <c r="K104" s="35"/>
    </row>
    <row r="105" spans="1:11">
      <c r="A105" t="s">
        <v>45</v>
      </c>
      <c r="B105" t="s">
        <v>135</v>
      </c>
      <c r="C105" t="s">
        <v>264</v>
      </c>
      <c r="D105" t="s">
        <v>84</v>
      </c>
      <c r="E105" t="s">
        <v>32</v>
      </c>
      <c r="F105" t="s">
        <v>337</v>
      </c>
      <c r="G105" s="35"/>
      <c r="H105" s="35"/>
      <c r="I105" s="35"/>
      <c r="J105" s="35"/>
      <c r="K105" s="35"/>
    </row>
    <row r="106" spans="1:11">
      <c r="A106" t="s">
        <v>45</v>
      </c>
      <c r="B106" t="s">
        <v>50</v>
      </c>
      <c r="C106" t="s">
        <v>133</v>
      </c>
      <c r="D106" t="s">
        <v>31</v>
      </c>
      <c r="E106" t="s">
        <v>65</v>
      </c>
      <c r="F106" t="s">
        <v>134</v>
      </c>
      <c r="G106" s="35"/>
      <c r="H106" s="35"/>
      <c r="I106" s="35"/>
      <c r="J106" s="35"/>
      <c r="K106" s="35"/>
    </row>
    <row r="107" spans="1:11">
      <c r="A107" t="s">
        <v>45</v>
      </c>
      <c r="B107" t="s">
        <v>50</v>
      </c>
      <c r="C107" t="s">
        <v>51</v>
      </c>
      <c r="D107" t="s">
        <v>31</v>
      </c>
      <c r="E107" t="s">
        <v>32</v>
      </c>
      <c r="F107" t="s">
        <v>53</v>
      </c>
      <c r="G107" s="35">
        <v>193</v>
      </c>
      <c r="H107" s="35">
        <v>0</v>
      </c>
      <c r="I107" s="35">
        <v>0</v>
      </c>
      <c r="J107" s="35"/>
      <c r="K107" s="35"/>
    </row>
    <row r="108" spans="1:11">
      <c r="A108" t="s">
        <v>45</v>
      </c>
      <c r="B108" t="s">
        <v>50</v>
      </c>
      <c r="C108" t="s">
        <v>51</v>
      </c>
      <c r="D108" t="s">
        <v>97</v>
      </c>
      <c r="E108" t="s">
        <v>65</v>
      </c>
      <c r="F108" t="s">
        <v>99</v>
      </c>
      <c r="G108" s="35">
        <v>33</v>
      </c>
      <c r="H108" s="35">
        <v>0</v>
      </c>
      <c r="I108" s="35">
        <v>0</v>
      </c>
      <c r="J108" s="35"/>
      <c r="K108" s="35"/>
    </row>
    <row r="109" spans="1:11">
      <c r="A109" t="s">
        <v>45</v>
      </c>
      <c r="B109" t="s">
        <v>50</v>
      </c>
      <c r="C109" t="s">
        <v>91</v>
      </c>
      <c r="D109" t="s">
        <v>31</v>
      </c>
      <c r="E109" t="s">
        <v>32</v>
      </c>
      <c r="F109" s="25" t="s">
        <v>93</v>
      </c>
      <c r="G109" s="35"/>
      <c r="H109" s="35">
        <v>15</v>
      </c>
      <c r="I109" s="35">
        <v>39</v>
      </c>
      <c r="J109" s="35">
        <v>16</v>
      </c>
      <c r="K109" s="35">
        <v>16</v>
      </c>
    </row>
    <row r="110" spans="1:11">
      <c r="A110" t="s">
        <v>45</v>
      </c>
      <c r="B110" t="s">
        <v>50</v>
      </c>
      <c r="C110" t="s">
        <v>102</v>
      </c>
      <c r="D110" t="s">
        <v>31</v>
      </c>
      <c r="E110" t="s">
        <v>65</v>
      </c>
      <c r="F110" t="s">
        <v>132</v>
      </c>
      <c r="G110" s="35"/>
      <c r="H110" s="35">
        <v>0</v>
      </c>
      <c r="I110" s="35"/>
      <c r="J110" s="35"/>
      <c r="K110" s="35"/>
    </row>
    <row r="111" spans="1:11">
      <c r="A111" t="s">
        <v>45</v>
      </c>
      <c r="B111" t="s">
        <v>50</v>
      </c>
      <c r="C111" t="s">
        <v>102</v>
      </c>
      <c r="D111" t="s">
        <v>97</v>
      </c>
      <c r="E111" t="s">
        <v>65</v>
      </c>
      <c r="F111" t="s">
        <v>161</v>
      </c>
      <c r="G111" s="35">
        <v>0</v>
      </c>
      <c r="H111" s="35">
        <v>0</v>
      </c>
      <c r="I111" s="35"/>
      <c r="J111" s="35"/>
      <c r="K111" s="35"/>
    </row>
    <row r="112" spans="1:11">
      <c r="A112" t="s">
        <v>45</v>
      </c>
      <c r="B112" t="s">
        <v>50</v>
      </c>
      <c r="C112" t="s">
        <v>102</v>
      </c>
      <c r="D112" t="s">
        <v>97</v>
      </c>
      <c r="E112" t="s">
        <v>32</v>
      </c>
      <c r="F112" t="s">
        <v>103</v>
      </c>
      <c r="G112" s="35"/>
      <c r="H112" s="35">
        <v>0</v>
      </c>
      <c r="I112" s="35"/>
      <c r="J112" s="35"/>
      <c r="K112" s="35"/>
    </row>
    <row r="113" spans="1:11">
      <c r="A113" t="s">
        <v>45</v>
      </c>
      <c r="B113" t="s">
        <v>50</v>
      </c>
      <c r="C113" t="s">
        <v>271</v>
      </c>
      <c r="D113" t="s">
        <v>97</v>
      </c>
      <c r="E113" t="s">
        <v>65</v>
      </c>
      <c r="F113" t="s">
        <v>272</v>
      </c>
      <c r="G113" s="35"/>
      <c r="H113" s="35"/>
      <c r="I113" s="35"/>
      <c r="J113" s="35"/>
      <c r="K113" s="35"/>
    </row>
    <row r="114" spans="1:11">
      <c r="A114" t="s">
        <v>75</v>
      </c>
      <c r="B114" t="s">
        <v>43</v>
      </c>
      <c r="C114" t="s">
        <v>240</v>
      </c>
      <c r="D114" t="s">
        <v>31</v>
      </c>
      <c r="E114" t="s">
        <v>65</v>
      </c>
      <c r="F114" t="s">
        <v>242</v>
      </c>
      <c r="G114" s="35"/>
      <c r="H114" s="35"/>
      <c r="I114" s="35"/>
      <c r="J114" s="35"/>
      <c r="K114" s="35"/>
    </row>
    <row r="115" spans="1:11">
      <c r="A115" t="s">
        <v>75</v>
      </c>
      <c r="B115" t="s">
        <v>43</v>
      </c>
      <c r="C115" t="s">
        <v>247</v>
      </c>
      <c r="D115" t="s">
        <v>84</v>
      </c>
      <c r="E115" t="s">
        <v>65</v>
      </c>
      <c r="F115" t="s">
        <v>250</v>
      </c>
      <c r="G115" s="35"/>
      <c r="H115" s="35"/>
      <c r="I115" s="35"/>
      <c r="J115" s="35"/>
      <c r="K115" s="35"/>
    </row>
    <row r="116" spans="1:11">
      <c r="A116" t="s">
        <v>75</v>
      </c>
      <c r="B116" t="s">
        <v>43</v>
      </c>
      <c r="C116" t="s">
        <v>247</v>
      </c>
      <c r="D116" t="s">
        <v>84</v>
      </c>
      <c r="E116" t="s">
        <v>32</v>
      </c>
      <c r="F116" t="s">
        <v>249</v>
      </c>
      <c r="G116" s="35">
        <v>7</v>
      </c>
      <c r="H116" s="35"/>
      <c r="I116" s="35"/>
      <c r="J116" s="35"/>
      <c r="K116" s="35"/>
    </row>
    <row r="117" spans="1:11">
      <c r="A117" t="s">
        <v>75</v>
      </c>
      <c r="B117" t="s">
        <v>73</v>
      </c>
      <c r="C117" t="s">
        <v>74</v>
      </c>
      <c r="D117" t="s">
        <v>31</v>
      </c>
      <c r="E117" t="s">
        <v>65</v>
      </c>
      <c r="F117" s="25" t="s">
        <v>225</v>
      </c>
      <c r="G117" s="35"/>
      <c r="H117" s="35"/>
      <c r="I117" s="35"/>
      <c r="J117" s="35"/>
      <c r="K117" s="35"/>
    </row>
    <row r="118" spans="1:11">
      <c r="A118" t="s">
        <v>75</v>
      </c>
      <c r="B118" t="s">
        <v>73</v>
      </c>
      <c r="C118" t="s">
        <v>74</v>
      </c>
      <c r="D118" t="s">
        <v>31</v>
      </c>
      <c r="E118" t="s">
        <v>32</v>
      </c>
      <c r="F118" s="25" t="s">
        <v>77</v>
      </c>
      <c r="G118" s="35">
        <v>330</v>
      </c>
      <c r="H118" s="35"/>
      <c r="I118" s="35"/>
      <c r="J118" s="35"/>
      <c r="K118" s="35"/>
    </row>
    <row r="119" spans="1:11">
      <c r="A119" t="s">
        <v>75</v>
      </c>
      <c r="B119" t="s">
        <v>73</v>
      </c>
      <c r="C119" t="s">
        <v>74</v>
      </c>
      <c r="D119" t="s">
        <v>97</v>
      </c>
      <c r="E119" t="s">
        <v>32</v>
      </c>
      <c r="F119" s="25" t="s">
        <v>216</v>
      </c>
      <c r="G119" s="35"/>
      <c r="H119" s="35"/>
      <c r="I119" s="35"/>
      <c r="J119" s="35"/>
      <c r="K119" s="35"/>
    </row>
    <row r="120" spans="1:11">
      <c r="A120" t="s">
        <v>75</v>
      </c>
      <c r="B120" t="s">
        <v>73</v>
      </c>
      <c r="C120" t="s">
        <v>155</v>
      </c>
      <c r="D120" t="s">
        <v>31</v>
      </c>
      <c r="E120" t="s">
        <v>65</v>
      </c>
      <c r="F120" s="25" t="s">
        <v>227</v>
      </c>
      <c r="G120" s="35"/>
      <c r="H120" s="35"/>
      <c r="I120" s="35"/>
      <c r="J120" s="35"/>
      <c r="K120" s="35"/>
    </row>
    <row r="121" spans="1:11">
      <c r="A121" t="s">
        <v>75</v>
      </c>
      <c r="B121" t="s">
        <v>73</v>
      </c>
      <c r="C121" t="s">
        <v>235</v>
      </c>
      <c r="D121" t="s">
        <v>31</v>
      </c>
      <c r="E121" t="s">
        <v>65</v>
      </c>
      <c r="F121" t="s">
        <v>265</v>
      </c>
      <c r="G121" s="35"/>
      <c r="H121" s="35"/>
      <c r="I121" s="35"/>
      <c r="J121" s="35"/>
      <c r="K121" s="35"/>
    </row>
    <row r="122" spans="1:11">
      <c r="A122" t="s">
        <v>75</v>
      </c>
      <c r="B122" t="s">
        <v>50</v>
      </c>
      <c r="C122" t="s">
        <v>95</v>
      </c>
      <c r="D122" t="s">
        <v>97</v>
      </c>
      <c r="E122" t="s">
        <v>32</v>
      </c>
      <c r="F122" s="25" t="s">
        <v>98</v>
      </c>
      <c r="G122" s="35">
        <v>2.3188405797101455</v>
      </c>
      <c r="H122" s="35">
        <v>2.3199999999999998</v>
      </c>
      <c r="I122" s="35"/>
      <c r="J122" s="35"/>
      <c r="K122" s="35"/>
    </row>
    <row r="123" spans="1:11">
      <c r="A123" t="s">
        <v>75</v>
      </c>
      <c r="B123" t="s">
        <v>50</v>
      </c>
      <c r="C123" t="s">
        <v>91</v>
      </c>
      <c r="D123" t="s">
        <v>31</v>
      </c>
      <c r="E123" t="s">
        <v>65</v>
      </c>
      <c r="F123" s="25" t="s">
        <v>101</v>
      </c>
      <c r="G123" s="35"/>
      <c r="H123" s="35"/>
      <c r="I123" s="35"/>
      <c r="J123" s="35"/>
      <c r="K123" s="35"/>
    </row>
    <row r="124" spans="1:11">
      <c r="A124" t="s">
        <v>337</v>
      </c>
      <c r="B124" t="s">
        <v>50</v>
      </c>
      <c r="C124" t="s">
        <v>274</v>
      </c>
      <c r="D124" t="s">
        <v>337</v>
      </c>
      <c r="E124" t="s">
        <v>337</v>
      </c>
      <c r="F124" t="s">
        <v>337</v>
      </c>
      <c r="G124" s="35"/>
      <c r="H124" s="35"/>
      <c r="I124" s="35"/>
      <c r="J124" s="35"/>
      <c r="K124" s="35"/>
    </row>
    <row r="125" spans="1:11">
      <c r="A125" t="s">
        <v>337</v>
      </c>
      <c r="B125" t="s">
        <v>337</v>
      </c>
      <c r="C125" t="s">
        <v>337</v>
      </c>
      <c r="D125" t="s">
        <v>337</v>
      </c>
      <c r="E125" t="s">
        <v>337</v>
      </c>
      <c r="F125" s="122" t="s">
        <v>337</v>
      </c>
      <c r="G125" s="35"/>
      <c r="H125" s="35"/>
      <c r="I125" s="35"/>
      <c r="J125" s="35"/>
      <c r="K125" s="35"/>
    </row>
    <row r="126" spans="1:11">
      <c r="A126" s="33" t="s">
        <v>340</v>
      </c>
      <c r="B126" s="33"/>
      <c r="C126" s="33"/>
      <c r="D126" s="33"/>
      <c r="E126" s="33"/>
      <c r="F126" s="33"/>
      <c r="G126" s="36">
        <v>3096.2138133333333</v>
      </c>
      <c r="H126" s="36">
        <v>391.034696</v>
      </c>
      <c r="I126" s="36">
        <v>102.18669600000001</v>
      </c>
      <c r="J126" s="36">
        <v>52.77</v>
      </c>
      <c r="K126" s="36">
        <v>66.5</v>
      </c>
    </row>
    <row r="127" spans="1:11">
      <c r="D127"/>
      <c r="E127" s="25"/>
      <c r="F127"/>
    </row>
    <row r="128" spans="1:11">
      <c r="D128"/>
      <c r="E128" s="25"/>
      <c r="F128"/>
    </row>
    <row r="129" spans="4:6">
      <c r="D129"/>
      <c r="E129" s="25"/>
      <c r="F129"/>
    </row>
    <row r="130" spans="4:6">
      <c r="D130"/>
      <c r="E130" s="25"/>
      <c r="F130"/>
    </row>
    <row r="131" spans="4:6">
      <c r="D131"/>
      <c r="E131" s="25"/>
      <c r="F131"/>
    </row>
    <row r="132" spans="4:6">
      <c r="D132"/>
      <c r="E132" s="25"/>
      <c r="F132"/>
    </row>
    <row r="133" spans="4:6">
      <c r="D133"/>
      <c r="E133" s="25"/>
      <c r="F133"/>
    </row>
    <row r="134" spans="4:6">
      <c r="D134"/>
      <c r="E134" s="25"/>
      <c r="F134"/>
    </row>
    <row r="135" spans="4:6">
      <c r="D135"/>
      <c r="E135" s="25"/>
      <c r="F135"/>
    </row>
    <row r="136" spans="4:6">
      <c r="D136"/>
      <c r="E136" s="25"/>
      <c r="F136"/>
    </row>
    <row r="137" spans="4:6">
      <c r="D137"/>
      <c r="E137" s="25"/>
      <c r="F137"/>
    </row>
    <row r="138" spans="4:6">
      <c r="D138"/>
      <c r="E138" s="25"/>
      <c r="F138"/>
    </row>
    <row r="139" spans="4:6">
      <c r="D139"/>
      <c r="E139" s="25"/>
      <c r="F139"/>
    </row>
    <row r="140" spans="4:6">
      <c r="D140"/>
      <c r="E140" s="25"/>
      <c r="F140"/>
    </row>
    <row r="141" spans="4:6">
      <c r="D141"/>
      <c r="E141" s="25"/>
      <c r="F141"/>
    </row>
    <row r="142" spans="4:6">
      <c r="D142"/>
      <c r="E142" s="25"/>
      <c r="F142"/>
    </row>
    <row r="143" spans="4:6">
      <c r="D143"/>
      <c r="E143" s="25"/>
      <c r="F143"/>
    </row>
    <row r="144" spans="4:6">
      <c r="D144"/>
      <c r="E144" s="25"/>
      <c r="F144"/>
    </row>
    <row r="145" spans="4:6">
      <c r="D145"/>
      <c r="E145" s="25"/>
      <c r="F145"/>
    </row>
    <row r="146" spans="4:6">
      <c r="D146"/>
      <c r="E146" s="25"/>
      <c r="F146"/>
    </row>
    <row r="147" spans="4:6">
      <c r="D147"/>
      <c r="E147" s="25"/>
      <c r="F147"/>
    </row>
    <row r="148" spans="4:6">
      <c r="D148"/>
      <c r="E148" s="25"/>
      <c r="F148"/>
    </row>
    <row r="149" spans="4:6">
      <c r="D149"/>
      <c r="E149" s="25"/>
      <c r="F149"/>
    </row>
    <row r="150" spans="4:6">
      <c r="D150"/>
      <c r="E150" s="25"/>
      <c r="F150"/>
    </row>
    <row r="151" spans="4:6">
      <c r="D151"/>
      <c r="E151" s="25"/>
      <c r="F151"/>
    </row>
    <row r="152" spans="4:6">
      <c r="D152"/>
      <c r="E152" s="25"/>
      <c r="F152"/>
    </row>
    <row r="153" spans="4:6">
      <c r="D153"/>
      <c r="E153" s="25"/>
      <c r="F153"/>
    </row>
    <row r="154" spans="4:6">
      <c r="D154"/>
      <c r="E154" s="25"/>
      <c r="F154"/>
    </row>
    <row r="155" spans="4:6">
      <c r="D155"/>
      <c r="E155" s="25"/>
      <c r="F155"/>
    </row>
    <row r="156" spans="4:6">
      <c r="D156"/>
      <c r="E156" s="25"/>
      <c r="F156"/>
    </row>
    <row r="157" spans="4:6">
      <c r="D157"/>
      <c r="E157" s="25"/>
      <c r="F157"/>
    </row>
    <row r="158" spans="4:6">
      <c r="D158"/>
      <c r="E158" s="25"/>
      <c r="F158"/>
    </row>
    <row r="159" spans="4:6">
      <c r="D159"/>
      <c r="E159" s="25"/>
      <c r="F159"/>
    </row>
    <row r="160" spans="4:6">
      <c r="D160"/>
      <c r="E160" s="25"/>
      <c r="F160"/>
    </row>
    <row r="161" spans="4:6">
      <c r="D161"/>
      <c r="E161" s="25"/>
      <c r="F161"/>
    </row>
    <row r="162" spans="4:6">
      <c r="D162"/>
      <c r="E162" s="25"/>
      <c r="F162"/>
    </row>
    <row r="163" spans="4:6">
      <c r="D163"/>
      <c r="E163" s="25"/>
      <c r="F163"/>
    </row>
    <row r="164" spans="4:6">
      <c r="D164"/>
      <c r="E164" s="25"/>
      <c r="F164"/>
    </row>
    <row r="165" spans="4:6">
      <c r="D165"/>
      <c r="E165" s="25"/>
      <c r="F165"/>
    </row>
    <row r="166" spans="4:6">
      <c r="D166"/>
      <c r="E166" s="25"/>
      <c r="F166"/>
    </row>
    <row r="167" spans="4:6">
      <c r="D167"/>
      <c r="E167" s="25"/>
      <c r="F167"/>
    </row>
    <row r="168" spans="4:6">
      <c r="D168"/>
      <c r="E168" s="25"/>
      <c r="F168"/>
    </row>
    <row r="169" spans="4:6">
      <c r="D169"/>
      <c r="E169" s="25"/>
      <c r="F169"/>
    </row>
    <row r="170" spans="4:6">
      <c r="D170"/>
      <c r="E170" s="25"/>
      <c r="F170"/>
    </row>
    <row r="171" spans="4:6">
      <c r="D171"/>
      <c r="E171" s="25"/>
      <c r="F171"/>
    </row>
    <row r="172" spans="4:6">
      <c r="D172"/>
      <c r="E172" s="25"/>
      <c r="F172"/>
    </row>
    <row r="173" spans="4:6">
      <c r="D173"/>
      <c r="E173" s="25"/>
      <c r="F173"/>
    </row>
    <row r="174" spans="4:6">
      <c r="D174"/>
      <c r="E174" s="25"/>
      <c r="F174"/>
    </row>
    <row r="175" spans="4:6">
      <c r="D175"/>
      <c r="E175" s="25"/>
      <c r="F175"/>
    </row>
    <row r="176" spans="4:6">
      <c r="D176"/>
      <c r="E176" s="25"/>
      <c r="F176"/>
    </row>
    <row r="177" spans="4:6">
      <c r="D177"/>
      <c r="E177" s="25"/>
      <c r="F177"/>
    </row>
    <row r="178" spans="4:6">
      <c r="D178"/>
      <c r="E178" s="25"/>
      <c r="F178"/>
    </row>
    <row r="179" spans="4:6">
      <c r="D179"/>
      <c r="E179" s="25"/>
      <c r="F179"/>
    </row>
    <row r="180" spans="4:6">
      <c r="D180"/>
      <c r="E180" s="25"/>
      <c r="F180"/>
    </row>
    <row r="181" spans="4:6">
      <c r="D181"/>
      <c r="E181" s="25"/>
      <c r="F181"/>
    </row>
    <row r="182" spans="4:6">
      <c r="D182"/>
      <c r="E182" s="25"/>
      <c r="F182"/>
    </row>
    <row r="183" spans="4:6">
      <c r="D183"/>
      <c r="E183" s="25"/>
      <c r="F183"/>
    </row>
    <row r="184" spans="4:6">
      <c r="D184"/>
      <c r="E184" s="25"/>
      <c r="F184"/>
    </row>
    <row r="185" spans="4:6">
      <c r="D185"/>
      <c r="E185" s="25"/>
      <c r="F185"/>
    </row>
    <row r="186" spans="4:6">
      <c r="D186"/>
      <c r="E186" s="25"/>
      <c r="F186"/>
    </row>
    <row r="187" spans="4:6">
      <c r="D187"/>
      <c r="E187" s="25"/>
      <c r="F187"/>
    </row>
    <row r="188" spans="4:6">
      <c r="D188"/>
      <c r="E188" s="25"/>
      <c r="F188"/>
    </row>
    <row r="189" spans="4:6">
      <c r="D189"/>
      <c r="E189" s="25"/>
      <c r="F189"/>
    </row>
    <row r="190" spans="4:6">
      <c r="D190"/>
      <c r="E190" s="25"/>
      <c r="F190"/>
    </row>
    <row r="191" spans="4:6">
      <c r="D191"/>
      <c r="E191" s="25"/>
      <c r="F191"/>
    </row>
    <row r="192" spans="4:6">
      <c r="D192"/>
      <c r="E192" s="25"/>
      <c r="F192"/>
    </row>
    <row r="193" spans="4:6">
      <c r="D193"/>
      <c r="E193" s="25"/>
      <c r="F193"/>
    </row>
    <row r="194" spans="4:6">
      <c r="D194"/>
      <c r="E194" s="25"/>
      <c r="F194"/>
    </row>
    <row r="195" spans="4:6">
      <c r="D195"/>
      <c r="E195" s="25"/>
      <c r="F195"/>
    </row>
    <row r="196" spans="4:6">
      <c r="D196"/>
      <c r="E196" s="25"/>
      <c r="F196"/>
    </row>
    <row r="197" spans="4:6">
      <c r="D197"/>
      <c r="E197" s="25"/>
      <c r="F197"/>
    </row>
    <row r="198" spans="4:6">
      <c r="D198"/>
      <c r="E198" s="25"/>
      <c r="F198"/>
    </row>
    <row r="199" spans="4:6">
      <c r="D199"/>
      <c r="E199" s="25"/>
      <c r="F199"/>
    </row>
    <row r="200" spans="4:6">
      <c r="D200"/>
      <c r="E200" s="25"/>
      <c r="F200"/>
    </row>
    <row r="201" spans="4:6">
      <c r="D201"/>
      <c r="E201" s="25"/>
      <c r="F201"/>
    </row>
    <row r="202" spans="4:6">
      <c r="D202"/>
      <c r="E202" s="25"/>
      <c r="F202"/>
    </row>
    <row r="203" spans="4:6">
      <c r="D203"/>
      <c r="E203" s="25"/>
      <c r="F203"/>
    </row>
    <row r="204" spans="4:6">
      <c r="D204"/>
      <c r="E204" s="25"/>
      <c r="F204"/>
    </row>
    <row r="205" spans="4:6">
      <c r="D205"/>
      <c r="E205" s="25"/>
      <c r="F205"/>
    </row>
    <row r="206" spans="4:6">
      <c r="D206"/>
      <c r="E206" s="25"/>
      <c r="F206"/>
    </row>
    <row r="207" spans="4:6">
      <c r="D207"/>
      <c r="E207" s="25"/>
      <c r="F207"/>
    </row>
    <row r="208" spans="4:6">
      <c r="D208"/>
      <c r="E208" s="25"/>
      <c r="F208"/>
    </row>
    <row r="209" spans="4:6">
      <c r="D209"/>
      <c r="E209" s="25"/>
      <c r="F209"/>
    </row>
    <row r="210" spans="4:6">
      <c r="D210"/>
      <c r="E210" s="25"/>
      <c r="F210"/>
    </row>
    <row r="211" spans="4:6">
      <c r="D211"/>
      <c r="E211" s="25"/>
      <c r="F211"/>
    </row>
    <row r="212" spans="4:6">
      <c r="D212"/>
      <c r="E212" s="25"/>
      <c r="F212"/>
    </row>
    <row r="213" spans="4:6">
      <c r="D213"/>
      <c r="E213" s="25"/>
      <c r="F213"/>
    </row>
    <row r="214" spans="4:6">
      <c r="D214"/>
      <c r="E214" s="25"/>
      <c r="F214"/>
    </row>
    <row r="215" spans="4:6">
      <c r="D215"/>
      <c r="E215" s="25"/>
      <c r="F215"/>
    </row>
    <row r="216" spans="4:6">
      <c r="D216"/>
      <c r="E216" s="25"/>
      <c r="F216"/>
    </row>
    <row r="217" spans="4:6">
      <c r="D217"/>
      <c r="E217" s="25"/>
      <c r="F217"/>
    </row>
    <row r="218" spans="4:6">
      <c r="D218"/>
      <c r="E218" s="25"/>
      <c r="F218"/>
    </row>
    <row r="219" spans="4:6">
      <c r="D219"/>
      <c r="E219" s="25"/>
      <c r="F219"/>
    </row>
    <row r="220" spans="4:6">
      <c r="D220"/>
      <c r="E220" s="25"/>
      <c r="F220"/>
    </row>
    <row r="221" spans="4:6">
      <c r="D221"/>
      <c r="E221" s="25"/>
      <c r="F221"/>
    </row>
    <row r="222" spans="4:6">
      <c r="D222"/>
      <c r="E222" s="25"/>
      <c r="F222"/>
    </row>
    <row r="223" spans="4:6">
      <c r="D223"/>
      <c r="E223" s="25"/>
      <c r="F223"/>
    </row>
    <row r="224" spans="4:6">
      <c r="D224"/>
      <c r="E224" s="25"/>
      <c r="F224"/>
    </row>
    <row r="225" spans="4:6">
      <c r="D225"/>
      <c r="E225" s="25"/>
      <c r="F225"/>
    </row>
    <row r="226" spans="4:6">
      <c r="D226"/>
      <c r="E226" s="25"/>
      <c r="F226"/>
    </row>
    <row r="227" spans="4:6">
      <c r="D227"/>
      <c r="E227" s="25"/>
      <c r="F227"/>
    </row>
    <row r="228" spans="4:6">
      <c r="D228"/>
      <c r="E228" s="25"/>
      <c r="F228"/>
    </row>
    <row r="229" spans="4:6">
      <c r="D229"/>
      <c r="E229" s="25"/>
      <c r="F229"/>
    </row>
    <row r="230" spans="4:6">
      <c r="D230"/>
      <c r="E230" s="25"/>
      <c r="F230"/>
    </row>
    <row r="231" spans="4:6">
      <c r="D231"/>
      <c r="E231" s="25"/>
      <c r="F231"/>
    </row>
    <row r="232" spans="4:6">
      <c r="D232"/>
      <c r="E232" s="25"/>
      <c r="F232"/>
    </row>
    <row r="233" spans="4:6">
      <c r="D233"/>
      <c r="E233" s="25"/>
      <c r="F233"/>
    </row>
    <row r="234" spans="4:6">
      <c r="D234"/>
      <c r="E234" s="25"/>
      <c r="F234"/>
    </row>
    <row r="235" spans="4:6">
      <c r="D235"/>
      <c r="E235" s="25"/>
      <c r="F235"/>
    </row>
    <row r="236" spans="4:6">
      <c r="D236"/>
      <c r="E236" s="25"/>
      <c r="F236"/>
    </row>
    <row r="237" spans="4:6">
      <c r="D237"/>
      <c r="E237" s="25"/>
      <c r="F237"/>
    </row>
    <row r="238" spans="4:6">
      <c r="D238"/>
      <c r="E238" s="25"/>
      <c r="F238"/>
    </row>
    <row r="239" spans="4:6">
      <c r="D239"/>
      <c r="E239" s="25"/>
      <c r="F239"/>
    </row>
    <row r="240" spans="4:6">
      <c r="D240"/>
      <c r="E240" s="25"/>
      <c r="F240"/>
    </row>
    <row r="241" spans="4:6">
      <c r="D241"/>
      <c r="E241" s="25"/>
      <c r="F241"/>
    </row>
    <row r="242" spans="4:6">
      <c r="D242"/>
      <c r="E242" s="25"/>
      <c r="F242"/>
    </row>
    <row r="243" spans="4:6">
      <c r="D243"/>
      <c r="E243" s="25"/>
      <c r="F243"/>
    </row>
    <row r="244" spans="4:6">
      <c r="D244"/>
      <c r="E244" s="25"/>
      <c r="F244"/>
    </row>
    <row r="245" spans="4:6">
      <c r="D245"/>
      <c r="E245" s="25"/>
      <c r="F245"/>
    </row>
    <row r="246" spans="4:6">
      <c r="D246"/>
      <c r="E246" s="25"/>
      <c r="F246"/>
    </row>
    <row r="247" spans="4:6">
      <c r="D247"/>
      <c r="E247" s="25"/>
      <c r="F247"/>
    </row>
    <row r="248" spans="4:6">
      <c r="D248"/>
      <c r="E248" s="25"/>
      <c r="F248"/>
    </row>
    <row r="249" spans="4:6">
      <c r="D249"/>
      <c r="E249" s="25"/>
      <c r="F249"/>
    </row>
    <row r="250" spans="4:6">
      <c r="D250"/>
      <c r="E250" s="25"/>
      <c r="F250"/>
    </row>
    <row r="251" spans="4:6">
      <c r="D251"/>
      <c r="E251" s="25"/>
      <c r="F251"/>
    </row>
    <row r="252" spans="4:6">
      <c r="D252"/>
      <c r="E252" s="25"/>
      <c r="F252"/>
    </row>
    <row r="253" spans="4:6">
      <c r="D253"/>
      <c r="E253" s="25"/>
      <c r="F253"/>
    </row>
    <row r="254" spans="4:6">
      <c r="D254"/>
      <c r="E254" s="25"/>
      <c r="F254"/>
    </row>
    <row r="255" spans="4:6">
      <c r="D255"/>
      <c r="E255" s="25"/>
      <c r="F255"/>
    </row>
    <row r="256" spans="4:6">
      <c r="D256"/>
      <c r="E256" s="25"/>
      <c r="F256"/>
    </row>
    <row r="257" spans="4:6">
      <c r="D257"/>
      <c r="E257" s="25"/>
      <c r="F257"/>
    </row>
    <row r="258" spans="4:6">
      <c r="D258"/>
      <c r="E258" s="25"/>
      <c r="F258"/>
    </row>
    <row r="259" spans="4:6">
      <c r="D259"/>
      <c r="E259" s="25"/>
      <c r="F259"/>
    </row>
    <row r="260" spans="4:6">
      <c r="D260"/>
      <c r="E260" s="25"/>
      <c r="F260"/>
    </row>
    <row r="261" spans="4:6">
      <c r="D261"/>
      <c r="E261" s="25"/>
      <c r="F261"/>
    </row>
    <row r="262" spans="4:6">
      <c r="D262"/>
      <c r="E262" s="25"/>
      <c r="F262"/>
    </row>
    <row r="263" spans="4:6">
      <c r="D263"/>
      <c r="E263" s="25"/>
      <c r="F263"/>
    </row>
    <row r="264" spans="4:6">
      <c r="D264"/>
      <c r="E264" s="25"/>
      <c r="F264"/>
    </row>
    <row r="265" spans="4:6">
      <c r="D265"/>
      <c r="E265" s="25"/>
      <c r="F265"/>
    </row>
    <row r="266" spans="4:6">
      <c r="D266"/>
      <c r="E266" s="25"/>
      <c r="F266"/>
    </row>
    <row r="267" spans="4:6">
      <c r="D267"/>
      <c r="E267" s="25"/>
      <c r="F267"/>
    </row>
    <row r="268" spans="4:6">
      <c r="D268"/>
      <c r="E268" s="25"/>
      <c r="F268"/>
    </row>
    <row r="269" spans="4:6">
      <c r="D269"/>
      <c r="E269" s="25"/>
      <c r="F269"/>
    </row>
    <row r="270" spans="4:6">
      <c r="D270"/>
      <c r="E270" s="25"/>
      <c r="F270"/>
    </row>
    <row r="271" spans="4:6">
      <c r="D271"/>
      <c r="E271" s="25"/>
      <c r="F271"/>
    </row>
    <row r="272" spans="4:6">
      <c r="D272"/>
      <c r="E272" s="25"/>
      <c r="F272"/>
    </row>
    <row r="273" spans="4:6">
      <c r="D273"/>
      <c r="E273" s="25"/>
      <c r="F273"/>
    </row>
    <row r="274" spans="4:6">
      <c r="D274"/>
      <c r="E274" s="25"/>
      <c r="F274"/>
    </row>
    <row r="275" spans="4:6">
      <c r="D275"/>
      <c r="E275" s="25"/>
      <c r="F275"/>
    </row>
    <row r="276" spans="4:6">
      <c r="D276"/>
      <c r="E276" s="25"/>
      <c r="F276"/>
    </row>
    <row r="277" spans="4:6">
      <c r="D277"/>
      <c r="E277" s="25"/>
      <c r="F277"/>
    </row>
    <row r="278" spans="4:6">
      <c r="D278"/>
      <c r="E278" s="25"/>
      <c r="F278"/>
    </row>
    <row r="279" spans="4:6">
      <c r="D279"/>
      <c r="E279" s="25"/>
      <c r="F279"/>
    </row>
    <row r="280" spans="4:6">
      <c r="D280"/>
      <c r="E280" s="25"/>
      <c r="F280"/>
    </row>
    <row r="281" spans="4:6">
      <c r="D281"/>
      <c r="E281" s="25"/>
      <c r="F281"/>
    </row>
    <row r="282" spans="4:6">
      <c r="D282"/>
      <c r="E282" s="25"/>
      <c r="F282"/>
    </row>
    <row r="283" spans="4:6">
      <c r="D283"/>
      <c r="E283" s="25"/>
      <c r="F283"/>
    </row>
    <row r="284" spans="4:6">
      <c r="D284"/>
      <c r="E284" s="25"/>
      <c r="F284"/>
    </row>
    <row r="285" spans="4:6">
      <c r="D285"/>
      <c r="E285" s="25"/>
      <c r="F285"/>
    </row>
    <row r="286" spans="4:6">
      <c r="D286"/>
      <c r="E286" s="25"/>
      <c r="F286"/>
    </row>
    <row r="287" spans="4:6">
      <c r="D287"/>
      <c r="E287" s="25"/>
      <c r="F287"/>
    </row>
    <row r="288" spans="4:6">
      <c r="D288"/>
      <c r="E288" s="25"/>
      <c r="F288"/>
    </row>
    <row r="289" spans="4:6">
      <c r="D289"/>
      <c r="E289" s="25"/>
      <c r="F289"/>
    </row>
    <row r="290" spans="4:6">
      <c r="D290"/>
      <c r="E290" s="25"/>
      <c r="F290"/>
    </row>
    <row r="291" spans="4:6">
      <c r="D291"/>
      <c r="E291" s="25"/>
      <c r="F291"/>
    </row>
    <row r="292" spans="4:6">
      <c r="D292"/>
      <c r="E292" s="25"/>
      <c r="F292"/>
    </row>
    <row r="293" spans="4:6">
      <c r="D293"/>
      <c r="E293" s="25"/>
      <c r="F293"/>
    </row>
    <row r="294" spans="4:6">
      <c r="D294"/>
      <c r="E294" s="25"/>
      <c r="F294"/>
    </row>
    <row r="295" spans="4:6">
      <c r="D295"/>
      <c r="E295" s="25"/>
      <c r="F295"/>
    </row>
    <row r="296" spans="4:6">
      <c r="D296"/>
      <c r="E296" s="25"/>
      <c r="F296"/>
    </row>
    <row r="297" spans="4:6">
      <c r="D297"/>
      <c r="E297" s="25"/>
      <c r="F297"/>
    </row>
    <row r="298" spans="4:6">
      <c r="D298"/>
      <c r="E298" s="25"/>
      <c r="F298"/>
    </row>
    <row r="299" spans="4:6">
      <c r="D299"/>
      <c r="E299" s="25"/>
      <c r="F299"/>
    </row>
    <row r="300" spans="4:6">
      <c r="D300"/>
      <c r="E300" s="25"/>
      <c r="F300"/>
    </row>
    <row r="301" spans="4:6">
      <c r="D301"/>
      <c r="E301" s="25"/>
      <c r="F301"/>
    </row>
    <row r="302" spans="4:6">
      <c r="D302"/>
      <c r="E302" s="25"/>
      <c r="F302"/>
    </row>
    <row r="303" spans="4:6">
      <c r="D303"/>
      <c r="E303" s="25"/>
      <c r="F303"/>
    </row>
    <row r="304" spans="4:6">
      <c r="D304"/>
      <c r="E304" s="25"/>
      <c r="F304"/>
    </row>
    <row r="305" spans="4:6">
      <c r="D305"/>
      <c r="E305" s="25"/>
      <c r="F305"/>
    </row>
    <row r="306" spans="4:6">
      <c r="D306"/>
      <c r="E306" s="25"/>
      <c r="F306"/>
    </row>
    <row r="307" spans="4:6">
      <c r="D307"/>
      <c r="E307" s="25"/>
      <c r="F307"/>
    </row>
    <row r="308" spans="4:6">
      <c r="D308"/>
      <c r="E308" s="25"/>
      <c r="F308"/>
    </row>
    <row r="309" spans="4:6">
      <c r="D309"/>
      <c r="E309" s="25"/>
      <c r="F309"/>
    </row>
    <row r="310" spans="4:6">
      <c r="D310"/>
      <c r="E310" s="25"/>
      <c r="F310"/>
    </row>
    <row r="311" spans="4:6">
      <c r="D311"/>
      <c r="E311" s="25"/>
      <c r="F311"/>
    </row>
    <row r="312" spans="4:6">
      <c r="D312"/>
      <c r="E312" s="25"/>
      <c r="F312"/>
    </row>
    <row r="313" spans="4:6">
      <c r="D313"/>
      <c r="E313" s="25"/>
      <c r="F313"/>
    </row>
    <row r="314" spans="4:6">
      <c r="D314"/>
      <c r="E314" s="25"/>
      <c r="F314"/>
    </row>
    <row r="315" spans="4:6">
      <c r="D315"/>
      <c r="E315" s="25"/>
      <c r="F315"/>
    </row>
    <row r="316" spans="4:6">
      <c r="D316"/>
      <c r="E316" s="25"/>
      <c r="F316"/>
    </row>
    <row r="317" spans="4:6">
      <c r="D317"/>
      <c r="E317" s="25"/>
      <c r="F317"/>
    </row>
    <row r="318" spans="4:6">
      <c r="D318"/>
      <c r="E318" s="25"/>
      <c r="F318"/>
    </row>
    <row r="319" spans="4:6">
      <c r="D319"/>
      <c r="E319" s="25"/>
      <c r="F319"/>
    </row>
    <row r="320" spans="4:6">
      <c r="D320"/>
      <c r="E320" s="25"/>
      <c r="F320"/>
    </row>
    <row r="321" spans="4:6">
      <c r="D321"/>
      <c r="E321" s="25"/>
      <c r="F321"/>
    </row>
    <row r="322" spans="4:6">
      <c r="D322"/>
      <c r="E322" s="25"/>
      <c r="F322"/>
    </row>
    <row r="323" spans="4:6">
      <c r="D323"/>
      <c r="E323" s="25"/>
      <c r="F323"/>
    </row>
    <row r="324" spans="4:6">
      <c r="D324"/>
      <c r="E324" s="25"/>
      <c r="F324"/>
    </row>
    <row r="325" spans="4:6">
      <c r="D325"/>
      <c r="E325" s="25"/>
      <c r="F325"/>
    </row>
    <row r="326" spans="4:6">
      <c r="D326"/>
      <c r="E326" s="25"/>
      <c r="F326"/>
    </row>
    <row r="327" spans="4:6">
      <c r="D327"/>
      <c r="E327" s="25"/>
      <c r="F327"/>
    </row>
    <row r="328" spans="4:6">
      <c r="D328"/>
      <c r="E328" s="25"/>
      <c r="F328"/>
    </row>
    <row r="329" spans="4:6">
      <c r="D329"/>
      <c r="E329" s="25"/>
      <c r="F329"/>
    </row>
    <row r="330" spans="4:6">
      <c r="D330"/>
      <c r="E330" s="25"/>
      <c r="F330"/>
    </row>
    <row r="331" spans="4:6">
      <c r="D331"/>
      <c r="E331" s="25"/>
      <c r="F331"/>
    </row>
    <row r="332" spans="4:6">
      <c r="D332"/>
      <c r="E332" s="25"/>
      <c r="F332"/>
    </row>
    <row r="333" spans="4:6">
      <c r="D333"/>
      <c r="E333" s="25"/>
      <c r="F333"/>
    </row>
    <row r="334" spans="4:6">
      <c r="D334"/>
      <c r="E334" s="25"/>
      <c r="F334"/>
    </row>
    <row r="335" spans="4:6">
      <c r="D335"/>
      <c r="E335" s="25"/>
      <c r="F335"/>
    </row>
    <row r="336" spans="4:6">
      <c r="D336"/>
      <c r="E336" s="25"/>
      <c r="F336"/>
    </row>
    <row r="337" spans="4:6">
      <c r="D337"/>
      <c r="E337" s="25"/>
      <c r="F337"/>
    </row>
    <row r="338" spans="4:6">
      <c r="D338"/>
      <c r="E338" s="25"/>
      <c r="F338"/>
    </row>
    <row r="339" spans="4:6">
      <c r="D339"/>
      <c r="E339" s="25"/>
      <c r="F339"/>
    </row>
    <row r="340" spans="4:6">
      <c r="D340"/>
      <c r="E340" s="25"/>
      <c r="F340"/>
    </row>
    <row r="341" spans="4:6">
      <c r="D341"/>
      <c r="E341" s="25"/>
      <c r="F341"/>
    </row>
    <row r="342" spans="4:6">
      <c r="D342"/>
      <c r="E342" s="25"/>
      <c r="F342"/>
    </row>
    <row r="343" spans="4:6">
      <c r="D343"/>
      <c r="E343" s="25"/>
      <c r="F343"/>
    </row>
    <row r="344" spans="4:6">
      <c r="D344"/>
      <c r="E344" s="25"/>
      <c r="F344"/>
    </row>
    <row r="345" spans="4:6">
      <c r="D345"/>
      <c r="E345" s="25"/>
      <c r="F345"/>
    </row>
    <row r="346" spans="4:6">
      <c r="D346"/>
      <c r="E346" s="25"/>
      <c r="F346"/>
    </row>
    <row r="347" spans="4:6">
      <c r="D347"/>
      <c r="E347" s="25"/>
      <c r="F347"/>
    </row>
    <row r="348" spans="4:6">
      <c r="D348"/>
      <c r="E348" s="25"/>
      <c r="F348"/>
    </row>
    <row r="349" spans="4:6">
      <c r="D349"/>
      <c r="E349" s="25"/>
      <c r="F349"/>
    </row>
    <row r="350" spans="4:6">
      <c r="D350"/>
      <c r="E350" s="25"/>
      <c r="F350"/>
    </row>
    <row r="351" spans="4:6">
      <c r="D351"/>
      <c r="E351" s="25"/>
      <c r="F351"/>
    </row>
    <row r="352" spans="4:6">
      <c r="D352"/>
      <c r="E352" s="25"/>
      <c r="F352"/>
    </row>
    <row r="353" spans="4:6">
      <c r="D353"/>
      <c r="E353" s="25"/>
      <c r="F353"/>
    </row>
    <row r="354" spans="4:6">
      <c r="D354"/>
      <c r="E354" s="25"/>
      <c r="F354"/>
    </row>
    <row r="355" spans="4:6">
      <c r="D355"/>
      <c r="E355" s="25"/>
      <c r="F355"/>
    </row>
    <row r="356" spans="4:6">
      <c r="D356"/>
      <c r="E356" s="25"/>
      <c r="F356"/>
    </row>
    <row r="357" spans="4:6">
      <c r="D357"/>
      <c r="E357" s="25"/>
      <c r="F357"/>
    </row>
    <row r="358" spans="4:6">
      <c r="D358"/>
      <c r="E358" s="25"/>
      <c r="F358"/>
    </row>
    <row r="359" spans="4:6">
      <c r="D359"/>
      <c r="E359" s="25"/>
      <c r="F359"/>
    </row>
    <row r="360" spans="4:6">
      <c r="D360"/>
      <c r="E360" s="25"/>
      <c r="F360"/>
    </row>
    <row r="361" spans="4:6">
      <c r="D361"/>
      <c r="E361" s="25"/>
      <c r="F361"/>
    </row>
    <row r="362" spans="4:6">
      <c r="D362"/>
      <c r="E362" s="25"/>
      <c r="F362"/>
    </row>
  </sheetData>
  <pageMargins left="0.7" right="0.7" top="0.75" bottom="0.75" header="0.3" footer="0.3"/>
  <pageSetup paperSize="9" orientation="portrait" r:id="rId2"/>
  <customProperties>
    <customPr name="_pios_id" r:id="rId3"/>
  </customProperties>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0E3AD-DC2E-4F29-BA85-11B1A493E257}">
  <sheetPr codeName="Sheet7">
    <tabColor rgb="FF06109F"/>
  </sheetPr>
  <dimension ref="A1:F362"/>
  <sheetViews>
    <sheetView showGridLines="0" zoomScale="53" workbookViewId="0">
      <selection activeCell="I72" sqref="I72"/>
    </sheetView>
  </sheetViews>
  <sheetFormatPr defaultColWidth="2.7109375" defaultRowHeight="14.45"/>
  <cols>
    <col min="1" max="1" width="30.7109375" bestFit="1" customWidth="1"/>
    <col min="2" max="2" width="21.7109375" bestFit="1" customWidth="1"/>
    <col min="3" max="3" width="18.42578125" bestFit="1" customWidth="1"/>
    <col min="4" max="4" width="18.42578125" style="25" bestFit="1" customWidth="1"/>
    <col min="5" max="5" width="18.42578125" style="34" bestFit="1" customWidth="1"/>
    <col min="6" max="6" width="18.42578125" style="3" bestFit="1" customWidth="1"/>
    <col min="7" max="10" width="22" bestFit="1" customWidth="1"/>
    <col min="11" max="11" width="22.28515625" bestFit="1" customWidth="1"/>
  </cols>
  <sheetData>
    <row r="1" spans="1:6">
      <c r="A1" s="32" t="s">
        <v>331</v>
      </c>
    </row>
    <row r="15" spans="1:6" ht="31.15">
      <c r="A15" s="38" t="s">
        <v>9</v>
      </c>
      <c r="B15" s="39" t="s">
        <v>332</v>
      </c>
      <c r="C15" s="39" t="s">
        <v>333</v>
      </c>
      <c r="D15" s="39" t="s">
        <v>334</v>
      </c>
      <c r="E15" s="39" t="s">
        <v>335</v>
      </c>
      <c r="F15" s="39" t="s">
        <v>336</v>
      </c>
    </row>
    <row r="16" spans="1:6">
      <c r="A16" t="s">
        <v>188</v>
      </c>
      <c r="B16" s="35">
        <v>19.3</v>
      </c>
      <c r="C16" s="35">
        <v>5.3</v>
      </c>
      <c r="D16" s="35">
        <v>3.6</v>
      </c>
      <c r="E16" s="35">
        <v>2</v>
      </c>
      <c r="F16" s="35">
        <v>1.3</v>
      </c>
    </row>
    <row r="17" spans="1:6">
      <c r="A17" t="s">
        <v>172</v>
      </c>
      <c r="B17" s="35"/>
      <c r="C17" s="35"/>
      <c r="D17" s="35"/>
      <c r="E17" s="35"/>
      <c r="F17" s="35"/>
    </row>
    <row r="18" spans="1:6">
      <c r="A18" t="s">
        <v>164</v>
      </c>
      <c r="B18" s="35">
        <v>14</v>
      </c>
      <c r="C18" s="35">
        <v>14</v>
      </c>
      <c r="D18" s="35">
        <v>0</v>
      </c>
      <c r="E18" s="35">
        <v>0</v>
      </c>
      <c r="F18" s="35">
        <v>0</v>
      </c>
    </row>
    <row r="19" spans="1:6">
      <c r="A19" t="s">
        <v>143</v>
      </c>
      <c r="B19" s="35">
        <v>4.9000000000000004</v>
      </c>
      <c r="C19" s="35">
        <v>2.0580000000000003</v>
      </c>
      <c r="D19" s="35"/>
      <c r="E19" s="35"/>
      <c r="F19" s="35"/>
    </row>
    <row r="20" spans="1:6">
      <c r="A20" t="s">
        <v>37</v>
      </c>
      <c r="B20" s="35">
        <v>318</v>
      </c>
      <c r="C20" s="35">
        <v>0</v>
      </c>
      <c r="D20" s="35"/>
      <c r="E20" s="35"/>
      <c r="F20" s="35"/>
    </row>
    <row r="21" spans="1:6">
      <c r="A21" t="s">
        <v>74</v>
      </c>
      <c r="B21" s="35">
        <v>634.1</v>
      </c>
      <c r="C21" s="35">
        <v>35.5</v>
      </c>
      <c r="D21" s="35">
        <v>0</v>
      </c>
      <c r="E21" s="35"/>
      <c r="F21" s="35"/>
    </row>
    <row r="22" spans="1:6">
      <c r="A22" t="s">
        <v>186</v>
      </c>
      <c r="B22" s="35">
        <v>30</v>
      </c>
      <c r="C22" s="35">
        <v>12</v>
      </c>
      <c r="D22" s="35"/>
      <c r="E22" s="35"/>
      <c r="F22" s="35"/>
    </row>
    <row r="23" spans="1:6">
      <c r="A23" t="s">
        <v>181</v>
      </c>
      <c r="B23" s="35">
        <v>23</v>
      </c>
      <c r="C23" s="35">
        <v>9</v>
      </c>
      <c r="D23" s="35">
        <v>4</v>
      </c>
      <c r="E23" s="35">
        <v>3</v>
      </c>
      <c r="F23" s="35">
        <v>4</v>
      </c>
    </row>
    <row r="24" spans="1:6">
      <c r="A24" t="s">
        <v>120</v>
      </c>
      <c r="B24" s="35">
        <v>9.3478260869565233</v>
      </c>
      <c r="C24" s="35"/>
      <c r="D24" s="35"/>
      <c r="E24" s="35"/>
      <c r="F24" s="35"/>
    </row>
    <row r="25" spans="1:6">
      <c r="A25" t="s">
        <v>198</v>
      </c>
      <c r="B25" s="35"/>
      <c r="C25" s="35">
        <v>0</v>
      </c>
      <c r="D25" s="35"/>
      <c r="E25" s="35"/>
      <c r="F25" s="35"/>
    </row>
    <row r="26" spans="1:6">
      <c r="A26" t="s">
        <v>51</v>
      </c>
      <c r="B26" s="35">
        <v>293</v>
      </c>
      <c r="C26" s="35">
        <v>0</v>
      </c>
      <c r="D26" s="35">
        <v>0</v>
      </c>
      <c r="E26" s="35"/>
      <c r="F26" s="35"/>
    </row>
    <row r="27" spans="1:6">
      <c r="A27" t="s">
        <v>95</v>
      </c>
      <c r="B27" s="35">
        <v>2.3188405797101455</v>
      </c>
      <c r="C27" s="35">
        <v>2.3199999999999998</v>
      </c>
      <c r="D27" s="35"/>
      <c r="E27" s="35"/>
      <c r="F27" s="35"/>
    </row>
    <row r="28" spans="1:6">
      <c r="A28" t="s">
        <v>127</v>
      </c>
      <c r="B28" s="35">
        <v>32.299999999999997</v>
      </c>
      <c r="C28" s="35">
        <v>-7.4</v>
      </c>
      <c r="D28" s="35">
        <v>2.5</v>
      </c>
      <c r="E28" s="35">
        <v>3.4</v>
      </c>
      <c r="F28" s="35">
        <v>4.5999999999999996</v>
      </c>
    </row>
    <row r="29" spans="1:6">
      <c r="A29" t="s">
        <v>87</v>
      </c>
      <c r="B29" s="35">
        <v>53.2</v>
      </c>
      <c r="C29" s="35">
        <v>7.6</v>
      </c>
      <c r="D29" s="35">
        <v>7.6</v>
      </c>
      <c r="E29" s="35">
        <v>7.6</v>
      </c>
      <c r="F29" s="35">
        <v>7.6</v>
      </c>
    </row>
    <row r="30" spans="1:6">
      <c r="A30" t="s">
        <v>211</v>
      </c>
      <c r="B30" s="35"/>
      <c r="C30" s="35">
        <v>0</v>
      </c>
      <c r="D30" s="35"/>
      <c r="E30" s="35"/>
      <c r="F30" s="35"/>
    </row>
    <row r="31" spans="1:6">
      <c r="A31" t="s">
        <v>104</v>
      </c>
      <c r="B31" s="35"/>
      <c r="C31" s="35"/>
      <c r="D31" s="35"/>
      <c r="E31" s="35"/>
      <c r="F31" s="35"/>
    </row>
    <row r="32" spans="1:6">
      <c r="A32" t="s">
        <v>139</v>
      </c>
      <c r="B32" s="35">
        <v>6</v>
      </c>
      <c r="C32" s="35">
        <v>0</v>
      </c>
      <c r="D32" s="35"/>
      <c r="E32" s="35"/>
      <c r="F32" s="35"/>
    </row>
    <row r="33" spans="1:6">
      <c r="A33" t="s">
        <v>201</v>
      </c>
      <c r="B33" s="35">
        <v>50</v>
      </c>
      <c r="C33" s="35">
        <v>50</v>
      </c>
      <c r="D33" s="35"/>
      <c r="E33" s="35"/>
      <c r="F33" s="35"/>
    </row>
    <row r="34" spans="1:6">
      <c r="A34" t="s">
        <v>193</v>
      </c>
      <c r="B34" s="35">
        <v>30</v>
      </c>
      <c r="C34" s="35">
        <v>8.5</v>
      </c>
      <c r="D34" s="35">
        <v>0</v>
      </c>
      <c r="E34" s="35">
        <v>0</v>
      </c>
      <c r="F34" s="35">
        <v>0</v>
      </c>
    </row>
    <row r="35" spans="1:6">
      <c r="A35" t="s">
        <v>117</v>
      </c>
      <c r="B35" s="35">
        <v>10</v>
      </c>
      <c r="C35" s="35"/>
      <c r="D35" s="35"/>
      <c r="E35" s="35"/>
      <c r="F35" s="35"/>
    </row>
    <row r="36" spans="1:6">
      <c r="A36" t="s">
        <v>108</v>
      </c>
      <c r="B36" s="35">
        <v>14</v>
      </c>
      <c r="C36" s="35"/>
      <c r="D36" s="35"/>
      <c r="E36" s="35"/>
      <c r="F36" s="35"/>
    </row>
    <row r="37" spans="1:6">
      <c r="A37" t="s">
        <v>91</v>
      </c>
      <c r="B37" s="35"/>
      <c r="C37" s="35">
        <v>15</v>
      </c>
      <c r="D37" s="35">
        <v>39</v>
      </c>
      <c r="E37" s="35">
        <v>16</v>
      </c>
      <c r="F37" s="35">
        <v>16</v>
      </c>
    </row>
    <row r="38" spans="1:6">
      <c r="A38" t="s">
        <v>130</v>
      </c>
      <c r="B38" s="35">
        <v>8.879999999999999</v>
      </c>
      <c r="C38" s="35">
        <v>0</v>
      </c>
      <c r="D38" s="35">
        <v>0</v>
      </c>
      <c r="E38" s="35"/>
      <c r="F38" s="35"/>
    </row>
    <row r="39" spans="1:6">
      <c r="A39" t="s">
        <v>56</v>
      </c>
      <c r="B39" s="35">
        <v>311</v>
      </c>
      <c r="C39" s="35">
        <v>104</v>
      </c>
      <c r="D39" s="35">
        <v>0</v>
      </c>
      <c r="E39" s="35">
        <v>0</v>
      </c>
      <c r="F39" s="35">
        <v>0</v>
      </c>
    </row>
    <row r="40" spans="1:6">
      <c r="A40" t="s">
        <v>78</v>
      </c>
      <c r="B40" s="35">
        <v>104.16666666666667</v>
      </c>
      <c r="C40" s="35">
        <v>20</v>
      </c>
      <c r="D40" s="35">
        <v>2</v>
      </c>
      <c r="E40" s="35">
        <v>1</v>
      </c>
      <c r="F40" s="35">
        <v>8</v>
      </c>
    </row>
    <row r="41" spans="1:6">
      <c r="A41" t="s">
        <v>146</v>
      </c>
      <c r="B41" s="35">
        <v>3.87</v>
      </c>
      <c r="C41" s="35">
        <v>0</v>
      </c>
      <c r="D41" s="35"/>
      <c r="E41" s="35"/>
      <c r="F41" s="35"/>
    </row>
    <row r="42" spans="1:6">
      <c r="A42" t="s">
        <v>217</v>
      </c>
      <c r="B42" s="35"/>
      <c r="C42" s="35"/>
      <c r="D42" s="35"/>
      <c r="E42" s="35"/>
      <c r="F42" s="35"/>
    </row>
    <row r="43" spans="1:6">
      <c r="A43" t="s">
        <v>152</v>
      </c>
      <c r="B43" s="35">
        <v>2.6284800000000001</v>
      </c>
      <c r="C43" s="35">
        <v>0.52569600000000005</v>
      </c>
      <c r="D43" s="35">
        <v>0.52569600000000005</v>
      </c>
      <c r="E43" s="35"/>
      <c r="F43" s="35"/>
    </row>
    <row r="44" spans="1:6">
      <c r="A44" t="s">
        <v>124</v>
      </c>
      <c r="B44" s="35">
        <v>6</v>
      </c>
      <c r="C44" s="35"/>
      <c r="D44" s="35"/>
      <c r="E44" s="35"/>
      <c r="F44" s="35"/>
    </row>
    <row r="45" spans="1:6">
      <c r="A45" t="s">
        <v>44</v>
      </c>
      <c r="B45" s="35">
        <v>294.10000000000002</v>
      </c>
      <c r="C45" s="35">
        <v>0</v>
      </c>
      <c r="D45" s="35">
        <v>0</v>
      </c>
      <c r="E45" s="35">
        <v>0</v>
      </c>
      <c r="F45" s="35">
        <v>0</v>
      </c>
    </row>
    <row r="46" spans="1:6">
      <c r="A46" t="s">
        <v>62</v>
      </c>
      <c r="B46" s="35">
        <v>186</v>
      </c>
      <c r="C46" s="35">
        <v>10</v>
      </c>
      <c r="D46" s="35">
        <v>6</v>
      </c>
      <c r="E46" s="35">
        <v>7</v>
      </c>
      <c r="F46" s="35">
        <v>20</v>
      </c>
    </row>
    <row r="47" spans="1:6">
      <c r="A47" t="s">
        <v>155</v>
      </c>
      <c r="B47" s="35">
        <v>2</v>
      </c>
      <c r="C47" s="35">
        <v>2</v>
      </c>
      <c r="D47" s="35"/>
      <c r="E47" s="35"/>
      <c r="F47" s="35"/>
    </row>
    <row r="48" spans="1:6">
      <c r="A48" t="s">
        <v>208</v>
      </c>
      <c r="B48" s="35"/>
      <c r="C48" s="35">
        <v>0</v>
      </c>
      <c r="D48" s="35"/>
      <c r="E48" s="35"/>
      <c r="F48" s="35"/>
    </row>
    <row r="49" spans="1:6">
      <c r="A49" t="s">
        <v>82</v>
      </c>
      <c r="B49" s="35"/>
      <c r="C49" s="35"/>
      <c r="D49" s="35"/>
      <c r="E49" s="35"/>
      <c r="F49" s="35"/>
    </row>
    <row r="50" spans="1:6">
      <c r="A50" t="s">
        <v>28</v>
      </c>
      <c r="B50" s="35">
        <v>21.15</v>
      </c>
      <c r="C50" s="35">
        <v>6.43</v>
      </c>
      <c r="D50" s="35">
        <v>6.96</v>
      </c>
      <c r="E50" s="35">
        <v>7.77</v>
      </c>
      <c r="F50" s="35"/>
    </row>
    <row r="51" spans="1:6">
      <c r="A51" t="s">
        <v>219</v>
      </c>
      <c r="B51" s="35">
        <v>1.9</v>
      </c>
      <c r="C51" s="35"/>
      <c r="D51" s="35"/>
      <c r="E51" s="35"/>
      <c r="F51" s="35"/>
    </row>
    <row r="52" spans="1:6">
      <c r="A52" t="s">
        <v>136</v>
      </c>
      <c r="B52" s="35">
        <v>5</v>
      </c>
      <c r="C52" s="35">
        <v>5</v>
      </c>
      <c r="D52" s="35"/>
      <c r="E52" s="35"/>
      <c r="F52" s="35"/>
    </row>
    <row r="53" spans="1:6">
      <c r="A53" t="s">
        <v>235</v>
      </c>
      <c r="B53" s="35">
        <v>2.5</v>
      </c>
      <c r="C53" s="35"/>
      <c r="D53" s="35"/>
      <c r="E53" s="35"/>
      <c r="F53" s="35"/>
    </row>
    <row r="54" spans="1:6">
      <c r="A54" t="s">
        <v>237</v>
      </c>
      <c r="B54" s="35">
        <v>59</v>
      </c>
      <c r="C54" s="35">
        <v>59</v>
      </c>
      <c r="D54" s="35"/>
      <c r="E54" s="35"/>
      <c r="F54" s="35"/>
    </row>
    <row r="55" spans="1:6">
      <c r="A55" t="s">
        <v>244</v>
      </c>
      <c r="B55" s="35"/>
      <c r="C55" s="35"/>
      <c r="D55" s="35"/>
      <c r="E55" s="35"/>
      <c r="F55" s="35"/>
    </row>
    <row r="56" spans="1:6">
      <c r="A56" t="s">
        <v>247</v>
      </c>
      <c r="B56" s="35">
        <v>449</v>
      </c>
      <c r="C56" s="35">
        <v>3.2</v>
      </c>
      <c r="D56" s="35">
        <v>0</v>
      </c>
      <c r="E56" s="35">
        <v>0</v>
      </c>
      <c r="F56" s="35">
        <v>0</v>
      </c>
    </row>
    <row r="57" spans="1:6">
      <c r="A57" t="s">
        <v>102</v>
      </c>
      <c r="B57" s="35"/>
      <c r="C57" s="35">
        <v>23</v>
      </c>
      <c r="D57" s="35"/>
      <c r="E57" s="35"/>
      <c r="F57" s="35"/>
    </row>
    <row r="58" spans="1:6">
      <c r="A58" t="s">
        <v>259</v>
      </c>
      <c r="B58" s="35"/>
      <c r="C58" s="35"/>
      <c r="D58" s="35"/>
      <c r="E58" s="35"/>
      <c r="F58" s="35"/>
    </row>
    <row r="59" spans="1:6">
      <c r="A59" s="33" t="s">
        <v>340</v>
      </c>
      <c r="B59" s="36">
        <v>3000.6618133333336</v>
      </c>
      <c r="C59" s="36">
        <v>387.03369599999996</v>
      </c>
      <c r="D59" s="36">
        <v>72.185695999999993</v>
      </c>
      <c r="E59" s="36">
        <v>47.769999999999996</v>
      </c>
      <c r="F59" s="36">
        <v>61.5</v>
      </c>
    </row>
    <row r="60" spans="1:6">
      <c r="D60"/>
      <c r="E60"/>
      <c r="F60"/>
    </row>
    <row r="61" spans="1:6">
      <c r="D61"/>
      <c r="E61"/>
      <c r="F61"/>
    </row>
    <row r="62" spans="1:6">
      <c r="D62"/>
      <c r="E62"/>
      <c r="F62"/>
    </row>
    <row r="63" spans="1:6">
      <c r="D63"/>
      <c r="E63"/>
      <c r="F63"/>
    </row>
    <row r="64" spans="1:6">
      <c r="D64"/>
      <c r="E64"/>
      <c r="F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spans="4:6">
      <c r="D113"/>
      <c r="E113" s="25"/>
      <c r="F113"/>
    </row>
    <row r="114" spans="4:6">
      <c r="D114"/>
      <c r="E114" s="25"/>
      <c r="F114"/>
    </row>
    <row r="115" spans="4:6">
      <c r="D115"/>
      <c r="E115" s="25"/>
      <c r="F115"/>
    </row>
    <row r="116" spans="4:6">
      <c r="D116"/>
      <c r="E116" s="25"/>
      <c r="F116"/>
    </row>
    <row r="117" spans="4:6">
      <c r="D117"/>
      <c r="E117" s="25"/>
      <c r="F117"/>
    </row>
    <row r="118" spans="4:6">
      <c r="D118"/>
      <c r="E118" s="25"/>
      <c r="F118"/>
    </row>
    <row r="119" spans="4:6">
      <c r="D119"/>
      <c r="E119" s="25"/>
      <c r="F119"/>
    </row>
    <row r="120" spans="4:6">
      <c r="D120"/>
      <c r="E120" s="25"/>
      <c r="F120"/>
    </row>
    <row r="121" spans="4:6">
      <c r="D121"/>
      <c r="E121" s="25"/>
      <c r="F121"/>
    </row>
    <row r="122" spans="4:6">
      <c r="D122"/>
      <c r="E122" s="25"/>
      <c r="F122"/>
    </row>
    <row r="123" spans="4:6">
      <c r="D123"/>
      <c r="E123" s="25"/>
      <c r="F123"/>
    </row>
    <row r="124" spans="4:6">
      <c r="D124"/>
      <c r="E124" s="25"/>
      <c r="F124"/>
    </row>
    <row r="125" spans="4:6">
      <c r="D125"/>
      <c r="E125" s="25"/>
      <c r="F125"/>
    </row>
    <row r="126" spans="4:6">
      <c r="D126"/>
      <c r="E126" s="25"/>
      <c r="F126"/>
    </row>
    <row r="127" spans="4:6">
      <c r="D127"/>
      <c r="E127" s="25"/>
      <c r="F127"/>
    </row>
    <row r="128" spans="4:6">
      <c r="D128"/>
      <c r="E128" s="25"/>
      <c r="F128"/>
    </row>
    <row r="129" spans="4:6">
      <c r="D129"/>
      <c r="E129" s="25"/>
      <c r="F129"/>
    </row>
    <row r="130" spans="4:6">
      <c r="D130"/>
      <c r="E130" s="25"/>
      <c r="F130"/>
    </row>
    <row r="131" spans="4:6">
      <c r="D131"/>
      <c r="E131" s="25"/>
      <c r="F131"/>
    </row>
    <row r="132" spans="4:6">
      <c r="D132"/>
      <c r="E132" s="25"/>
      <c r="F132"/>
    </row>
    <row r="133" spans="4:6">
      <c r="D133"/>
      <c r="E133" s="25"/>
      <c r="F133"/>
    </row>
    <row r="134" spans="4:6">
      <c r="D134"/>
      <c r="E134" s="25"/>
      <c r="F134"/>
    </row>
    <row r="135" spans="4:6">
      <c r="D135"/>
      <c r="E135" s="25"/>
      <c r="F135"/>
    </row>
    <row r="136" spans="4:6">
      <c r="D136"/>
      <c r="E136" s="25"/>
      <c r="F136"/>
    </row>
    <row r="137" spans="4:6">
      <c r="D137"/>
      <c r="E137" s="25"/>
      <c r="F137"/>
    </row>
    <row r="138" spans="4:6">
      <c r="D138"/>
      <c r="E138" s="25"/>
      <c r="F138"/>
    </row>
    <row r="139" spans="4:6">
      <c r="D139"/>
      <c r="E139" s="25"/>
      <c r="F139"/>
    </row>
    <row r="140" spans="4:6">
      <c r="D140"/>
      <c r="E140" s="25"/>
      <c r="F140"/>
    </row>
    <row r="141" spans="4:6">
      <c r="D141"/>
      <c r="E141" s="25"/>
      <c r="F141"/>
    </row>
    <row r="142" spans="4:6">
      <c r="D142"/>
      <c r="E142" s="25"/>
      <c r="F142"/>
    </row>
    <row r="143" spans="4:6">
      <c r="D143"/>
      <c r="E143" s="25"/>
      <c r="F143"/>
    </row>
    <row r="144" spans="4:6">
      <c r="D144"/>
      <c r="E144" s="25"/>
      <c r="F144"/>
    </row>
    <row r="145" spans="4:6">
      <c r="D145"/>
      <c r="E145" s="25"/>
      <c r="F145"/>
    </row>
    <row r="146" spans="4:6">
      <c r="D146"/>
      <c r="E146" s="25"/>
      <c r="F146"/>
    </row>
    <row r="147" spans="4:6">
      <c r="D147"/>
      <c r="E147" s="25"/>
      <c r="F147"/>
    </row>
    <row r="148" spans="4:6">
      <c r="D148"/>
      <c r="E148" s="25"/>
      <c r="F148"/>
    </row>
    <row r="149" spans="4:6">
      <c r="D149"/>
      <c r="E149" s="25"/>
      <c r="F149"/>
    </row>
    <row r="150" spans="4:6">
      <c r="D150"/>
      <c r="E150" s="25"/>
      <c r="F150"/>
    </row>
    <row r="151" spans="4:6">
      <c r="D151"/>
      <c r="E151" s="25"/>
      <c r="F151"/>
    </row>
    <row r="152" spans="4:6">
      <c r="D152"/>
      <c r="E152" s="25"/>
      <c r="F152"/>
    </row>
    <row r="153" spans="4:6">
      <c r="D153"/>
      <c r="E153" s="25"/>
      <c r="F153"/>
    </row>
    <row r="154" spans="4:6">
      <c r="D154"/>
      <c r="E154" s="25"/>
      <c r="F154"/>
    </row>
    <row r="155" spans="4:6">
      <c r="D155"/>
      <c r="E155" s="25"/>
      <c r="F155"/>
    </row>
    <row r="156" spans="4:6">
      <c r="D156"/>
      <c r="E156" s="25"/>
      <c r="F156"/>
    </row>
    <row r="157" spans="4:6">
      <c r="D157"/>
      <c r="E157" s="25"/>
      <c r="F157"/>
    </row>
    <row r="158" spans="4:6">
      <c r="D158"/>
      <c r="E158" s="25"/>
      <c r="F158"/>
    </row>
    <row r="159" spans="4:6">
      <c r="D159"/>
      <c r="E159" s="25"/>
      <c r="F159"/>
    </row>
    <row r="160" spans="4:6">
      <c r="D160"/>
      <c r="E160" s="25"/>
      <c r="F160"/>
    </row>
    <row r="161" spans="4:6">
      <c r="D161"/>
      <c r="E161" s="25"/>
      <c r="F161"/>
    </row>
    <row r="162" spans="4:6">
      <c r="D162"/>
      <c r="E162" s="25"/>
      <c r="F162"/>
    </row>
    <row r="163" spans="4:6">
      <c r="D163"/>
      <c r="E163" s="25"/>
      <c r="F163"/>
    </row>
    <row r="164" spans="4:6">
      <c r="D164"/>
      <c r="E164" s="25"/>
      <c r="F164"/>
    </row>
    <row r="165" spans="4:6">
      <c r="D165"/>
      <c r="E165" s="25"/>
      <c r="F165"/>
    </row>
    <row r="166" spans="4:6">
      <c r="D166"/>
      <c r="E166" s="25"/>
      <c r="F166"/>
    </row>
    <row r="167" spans="4:6">
      <c r="D167"/>
      <c r="E167" s="25"/>
      <c r="F167"/>
    </row>
    <row r="168" spans="4:6">
      <c r="D168"/>
      <c r="E168" s="25"/>
      <c r="F168"/>
    </row>
    <row r="169" spans="4:6">
      <c r="D169"/>
      <c r="E169" s="25"/>
      <c r="F169"/>
    </row>
    <row r="170" spans="4:6">
      <c r="D170"/>
      <c r="E170" s="25"/>
      <c r="F170"/>
    </row>
    <row r="171" spans="4:6">
      <c r="D171"/>
      <c r="E171" s="25"/>
      <c r="F171"/>
    </row>
    <row r="172" spans="4:6">
      <c r="D172"/>
      <c r="E172" s="25"/>
      <c r="F172"/>
    </row>
    <row r="173" spans="4:6">
      <c r="D173"/>
      <c r="E173" s="25"/>
      <c r="F173"/>
    </row>
    <row r="174" spans="4:6">
      <c r="D174"/>
      <c r="E174" s="25"/>
      <c r="F174"/>
    </row>
    <row r="175" spans="4:6">
      <c r="D175"/>
      <c r="E175" s="25"/>
      <c r="F175"/>
    </row>
    <row r="176" spans="4:6">
      <c r="D176"/>
      <c r="E176" s="25"/>
      <c r="F176"/>
    </row>
    <row r="177" spans="4:6">
      <c r="D177"/>
      <c r="E177" s="25"/>
      <c r="F177"/>
    </row>
    <row r="178" spans="4:6">
      <c r="D178"/>
      <c r="E178" s="25"/>
      <c r="F178"/>
    </row>
    <row r="179" spans="4:6">
      <c r="D179"/>
      <c r="E179" s="25"/>
      <c r="F179"/>
    </row>
    <row r="180" spans="4:6">
      <c r="D180"/>
      <c r="E180" s="25"/>
      <c r="F180"/>
    </row>
    <row r="181" spans="4:6">
      <c r="D181"/>
      <c r="E181" s="25"/>
      <c r="F181"/>
    </row>
    <row r="182" spans="4:6">
      <c r="D182"/>
      <c r="E182" s="25"/>
      <c r="F182"/>
    </row>
    <row r="183" spans="4:6">
      <c r="D183"/>
      <c r="E183" s="25"/>
      <c r="F183"/>
    </row>
    <row r="184" spans="4:6">
      <c r="D184"/>
      <c r="E184" s="25"/>
      <c r="F184"/>
    </row>
    <row r="185" spans="4:6">
      <c r="D185"/>
      <c r="E185" s="25"/>
      <c r="F185"/>
    </row>
    <row r="186" spans="4:6">
      <c r="D186"/>
      <c r="E186" s="25"/>
      <c r="F186"/>
    </row>
    <row r="187" spans="4:6">
      <c r="D187"/>
      <c r="E187" s="25"/>
      <c r="F187"/>
    </row>
    <row r="188" spans="4:6">
      <c r="D188"/>
      <c r="E188" s="25"/>
      <c r="F188"/>
    </row>
    <row r="189" spans="4:6">
      <c r="D189"/>
      <c r="E189" s="25"/>
      <c r="F189"/>
    </row>
    <row r="190" spans="4:6">
      <c r="D190"/>
      <c r="E190" s="25"/>
      <c r="F190"/>
    </row>
    <row r="191" spans="4:6">
      <c r="D191"/>
      <c r="E191" s="25"/>
      <c r="F191"/>
    </row>
    <row r="192" spans="4:6">
      <c r="D192"/>
      <c r="E192" s="25"/>
      <c r="F192"/>
    </row>
    <row r="193" spans="4:6">
      <c r="D193"/>
      <c r="E193" s="25"/>
      <c r="F193"/>
    </row>
    <row r="194" spans="4:6">
      <c r="D194"/>
      <c r="E194" s="25"/>
      <c r="F194"/>
    </row>
    <row r="195" spans="4:6">
      <c r="D195"/>
      <c r="E195" s="25"/>
      <c r="F195"/>
    </row>
    <row r="196" spans="4:6">
      <c r="D196"/>
      <c r="E196" s="25"/>
      <c r="F196"/>
    </row>
    <row r="197" spans="4:6">
      <c r="D197"/>
      <c r="E197" s="25"/>
      <c r="F197"/>
    </row>
    <row r="198" spans="4:6">
      <c r="D198"/>
      <c r="E198" s="25"/>
      <c r="F198"/>
    </row>
    <row r="199" spans="4:6">
      <c r="D199"/>
      <c r="E199" s="25"/>
      <c r="F199"/>
    </row>
    <row r="200" spans="4:6">
      <c r="D200"/>
      <c r="E200" s="25"/>
      <c r="F200"/>
    </row>
    <row r="201" spans="4:6">
      <c r="D201"/>
      <c r="E201" s="25"/>
      <c r="F201"/>
    </row>
    <row r="202" spans="4:6">
      <c r="D202"/>
      <c r="E202" s="25"/>
      <c r="F202"/>
    </row>
    <row r="203" spans="4:6">
      <c r="D203"/>
      <c r="E203" s="25"/>
      <c r="F203"/>
    </row>
    <row r="204" spans="4:6">
      <c r="D204"/>
      <c r="E204" s="25"/>
      <c r="F204"/>
    </row>
    <row r="205" spans="4:6">
      <c r="D205"/>
      <c r="E205" s="25"/>
      <c r="F205"/>
    </row>
    <row r="206" spans="4:6">
      <c r="D206"/>
      <c r="E206" s="25"/>
      <c r="F206"/>
    </row>
    <row r="207" spans="4:6">
      <c r="D207"/>
      <c r="E207" s="25"/>
      <c r="F207"/>
    </row>
    <row r="208" spans="4:6">
      <c r="D208"/>
      <c r="E208" s="25"/>
      <c r="F208"/>
    </row>
    <row r="209" spans="4:6">
      <c r="D209"/>
      <c r="E209" s="25"/>
      <c r="F209"/>
    </row>
    <row r="210" spans="4:6">
      <c r="D210"/>
      <c r="E210" s="25"/>
      <c r="F210"/>
    </row>
    <row r="211" spans="4:6">
      <c r="D211"/>
      <c r="E211" s="25"/>
      <c r="F211"/>
    </row>
    <row r="212" spans="4:6">
      <c r="D212"/>
      <c r="E212" s="25"/>
      <c r="F212"/>
    </row>
    <row r="213" spans="4:6">
      <c r="D213"/>
      <c r="E213" s="25"/>
      <c r="F213"/>
    </row>
    <row r="214" spans="4:6">
      <c r="D214"/>
      <c r="E214" s="25"/>
      <c r="F214"/>
    </row>
    <row r="215" spans="4:6">
      <c r="D215"/>
      <c r="E215" s="25"/>
      <c r="F215"/>
    </row>
    <row r="216" spans="4:6">
      <c r="D216"/>
      <c r="E216" s="25"/>
      <c r="F216"/>
    </row>
    <row r="217" spans="4:6">
      <c r="D217"/>
      <c r="E217" s="25"/>
      <c r="F217"/>
    </row>
    <row r="218" spans="4:6">
      <c r="D218"/>
      <c r="E218" s="25"/>
      <c r="F218"/>
    </row>
    <row r="219" spans="4:6">
      <c r="D219"/>
      <c r="E219" s="25"/>
      <c r="F219"/>
    </row>
    <row r="220" spans="4:6">
      <c r="D220"/>
      <c r="E220" s="25"/>
      <c r="F220"/>
    </row>
    <row r="221" spans="4:6">
      <c r="D221"/>
      <c r="E221" s="25"/>
      <c r="F221"/>
    </row>
    <row r="222" spans="4:6">
      <c r="D222"/>
      <c r="E222" s="25"/>
      <c r="F222"/>
    </row>
    <row r="223" spans="4:6">
      <c r="D223"/>
      <c r="E223" s="25"/>
      <c r="F223"/>
    </row>
    <row r="224" spans="4:6">
      <c r="D224"/>
      <c r="E224" s="25"/>
      <c r="F224"/>
    </row>
    <row r="225" spans="4:6">
      <c r="D225"/>
      <c r="E225" s="25"/>
      <c r="F225"/>
    </row>
    <row r="226" spans="4:6">
      <c r="D226"/>
      <c r="E226" s="25"/>
      <c r="F226"/>
    </row>
    <row r="227" spans="4:6">
      <c r="D227"/>
      <c r="E227" s="25"/>
      <c r="F227"/>
    </row>
    <row r="228" spans="4:6">
      <c r="D228"/>
      <c r="E228" s="25"/>
      <c r="F228"/>
    </row>
    <row r="229" spans="4:6">
      <c r="D229"/>
      <c r="E229" s="25"/>
      <c r="F229"/>
    </row>
    <row r="230" spans="4:6">
      <c r="D230"/>
      <c r="E230" s="25"/>
      <c r="F230"/>
    </row>
    <row r="231" spans="4:6">
      <c r="D231"/>
      <c r="E231" s="25"/>
      <c r="F231"/>
    </row>
    <row r="232" spans="4:6">
      <c r="D232"/>
      <c r="E232" s="25"/>
      <c r="F232"/>
    </row>
    <row r="233" spans="4:6">
      <c r="D233"/>
      <c r="E233" s="25"/>
      <c r="F233"/>
    </row>
    <row r="234" spans="4:6">
      <c r="D234"/>
      <c r="E234" s="25"/>
      <c r="F234"/>
    </row>
    <row r="235" spans="4:6">
      <c r="D235"/>
      <c r="E235" s="25"/>
      <c r="F235"/>
    </row>
    <row r="236" spans="4:6">
      <c r="D236"/>
      <c r="E236" s="25"/>
      <c r="F236"/>
    </row>
    <row r="237" spans="4:6">
      <c r="D237"/>
      <c r="E237" s="25"/>
      <c r="F237"/>
    </row>
    <row r="238" spans="4:6">
      <c r="D238"/>
      <c r="E238" s="25"/>
      <c r="F238"/>
    </row>
    <row r="239" spans="4:6">
      <c r="D239"/>
      <c r="E239" s="25"/>
      <c r="F239"/>
    </row>
    <row r="240" spans="4:6">
      <c r="D240"/>
      <c r="E240" s="25"/>
      <c r="F240"/>
    </row>
    <row r="241" spans="4:6">
      <c r="D241"/>
      <c r="E241" s="25"/>
      <c r="F241"/>
    </row>
    <row r="242" spans="4:6">
      <c r="D242"/>
      <c r="E242" s="25"/>
      <c r="F242"/>
    </row>
    <row r="243" spans="4:6">
      <c r="D243"/>
      <c r="E243" s="25"/>
      <c r="F243"/>
    </row>
    <row r="244" spans="4:6">
      <c r="D244"/>
      <c r="E244" s="25"/>
      <c r="F244"/>
    </row>
    <row r="245" spans="4:6">
      <c r="D245"/>
      <c r="E245" s="25"/>
      <c r="F245"/>
    </row>
    <row r="246" spans="4:6">
      <c r="D246"/>
      <c r="E246" s="25"/>
      <c r="F246"/>
    </row>
    <row r="247" spans="4:6">
      <c r="D247"/>
      <c r="E247" s="25"/>
      <c r="F247"/>
    </row>
    <row r="248" spans="4:6">
      <c r="D248"/>
      <c r="E248" s="25"/>
      <c r="F248"/>
    </row>
    <row r="249" spans="4:6">
      <c r="D249"/>
      <c r="E249" s="25"/>
      <c r="F249"/>
    </row>
    <row r="250" spans="4:6">
      <c r="D250"/>
      <c r="E250" s="25"/>
      <c r="F250"/>
    </row>
    <row r="251" spans="4:6">
      <c r="D251"/>
      <c r="E251" s="25"/>
      <c r="F251"/>
    </row>
    <row r="252" spans="4:6">
      <c r="D252"/>
      <c r="E252" s="25"/>
      <c r="F252"/>
    </row>
    <row r="253" spans="4:6">
      <c r="D253"/>
      <c r="E253" s="25"/>
      <c r="F253"/>
    </row>
    <row r="254" spans="4:6">
      <c r="D254"/>
      <c r="E254" s="25"/>
      <c r="F254"/>
    </row>
    <row r="255" spans="4:6">
      <c r="D255"/>
      <c r="E255" s="25"/>
      <c r="F255"/>
    </row>
    <row r="256" spans="4:6">
      <c r="D256"/>
      <c r="E256" s="25"/>
      <c r="F256"/>
    </row>
    <row r="257" spans="4:6">
      <c r="D257"/>
      <c r="E257" s="25"/>
      <c r="F257"/>
    </row>
    <row r="258" spans="4:6">
      <c r="D258"/>
      <c r="E258" s="25"/>
      <c r="F258"/>
    </row>
    <row r="259" spans="4:6">
      <c r="D259"/>
      <c r="E259" s="25"/>
      <c r="F259"/>
    </row>
    <row r="260" spans="4:6">
      <c r="D260"/>
      <c r="E260" s="25"/>
      <c r="F260"/>
    </row>
    <row r="261" spans="4:6">
      <c r="D261"/>
      <c r="E261" s="25"/>
      <c r="F261"/>
    </row>
    <row r="262" spans="4:6">
      <c r="D262"/>
      <c r="E262" s="25"/>
      <c r="F262"/>
    </row>
    <row r="263" spans="4:6">
      <c r="D263"/>
      <c r="E263" s="25"/>
      <c r="F263"/>
    </row>
    <row r="264" spans="4:6">
      <c r="D264"/>
      <c r="E264" s="25"/>
      <c r="F264"/>
    </row>
    <row r="265" spans="4:6">
      <c r="D265"/>
      <c r="E265" s="25"/>
      <c r="F265"/>
    </row>
    <row r="266" spans="4:6">
      <c r="D266"/>
      <c r="E266" s="25"/>
      <c r="F266"/>
    </row>
    <row r="267" spans="4:6">
      <c r="D267"/>
      <c r="E267" s="25"/>
      <c r="F267"/>
    </row>
    <row r="268" spans="4:6">
      <c r="D268"/>
      <c r="E268" s="25"/>
      <c r="F268"/>
    </row>
    <row r="269" spans="4:6">
      <c r="D269"/>
      <c r="E269" s="25"/>
      <c r="F269"/>
    </row>
    <row r="270" spans="4:6">
      <c r="D270"/>
      <c r="E270" s="25"/>
      <c r="F270"/>
    </row>
    <row r="271" spans="4:6">
      <c r="D271"/>
      <c r="E271" s="25"/>
      <c r="F271"/>
    </row>
    <row r="272" spans="4:6">
      <c r="D272"/>
      <c r="E272" s="25"/>
      <c r="F272"/>
    </row>
    <row r="273" spans="4:6">
      <c r="D273"/>
      <c r="E273" s="25"/>
      <c r="F273"/>
    </row>
    <row r="274" spans="4:6">
      <c r="D274"/>
      <c r="E274" s="25"/>
      <c r="F274"/>
    </row>
    <row r="275" spans="4:6">
      <c r="D275"/>
      <c r="E275" s="25"/>
      <c r="F275"/>
    </row>
    <row r="276" spans="4:6">
      <c r="D276"/>
      <c r="E276" s="25"/>
      <c r="F276"/>
    </row>
    <row r="277" spans="4:6">
      <c r="D277"/>
      <c r="E277" s="25"/>
      <c r="F277"/>
    </row>
    <row r="278" spans="4:6">
      <c r="D278"/>
      <c r="E278" s="25"/>
      <c r="F278"/>
    </row>
    <row r="279" spans="4:6">
      <c r="D279"/>
      <c r="E279" s="25"/>
      <c r="F279"/>
    </row>
    <row r="280" spans="4:6">
      <c r="D280"/>
      <c r="E280" s="25"/>
      <c r="F280"/>
    </row>
    <row r="281" spans="4:6">
      <c r="D281"/>
      <c r="E281" s="25"/>
      <c r="F281"/>
    </row>
    <row r="282" spans="4:6">
      <c r="D282"/>
      <c r="E282" s="25"/>
      <c r="F282"/>
    </row>
    <row r="283" spans="4:6">
      <c r="D283"/>
      <c r="E283" s="25"/>
      <c r="F283"/>
    </row>
    <row r="284" spans="4:6">
      <c r="D284"/>
      <c r="E284" s="25"/>
      <c r="F284"/>
    </row>
    <row r="285" spans="4:6">
      <c r="D285"/>
      <c r="E285" s="25"/>
      <c r="F285"/>
    </row>
    <row r="286" spans="4:6">
      <c r="D286"/>
      <c r="E286" s="25"/>
      <c r="F286"/>
    </row>
    <row r="287" spans="4:6">
      <c r="D287"/>
      <c r="E287" s="25"/>
      <c r="F287"/>
    </row>
    <row r="288" spans="4:6">
      <c r="D288"/>
      <c r="E288" s="25"/>
      <c r="F288"/>
    </row>
    <row r="289" spans="4:6">
      <c r="D289"/>
      <c r="E289" s="25"/>
      <c r="F289"/>
    </row>
    <row r="290" spans="4:6">
      <c r="D290"/>
      <c r="E290" s="25"/>
      <c r="F290"/>
    </row>
    <row r="291" spans="4:6">
      <c r="D291"/>
      <c r="E291" s="25"/>
      <c r="F291"/>
    </row>
    <row r="292" spans="4:6">
      <c r="D292"/>
      <c r="E292" s="25"/>
      <c r="F292"/>
    </row>
    <row r="293" spans="4:6">
      <c r="D293"/>
      <c r="E293" s="25"/>
      <c r="F293"/>
    </row>
    <row r="294" spans="4:6">
      <c r="D294"/>
      <c r="E294" s="25"/>
      <c r="F294"/>
    </row>
    <row r="295" spans="4:6">
      <c r="D295"/>
      <c r="E295" s="25"/>
      <c r="F295"/>
    </row>
    <row r="296" spans="4:6">
      <c r="D296"/>
      <c r="E296" s="25"/>
      <c r="F296"/>
    </row>
    <row r="297" spans="4:6">
      <c r="D297"/>
      <c r="E297" s="25"/>
      <c r="F297"/>
    </row>
    <row r="298" spans="4:6">
      <c r="D298"/>
      <c r="E298" s="25"/>
      <c r="F298"/>
    </row>
    <row r="299" spans="4:6">
      <c r="D299"/>
      <c r="E299" s="25"/>
      <c r="F299"/>
    </row>
    <row r="300" spans="4:6">
      <c r="D300"/>
      <c r="E300" s="25"/>
      <c r="F300"/>
    </row>
    <row r="301" spans="4:6">
      <c r="D301"/>
      <c r="E301" s="25"/>
      <c r="F301"/>
    </row>
    <row r="302" spans="4:6">
      <c r="D302"/>
      <c r="E302" s="25"/>
      <c r="F302"/>
    </row>
    <row r="303" spans="4:6">
      <c r="D303"/>
      <c r="E303" s="25"/>
      <c r="F303"/>
    </row>
    <row r="304" spans="4:6">
      <c r="D304"/>
      <c r="E304" s="25"/>
      <c r="F304"/>
    </row>
    <row r="305" spans="4:6">
      <c r="D305"/>
      <c r="E305" s="25"/>
      <c r="F305"/>
    </row>
    <row r="306" spans="4:6">
      <c r="D306"/>
      <c r="E306" s="25"/>
      <c r="F306"/>
    </row>
    <row r="307" spans="4:6">
      <c r="D307"/>
      <c r="E307" s="25"/>
      <c r="F307"/>
    </row>
    <row r="308" spans="4:6">
      <c r="D308"/>
      <c r="E308" s="25"/>
      <c r="F308"/>
    </row>
    <row r="309" spans="4:6">
      <c r="D309"/>
      <c r="E309" s="25"/>
      <c r="F309"/>
    </row>
    <row r="310" spans="4:6">
      <c r="D310"/>
      <c r="E310" s="25"/>
      <c r="F310"/>
    </row>
    <row r="311" spans="4:6">
      <c r="D311"/>
      <c r="E311" s="25"/>
      <c r="F311"/>
    </row>
    <row r="312" spans="4:6">
      <c r="D312"/>
      <c r="E312" s="25"/>
      <c r="F312"/>
    </row>
    <row r="313" spans="4:6">
      <c r="D313"/>
      <c r="E313" s="25"/>
      <c r="F313"/>
    </row>
    <row r="314" spans="4:6">
      <c r="D314"/>
      <c r="E314" s="25"/>
      <c r="F314"/>
    </row>
    <row r="315" spans="4:6">
      <c r="D315"/>
      <c r="E315" s="25"/>
      <c r="F315"/>
    </row>
    <row r="316" spans="4:6">
      <c r="D316"/>
      <c r="E316" s="25"/>
      <c r="F316"/>
    </row>
    <row r="317" spans="4:6">
      <c r="D317"/>
      <c r="E317" s="25"/>
      <c r="F317"/>
    </row>
    <row r="318" spans="4:6">
      <c r="D318"/>
      <c r="E318" s="25"/>
      <c r="F318"/>
    </row>
    <row r="319" spans="4:6">
      <c r="D319"/>
      <c r="E319" s="25"/>
      <c r="F319"/>
    </row>
    <row r="320" spans="4:6">
      <c r="D320"/>
      <c r="E320" s="25"/>
      <c r="F320"/>
    </row>
    <row r="321" spans="4:6">
      <c r="D321"/>
      <c r="E321" s="25"/>
      <c r="F321"/>
    </row>
    <row r="322" spans="4:6">
      <c r="D322"/>
      <c r="E322" s="25"/>
      <c r="F322"/>
    </row>
    <row r="323" spans="4:6">
      <c r="D323"/>
      <c r="E323" s="25"/>
      <c r="F323"/>
    </row>
    <row r="324" spans="4:6">
      <c r="D324"/>
      <c r="E324" s="25"/>
      <c r="F324"/>
    </row>
    <row r="325" spans="4:6">
      <c r="D325"/>
      <c r="E325" s="25"/>
      <c r="F325"/>
    </row>
    <row r="326" spans="4:6">
      <c r="D326"/>
      <c r="E326" s="25"/>
      <c r="F326"/>
    </row>
    <row r="327" spans="4:6">
      <c r="D327"/>
      <c r="E327" s="25"/>
      <c r="F327"/>
    </row>
    <row r="328" spans="4:6">
      <c r="D328"/>
      <c r="E328" s="25"/>
      <c r="F328"/>
    </row>
    <row r="329" spans="4:6">
      <c r="D329"/>
      <c r="E329" s="25"/>
      <c r="F329"/>
    </row>
    <row r="330" spans="4:6">
      <c r="D330"/>
      <c r="E330" s="25"/>
      <c r="F330"/>
    </row>
    <row r="331" spans="4:6">
      <c r="D331"/>
      <c r="E331" s="25"/>
      <c r="F331"/>
    </row>
    <row r="332" spans="4:6">
      <c r="D332"/>
      <c r="E332" s="25"/>
      <c r="F332"/>
    </row>
    <row r="333" spans="4:6">
      <c r="D333"/>
      <c r="E333" s="25"/>
      <c r="F333"/>
    </row>
    <row r="334" spans="4:6">
      <c r="D334"/>
      <c r="E334" s="25"/>
      <c r="F334"/>
    </row>
    <row r="335" spans="4:6">
      <c r="D335"/>
      <c r="E335" s="25"/>
      <c r="F335"/>
    </row>
    <row r="336" spans="4:6">
      <c r="D336"/>
      <c r="E336" s="25"/>
      <c r="F336"/>
    </row>
    <row r="337" spans="4:6">
      <c r="D337"/>
      <c r="E337" s="25"/>
      <c r="F337"/>
    </row>
    <row r="338" spans="4:6">
      <c r="D338"/>
      <c r="E338" s="25"/>
      <c r="F338"/>
    </row>
    <row r="339" spans="4:6">
      <c r="D339"/>
      <c r="E339" s="25"/>
      <c r="F339"/>
    </row>
    <row r="340" spans="4:6">
      <c r="D340"/>
      <c r="E340" s="25"/>
      <c r="F340"/>
    </row>
    <row r="341" spans="4:6">
      <c r="D341"/>
      <c r="E341" s="25"/>
      <c r="F341"/>
    </row>
    <row r="342" spans="4:6">
      <c r="D342"/>
      <c r="E342" s="25"/>
      <c r="F342"/>
    </row>
    <row r="343" spans="4:6">
      <c r="D343"/>
      <c r="E343" s="25"/>
      <c r="F343"/>
    </row>
    <row r="344" spans="4:6">
      <c r="D344"/>
      <c r="E344" s="25"/>
      <c r="F344"/>
    </row>
    <row r="345" spans="4:6">
      <c r="D345"/>
      <c r="E345" s="25"/>
      <c r="F345"/>
    </row>
    <row r="346" spans="4:6">
      <c r="D346"/>
      <c r="E346" s="25"/>
      <c r="F346"/>
    </row>
    <row r="347" spans="4:6">
      <c r="D347"/>
      <c r="E347" s="25"/>
      <c r="F347"/>
    </row>
    <row r="348" spans="4:6">
      <c r="D348"/>
      <c r="E348" s="25"/>
      <c r="F348"/>
    </row>
    <row r="349" spans="4:6">
      <c r="D349"/>
      <c r="E349" s="25"/>
      <c r="F349"/>
    </row>
    <row r="350" spans="4:6">
      <c r="D350"/>
      <c r="E350" s="25"/>
      <c r="F350"/>
    </row>
    <row r="351" spans="4:6">
      <c r="D351"/>
      <c r="E351" s="25"/>
      <c r="F351"/>
    </row>
    <row r="352" spans="4:6">
      <c r="D352"/>
      <c r="E352" s="25"/>
      <c r="F352"/>
    </row>
    <row r="353" spans="4:6">
      <c r="D353"/>
      <c r="E353" s="25"/>
      <c r="F353"/>
    </row>
    <row r="354" spans="4:6">
      <c r="D354"/>
      <c r="E354" s="25"/>
      <c r="F354"/>
    </row>
    <row r="355" spans="4:6">
      <c r="D355"/>
      <c r="E355" s="25"/>
      <c r="F355"/>
    </row>
    <row r="356" spans="4:6">
      <c r="D356"/>
      <c r="E356" s="25"/>
      <c r="F356"/>
    </row>
    <row r="357" spans="4:6">
      <c r="D357"/>
      <c r="E357" s="25"/>
      <c r="F357"/>
    </row>
    <row r="358" spans="4:6">
      <c r="D358"/>
      <c r="E358" s="25"/>
      <c r="F358"/>
    </row>
    <row r="359" spans="4:6">
      <c r="D359"/>
      <c r="E359" s="25"/>
      <c r="F359"/>
    </row>
    <row r="360" spans="4:6">
      <c r="D360"/>
      <c r="E360" s="25"/>
      <c r="F360"/>
    </row>
    <row r="361" spans="4:6">
      <c r="D361"/>
      <c r="E361" s="25"/>
      <c r="F361"/>
    </row>
    <row r="362" spans="4:6">
      <c r="D362"/>
      <c r="E362" s="25"/>
      <c r="F362"/>
    </row>
  </sheetData>
  <pageMargins left="0.7" right="0.7" top="0.75" bottom="0.75" header="0.3" footer="0.3"/>
  <pageSetup paperSize="9" orientation="portrait" r:id="rId2"/>
  <customProperties>
    <customPr name="_pios_id" r:id="rId3"/>
  </customProperties>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C817D-FC31-4059-93C0-026275546A93}">
  <sheetPr codeName="Sheet6">
    <tabColor theme="0" tint="-0.499984740745262"/>
  </sheetPr>
  <dimension ref="A1:L159"/>
  <sheetViews>
    <sheetView workbookViewId="0">
      <selection activeCell="F14" sqref="F14"/>
    </sheetView>
  </sheetViews>
  <sheetFormatPr defaultRowHeight="14.45"/>
  <cols>
    <col min="1" max="2" width="13.28515625" customWidth="1"/>
    <col min="3" max="3" width="13.42578125" bestFit="1" customWidth="1"/>
    <col min="4" max="4" width="14.7109375" customWidth="1"/>
    <col min="5" max="5" width="28.42578125" bestFit="1" customWidth="1"/>
    <col min="6" max="6" width="28.42578125" customWidth="1"/>
    <col min="7" max="7" width="11.42578125" customWidth="1"/>
    <col min="8" max="8" width="26.7109375" bestFit="1" customWidth="1"/>
    <col min="9" max="9" width="15.7109375" bestFit="1" customWidth="1"/>
    <col min="10" max="10" width="13.5703125" customWidth="1"/>
    <col min="11" max="11" width="26.7109375" bestFit="1" customWidth="1"/>
    <col min="12" max="12" width="11.28515625" customWidth="1"/>
  </cols>
  <sheetData>
    <row r="1" spans="1:12">
      <c r="A1" s="2" t="s">
        <v>341</v>
      </c>
      <c r="B1" s="2" t="s">
        <v>11</v>
      </c>
      <c r="C1" s="2" t="s">
        <v>342</v>
      </c>
      <c r="D1" s="2" t="s">
        <v>343</v>
      </c>
      <c r="E1" s="2" t="s">
        <v>344</v>
      </c>
      <c r="F1" s="2" t="s">
        <v>20</v>
      </c>
      <c r="H1" s="2" t="s">
        <v>345</v>
      </c>
      <c r="I1" s="2" t="s">
        <v>346</v>
      </c>
      <c r="J1" s="2" t="s">
        <v>8</v>
      </c>
      <c r="K1" s="2" t="s">
        <v>18</v>
      </c>
      <c r="L1" s="2"/>
    </row>
    <row r="2" spans="1:12">
      <c r="A2" t="s">
        <v>147</v>
      </c>
      <c r="B2" t="s">
        <v>347</v>
      </c>
      <c r="C2" t="s">
        <v>348</v>
      </c>
      <c r="D2" s="26" t="s">
        <v>32</v>
      </c>
      <c r="E2" s="3">
        <v>2025</v>
      </c>
      <c r="F2" s="3" t="s">
        <v>349</v>
      </c>
      <c r="G2" t="s">
        <v>350</v>
      </c>
      <c r="H2" t="s">
        <v>31</v>
      </c>
      <c r="I2" t="s">
        <v>58</v>
      </c>
      <c r="J2" t="s">
        <v>27</v>
      </c>
      <c r="K2" t="s">
        <v>100</v>
      </c>
    </row>
    <row r="3" spans="1:12">
      <c r="A3" t="s">
        <v>140</v>
      </c>
      <c r="B3" t="s">
        <v>347</v>
      </c>
      <c r="C3" t="s">
        <v>351</v>
      </c>
      <c r="D3" s="26" t="s">
        <v>65</v>
      </c>
      <c r="E3" s="3">
        <v>2026</v>
      </c>
      <c r="F3" s="3" t="s">
        <v>352</v>
      </c>
      <c r="G3" t="s">
        <v>353</v>
      </c>
      <c r="H3" t="s">
        <v>97</v>
      </c>
      <c r="I3" t="s">
        <v>33</v>
      </c>
      <c r="J3" t="s">
        <v>43</v>
      </c>
      <c r="K3" t="s">
        <v>67</v>
      </c>
    </row>
    <row r="4" spans="1:12">
      <c r="A4" t="s">
        <v>288</v>
      </c>
      <c r="B4" t="s">
        <v>347</v>
      </c>
      <c r="C4" t="s">
        <v>354</v>
      </c>
      <c r="D4" s="27"/>
      <c r="E4" s="3">
        <v>2027</v>
      </c>
      <c r="F4" s="3" t="s">
        <v>61</v>
      </c>
      <c r="H4" t="s">
        <v>84</v>
      </c>
      <c r="J4" t="s">
        <v>73</v>
      </c>
      <c r="K4" t="s">
        <v>246</v>
      </c>
    </row>
    <row r="5" spans="1:12">
      <c r="A5" t="s">
        <v>29</v>
      </c>
      <c r="B5" t="s">
        <v>347</v>
      </c>
      <c r="C5" t="s">
        <v>355</v>
      </c>
      <c r="D5" s="25"/>
      <c r="E5" s="3">
        <v>2028</v>
      </c>
      <c r="F5" s="3" t="s">
        <v>154</v>
      </c>
      <c r="J5" t="s">
        <v>135</v>
      </c>
      <c r="K5" t="s">
        <v>71</v>
      </c>
    </row>
    <row r="6" spans="1:12">
      <c r="A6" t="s">
        <v>64</v>
      </c>
      <c r="B6" t="s">
        <v>347</v>
      </c>
      <c r="C6" t="s">
        <v>356</v>
      </c>
      <c r="E6" s="3">
        <v>2029</v>
      </c>
      <c r="F6" s="3" t="s">
        <v>94</v>
      </c>
      <c r="J6" t="s">
        <v>50</v>
      </c>
      <c r="K6" t="s">
        <v>41</v>
      </c>
    </row>
    <row r="7" spans="1:12">
      <c r="A7" t="s">
        <v>287</v>
      </c>
      <c r="B7" t="s">
        <v>347</v>
      </c>
      <c r="C7" t="s">
        <v>357</v>
      </c>
      <c r="D7" s="25"/>
      <c r="E7" s="3">
        <v>2030</v>
      </c>
      <c r="F7" s="3" t="s">
        <v>36</v>
      </c>
      <c r="K7" t="s">
        <v>190</v>
      </c>
    </row>
    <row r="8" spans="1:12">
      <c r="A8" t="s">
        <v>79</v>
      </c>
      <c r="B8" t="s">
        <v>347</v>
      </c>
      <c r="C8" t="s">
        <v>358</v>
      </c>
      <c r="E8" s="3" t="s">
        <v>359</v>
      </c>
      <c r="F8" s="3" t="s">
        <v>360</v>
      </c>
      <c r="K8" t="s">
        <v>35</v>
      </c>
    </row>
    <row r="9" spans="1:12">
      <c r="A9" t="s">
        <v>121</v>
      </c>
      <c r="B9" t="s">
        <v>347</v>
      </c>
      <c r="C9" t="s">
        <v>361</v>
      </c>
      <c r="F9" s="3" t="s">
        <v>362</v>
      </c>
      <c r="K9" t="s">
        <v>111</v>
      </c>
    </row>
    <row r="10" spans="1:12">
      <c r="A10" t="s">
        <v>38</v>
      </c>
      <c r="B10" t="s">
        <v>347</v>
      </c>
      <c r="C10" t="s">
        <v>363</v>
      </c>
      <c r="F10" s="3" t="s">
        <v>72</v>
      </c>
      <c r="K10" t="s">
        <v>60</v>
      </c>
    </row>
    <row r="11" spans="1:12">
      <c r="A11" t="s">
        <v>69</v>
      </c>
      <c r="B11" t="s">
        <v>347</v>
      </c>
      <c r="C11" t="s">
        <v>188</v>
      </c>
      <c r="F11" s="3" t="s">
        <v>364</v>
      </c>
      <c r="K11" t="s">
        <v>54</v>
      </c>
    </row>
    <row r="12" spans="1:12">
      <c r="A12" t="s">
        <v>45</v>
      </c>
      <c r="B12" t="s">
        <v>365</v>
      </c>
      <c r="C12" t="s">
        <v>366</v>
      </c>
      <c r="F12" s="3" t="s">
        <v>90</v>
      </c>
    </row>
    <row r="13" spans="1:12">
      <c r="A13" t="s">
        <v>75</v>
      </c>
      <c r="B13" t="s">
        <v>365</v>
      </c>
      <c r="C13" t="s">
        <v>367</v>
      </c>
      <c r="F13" s="3" t="s">
        <v>42</v>
      </c>
    </row>
    <row r="14" spans="1:12">
      <c r="C14" t="s">
        <v>368</v>
      </c>
    </row>
    <row r="15" spans="1:12">
      <c r="C15" t="s">
        <v>253</v>
      </c>
    </row>
    <row r="16" spans="1:12">
      <c r="C16" t="s">
        <v>369</v>
      </c>
    </row>
    <row r="17" spans="3:3">
      <c r="C17" t="s">
        <v>271</v>
      </c>
    </row>
    <row r="18" spans="3:3">
      <c r="C18" t="s">
        <v>370</v>
      </c>
    </row>
    <row r="19" spans="3:3">
      <c r="C19" t="s">
        <v>371</v>
      </c>
    </row>
    <row r="20" spans="3:3">
      <c r="C20" t="s">
        <v>372</v>
      </c>
    </row>
    <row r="21" spans="3:3">
      <c r="C21" t="s">
        <v>373</v>
      </c>
    </row>
    <row r="22" spans="3:3">
      <c r="C22" t="s">
        <v>374</v>
      </c>
    </row>
    <row r="23" spans="3:3">
      <c r="C23" t="s">
        <v>375</v>
      </c>
    </row>
    <row r="24" spans="3:3">
      <c r="C24" t="s">
        <v>376</v>
      </c>
    </row>
    <row r="25" spans="3:3">
      <c r="C25" t="s">
        <v>377</v>
      </c>
    </row>
    <row r="26" spans="3:3">
      <c r="C26" t="s">
        <v>378</v>
      </c>
    </row>
    <row r="27" spans="3:3">
      <c r="C27" t="s">
        <v>379</v>
      </c>
    </row>
    <row r="28" spans="3:3">
      <c r="C28" t="s">
        <v>380</v>
      </c>
    </row>
    <row r="29" spans="3:3">
      <c r="C29" t="s">
        <v>381</v>
      </c>
    </row>
    <row r="30" spans="3:3">
      <c r="C30" t="s">
        <v>382</v>
      </c>
    </row>
    <row r="31" spans="3:3">
      <c r="C31" t="s">
        <v>383</v>
      </c>
    </row>
    <row r="32" spans="3:3">
      <c r="C32" t="s">
        <v>384</v>
      </c>
    </row>
    <row r="33" spans="3:3">
      <c r="C33" t="s">
        <v>385</v>
      </c>
    </row>
    <row r="34" spans="3:3">
      <c r="C34" t="s">
        <v>386</v>
      </c>
    </row>
    <row r="35" spans="3:3">
      <c r="C35" t="s">
        <v>387</v>
      </c>
    </row>
    <row r="36" spans="3:3">
      <c r="C36" t="s">
        <v>388</v>
      </c>
    </row>
    <row r="37" spans="3:3">
      <c r="C37" t="s">
        <v>389</v>
      </c>
    </row>
    <row r="38" spans="3:3">
      <c r="C38" t="s">
        <v>390</v>
      </c>
    </row>
    <row r="39" spans="3:3">
      <c r="C39" t="s">
        <v>391</v>
      </c>
    </row>
    <row r="40" spans="3:3">
      <c r="C40" t="s">
        <v>392</v>
      </c>
    </row>
    <row r="41" spans="3:3">
      <c r="C41" t="s">
        <v>393</v>
      </c>
    </row>
    <row r="42" spans="3:3">
      <c r="C42" t="s">
        <v>232</v>
      </c>
    </row>
    <row r="43" spans="3:3">
      <c r="C43" t="s">
        <v>394</v>
      </c>
    </row>
    <row r="44" spans="3:3">
      <c r="C44" t="s">
        <v>395</v>
      </c>
    </row>
    <row r="45" spans="3:3">
      <c r="C45" t="s">
        <v>396</v>
      </c>
    </row>
    <row r="46" spans="3:3">
      <c r="C46" t="s">
        <v>397</v>
      </c>
    </row>
    <row r="47" spans="3:3">
      <c r="C47" t="s">
        <v>398</v>
      </c>
    </row>
    <row r="48" spans="3:3">
      <c r="C48" t="s">
        <v>259</v>
      </c>
    </row>
    <row r="49" spans="3:3">
      <c r="C49" t="s">
        <v>264</v>
      </c>
    </row>
    <row r="50" spans="3:3">
      <c r="C50" t="s">
        <v>136</v>
      </c>
    </row>
    <row r="51" spans="3:3">
      <c r="C51" t="s">
        <v>399</v>
      </c>
    </row>
    <row r="52" spans="3:3">
      <c r="C52" t="s">
        <v>400</v>
      </c>
    </row>
    <row r="53" spans="3:3">
      <c r="C53" t="s">
        <v>401</v>
      </c>
    </row>
    <row r="54" spans="3:3">
      <c r="C54" t="s">
        <v>402</v>
      </c>
    </row>
    <row r="55" spans="3:3">
      <c r="C55" t="s">
        <v>403</v>
      </c>
    </row>
    <row r="56" spans="3:3">
      <c r="C56" t="s">
        <v>404</v>
      </c>
    </row>
    <row r="57" spans="3:3">
      <c r="C57" t="s">
        <v>237</v>
      </c>
    </row>
    <row r="58" spans="3:3">
      <c r="C58" t="s">
        <v>405</v>
      </c>
    </row>
    <row r="59" spans="3:3">
      <c r="C59" t="s">
        <v>406</v>
      </c>
    </row>
    <row r="60" spans="3:3">
      <c r="C60" t="s">
        <v>407</v>
      </c>
    </row>
    <row r="61" spans="3:3">
      <c r="C61" t="s">
        <v>408</v>
      </c>
    </row>
    <row r="62" spans="3:3">
      <c r="C62" t="s">
        <v>409</v>
      </c>
    </row>
    <row r="63" spans="3:3">
      <c r="C63" t="s">
        <v>102</v>
      </c>
    </row>
    <row r="64" spans="3:3">
      <c r="C64" t="s">
        <v>410</v>
      </c>
    </row>
    <row r="65" spans="3:3">
      <c r="C65" t="s">
        <v>411</v>
      </c>
    </row>
    <row r="66" spans="3:3">
      <c r="C66" t="s">
        <v>28</v>
      </c>
    </row>
    <row r="67" spans="3:3">
      <c r="C67" t="s">
        <v>412</v>
      </c>
    </row>
    <row r="68" spans="3:3">
      <c r="C68" t="s">
        <v>413</v>
      </c>
    </row>
    <row r="69" spans="3:3">
      <c r="C69" t="s">
        <v>414</v>
      </c>
    </row>
    <row r="70" spans="3:3">
      <c r="C70" t="s">
        <v>415</v>
      </c>
    </row>
    <row r="71" spans="3:3">
      <c r="C71" t="s">
        <v>416</v>
      </c>
    </row>
    <row r="72" spans="3:3">
      <c r="C72" t="s">
        <v>417</v>
      </c>
    </row>
    <row r="73" spans="3:3">
      <c r="C73" t="s">
        <v>418</v>
      </c>
    </row>
    <row r="74" spans="3:3">
      <c r="C74" t="s">
        <v>419</v>
      </c>
    </row>
    <row r="75" spans="3:3">
      <c r="C75" t="s">
        <v>420</v>
      </c>
    </row>
    <row r="76" spans="3:3">
      <c r="C76" t="s">
        <v>421</v>
      </c>
    </row>
    <row r="77" spans="3:3">
      <c r="C77" t="s">
        <v>422</v>
      </c>
    </row>
    <row r="78" spans="3:3">
      <c r="C78" t="s">
        <v>423</v>
      </c>
    </row>
    <row r="79" spans="3:3">
      <c r="C79" t="s">
        <v>266</v>
      </c>
    </row>
    <row r="80" spans="3:3">
      <c r="C80" t="s">
        <v>424</v>
      </c>
    </row>
    <row r="81" spans="3:3">
      <c r="C81" t="s">
        <v>425</v>
      </c>
    </row>
    <row r="82" spans="3:3">
      <c r="C82" t="s">
        <v>219</v>
      </c>
    </row>
    <row r="83" spans="3:3">
      <c r="C83" t="s">
        <v>247</v>
      </c>
    </row>
    <row r="84" spans="3:3">
      <c r="C84" t="s">
        <v>426</v>
      </c>
    </row>
    <row r="85" spans="3:3">
      <c r="C85" t="s">
        <v>427</v>
      </c>
    </row>
    <row r="86" spans="3:3">
      <c r="C86" t="s">
        <v>428</v>
      </c>
    </row>
    <row r="87" spans="3:3">
      <c r="C87" t="s">
        <v>429</v>
      </c>
    </row>
    <row r="88" spans="3:3">
      <c r="C88" t="s">
        <v>430</v>
      </c>
    </row>
    <row r="89" spans="3:3">
      <c r="C89" t="s">
        <v>431</v>
      </c>
    </row>
    <row r="90" spans="3:3">
      <c r="C90" t="s">
        <v>432</v>
      </c>
    </row>
    <row r="91" spans="3:3">
      <c r="C91" t="s">
        <v>433</v>
      </c>
    </row>
    <row r="92" spans="3:3">
      <c r="C92" t="s">
        <v>434</v>
      </c>
    </row>
    <row r="93" spans="3:3">
      <c r="C93" t="s">
        <v>435</v>
      </c>
    </row>
    <row r="94" spans="3:3">
      <c r="C94" t="s">
        <v>436</v>
      </c>
    </row>
    <row r="95" spans="3:3">
      <c r="C95" t="s">
        <v>108</v>
      </c>
    </row>
    <row r="96" spans="3:3">
      <c r="C96" t="s">
        <v>437</v>
      </c>
    </row>
    <row r="97" spans="3:3">
      <c r="C97" t="s">
        <v>438</v>
      </c>
    </row>
    <row r="98" spans="3:3">
      <c r="C98" t="s">
        <v>439</v>
      </c>
    </row>
    <row r="99" spans="3:3">
      <c r="C99" t="s">
        <v>440</v>
      </c>
    </row>
    <row r="100" spans="3:3">
      <c r="C100" t="s">
        <v>441</v>
      </c>
    </row>
    <row r="101" spans="3:3">
      <c r="C101" t="s">
        <v>442</v>
      </c>
    </row>
    <row r="102" spans="3:3">
      <c r="C102" t="s">
        <v>443</v>
      </c>
    </row>
    <row r="103" spans="3:3">
      <c r="C103" t="s">
        <v>444</v>
      </c>
    </row>
    <row r="104" spans="3:3">
      <c r="C104" t="s">
        <v>445</v>
      </c>
    </row>
    <row r="105" spans="3:3">
      <c r="C105" t="s">
        <v>446</v>
      </c>
    </row>
    <row r="106" spans="3:3">
      <c r="C106" t="s">
        <v>447</v>
      </c>
    </row>
    <row r="107" spans="3:3">
      <c r="C107" t="s">
        <v>448</v>
      </c>
    </row>
    <row r="108" spans="3:3">
      <c r="C108" t="s">
        <v>449</v>
      </c>
    </row>
    <row r="109" spans="3:3">
      <c r="C109" t="s">
        <v>450</v>
      </c>
    </row>
    <row r="110" spans="3:3">
      <c r="C110" t="s">
        <v>451</v>
      </c>
    </row>
    <row r="111" spans="3:3">
      <c r="C111" t="s">
        <v>452</v>
      </c>
    </row>
    <row r="112" spans="3:3">
      <c r="C112" t="s">
        <v>453</v>
      </c>
    </row>
    <row r="113" spans="3:3">
      <c r="C113" t="s">
        <v>454</v>
      </c>
    </row>
    <row r="114" spans="3:3">
      <c r="C114" t="s">
        <v>455</v>
      </c>
    </row>
    <row r="115" spans="3:3">
      <c r="C115" t="s">
        <v>240</v>
      </c>
    </row>
    <row r="116" spans="3:3">
      <c r="C116" t="s">
        <v>456</v>
      </c>
    </row>
    <row r="117" spans="3:3">
      <c r="C117" t="s">
        <v>457</v>
      </c>
    </row>
    <row r="118" spans="3:3">
      <c r="C118" t="s">
        <v>458</v>
      </c>
    </row>
    <row r="119" spans="3:3">
      <c r="C119" t="s">
        <v>459</v>
      </c>
    </row>
    <row r="120" spans="3:3">
      <c r="C120" t="s">
        <v>460</v>
      </c>
    </row>
    <row r="121" spans="3:3">
      <c r="C121" t="s">
        <v>461</v>
      </c>
    </row>
    <row r="122" spans="3:3">
      <c r="C122" t="s">
        <v>256</v>
      </c>
    </row>
    <row r="123" spans="3:3">
      <c r="C123" t="s">
        <v>462</v>
      </c>
    </row>
    <row r="124" spans="3:3">
      <c r="C124" t="s">
        <v>114</v>
      </c>
    </row>
    <row r="125" spans="3:3">
      <c r="C125" t="s">
        <v>463</v>
      </c>
    </row>
    <row r="126" spans="3:3">
      <c r="C126" t="s">
        <v>464</v>
      </c>
    </row>
    <row r="127" spans="3:3">
      <c r="C127" t="s">
        <v>465</v>
      </c>
    </row>
    <row r="128" spans="3:3">
      <c r="C128" t="s">
        <v>466</v>
      </c>
    </row>
    <row r="129" spans="3:3">
      <c r="C129" t="s">
        <v>56</v>
      </c>
    </row>
    <row r="130" spans="3:3">
      <c r="C130" t="s">
        <v>467</v>
      </c>
    </row>
    <row r="131" spans="3:3">
      <c r="C131" t="s">
        <v>468</v>
      </c>
    </row>
    <row r="132" spans="3:3">
      <c r="C132" t="s">
        <v>469</v>
      </c>
    </row>
    <row r="133" spans="3:3">
      <c r="C133" t="s">
        <v>470</v>
      </c>
    </row>
    <row r="134" spans="3:3">
      <c r="C134" t="s">
        <v>471</v>
      </c>
    </row>
    <row r="135" spans="3:3">
      <c r="C135" t="s">
        <v>472</v>
      </c>
    </row>
    <row r="136" spans="3:3">
      <c r="C136" t="s">
        <v>473</v>
      </c>
    </row>
    <row r="137" spans="3:3">
      <c r="C137" t="s">
        <v>474</v>
      </c>
    </row>
    <row r="138" spans="3:3">
      <c r="C138" t="s">
        <v>475</v>
      </c>
    </row>
    <row r="139" spans="3:3">
      <c r="C139" t="s">
        <v>476</v>
      </c>
    </row>
    <row r="140" spans="3:3">
      <c r="C140" t="s">
        <v>477</v>
      </c>
    </row>
    <row r="141" spans="3:3">
      <c r="C141" t="s">
        <v>478</v>
      </c>
    </row>
    <row r="142" spans="3:3">
      <c r="C142" t="s">
        <v>479</v>
      </c>
    </row>
    <row r="143" spans="3:3">
      <c r="C143" t="s">
        <v>480</v>
      </c>
    </row>
    <row r="144" spans="3:3">
      <c r="C144" t="s">
        <v>481</v>
      </c>
    </row>
    <row r="145" spans="3:3">
      <c r="C145" t="s">
        <v>482</v>
      </c>
    </row>
    <row r="146" spans="3:3">
      <c r="C146" t="s">
        <v>483</v>
      </c>
    </row>
    <row r="147" spans="3:3">
      <c r="C147" t="s">
        <v>269</v>
      </c>
    </row>
    <row r="148" spans="3:3">
      <c r="C148" t="s">
        <v>484</v>
      </c>
    </row>
    <row r="149" spans="3:3">
      <c r="C149" t="s">
        <v>274</v>
      </c>
    </row>
    <row r="150" spans="3:3">
      <c r="C150" t="s">
        <v>485</v>
      </c>
    </row>
    <row r="151" spans="3:3">
      <c r="C151" t="s">
        <v>486</v>
      </c>
    </row>
    <row r="152" spans="3:3">
      <c r="C152" t="s">
        <v>487</v>
      </c>
    </row>
    <row r="153" spans="3:3">
      <c r="C153" t="s">
        <v>488</v>
      </c>
    </row>
    <row r="154" spans="3:3">
      <c r="C154" t="s">
        <v>489</v>
      </c>
    </row>
    <row r="155" spans="3:3">
      <c r="C155" t="s">
        <v>244</v>
      </c>
    </row>
    <row r="156" spans="3:3">
      <c r="C156" t="s">
        <v>235</v>
      </c>
    </row>
    <row r="157" spans="3:3">
      <c r="C157" t="s">
        <v>490</v>
      </c>
    </row>
    <row r="158" spans="3:3">
      <c r="C158" t="s">
        <v>491</v>
      </c>
    </row>
    <row r="159" spans="3:3">
      <c r="C159" t="s">
        <v>492</v>
      </c>
    </row>
  </sheetData>
  <sheetProtection algorithmName="SHA-512" hashValue="qTQLgAbG9swM5Ko/PtO2Gt6bmJQ04F4fEYVR3kFdXe3tkk34HF0018c8bEns3w5CIgp27xmp+Snc8Qofhn2dlA==" saltValue="il3HJr86usR8IwMx+WwtNQ==" spinCount="100000" sheet="1" objects="1" scenarios="1"/>
  <autoFilter ref="A1:C38" xr:uid="{739C817D-FC31-4059-93C0-026275546A93}">
    <sortState xmlns:xlrd2="http://schemas.microsoft.com/office/spreadsheetml/2017/richdata2" ref="A2:C38">
      <sortCondition ref="C1:C37"/>
    </sortState>
  </autoFilter>
  <sortState xmlns:xlrd2="http://schemas.microsoft.com/office/spreadsheetml/2017/richdata2" ref="A2:A13">
    <sortCondition ref="A2:A13"/>
  </sortState>
  <pageMargins left="0.7" right="0.7" top="0.75" bottom="0.75" header="0.3" footer="0.3"/>
  <pageSetup paperSize="9" orientation="portrait" r:id="rId1"/>
  <customProperties>
    <customPr name="_pios_id" r:id="rId2"/>
  </customPropertie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9DA5B-3693-4A50-8F9F-ADE929B3B649}">
  <sheetPr>
    <tabColor rgb="FFFFC000"/>
  </sheetPr>
  <dimension ref="A1:V112"/>
  <sheetViews>
    <sheetView topLeftCell="B1" zoomScaleNormal="100" workbookViewId="0">
      <selection activeCell="B21" sqref="B21:T74"/>
    </sheetView>
  </sheetViews>
  <sheetFormatPr defaultRowHeight="14.45"/>
  <cols>
    <col min="2" max="2" width="25.5703125" bestFit="1" customWidth="1"/>
    <col min="3" max="3" width="17.140625" customWidth="1"/>
    <col min="4" max="4" width="48" customWidth="1"/>
    <col min="5" max="5" width="12.7109375" bestFit="1" customWidth="1"/>
    <col min="6" max="17" width="6.28515625" customWidth="1"/>
    <col min="18" max="18" width="7.140625" bestFit="1" customWidth="1"/>
    <col min="19" max="20" width="6.28515625" customWidth="1"/>
  </cols>
  <sheetData>
    <row r="1" spans="2:22" ht="15" thickBot="1"/>
    <row r="2" spans="2:22" ht="15">
      <c r="B2" s="90" t="s">
        <v>493</v>
      </c>
      <c r="C2" s="90"/>
      <c r="F2" s="216" t="s">
        <v>494</v>
      </c>
      <c r="G2" s="217"/>
      <c r="H2" s="217"/>
      <c r="I2" s="217"/>
      <c r="J2" s="217"/>
      <c r="K2" s="217"/>
      <c r="L2" s="217"/>
      <c r="M2" s="217"/>
      <c r="N2" s="217"/>
      <c r="O2" s="217"/>
      <c r="P2" s="217"/>
      <c r="Q2" s="217"/>
      <c r="R2" s="216" t="s">
        <v>495</v>
      </c>
      <c r="S2" s="217"/>
      <c r="T2" s="217"/>
    </row>
    <row r="3" spans="2:22" ht="15">
      <c r="F3" s="91"/>
      <c r="G3" s="91"/>
      <c r="H3" s="91"/>
      <c r="I3" s="91"/>
      <c r="J3" s="91"/>
      <c r="K3" s="91"/>
      <c r="L3" s="91"/>
      <c r="M3" s="91"/>
      <c r="N3" s="91"/>
      <c r="O3" s="91"/>
      <c r="P3" s="91"/>
      <c r="Q3" s="91"/>
      <c r="R3" s="91"/>
      <c r="S3" s="91"/>
      <c r="T3" s="91"/>
    </row>
    <row r="4" spans="2:22" ht="15">
      <c r="F4" s="91">
        <v>2026</v>
      </c>
      <c r="G4" s="91">
        <v>2026</v>
      </c>
      <c r="H4" s="91">
        <v>2026</v>
      </c>
      <c r="I4" s="91">
        <v>2026</v>
      </c>
      <c r="J4" s="91">
        <v>2026</v>
      </c>
      <c r="K4" s="91">
        <v>2026</v>
      </c>
      <c r="L4" s="91">
        <v>2026</v>
      </c>
      <c r="M4" s="91">
        <v>2026</v>
      </c>
      <c r="N4" s="91">
        <v>2026</v>
      </c>
      <c r="O4" s="91">
        <v>2026</v>
      </c>
      <c r="P4" s="91">
        <v>2026</v>
      </c>
      <c r="Q4" s="92">
        <v>2026</v>
      </c>
      <c r="R4" s="91">
        <v>2026</v>
      </c>
      <c r="S4" s="91">
        <v>2026</v>
      </c>
      <c r="T4" s="91">
        <v>2026</v>
      </c>
    </row>
    <row r="5" spans="2:22" ht="15.6" thickBot="1">
      <c r="F5" s="93" t="s">
        <v>349</v>
      </c>
      <c r="G5" s="93" t="s">
        <v>352</v>
      </c>
      <c r="H5" s="93" t="s">
        <v>61</v>
      </c>
      <c r="I5" s="93" t="s">
        <v>154</v>
      </c>
      <c r="J5" s="93" t="s">
        <v>94</v>
      </c>
      <c r="K5" s="93" t="s">
        <v>36</v>
      </c>
      <c r="L5" s="93" t="s">
        <v>360</v>
      </c>
      <c r="M5" s="93" t="s">
        <v>362</v>
      </c>
      <c r="N5" s="93" t="s">
        <v>72</v>
      </c>
      <c r="O5" s="93" t="s">
        <v>364</v>
      </c>
      <c r="P5" s="93" t="s">
        <v>90</v>
      </c>
      <c r="Q5" s="94" t="s">
        <v>42</v>
      </c>
      <c r="R5" s="93" t="s">
        <v>496</v>
      </c>
      <c r="S5" s="93" t="s">
        <v>497</v>
      </c>
      <c r="T5" s="93" t="s">
        <v>498</v>
      </c>
    </row>
    <row r="6" spans="2:22" ht="16.149999999999999">
      <c r="B6" s="131" t="s">
        <v>75</v>
      </c>
      <c r="C6" s="131"/>
      <c r="D6" s="132" t="s">
        <v>499</v>
      </c>
      <c r="E6" s="138"/>
      <c r="F6" s="124">
        <v>0</v>
      </c>
      <c r="G6" s="124">
        <v>0</v>
      </c>
      <c r="H6" s="124">
        <v>0</v>
      </c>
      <c r="I6" s="124">
        <v>8.116124661078139</v>
      </c>
      <c r="J6" s="124">
        <v>0</v>
      </c>
      <c r="K6" s="124">
        <v>0</v>
      </c>
      <c r="L6" s="124">
        <v>0</v>
      </c>
      <c r="M6" s="124">
        <v>0</v>
      </c>
      <c r="N6" s="124">
        <v>8.116124661078139</v>
      </c>
      <c r="O6" s="124">
        <v>0</v>
      </c>
      <c r="P6" s="124">
        <v>0</v>
      </c>
      <c r="Q6" s="124">
        <v>0</v>
      </c>
      <c r="R6" s="99">
        <v>8.116124661078139</v>
      </c>
      <c r="S6" s="99">
        <v>8.116124661078139</v>
      </c>
      <c r="T6" s="100">
        <v>16.232249322156278</v>
      </c>
    </row>
    <row r="7" spans="2:22" ht="16.149999999999999">
      <c r="B7" s="135" t="s">
        <v>45</v>
      </c>
      <c r="C7" s="135"/>
      <c r="D7" s="136" t="s">
        <v>500</v>
      </c>
      <c r="E7" s="139"/>
      <c r="F7" s="101"/>
      <c r="G7" s="101">
        <v>24</v>
      </c>
      <c r="H7" s="101"/>
      <c r="I7" s="101"/>
      <c r="J7" s="101"/>
      <c r="K7" s="101"/>
      <c r="L7" s="101"/>
      <c r="M7" s="101"/>
      <c r="N7" s="101"/>
      <c r="O7" s="101"/>
      <c r="P7" s="101"/>
      <c r="Q7" s="137"/>
      <c r="R7" s="99">
        <v>24</v>
      </c>
      <c r="S7" s="103">
        <v>0</v>
      </c>
      <c r="T7" s="104">
        <v>24</v>
      </c>
    </row>
    <row r="8" spans="2:22" ht="16.149999999999999">
      <c r="B8" s="131" t="s">
        <v>75</v>
      </c>
      <c r="C8" s="131"/>
      <c r="D8" s="133" t="s">
        <v>501</v>
      </c>
      <c r="E8" s="140"/>
      <c r="F8" s="124"/>
      <c r="G8" s="124"/>
      <c r="H8" s="124"/>
      <c r="I8" s="124">
        <v>13.050653004390625</v>
      </c>
      <c r="J8" s="124"/>
      <c r="K8" s="124"/>
      <c r="L8" s="124"/>
      <c r="M8" s="124"/>
      <c r="N8" s="124"/>
      <c r="O8" s="124"/>
      <c r="P8" s="124"/>
      <c r="Q8" s="134"/>
      <c r="R8" s="99">
        <v>13.050653004390625</v>
      </c>
      <c r="S8" s="103">
        <v>0</v>
      </c>
      <c r="T8" s="104">
        <v>13.050653004390625</v>
      </c>
    </row>
    <row r="9" spans="2:22" ht="16.149999999999999">
      <c r="B9" s="95" t="s">
        <v>69</v>
      </c>
      <c r="C9" s="95"/>
      <c r="D9" s="96" t="s">
        <v>502</v>
      </c>
      <c r="E9" s="129"/>
      <c r="F9" s="97">
        <v>0</v>
      </c>
      <c r="G9" s="97">
        <v>0</v>
      </c>
      <c r="H9" s="97">
        <v>0</v>
      </c>
      <c r="I9" s="97">
        <v>0</v>
      </c>
      <c r="J9" s="97">
        <v>0</v>
      </c>
      <c r="K9" s="97">
        <v>0</v>
      </c>
      <c r="L9" s="97">
        <v>0</v>
      </c>
      <c r="M9" s="97">
        <v>0</v>
      </c>
      <c r="N9" s="97">
        <v>0</v>
      </c>
      <c r="O9" s="98">
        <v>5</v>
      </c>
      <c r="P9" s="97">
        <v>0</v>
      </c>
      <c r="Q9" s="102">
        <v>0</v>
      </c>
      <c r="R9" s="99">
        <v>0</v>
      </c>
      <c r="S9" s="103">
        <v>5</v>
      </c>
      <c r="T9" s="104">
        <v>5</v>
      </c>
    </row>
    <row r="10" spans="2:22" ht="16.149999999999999">
      <c r="B10" s="95" t="s">
        <v>69</v>
      </c>
      <c r="C10" s="95"/>
      <c r="D10" s="96" t="s">
        <v>503</v>
      </c>
      <c r="E10" s="129"/>
      <c r="F10" s="98">
        <v>2.077</v>
      </c>
      <c r="G10" s="97">
        <v>0</v>
      </c>
      <c r="H10" s="97">
        <v>0</v>
      </c>
      <c r="I10" s="97">
        <v>0</v>
      </c>
      <c r="J10" s="97">
        <v>0</v>
      </c>
      <c r="K10" s="97">
        <v>0</v>
      </c>
      <c r="L10" s="97">
        <v>0</v>
      </c>
      <c r="M10" s="97">
        <v>0</v>
      </c>
      <c r="N10" s="97">
        <v>0</v>
      </c>
      <c r="O10" s="97">
        <v>0</v>
      </c>
      <c r="P10" s="97">
        <v>0</v>
      </c>
      <c r="Q10" s="102">
        <v>0</v>
      </c>
      <c r="R10" s="99">
        <v>2.077</v>
      </c>
      <c r="S10" s="103">
        <v>0</v>
      </c>
      <c r="T10" s="104">
        <v>2.077</v>
      </c>
      <c r="V10" t="s">
        <v>504</v>
      </c>
    </row>
    <row r="11" spans="2:22" ht="16.149999999999999">
      <c r="B11" s="95" t="s">
        <v>64</v>
      </c>
      <c r="C11" s="95"/>
      <c r="D11" s="96" t="s">
        <v>505</v>
      </c>
      <c r="E11" s="129"/>
      <c r="F11" s="97"/>
      <c r="G11" s="97"/>
      <c r="H11" s="97"/>
      <c r="I11" s="98">
        <v>3.8</v>
      </c>
      <c r="J11" s="97"/>
      <c r="K11" s="97"/>
      <c r="L11" s="97"/>
      <c r="M11" s="97"/>
      <c r="N11" s="97"/>
      <c r="O11" s="97"/>
      <c r="P11" s="97"/>
      <c r="Q11" s="102"/>
      <c r="R11" s="99">
        <v>3.8</v>
      </c>
      <c r="S11" s="103">
        <v>0</v>
      </c>
      <c r="T11" s="104">
        <v>3.8</v>
      </c>
      <c r="V11" t="s">
        <v>506</v>
      </c>
    </row>
    <row r="12" spans="2:22" ht="16.149999999999999">
      <c r="B12" s="135" t="s">
        <v>64</v>
      </c>
      <c r="C12" s="135"/>
      <c r="D12" s="136" t="s">
        <v>507</v>
      </c>
      <c r="E12" s="139"/>
      <c r="F12" s="101"/>
      <c r="G12" s="101"/>
      <c r="H12" s="101"/>
      <c r="I12" s="101">
        <v>34.53</v>
      </c>
      <c r="J12" s="101"/>
      <c r="K12" s="101"/>
      <c r="L12" s="101"/>
      <c r="M12" s="101"/>
      <c r="N12" s="101"/>
      <c r="O12" s="101"/>
      <c r="P12" s="101"/>
      <c r="Q12" s="137"/>
      <c r="R12" s="99">
        <v>34.53</v>
      </c>
      <c r="S12" s="103">
        <v>0</v>
      </c>
      <c r="T12" s="104">
        <v>34.53</v>
      </c>
    </row>
    <row r="13" spans="2:22" ht="16.899999999999999" thickBot="1">
      <c r="B13" s="105" t="s">
        <v>64</v>
      </c>
      <c r="C13" s="105"/>
      <c r="D13" s="106" t="s">
        <v>508</v>
      </c>
      <c r="E13" s="141"/>
      <c r="F13" s="107"/>
      <c r="G13" s="107"/>
      <c r="H13" s="107"/>
      <c r="I13" s="107"/>
      <c r="J13" s="107"/>
      <c r="K13" s="107"/>
      <c r="L13" s="107"/>
      <c r="M13" s="107"/>
      <c r="N13" s="107"/>
      <c r="O13" s="108">
        <v>131</v>
      </c>
      <c r="P13" s="107"/>
      <c r="Q13" s="109"/>
      <c r="R13" s="110">
        <v>0</v>
      </c>
      <c r="S13" s="111">
        <v>131</v>
      </c>
      <c r="T13" s="112">
        <v>131</v>
      </c>
    </row>
    <row r="14" spans="2:22" ht="16.899999999999999" thickBot="1">
      <c r="B14" s="105" t="s">
        <v>509</v>
      </c>
      <c r="C14" s="105"/>
      <c r="D14" s="113"/>
      <c r="E14" s="142"/>
      <c r="F14" s="114">
        <f t="shared" ref="F14:T14" si="0">SUM(F6:F13)</f>
        <v>2.077</v>
      </c>
      <c r="G14" s="114">
        <f t="shared" si="0"/>
        <v>24</v>
      </c>
      <c r="H14" s="114">
        <f t="shared" si="0"/>
        <v>0</v>
      </c>
      <c r="I14" s="114">
        <f t="shared" si="0"/>
        <v>59.49677766546877</v>
      </c>
      <c r="J14" s="114">
        <f t="shared" si="0"/>
        <v>0</v>
      </c>
      <c r="K14" s="114">
        <f t="shared" si="0"/>
        <v>0</v>
      </c>
      <c r="L14" s="114">
        <f t="shared" si="0"/>
        <v>0</v>
      </c>
      <c r="M14" s="114">
        <f t="shared" si="0"/>
        <v>0</v>
      </c>
      <c r="N14" s="114">
        <f t="shared" si="0"/>
        <v>8.116124661078139</v>
      </c>
      <c r="O14" s="115">
        <f t="shared" si="0"/>
        <v>136</v>
      </c>
      <c r="P14" s="114">
        <f t="shared" si="0"/>
        <v>0</v>
      </c>
      <c r="Q14" s="116">
        <f t="shared" si="0"/>
        <v>0</v>
      </c>
      <c r="R14" s="117">
        <f t="shared" si="0"/>
        <v>85.573777665468754</v>
      </c>
      <c r="S14" s="112">
        <f t="shared" si="0"/>
        <v>144.11612466107815</v>
      </c>
      <c r="T14" s="112">
        <f t="shared" si="0"/>
        <v>229.6899023265469</v>
      </c>
    </row>
    <row r="20" spans="2:22" ht="15" thickBot="1">
      <c r="B20" s="126"/>
      <c r="C20" s="126"/>
      <c r="D20" s="126"/>
      <c r="E20" s="126"/>
      <c r="F20" s="126"/>
    </row>
    <row r="21" spans="2:22" ht="16.149999999999999">
      <c r="B21" s="127" t="s">
        <v>510</v>
      </c>
      <c r="C21" s="127"/>
      <c r="F21" s="218" t="s">
        <v>511</v>
      </c>
      <c r="G21" s="219"/>
      <c r="H21" s="219"/>
      <c r="I21" s="219"/>
      <c r="J21" s="219"/>
      <c r="K21" s="219"/>
      <c r="L21" s="219"/>
      <c r="M21" s="219"/>
      <c r="N21" s="219"/>
      <c r="O21" s="219"/>
      <c r="P21" s="219"/>
      <c r="Q21" s="219"/>
      <c r="R21" s="220" t="s">
        <v>512</v>
      </c>
      <c r="S21" s="221"/>
      <c r="T21" s="221"/>
    </row>
    <row r="22" spans="2:22" ht="15">
      <c r="F22" s="91">
        <v>2026</v>
      </c>
      <c r="G22" s="91">
        <v>2026</v>
      </c>
      <c r="H22" s="91">
        <v>2026</v>
      </c>
      <c r="I22" s="91">
        <v>2026</v>
      </c>
      <c r="J22" s="91">
        <v>2026</v>
      </c>
      <c r="K22" s="91">
        <v>2026</v>
      </c>
      <c r="L22" s="91">
        <v>2026</v>
      </c>
      <c r="M22" s="91">
        <v>2026</v>
      </c>
      <c r="N22" s="91">
        <v>2026</v>
      </c>
      <c r="O22" s="91">
        <v>2026</v>
      </c>
      <c r="P22" s="91">
        <v>2026</v>
      </c>
      <c r="Q22" s="154">
        <v>2026</v>
      </c>
      <c r="R22" s="91">
        <v>2026</v>
      </c>
      <c r="S22" s="91">
        <v>2026</v>
      </c>
      <c r="T22" s="159">
        <v>2026</v>
      </c>
    </row>
    <row r="23" spans="2:22" ht="15.6" thickBot="1">
      <c r="B23" s="128" t="s">
        <v>513</v>
      </c>
      <c r="C23" s="128"/>
      <c r="D23" s="93"/>
      <c r="E23" s="93"/>
      <c r="F23" s="93" t="s">
        <v>349</v>
      </c>
      <c r="G23" s="93" t="s">
        <v>352</v>
      </c>
      <c r="H23" s="93" t="s">
        <v>61</v>
      </c>
      <c r="I23" s="93" t="s">
        <v>154</v>
      </c>
      <c r="J23" s="93" t="s">
        <v>94</v>
      </c>
      <c r="K23" s="93" t="s">
        <v>36</v>
      </c>
      <c r="L23" s="93" t="s">
        <v>360</v>
      </c>
      <c r="M23" s="93" t="s">
        <v>362</v>
      </c>
      <c r="N23" s="93" t="s">
        <v>72</v>
      </c>
      <c r="O23" s="93" t="s">
        <v>364</v>
      </c>
      <c r="P23" s="93" t="s">
        <v>90</v>
      </c>
      <c r="Q23" s="155" t="s">
        <v>42</v>
      </c>
      <c r="R23" s="93" t="s">
        <v>496</v>
      </c>
      <c r="S23" s="93" t="s">
        <v>497</v>
      </c>
      <c r="T23" s="160" t="s">
        <v>498</v>
      </c>
    </row>
    <row r="24" spans="2:22" ht="16.149999999999999">
      <c r="B24" s="144" t="s">
        <v>75</v>
      </c>
      <c r="C24" s="144" t="s">
        <v>91</v>
      </c>
      <c r="D24" s="144" t="s">
        <v>514</v>
      </c>
      <c r="E24" s="138" t="s">
        <v>515</v>
      </c>
      <c r="F24" s="145"/>
      <c r="G24" s="145"/>
      <c r="H24" s="145"/>
      <c r="I24" s="146">
        <v>8.116124661078139</v>
      </c>
      <c r="J24" s="146"/>
      <c r="K24" s="146"/>
      <c r="L24" s="146"/>
      <c r="M24" s="146"/>
      <c r="N24" s="146">
        <v>8.116124661078139</v>
      </c>
      <c r="O24" s="146"/>
      <c r="P24" s="146"/>
      <c r="Q24" s="156"/>
      <c r="R24" s="169">
        <f>SUM(F24:K24)</f>
        <v>8.116124661078139</v>
      </c>
      <c r="S24" s="169">
        <f>SUM(L24:Q24)</f>
        <v>8.116124661078139</v>
      </c>
      <c r="T24" s="161">
        <f>SUM(R24:S24)</f>
        <v>16.232249322156278</v>
      </c>
    </row>
    <row r="25" spans="2:22" ht="16.149999999999999">
      <c r="B25" s="144" t="s">
        <v>75</v>
      </c>
      <c r="C25" s="144" t="s">
        <v>516</v>
      </c>
      <c r="D25" s="144" t="s">
        <v>517</v>
      </c>
      <c r="E25" s="138" t="s">
        <v>515</v>
      </c>
      <c r="F25" s="145"/>
      <c r="G25" s="145"/>
      <c r="H25" s="145"/>
      <c r="I25" s="146">
        <v>20</v>
      </c>
      <c r="J25" s="146"/>
      <c r="K25" s="146"/>
      <c r="L25" s="146"/>
      <c r="M25" s="146"/>
      <c r="N25" s="146"/>
      <c r="O25" s="146"/>
      <c r="P25" s="146"/>
      <c r="Q25" s="156"/>
      <c r="R25" s="169">
        <f>SUM(F25:K25)</f>
        <v>20</v>
      </c>
      <c r="S25" s="169">
        <f>SUM(L25:Q25)</f>
        <v>0</v>
      </c>
      <c r="T25" s="161">
        <f>SUM(R25:S25)</f>
        <v>20</v>
      </c>
      <c r="V25" t="s">
        <v>518</v>
      </c>
    </row>
    <row r="26" spans="2:22" ht="16.149999999999999">
      <c r="B26" s="144" t="s">
        <v>45</v>
      </c>
      <c r="C26" s="144" t="s">
        <v>519</v>
      </c>
      <c r="D26" s="144" t="s">
        <v>520</v>
      </c>
      <c r="E26" s="139" t="s">
        <v>521</v>
      </c>
      <c r="F26" s="145"/>
      <c r="G26" s="145"/>
      <c r="H26" s="145"/>
      <c r="I26" s="146"/>
      <c r="J26" s="145">
        <v>23</v>
      </c>
      <c r="K26" s="146"/>
      <c r="L26" s="146"/>
      <c r="M26" s="146"/>
      <c r="N26" s="146"/>
      <c r="O26" s="146"/>
      <c r="P26" s="146"/>
      <c r="Q26" s="156"/>
      <c r="R26" s="169">
        <f t="shared" ref="R26:R34" si="1">SUM(F26:K26)</f>
        <v>23</v>
      </c>
      <c r="S26" s="169">
        <f t="shared" ref="S26:S34" si="2">SUM(L26:Q26)</f>
        <v>0</v>
      </c>
      <c r="T26" s="161">
        <f t="shared" ref="T26:T34" si="3">SUM(R26:S26)</f>
        <v>23</v>
      </c>
    </row>
    <row r="27" spans="2:22" ht="7.15" customHeight="1">
      <c r="Q27" s="156"/>
      <c r="T27" s="161">
        <f t="shared" si="3"/>
        <v>0</v>
      </c>
    </row>
    <row r="28" spans="2:22" ht="16.149999999999999" hidden="1">
      <c r="B28" s="144" t="s">
        <v>64</v>
      </c>
      <c r="C28" s="144"/>
      <c r="D28" s="144" t="s">
        <v>505</v>
      </c>
      <c r="E28" s="129"/>
      <c r="F28" s="145"/>
      <c r="G28" s="145"/>
      <c r="H28" s="145"/>
      <c r="I28" s="146"/>
      <c r="J28" s="146"/>
      <c r="K28" s="146"/>
      <c r="L28" s="146"/>
      <c r="M28" s="146"/>
      <c r="N28" s="146"/>
      <c r="O28" s="146"/>
      <c r="P28" s="146"/>
      <c r="Q28" s="156"/>
      <c r="R28" s="169">
        <f t="shared" si="1"/>
        <v>0</v>
      </c>
      <c r="S28" s="169">
        <f t="shared" si="2"/>
        <v>0</v>
      </c>
      <c r="T28" s="161">
        <f t="shared" si="3"/>
        <v>0</v>
      </c>
    </row>
    <row r="29" spans="2:22" ht="16.149999999999999">
      <c r="B29" s="144" t="s">
        <v>64</v>
      </c>
      <c r="C29" s="144" t="s">
        <v>232</v>
      </c>
      <c r="D29" s="144" t="s">
        <v>522</v>
      </c>
      <c r="E29" s="139" t="s">
        <v>521</v>
      </c>
      <c r="F29" s="145"/>
      <c r="G29" s="145"/>
      <c r="H29" s="145"/>
      <c r="I29" s="146"/>
      <c r="J29" s="146"/>
      <c r="K29" s="145">
        <v>46</v>
      </c>
      <c r="L29" s="146"/>
      <c r="M29" s="146"/>
      <c r="N29" s="146"/>
      <c r="O29" s="146"/>
      <c r="P29" s="146"/>
      <c r="Q29" s="156"/>
      <c r="R29" s="169">
        <f t="shared" si="1"/>
        <v>46</v>
      </c>
      <c r="S29" s="169">
        <f t="shared" si="2"/>
        <v>0</v>
      </c>
      <c r="T29" s="161">
        <f t="shared" si="3"/>
        <v>46</v>
      </c>
    </row>
    <row r="30" spans="2:22" ht="16.149999999999999">
      <c r="B30" s="144" t="s">
        <v>64</v>
      </c>
      <c r="C30" s="144" t="s">
        <v>519</v>
      </c>
      <c r="D30" s="144" t="s">
        <v>508</v>
      </c>
      <c r="E30" s="139" t="s">
        <v>521</v>
      </c>
      <c r="F30" s="145"/>
      <c r="G30" s="145"/>
      <c r="H30" s="145"/>
      <c r="I30" s="146"/>
      <c r="J30" s="146"/>
      <c r="K30" s="146"/>
      <c r="L30" s="146"/>
      <c r="M30" s="146"/>
      <c r="N30" s="146"/>
      <c r="O30" s="145">
        <v>70</v>
      </c>
      <c r="P30" s="146"/>
      <c r="Q30" s="156"/>
      <c r="R30" s="169">
        <f t="shared" si="1"/>
        <v>0</v>
      </c>
      <c r="S30" s="169">
        <f t="shared" si="2"/>
        <v>70</v>
      </c>
      <c r="T30" s="161">
        <f t="shared" si="3"/>
        <v>70</v>
      </c>
      <c r="V30" s="101">
        <v>26</v>
      </c>
    </row>
    <row r="31" spans="2:22" ht="16.149999999999999">
      <c r="B31" s="144" t="s">
        <v>64</v>
      </c>
      <c r="C31" s="144" t="s">
        <v>523</v>
      </c>
      <c r="D31" s="144" t="s">
        <v>524</v>
      </c>
      <c r="E31" s="139" t="s">
        <v>521</v>
      </c>
      <c r="F31" s="145"/>
      <c r="G31" s="145"/>
      <c r="H31" s="145"/>
      <c r="I31" s="146"/>
      <c r="J31" s="146"/>
      <c r="K31" s="145">
        <v>50</v>
      </c>
      <c r="L31" s="146"/>
      <c r="M31" s="146"/>
      <c r="N31" s="146"/>
      <c r="O31" s="146"/>
      <c r="P31" s="146"/>
      <c r="Q31" s="156"/>
      <c r="R31" s="169">
        <f t="shared" si="1"/>
        <v>50</v>
      </c>
      <c r="S31" s="169">
        <f t="shared" si="2"/>
        <v>0</v>
      </c>
      <c r="T31" s="161">
        <f t="shared" si="3"/>
        <v>50</v>
      </c>
    </row>
    <row r="32" spans="2:22" ht="16.149999999999999" hidden="1">
      <c r="B32" s="144" t="s">
        <v>64</v>
      </c>
      <c r="C32" s="144"/>
      <c r="D32" s="144" t="s">
        <v>525</v>
      </c>
      <c r="E32" s="129"/>
      <c r="F32" s="145"/>
      <c r="G32" s="145"/>
      <c r="H32" s="145"/>
      <c r="I32" s="146"/>
      <c r="J32" s="146"/>
      <c r="K32" s="146"/>
      <c r="L32" s="146"/>
      <c r="M32" s="146"/>
      <c r="N32" s="146"/>
      <c r="O32" s="146"/>
      <c r="P32" s="146"/>
      <c r="Q32" s="156"/>
      <c r="R32" s="169">
        <f t="shared" si="1"/>
        <v>0</v>
      </c>
      <c r="S32" s="169">
        <f t="shared" si="2"/>
        <v>0</v>
      </c>
      <c r="T32" s="161">
        <f t="shared" si="3"/>
        <v>0</v>
      </c>
    </row>
    <row r="33" spans="2:20" ht="7.15" customHeight="1">
      <c r="B33" s="144"/>
      <c r="C33" s="144"/>
      <c r="D33" s="144"/>
      <c r="E33" s="129"/>
      <c r="F33" s="145"/>
      <c r="G33" s="145"/>
      <c r="H33" s="145"/>
      <c r="I33" s="146"/>
      <c r="J33" s="146"/>
      <c r="K33" s="146"/>
      <c r="L33" s="146"/>
      <c r="M33" s="146"/>
      <c r="N33" s="146"/>
      <c r="O33" s="146"/>
      <c r="P33" s="146"/>
      <c r="Q33" s="156"/>
      <c r="R33" s="169"/>
      <c r="S33" s="169"/>
      <c r="T33" s="161"/>
    </row>
    <row r="34" spans="2:20" ht="16.149999999999999">
      <c r="B34" s="144" t="s">
        <v>121</v>
      </c>
      <c r="C34" s="144" t="s">
        <v>526</v>
      </c>
      <c r="D34" s="144" t="s">
        <v>527</v>
      </c>
      <c r="E34" s="138" t="s">
        <v>515</v>
      </c>
      <c r="F34" s="145"/>
      <c r="G34" s="145"/>
      <c r="H34" s="145"/>
      <c r="I34" s="146">
        <v>63</v>
      </c>
      <c r="J34" s="146"/>
      <c r="K34" s="146"/>
      <c r="L34" s="146"/>
      <c r="M34" s="146"/>
      <c r="N34" s="146"/>
      <c r="O34" s="146"/>
      <c r="P34" s="146"/>
      <c r="Q34" s="156"/>
      <c r="R34" s="169">
        <f t="shared" si="1"/>
        <v>63</v>
      </c>
      <c r="S34" s="169">
        <f t="shared" si="2"/>
        <v>0</v>
      </c>
      <c r="T34" s="161">
        <f t="shared" si="3"/>
        <v>63</v>
      </c>
    </row>
    <row r="35" spans="2:20" ht="9" customHeight="1">
      <c r="B35" s="143"/>
      <c r="C35" s="143"/>
      <c r="D35" s="144"/>
      <c r="E35" s="144"/>
      <c r="F35" s="145"/>
      <c r="G35" s="145"/>
      <c r="H35" s="145"/>
      <c r="I35" s="146"/>
      <c r="J35" s="146"/>
      <c r="K35" s="146"/>
      <c r="L35" s="146"/>
      <c r="M35" s="146"/>
      <c r="N35" s="146"/>
      <c r="O35" s="146"/>
      <c r="P35" s="146"/>
      <c r="Q35" s="156"/>
      <c r="R35" s="169"/>
      <c r="S35" s="169"/>
      <c r="T35" s="161"/>
    </row>
    <row r="36" spans="2:20" s="2" customFormat="1" ht="16.149999999999999">
      <c r="B36" s="144" t="s">
        <v>79</v>
      </c>
      <c r="C36" s="144" t="s">
        <v>433</v>
      </c>
      <c r="D36" s="144" t="s">
        <v>528</v>
      </c>
      <c r="E36" s="138" t="s">
        <v>515</v>
      </c>
      <c r="F36" s="145"/>
      <c r="G36" s="145"/>
      <c r="H36" s="145"/>
      <c r="I36" s="146">
        <v>13</v>
      </c>
      <c r="J36" s="146"/>
      <c r="K36" s="146"/>
      <c r="L36" s="146"/>
      <c r="M36" s="146"/>
      <c r="N36" s="146"/>
      <c r="O36" s="146"/>
      <c r="P36" s="146"/>
      <c r="Q36" s="156"/>
      <c r="R36" s="169">
        <f t="shared" ref="R36:R38" si="4">SUM(F36:K36)</f>
        <v>13</v>
      </c>
      <c r="S36" s="169">
        <f t="shared" ref="S36:S38" si="5">SUM(L36:Q36)</f>
        <v>0</v>
      </c>
      <c r="T36" s="161">
        <f t="shared" ref="T36:T38" si="6">SUM(R36:S36)</f>
        <v>13</v>
      </c>
    </row>
    <row r="37" spans="2:20" s="2" customFormat="1" ht="16.149999999999999">
      <c r="B37" s="144" t="s">
        <v>79</v>
      </c>
      <c r="C37" s="144" t="s">
        <v>529</v>
      </c>
      <c r="D37" s="144" t="s">
        <v>528</v>
      </c>
      <c r="E37" s="138" t="s">
        <v>515</v>
      </c>
      <c r="F37" s="145"/>
      <c r="G37" s="145"/>
      <c r="H37" s="145"/>
      <c r="I37" s="146">
        <v>11</v>
      </c>
      <c r="J37" s="146"/>
      <c r="K37" s="146"/>
      <c r="L37" s="146"/>
      <c r="M37" s="146"/>
      <c r="N37" s="146"/>
      <c r="O37" s="146"/>
      <c r="P37" s="146"/>
      <c r="Q37" s="156"/>
      <c r="R37" s="169">
        <f t="shared" si="4"/>
        <v>11</v>
      </c>
      <c r="S37" s="169">
        <f t="shared" si="5"/>
        <v>0</v>
      </c>
      <c r="T37" s="161">
        <f t="shared" si="6"/>
        <v>11</v>
      </c>
    </row>
    <row r="38" spans="2:20" s="2" customFormat="1" ht="16.149999999999999">
      <c r="B38" s="144" t="s">
        <v>79</v>
      </c>
      <c r="C38" s="144" t="s">
        <v>530</v>
      </c>
      <c r="D38" s="144" t="s">
        <v>531</v>
      </c>
      <c r="E38" s="138" t="s">
        <v>515</v>
      </c>
      <c r="F38" s="145"/>
      <c r="G38" s="145"/>
      <c r="H38" s="145"/>
      <c r="I38" s="146">
        <v>5</v>
      </c>
      <c r="J38" s="146"/>
      <c r="K38" s="146"/>
      <c r="L38" s="146"/>
      <c r="M38" s="146"/>
      <c r="N38" s="146"/>
      <c r="O38" s="146"/>
      <c r="P38" s="146"/>
      <c r="Q38" s="156"/>
      <c r="R38" s="169">
        <f t="shared" si="4"/>
        <v>5</v>
      </c>
      <c r="S38" s="169">
        <f t="shared" si="5"/>
        <v>0</v>
      </c>
      <c r="T38" s="161">
        <f t="shared" si="6"/>
        <v>5</v>
      </c>
    </row>
    <row r="39" spans="2:20" s="2" customFormat="1" ht="16.149999999999999">
      <c r="B39" s="144" t="s">
        <v>79</v>
      </c>
      <c r="C39" s="144" t="s">
        <v>532</v>
      </c>
      <c r="D39" s="144" t="s">
        <v>533</v>
      </c>
      <c r="E39" s="138" t="s">
        <v>515</v>
      </c>
      <c r="F39" s="145"/>
      <c r="G39" s="145"/>
      <c r="H39" s="145"/>
      <c r="I39" s="146">
        <v>4</v>
      </c>
      <c r="J39" s="146"/>
      <c r="K39" s="146"/>
      <c r="L39" s="146"/>
      <c r="M39" s="146"/>
      <c r="N39" s="146"/>
      <c r="O39" s="146"/>
      <c r="P39" s="146"/>
      <c r="Q39" s="156"/>
      <c r="R39" s="169">
        <f t="shared" ref="R39:R40" si="7">SUM(F39:K39)</f>
        <v>4</v>
      </c>
      <c r="S39" s="169">
        <f t="shared" ref="S39:S40" si="8">SUM(L39:Q39)</f>
        <v>0</v>
      </c>
      <c r="T39" s="161">
        <f t="shared" ref="T39:T40" si="9">SUM(R39:S39)</f>
        <v>4</v>
      </c>
    </row>
    <row r="40" spans="2:20" ht="16.899999999999999" thickBot="1">
      <c r="B40" s="130" t="s">
        <v>69</v>
      </c>
      <c r="C40" s="130" t="s">
        <v>534</v>
      </c>
      <c r="D40" s="144" t="s">
        <v>502</v>
      </c>
      <c r="E40" s="138" t="s">
        <v>515</v>
      </c>
      <c r="F40" s="145"/>
      <c r="G40" s="145"/>
      <c r="H40" s="145"/>
      <c r="I40" s="146">
        <v>3</v>
      </c>
      <c r="J40" s="146"/>
      <c r="K40" s="146"/>
      <c r="L40" s="146"/>
      <c r="M40" s="146"/>
      <c r="N40" s="146"/>
      <c r="O40" s="146"/>
      <c r="P40" s="146"/>
      <c r="Q40" s="156"/>
      <c r="R40" s="169">
        <f t="shared" si="7"/>
        <v>3</v>
      </c>
      <c r="S40" s="169">
        <f t="shared" si="8"/>
        <v>0</v>
      </c>
      <c r="T40" s="161">
        <f t="shared" si="9"/>
        <v>3</v>
      </c>
    </row>
    <row r="41" spans="2:20" ht="16.899999999999999" thickBot="1">
      <c r="B41" s="177" t="s">
        <v>509</v>
      </c>
      <c r="C41" s="177"/>
      <c r="D41" s="177"/>
      <c r="E41" s="178"/>
      <c r="F41" s="179">
        <f t="shared" ref="F41:T41" si="10">SUM(F24:F40)</f>
        <v>0</v>
      </c>
      <c r="G41" s="179">
        <f t="shared" si="10"/>
        <v>0</v>
      </c>
      <c r="H41" s="179">
        <f t="shared" si="10"/>
        <v>0</v>
      </c>
      <c r="I41" s="179">
        <f t="shared" si="10"/>
        <v>127.11612466107815</v>
      </c>
      <c r="J41" s="179">
        <f t="shared" si="10"/>
        <v>23</v>
      </c>
      <c r="K41" s="179">
        <f t="shared" si="10"/>
        <v>96</v>
      </c>
      <c r="L41" s="179">
        <f t="shared" si="10"/>
        <v>0</v>
      </c>
      <c r="M41" s="179">
        <f t="shared" si="10"/>
        <v>0</v>
      </c>
      <c r="N41" s="179">
        <f t="shared" si="10"/>
        <v>8.116124661078139</v>
      </c>
      <c r="O41" s="179">
        <f t="shared" si="10"/>
        <v>70</v>
      </c>
      <c r="P41" s="179">
        <f t="shared" si="10"/>
        <v>0</v>
      </c>
      <c r="Q41" s="180">
        <f t="shared" si="10"/>
        <v>0</v>
      </c>
      <c r="R41" s="181">
        <f t="shared" si="10"/>
        <v>246.11612466107815</v>
      </c>
      <c r="S41" s="179">
        <f t="shared" si="10"/>
        <v>78.116124661078146</v>
      </c>
      <c r="T41" s="179">
        <f t="shared" si="10"/>
        <v>324.23224932215629</v>
      </c>
    </row>
    <row r="42" spans="2:20" ht="10.5" customHeight="1">
      <c r="B42" s="173"/>
      <c r="C42" s="173"/>
      <c r="D42" s="173"/>
      <c r="E42" s="173"/>
      <c r="F42" s="173"/>
      <c r="G42" s="173"/>
      <c r="H42" s="173"/>
      <c r="I42" s="173"/>
      <c r="J42" s="173"/>
      <c r="K42" s="173"/>
      <c r="L42" s="173"/>
      <c r="M42" s="173"/>
      <c r="N42" s="173"/>
      <c r="O42" s="173"/>
      <c r="P42" s="173"/>
      <c r="Q42" s="174"/>
      <c r="R42" s="175"/>
      <c r="S42" s="175"/>
      <c r="T42" s="176"/>
    </row>
    <row r="43" spans="2:20" ht="16.149999999999999">
      <c r="B43" s="150" t="s">
        <v>535</v>
      </c>
      <c r="C43" s="150"/>
      <c r="D43" s="150"/>
      <c r="E43" s="152"/>
      <c r="F43" s="153">
        <f t="shared" ref="F43:T43" si="11">F41-F14</f>
        <v>-2.077</v>
      </c>
      <c r="G43" s="153">
        <f t="shared" si="11"/>
        <v>-24</v>
      </c>
      <c r="H43" s="153">
        <f t="shared" si="11"/>
        <v>0</v>
      </c>
      <c r="I43" s="153">
        <f t="shared" si="11"/>
        <v>67.619346995609376</v>
      </c>
      <c r="J43" s="153">
        <f t="shared" si="11"/>
        <v>23</v>
      </c>
      <c r="K43" s="153">
        <f t="shared" si="11"/>
        <v>96</v>
      </c>
      <c r="L43" s="153">
        <f t="shared" si="11"/>
        <v>0</v>
      </c>
      <c r="M43" s="153">
        <f t="shared" si="11"/>
        <v>0</v>
      </c>
      <c r="N43" s="153">
        <f t="shared" si="11"/>
        <v>0</v>
      </c>
      <c r="O43" s="153">
        <f t="shared" si="11"/>
        <v>-66</v>
      </c>
      <c r="P43" s="153">
        <f t="shared" si="11"/>
        <v>0</v>
      </c>
      <c r="Q43" s="158">
        <f t="shared" si="11"/>
        <v>0</v>
      </c>
      <c r="R43" s="164">
        <f t="shared" si="11"/>
        <v>160.54234699560939</v>
      </c>
      <c r="S43" s="164">
        <f t="shared" si="11"/>
        <v>-66</v>
      </c>
      <c r="T43" s="163">
        <f t="shared" si="11"/>
        <v>94.542346995609392</v>
      </c>
    </row>
    <row r="44" spans="2:20" ht="16.149999999999999">
      <c r="B44" s="150" t="s">
        <v>536</v>
      </c>
      <c r="C44" s="150"/>
      <c r="D44" s="150"/>
      <c r="E44" s="151"/>
      <c r="F44" s="153">
        <f>F43</f>
        <v>-2.077</v>
      </c>
      <c r="G44" s="153">
        <f>G43+F44</f>
        <v>-26.076999999999998</v>
      </c>
      <c r="H44" s="153">
        <f t="shared" ref="H44:Q44" si="12">H43+G44</f>
        <v>-26.076999999999998</v>
      </c>
      <c r="I44" s="153">
        <f t="shared" si="12"/>
        <v>41.542346995609378</v>
      </c>
      <c r="J44" s="153">
        <f t="shared" si="12"/>
        <v>64.542346995609378</v>
      </c>
      <c r="K44" s="153">
        <f>K43+J44</f>
        <v>160.54234699560936</v>
      </c>
      <c r="L44" s="153">
        <f t="shared" si="12"/>
        <v>160.54234699560936</v>
      </c>
      <c r="M44" s="153">
        <f t="shared" si="12"/>
        <v>160.54234699560936</v>
      </c>
      <c r="N44" s="153">
        <f t="shared" si="12"/>
        <v>160.54234699560936</v>
      </c>
      <c r="O44" s="153">
        <f t="shared" si="12"/>
        <v>94.542346995609364</v>
      </c>
      <c r="P44" s="153">
        <f t="shared" si="12"/>
        <v>94.542346995609364</v>
      </c>
      <c r="Q44" s="158">
        <f t="shared" si="12"/>
        <v>94.542346995609364</v>
      </c>
      <c r="R44" s="164">
        <f>R41-R14</f>
        <v>160.54234699560939</v>
      </c>
      <c r="S44" s="164">
        <f>S41-S14</f>
        <v>-66</v>
      </c>
      <c r="T44" s="163">
        <f>T41-T14</f>
        <v>94.542346995609392</v>
      </c>
    </row>
    <row r="46" spans="2:20" ht="7.15" customHeight="1"/>
    <row r="47" spans="2:20" ht="7.5" customHeight="1" thickBot="1">
      <c r="B47" s="126"/>
      <c r="C47" s="126"/>
      <c r="D47" s="126"/>
      <c r="E47" s="126"/>
      <c r="F47" s="126"/>
      <c r="G47" s="126"/>
    </row>
    <row r="48" spans="2:20" ht="16.149999999999999">
      <c r="B48" s="127" t="s">
        <v>537</v>
      </c>
      <c r="C48" s="127"/>
      <c r="F48" s="218" t="s">
        <v>511</v>
      </c>
      <c r="G48" s="219"/>
      <c r="H48" s="219"/>
      <c r="I48" s="219"/>
      <c r="J48" s="219"/>
      <c r="K48" s="219"/>
      <c r="L48" s="219"/>
      <c r="M48" s="219"/>
      <c r="N48" s="219"/>
      <c r="O48" s="219"/>
      <c r="P48" s="219"/>
      <c r="Q48" s="219"/>
      <c r="R48" s="220" t="s">
        <v>512</v>
      </c>
      <c r="S48" s="221"/>
      <c r="T48" s="221"/>
    </row>
    <row r="49" spans="1:20" ht="15">
      <c r="F49" s="91">
        <v>2026</v>
      </c>
      <c r="G49" s="91">
        <v>2026</v>
      </c>
      <c r="H49" s="91">
        <v>2026</v>
      </c>
      <c r="I49" s="91">
        <v>2026</v>
      </c>
      <c r="J49" s="91">
        <v>2026</v>
      </c>
      <c r="K49" s="91">
        <v>2026</v>
      </c>
      <c r="L49" s="91">
        <v>2026</v>
      </c>
      <c r="M49" s="91">
        <v>2026</v>
      </c>
      <c r="N49" s="91">
        <v>2026</v>
      </c>
      <c r="O49" s="91">
        <v>2026</v>
      </c>
      <c r="P49" s="91">
        <v>2026</v>
      </c>
      <c r="Q49" s="154">
        <v>2026</v>
      </c>
      <c r="R49" s="91">
        <v>2026</v>
      </c>
      <c r="S49" s="91">
        <v>2026</v>
      </c>
      <c r="T49" s="159">
        <v>2026</v>
      </c>
    </row>
    <row r="50" spans="1:20" ht="15.6" thickBot="1">
      <c r="B50" s="128" t="s">
        <v>513</v>
      </c>
      <c r="C50" s="128"/>
      <c r="D50" s="93"/>
      <c r="E50" s="93"/>
      <c r="F50" s="93" t="s">
        <v>349</v>
      </c>
      <c r="G50" s="93" t="s">
        <v>352</v>
      </c>
      <c r="H50" s="93" t="s">
        <v>61</v>
      </c>
      <c r="I50" s="93" t="s">
        <v>154</v>
      </c>
      <c r="J50" s="93" t="s">
        <v>94</v>
      </c>
      <c r="K50" s="93" t="s">
        <v>36</v>
      </c>
      <c r="L50" s="93" t="s">
        <v>360</v>
      </c>
      <c r="M50" s="93" t="s">
        <v>362</v>
      </c>
      <c r="N50" s="93" t="s">
        <v>72</v>
      </c>
      <c r="O50" s="93" t="s">
        <v>364</v>
      </c>
      <c r="P50" s="93" t="s">
        <v>90</v>
      </c>
      <c r="Q50" s="155" t="s">
        <v>42</v>
      </c>
      <c r="R50" s="93" t="s">
        <v>496</v>
      </c>
      <c r="S50" s="93" t="s">
        <v>497</v>
      </c>
      <c r="T50" s="160" t="s">
        <v>498</v>
      </c>
    </row>
    <row r="51" spans="1:20" ht="16.149999999999999" hidden="1">
      <c r="B51" s="144" t="s">
        <v>45</v>
      </c>
      <c r="C51" s="144" t="s">
        <v>519</v>
      </c>
      <c r="D51" s="144" t="s">
        <v>538</v>
      </c>
      <c r="F51" s="146">
        <v>2.0843099096702531</v>
      </c>
      <c r="G51" s="146">
        <v>1.7263431238867533</v>
      </c>
      <c r="H51" s="146">
        <v>2.974615696318935</v>
      </c>
      <c r="I51" s="146">
        <v>3.7724534920521364</v>
      </c>
      <c r="J51" s="146">
        <v>1.7620439475742842</v>
      </c>
      <c r="K51" s="146">
        <v>3.3772507872336561</v>
      </c>
      <c r="L51" s="146">
        <v>1.7441315253388581</v>
      </c>
      <c r="M51" s="146">
        <v>2.9666707372319152</v>
      </c>
      <c r="N51" s="146">
        <v>1.3107568953587645</v>
      </c>
      <c r="O51" s="146">
        <v>2.7622281969411731</v>
      </c>
      <c r="P51" s="146">
        <v>2.2499318121372767</v>
      </c>
      <c r="Q51" s="156">
        <v>2.9007412496962246</v>
      </c>
      <c r="R51" s="169">
        <f>SUM(F51:K51)</f>
        <v>15.697016956736018</v>
      </c>
      <c r="S51" s="169">
        <f>SUM(L51:Q51)</f>
        <v>13.934460416704212</v>
      </c>
      <c r="T51" s="170">
        <f t="shared" ref="T51:T66" si="13">SUM(R51:S51)</f>
        <v>29.63147737344023</v>
      </c>
    </row>
    <row r="52" spans="1:20" ht="16.149999999999999" hidden="1">
      <c r="B52" s="148" t="s">
        <v>45</v>
      </c>
      <c r="C52" s="148" t="s">
        <v>519</v>
      </c>
      <c r="D52" s="148" t="s">
        <v>539</v>
      </c>
      <c r="E52" s="148"/>
      <c r="F52" s="149">
        <v>-2.0843099096702531</v>
      </c>
      <c r="G52" s="149">
        <v>-1.7263431238867533</v>
      </c>
      <c r="H52" s="149">
        <v>-2.974615696318935</v>
      </c>
      <c r="I52" s="149">
        <v>-3.7724534920521364</v>
      </c>
      <c r="J52" s="149">
        <v>0</v>
      </c>
      <c r="K52" s="149">
        <v>0</v>
      </c>
      <c r="L52" s="149">
        <v>0</v>
      </c>
      <c r="M52" s="149">
        <v>0</v>
      </c>
      <c r="N52" s="149">
        <v>0</v>
      </c>
      <c r="O52" s="149">
        <v>0</v>
      </c>
      <c r="P52" s="149">
        <v>0</v>
      </c>
      <c r="Q52" s="157">
        <v>0</v>
      </c>
      <c r="R52" s="171">
        <f>SUM(F52:K52)</f>
        <v>-10.557722221928078</v>
      </c>
      <c r="S52" s="171">
        <f>SUM(L52:Q52)</f>
        <v>0</v>
      </c>
      <c r="T52" s="172">
        <f t="shared" ref="T52:T53" si="14">SUM(R52:S52)</f>
        <v>-10.557722221928078</v>
      </c>
    </row>
    <row r="53" spans="1:20" ht="16.149999999999999">
      <c r="B53" s="165" t="s">
        <v>45</v>
      </c>
      <c r="C53" s="165" t="s">
        <v>519</v>
      </c>
      <c r="D53" s="165" t="s">
        <v>540</v>
      </c>
      <c r="E53" s="139" t="s">
        <v>521</v>
      </c>
      <c r="F53" s="166">
        <f>SUM(F51:F52)</f>
        <v>0</v>
      </c>
      <c r="G53" s="166">
        <f t="shared" ref="G53" si="15">SUM(G51:G52)</f>
        <v>0</v>
      </c>
      <c r="H53" s="166">
        <f t="shared" ref="H53" si="16">SUM(H51:H52)</f>
        <v>0</v>
      </c>
      <c r="I53" s="166">
        <f t="shared" ref="I53" si="17">SUM(I51:I52)</f>
        <v>0</v>
      </c>
      <c r="J53" s="166">
        <f t="shared" ref="J53" si="18">SUM(J51:J52)</f>
        <v>1.7620439475742842</v>
      </c>
      <c r="K53" s="166">
        <f t="shared" ref="K53" si="19">SUM(K51:K52)</f>
        <v>3.3772507872336561</v>
      </c>
      <c r="L53" s="166">
        <f t="shared" ref="L53" si="20">SUM(L51:L52)</f>
        <v>1.7441315253388581</v>
      </c>
      <c r="M53" s="166">
        <f t="shared" ref="M53" si="21">SUM(M51:M52)</f>
        <v>2.9666707372319152</v>
      </c>
      <c r="N53" s="166">
        <f t="shared" ref="N53" si="22">SUM(N51:N52)</f>
        <v>1.3107568953587645</v>
      </c>
      <c r="O53" s="166">
        <f t="shared" ref="O53" si="23">SUM(O51:O52)</f>
        <v>2.7622281969411731</v>
      </c>
      <c r="P53" s="166">
        <f t="shared" ref="P53" si="24">SUM(P51:P52)</f>
        <v>2.2499318121372767</v>
      </c>
      <c r="Q53" s="167">
        <f t="shared" ref="Q53" si="25">SUM(Q51:Q52)</f>
        <v>2.9007412496962246</v>
      </c>
      <c r="R53" s="182">
        <f>SUM(F53:K53)</f>
        <v>5.1392947348079403</v>
      </c>
      <c r="S53" s="182">
        <f>SUM(L53:Q53)</f>
        <v>13.934460416704212</v>
      </c>
      <c r="T53" s="162">
        <f t="shared" si="14"/>
        <v>19.073755151512152</v>
      </c>
    </row>
    <row r="54" spans="1:20" s="2" customFormat="1" ht="9" customHeight="1">
      <c r="B54" s="143"/>
      <c r="C54" s="143"/>
      <c r="D54" s="143"/>
      <c r="F54" s="145"/>
      <c r="G54" s="145"/>
      <c r="H54" s="145"/>
      <c r="I54" s="145"/>
      <c r="J54" s="145"/>
      <c r="K54" s="145"/>
      <c r="L54" s="145"/>
      <c r="M54" s="145"/>
      <c r="N54" s="145"/>
      <c r="O54" s="145"/>
      <c r="P54" s="145"/>
      <c r="Q54" s="168"/>
      <c r="R54" s="147"/>
      <c r="S54" s="147"/>
      <c r="T54" s="161"/>
    </row>
    <row r="55" spans="1:20" s="2" customFormat="1" ht="16.149999999999999">
      <c r="B55" s="144" t="s">
        <v>45</v>
      </c>
      <c r="C55" s="144" t="s">
        <v>91</v>
      </c>
      <c r="D55" s="144" t="s">
        <v>541</v>
      </c>
      <c r="E55" s="184" t="s">
        <v>542</v>
      </c>
      <c r="F55" s="146">
        <v>0</v>
      </c>
      <c r="G55" s="146">
        <v>0</v>
      </c>
      <c r="H55" s="146">
        <v>0</v>
      </c>
      <c r="I55" s="146">
        <v>1.740411500080441</v>
      </c>
      <c r="J55" s="146">
        <v>3.126514554167926</v>
      </c>
      <c r="K55" s="146">
        <v>3.9071127233290284</v>
      </c>
      <c r="L55" s="146">
        <v>2.0479614192144382</v>
      </c>
      <c r="M55" s="146">
        <v>1.4165366337533101</v>
      </c>
      <c r="N55" s="146">
        <v>2.0481143526368939</v>
      </c>
      <c r="O55" s="146">
        <v>1.9815763433547176</v>
      </c>
      <c r="P55" s="146">
        <v>3.5777297699938586</v>
      </c>
      <c r="Q55" s="156">
        <v>1.6796011231785428</v>
      </c>
      <c r="R55" s="169">
        <f>SUM(F55:K55)</f>
        <v>8.7740387775773954</v>
      </c>
      <c r="S55" s="169">
        <f>SUM(L55:Q55)</f>
        <v>12.751519642131761</v>
      </c>
      <c r="T55" s="161">
        <f t="shared" si="13"/>
        <v>21.525558419709157</v>
      </c>
    </row>
    <row r="56" spans="1:20" s="2" customFormat="1" ht="10.15" customHeight="1">
      <c r="B56" s="143"/>
      <c r="C56" s="143"/>
      <c r="D56" s="143"/>
      <c r="F56" s="145"/>
      <c r="G56" s="145"/>
      <c r="H56" s="145"/>
      <c r="I56" s="145"/>
      <c r="J56" s="145"/>
      <c r="K56" s="145"/>
      <c r="L56" s="145"/>
      <c r="M56" s="145"/>
      <c r="N56" s="145"/>
      <c r="O56" s="145"/>
      <c r="P56" s="145"/>
      <c r="Q56" s="168"/>
      <c r="R56" s="147"/>
      <c r="S56" s="147"/>
      <c r="T56" s="161"/>
    </row>
    <row r="57" spans="1:20" ht="16.149999999999999" hidden="1">
      <c r="A57" t="s">
        <v>543</v>
      </c>
      <c r="B57" s="144" t="s">
        <v>45</v>
      </c>
      <c r="C57" s="144" t="s">
        <v>544</v>
      </c>
      <c r="D57" s="144" t="s">
        <v>545</v>
      </c>
      <c r="F57" s="146">
        <v>0</v>
      </c>
      <c r="G57" s="146">
        <v>0</v>
      </c>
      <c r="H57" s="146">
        <v>0</v>
      </c>
      <c r="I57" s="146">
        <v>4.0454010141620387</v>
      </c>
      <c r="J57" s="146">
        <v>2.118354659005746</v>
      </c>
      <c r="K57" s="146">
        <v>0.18570729718400258</v>
      </c>
      <c r="L57" s="146">
        <v>0.98664226237470132</v>
      </c>
      <c r="M57" s="146">
        <v>1.7057242346284127</v>
      </c>
      <c r="N57" s="146">
        <v>0.21062913343960332</v>
      </c>
      <c r="O57" s="146">
        <v>0.22899067731071199</v>
      </c>
      <c r="P57" s="146">
        <v>0.25021399214200812</v>
      </c>
      <c r="Q57" s="156">
        <v>1.0142782128112984</v>
      </c>
      <c r="R57" s="169">
        <f>SUM(F57:K57)</f>
        <v>6.3494629703517873</v>
      </c>
      <c r="S57" s="169">
        <f>SUM(L57:Q57)</f>
        <v>4.3964785127067358</v>
      </c>
      <c r="T57" s="170">
        <f t="shared" si="13"/>
        <v>10.745941483058523</v>
      </c>
    </row>
    <row r="58" spans="1:20" ht="16.149999999999999" hidden="1">
      <c r="A58" t="s">
        <v>546</v>
      </c>
      <c r="B58" s="148" t="s">
        <v>45</v>
      </c>
      <c r="C58" s="148" t="s">
        <v>544</v>
      </c>
      <c r="D58" s="148" t="s">
        <v>547</v>
      </c>
      <c r="E58" s="148"/>
      <c r="F58" s="149">
        <v>0</v>
      </c>
      <c r="G58" s="149">
        <v>0</v>
      </c>
      <c r="H58" s="149">
        <v>0</v>
      </c>
      <c r="I58" s="149">
        <v>-4.0454010141620387</v>
      </c>
      <c r="J58" s="149">
        <v>-2.118354659005746</v>
      </c>
      <c r="K58" s="149">
        <v>-0.18570729718400258</v>
      </c>
      <c r="L58" s="149">
        <v>-0.98664226237470132</v>
      </c>
      <c r="M58" s="149">
        <v>-1.7057242346284127</v>
      </c>
      <c r="N58" s="149">
        <v>-0.21062913343960332</v>
      </c>
      <c r="O58" s="149">
        <v>-0.22899067731071199</v>
      </c>
      <c r="P58" s="149">
        <v>-0.25021399214200812</v>
      </c>
      <c r="Q58" s="157">
        <v>3.7007485127003914E-2</v>
      </c>
      <c r="R58" s="171">
        <f>SUM(F58:K58)</f>
        <v>-6.3494629703517873</v>
      </c>
      <c r="S58" s="171">
        <f>SUM(L58:Q58)</f>
        <v>-3.3451928147684336</v>
      </c>
      <c r="T58" s="172">
        <f t="shared" ref="T58" si="26">SUM(R58:S58)</f>
        <v>-9.6946557851202204</v>
      </c>
    </row>
    <row r="59" spans="1:20" ht="16.149999999999999">
      <c r="A59" t="s">
        <v>546</v>
      </c>
      <c r="B59" s="165" t="s">
        <v>45</v>
      </c>
      <c r="C59" s="165" t="s">
        <v>544</v>
      </c>
      <c r="D59" s="165" t="s">
        <v>548</v>
      </c>
      <c r="E59" s="139" t="s">
        <v>521</v>
      </c>
      <c r="F59" s="166">
        <f>SUM(F57:F58)</f>
        <v>0</v>
      </c>
      <c r="G59" s="166">
        <f t="shared" ref="G59:Q59" si="27">SUM(G57:G58)</f>
        <v>0</v>
      </c>
      <c r="H59" s="166">
        <f t="shared" si="27"/>
        <v>0</v>
      </c>
      <c r="I59" s="166">
        <f t="shared" si="27"/>
        <v>0</v>
      </c>
      <c r="J59" s="166">
        <f t="shared" si="27"/>
        <v>0</v>
      </c>
      <c r="K59" s="166">
        <f t="shared" si="27"/>
        <v>0</v>
      </c>
      <c r="L59" s="166">
        <f t="shared" si="27"/>
        <v>0</v>
      </c>
      <c r="M59" s="166">
        <f t="shared" si="27"/>
        <v>0</v>
      </c>
      <c r="N59" s="166">
        <f t="shared" si="27"/>
        <v>0</v>
      </c>
      <c r="O59" s="166">
        <f t="shared" si="27"/>
        <v>0</v>
      </c>
      <c r="P59" s="166">
        <f t="shared" si="27"/>
        <v>0</v>
      </c>
      <c r="Q59" s="167">
        <f t="shared" si="27"/>
        <v>1.0512856979383023</v>
      </c>
      <c r="R59" s="182">
        <f>SUM(F59:K59)</f>
        <v>0</v>
      </c>
      <c r="S59" s="182">
        <f>SUM(L59:Q59)</f>
        <v>1.0512856979383023</v>
      </c>
      <c r="T59" s="162">
        <f t="shared" ref="T59" si="28">SUM(R59:S59)</f>
        <v>1.0512856979383023</v>
      </c>
    </row>
    <row r="60" spans="1:20" s="2" customFormat="1" ht="5.65" customHeight="1">
      <c r="B60" s="143"/>
      <c r="C60" s="143"/>
      <c r="D60" s="143"/>
      <c r="F60" s="145"/>
      <c r="G60" s="145"/>
      <c r="H60" s="145"/>
      <c r="I60" s="145"/>
      <c r="J60" s="145"/>
      <c r="K60" s="145"/>
      <c r="L60" s="145"/>
      <c r="M60" s="145"/>
      <c r="N60" s="145"/>
      <c r="O60" s="145"/>
      <c r="P60" s="145"/>
      <c r="Q60" s="168"/>
      <c r="R60" s="147"/>
      <c r="S60" s="147"/>
      <c r="T60" s="161"/>
    </row>
    <row r="61" spans="1:20" s="2" customFormat="1" ht="16.149999999999999">
      <c r="B61" s="144" t="s">
        <v>45</v>
      </c>
      <c r="C61" s="144" t="s">
        <v>367</v>
      </c>
      <c r="D61" s="144" t="s">
        <v>549</v>
      </c>
      <c r="E61" s="138" t="s">
        <v>515</v>
      </c>
      <c r="F61" s="146">
        <v>0</v>
      </c>
      <c r="G61" s="146">
        <v>0</v>
      </c>
      <c r="H61" s="146">
        <v>0</v>
      </c>
      <c r="I61" s="146">
        <v>-0.61410868497578974</v>
      </c>
      <c r="J61" s="146">
        <v>-0.59678446859673784</v>
      </c>
      <c r="K61" s="146">
        <v>-0.43175477534974505</v>
      </c>
      <c r="L61" s="146">
        <v>-0.12454618958249597</v>
      </c>
      <c r="M61" s="146">
        <v>-0.33473766560783247</v>
      </c>
      <c r="N61" s="146">
        <v>-0.31143769917795794</v>
      </c>
      <c r="O61" s="146">
        <v>-0.52712836771689098</v>
      </c>
      <c r="P61" s="146">
        <v>-0.2732062518993601</v>
      </c>
      <c r="Q61" s="156">
        <v>-0.29092792937418466</v>
      </c>
      <c r="R61" s="169">
        <f t="shared" ref="R61:R66" si="29">SUM(F61:K61)</f>
        <v>-1.6426479289222726</v>
      </c>
      <c r="S61" s="169">
        <f t="shared" ref="S61:S66" si="30">SUM(L61:Q61)</f>
        <v>-1.8619841033587221</v>
      </c>
      <c r="T61" s="161">
        <f t="shared" si="13"/>
        <v>-3.5046320322809947</v>
      </c>
    </row>
    <row r="62" spans="1:20" s="2" customFormat="1" ht="16.149999999999999">
      <c r="B62" s="144" t="s">
        <v>45</v>
      </c>
      <c r="C62" s="144" t="s">
        <v>266</v>
      </c>
      <c r="D62" s="144" t="s">
        <v>550</v>
      </c>
      <c r="E62" s="138" t="s">
        <v>515</v>
      </c>
      <c r="F62" s="146">
        <v>0</v>
      </c>
      <c r="G62" s="146">
        <v>0</v>
      </c>
      <c r="H62" s="146">
        <v>0</v>
      </c>
      <c r="I62" s="146">
        <v>-9.6173743253956445E-2</v>
      </c>
      <c r="J62" s="146">
        <v>-0.11748826158288495</v>
      </c>
      <c r="K62" s="146">
        <v>-8.9722885676650321E-2</v>
      </c>
      <c r="L62" s="146">
        <v>-8.3587676721947446E-2</v>
      </c>
      <c r="M62" s="146">
        <v>-0.36121736214489175</v>
      </c>
      <c r="N62" s="146">
        <v>-8.9676323571154626E-2</v>
      </c>
      <c r="O62" s="146">
        <v>-7.3225207769212375E-2</v>
      </c>
      <c r="P62" s="146">
        <v>-9.8056762184654644E-2</v>
      </c>
      <c r="Q62" s="156">
        <v>-0.10735031058236899</v>
      </c>
      <c r="R62" s="169">
        <f t="shared" si="29"/>
        <v>-0.30338489051349171</v>
      </c>
      <c r="S62" s="169">
        <f t="shared" si="30"/>
        <v>-0.81311364297422983</v>
      </c>
      <c r="T62" s="161">
        <f t="shared" si="13"/>
        <v>-1.1164985334877215</v>
      </c>
    </row>
    <row r="63" spans="1:20" s="2" customFormat="1" ht="16.149999999999999">
      <c r="B63" s="144" t="s">
        <v>45</v>
      </c>
      <c r="C63" s="144" t="s">
        <v>51</v>
      </c>
      <c r="D63" s="144" t="s">
        <v>551</v>
      </c>
      <c r="E63" s="138" t="s">
        <v>515</v>
      </c>
      <c r="F63" s="146">
        <v>0</v>
      </c>
      <c r="G63" s="146">
        <v>0</v>
      </c>
      <c r="H63" s="146">
        <v>0</v>
      </c>
      <c r="I63" s="146">
        <v>-3.4532673600295993E-4</v>
      </c>
      <c r="J63" s="146">
        <v>3.2808295072399574E-3</v>
      </c>
      <c r="K63" s="146">
        <v>-4.0365998649178891E-3</v>
      </c>
      <c r="L63" s="146">
        <v>4.0791311840422395E-3</v>
      </c>
      <c r="M63" s="146">
        <v>-1.1005520388351897E-2</v>
      </c>
      <c r="N63" s="146">
        <v>5.3809413488892233E-4</v>
      </c>
      <c r="O63" s="146">
        <v>-5.1578336778064227E-3</v>
      </c>
      <c r="P63" s="146">
        <v>-6.8186711162354641E-4</v>
      </c>
      <c r="Q63" s="156">
        <v>-1.7482499976196664E-2</v>
      </c>
      <c r="R63" s="169">
        <f t="shared" si="29"/>
        <v>-1.1010970936808917E-3</v>
      </c>
      <c r="S63" s="169">
        <f t="shared" si="30"/>
        <v>-2.9710495835047368E-2</v>
      </c>
      <c r="T63" s="161">
        <f t="shared" si="13"/>
        <v>-3.081159292872826E-2</v>
      </c>
    </row>
    <row r="64" spans="1:20" s="2" customFormat="1" ht="16.149999999999999">
      <c r="B64" s="144" t="s">
        <v>45</v>
      </c>
      <c r="C64" s="144" t="s">
        <v>552</v>
      </c>
      <c r="D64" s="144" t="s">
        <v>553</v>
      </c>
      <c r="E64" s="184" t="s">
        <v>542</v>
      </c>
      <c r="F64" s="146">
        <v>0</v>
      </c>
      <c r="G64" s="146">
        <v>0</v>
      </c>
      <c r="H64" s="146">
        <v>0</v>
      </c>
      <c r="I64" s="146">
        <v>1.3486201474622845</v>
      </c>
      <c r="J64" s="146">
        <v>2.0834517381204662</v>
      </c>
      <c r="K64" s="146">
        <v>1.7602629536994101</v>
      </c>
      <c r="L64" s="146">
        <v>0.41863457012689054</v>
      </c>
      <c r="M64" s="146">
        <v>2.4055290910901519</v>
      </c>
      <c r="N64" s="146">
        <v>0.70142407907229654</v>
      </c>
      <c r="O64" s="146">
        <v>1.11848454567847</v>
      </c>
      <c r="P64" s="146">
        <v>1.7698438311075506</v>
      </c>
      <c r="Q64" s="156">
        <v>3.2892216076002327</v>
      </c>
      <c r="R64" s="169">
        <f t="shared" si="29"/>
        <v>5.1923348392821609</v>
      </c>
      <c r="S64" s="169">
        <f t="shared" si="30"/>
        <v>9.7031377246755923</v>
      </c>
      <c r="T64" s="161">
        <f t="shared" si="13"/>
        <v>14.895472563957753</v>
      </c>
    </row>
    <row r="65" spans="2:20" s="2" customFormat="1" ht="16.149999999999999">
      <c r="B65" s="144" t="s">
        <v>45</v>
      </c>
      <c r="C65" s="144" t="s">
        <v>552</v>
      </c>
      <c r="D65" s="183" t="s">
        <v>554</v>
      </c>
      <c r="E65" s="184" t="s">
        <v>542</v>
      </c>
      <c r="F65" s="146">
        <v>0</v>
      </c>
      <c r="G65" s="146">
        <v>0</v>
      </c>
      <c r="H65" s="146">
        <v>0</v>
      </c>
      <c r="I65" s="146">
        <v>0</v>
      </c>
      <c r="J65" s="146">
        <v>0</v>
      </c>
      <c r="K65" s="146">
        <v>0</v>
      </c>
      <c r="L65" s="146">
        <v>0</v>
      </c>
      <c r="M65" s="146">
        <v>0</v>
      </c>
      <c r="N65" s="146">
        <v>0</v>
      </c>
      <c r="O65" s="146">
        <v>0.82159204561962396</v>
      </c>
      <c r="P65" s="146">
        <v>1.3023432416757401</v>
      </c>
      <c r="Q65" s="156">
        <v>2.417055310312231</v>
      </c>
      <c r="R65" s="169">
        <f t="shared" si="29"/>
        <v>0</v>
      </c>
      <c r="S65" s="169">
        <f t="shared" si="30"/>
        <v>4.5409905976075944</v>
      </c>
      <c r="T65" s="161">
        <f t="shared" ref="T65" si="31">SUM(R65:S65)</f>
        <v>4.5409905976075944</v>
      </c>
    </row>
    <row r="66" spans="2:20" s="2" customFormat="1" ht="16.149999999999999">
      <c r="B66" s="144" t="s">
        <v>45</v>
      </c>
      <c r="C66" s="144" t="s">
        <v>555</v>
      </c>
      <c r="D66" s="144" t="s">
        <v>556</v>
      </c>
      <c r="E66" s="138" t="s">
        <v>515</v>
      </c>
      <c r="F66" s="146">
        <v>0</v>
      </c>
      <c r="G66" s="146">
        <v>0</v>
      </c>
      <c r="H66" s="146">
        <v>0</v>
      </c>
      <c r="I66" s="146">
        <v>5.1960114272763107</v>
      </c>
      <c r="J66" s="146">
        <v>4.5790819891914367</v>
      </c>
      <c r="K66" s="146">
        <v>1.4564242519050907</v>
      </c>
      <c r="L66" s="146">
        <v>3.5060958127233164</v>
      </c>
      <c r="M66" s="146">
        <v>0.75952516456184327</v>
      </c>
      <c r="N66" s="146">
        <v>2.0968008742890021</v>
      </c>
      <c r="O66" s="146">
        <v>0.73410123381476211</v>
      </c>
      <c r="P66" s="146">
        <v>1.8435819553979798</v>
      </c>
      <c r="Q66" s="156">
        <v>0.7863515041335134</v>
      </c>
      <c r="R66" s="169">
        <f t="shared" si="29"/>
        <v>11.231517668372838</v>
      </c>
      <c r="S66" s="169">
        <f t="shared" si="30"/>
        <v>9.726456544920417</v>
      </c>
      <c r="T66" s="161">
        <f t="shared" si="13"/>
        <v>20.957974213293255</v>
      </c>
    </row>
    <row r="67" spans="2:20" s="2" customFormat="1" ht="16.149999999999999">
      <c r="B67" s="143"/>
      <c r="C67" s="143"/>
      <c r="D67" s="143"/>
      <c r="F67" s="145"/>
      <c r="G67" s="145"/>
      <c r="H67" s="145"/>
      <c r="I67" s="145"/>
      <c r="J67" s="145"/>
      <c r="K67" s="145"/>
      <c r="L67" s="145"/>
      <c r="M67" s="145"/>
      <c r="N67" s="145"/>
      <c r="O67" s="145"/>
      <c r="P67" s="145"/>
      <c r="Q67" s="168"/>
      <c r="R67" s="147"/>
      <c r="S67" s="147"/>
      <c r="T67" s="161"/>
    </row>
    <row r="68" spans="2:20" s="2" customFormat="1" ht="16.149999999999999">
      <c r="B68" s="144" t="s">
        <v>75</v>
      </c>
      <c r="C68" s="144" t="s">
        <v>232</v>
      </c>
      <c r="D68" s="144" t="s">
        <v>557</v>
      </c>
      <c r="E68" s="139" t="s">
        <v>521</v>
      </c>
      <c r="F68" s="146">
        <v>0</v>
      </c>
      <c r="G68" s="146">
        <v>0</v>
      </c>
      <c r="H68" s="146">
        <v>0</v>
      </c>
      <c r="I68" s="146">
        <v>2.2140368211012871</v>
      </c>
      <c r="J68" s="146">
        <v>1.426281835362065</v>
      </c>
      <c r="K68" s="146">
        <v>1.4333968917253266</v>
      </c>
      <c r="L68" s="146">
        <v>0.72838761962262888</v>
      </c>
      <c r="M68" s="146">
        <v>0.34502388727178968</v>
      </c>
      <c r="N68" s="146">
        <v>1.2003823114365222</v>
      </c>
      <c r="O68" s="146">
        <v>1.0972246541791879</v>
      </c>
      <c r="P68" s="146">
        <v>1.0635280082401377</v>
      </c>
      <c r="Q68" s="156">
        <v>0.93228113563831849</v>
      </c>
      <c r="R68" s="169">
        <f t="shared" ref="R68:R70" si="32">SUM(F68:K68)</f>
        <v>5.0737155481886784</v>
      </c>
      <c r="S68" s="169">
        <f t="shared" ref="S68:S70" si="33">SUM(L68:Q68)</f>
        <v>5.3668276163885853</v>
      </c>
      <c r="T68" s="161">
        <f t="shared" ref="T68:T70" si="34">SUM(R68:S68)</f>
        <v>10.440543164577264</v>
      </c>
    </row>
    <row r="69" spans="2:20" s="2" customFormat="1" ht="16.149999999999999">
      <c r="B69" s="144" t="s">
        <v>75</v>
      </c>
      <c r="C69" s="144" t="s">
        <v>516</v>
      </c>
      <c r="D69" s="144" t="s">
        <v>558</v>
      </c>
      <c r="E69" s="139" t="s">
        <v>521</v>
      </c>
      <c r="F69" s="146">
        <v>0</v>
      </c>
      <c r="G69" s="146">
        <v>0</v>
      </c>
      <c r="H69" s="146">
        <v>0</v>
      </c>
      <c r="I69" s="146">
        <v>0.55901133238944478</v>
      </c>
      <c r="J69" s="146">
        <v>4.931977342648497E-2</v>
      </c>
      <c r="K69" s="146">
        <v>5.1609675147161527E-2</v>
      </c>
      <c r="L69" s="146">
        <v>0.67184203656929231</v>
      </c>
      <c r="M69" s="146">
        <v>4.856818339454394E-2</v>
      </c>
      <c r="N69" s="146">
        <v>0.37658303808117166</v>
      </c>
      <c r="O69" s="146">
        <v>0.883077276172755</v>
      </c>
      <c r="P69" s="146">
        <v>0.4683044590698362</v>
      </c>
      <c r="Q69" s="156">
        <v>0.8681524386205508</v>
      </c>
      <c r="R69" s="169">
        <f t="shared" si="32"/>
        <v>0.65994078096309128</v>
      </c>
      <c r="S69" s="169">
        <f t="shared" si="33"/>
        <v>3.3165274319081499</v>
      </c>
      <c r="T69" s="161">
        <f t="shared" si="34"/>
        <v>3.9764682128712412</v>
      </c>
    </row>
    <row r="70" spans="2:20" s="2" customFormat="1" ht="16.149999999999999">
      <c r="B70" s="144" t="s">
        <v>75</v>
      </c>
      <c r="C70" s="144" t="s">
        <v>232</v>
      </c>
      <c r="D70" s="144" t="s">
        <v>559</v>
      </c>
      <c r="E70" s="139" t="s">
        <v>521</v>
      </c>
      <c r="F70" s="146">
        <v>0</v>
      </c>
      <c r="G70" s="146">
        <v>0</v>
      </c>
      <c r="H70" s="146">
        <v>0</v>
      </c>
      <c r="I70" s="146">
        <v>0</v>
      </c>
      <c r="J70" s="146">
        <v>0</v>
      </c>
      <c r="K70" s="146">
        <v>0</v>
      </c>
      <c r="L70" s="146">
        <v>0</v>
      </c>
      <c r="M70" s="146">
        <v>0</v>
      </c>
      <c r="N70" s="146">
        <v>0</v>
      </c>
      <c r="O70" s="146">
        <v>1.3267293925765355</v>
      </c>
      <c r="P70" s="146">
        <v>1.2859844727205152</v>
      </c>
      <c r="Q70" s="156">
        <v>1.1272849002115084</v>
      </c>
      <c r="R70" s="169">
        <f t="shared" si="32"/>
        <v>0</v>
      </c>
      <c r="S70" s="169">
        <f t="shared" si="33"/>
        <v>3.7399987655085591</v>
      </c>
      <c r="T70" s="161">
        <f t="shared" si="34"/>
        <v>3.7399987655085591</v>
      </c>
    </row>
    <row r="71" spans="2:20" s="2" customFormat="1" ht="16.149999999999999">
      <c r="B71" s="185"/>
      <c r="C71" s="185"/>
      <c r="D71" s="185"/>
      <c r="E71" s="185"/>
      <c r="F71" s="186"/>
      <c r="G71" s="186"/>
      <c r="H71" s="186"/>
      <c r="I71" s="186"/>
      <c r="J71" s="186"/>
      <c r="K71" s="186"/>
      <c r="L71" s="186"/>
      <c r="M71" s="186"/>
      <c r="N71" s="186"/>
      <c r="O71" s="186"/>
      <c r="P71" s="146"/>
      <c r="Q71" s="156"/>
      <c r="R71" s="169">
        <f t="shared" ref="R71:R73" si="35">SUM(F71:K71)</f>
        <v>0</v>
      </c>
      <c r="S71" s="169">
        <f t="shared" ref="S71:S73" si="36">SUM(L71:Q71)</f>
        <v>0</v>
      </c>
      <c r="T71" s="161">
        <f t="shared" ref="T71:T73" si="37">SUM(R71:S71)</f>
        <v>0</v>
      </c>
    </row>
    <row r="72" spans="2:20" s="2" customFormat="1" ht="16.149999999999999">
      <c r="B72" s="144" t="s">
        <v>64</v>
      </c>
      <c r="C72" s="144" t="s">
        <v>523</v>
      </c>
      <c r="D72" s="144" t="s">
        <v>560</v>
      </c>
      <c r="E72" s="139" t="s">
        <v>521</v>
      </c>
      <c r="F72" s="146"/>
      <c r="G72" s="146"/>
      <c r="H72" s="146"/>
      <c r="I72" s="146"/>
      <c r="J72" s="146"/>
      <c r="K72" s="146">
        <f>5/7</f>
        <v>0.7142857142857143</v>
      </c>
      <c r="L72" s="146">
        <f>K72</f>
        <v>0.7142857142857143</v>
      </c>
      <c r="M72" s="146">
        <f t="shared" ref="M72:P72" si="38">L72</f>
        <v>0.7142857142857143</v>
      </c>
      <c r="N72" s="146">
        <f t="shared" si="38"/>
        <v>0.7142857142857143</v>
      </c>
      <c r="O72" s="146">
        <f t="shared" si="38"/>
        <v>0.7142857142857143</v>
      </c>
      <c r="P72" s="146">
        <f t="shared" si="38"/>
        <v>0.7142857142857143</v>
      </c>
      <c r="Q72" s="156">
        <v>1.1272849002115084</v>
      </c>
      <c r="R72" s="169">
        <f t="shared" si="35"/>
        <v>0.7142857142857143</v>
      </c>
      <c r="S72" s="169">
        <f t="shared" si="36"/>
        <v>4.6987134716400796</v>
      </c>
      <c r="T72" s="161">
        <f t="shared" si="37"/>
        <v>5.412999185925794</v>
      </c>
    </row>
    <row r="73" spans="2:20" s="2" customFormat="1" ht="16.899999999999999" thickBot="1">
      <c r="B73" s="144" t="s">
        <v>121</v>
      </c>
      <c r="C73" s="144" t="s">
        <v>526</v>
      </c>
      <c r="D73" s="144" t="s">
        <v>561</v>
      </c>
      <c r="E73" s="138" t="s">
        <v>515</v>
      </c>
      <c r="F73" s="146"/>
      <c r="G73" s="146"/>
      <c r="H73" s="146"/>
      <c r="I73" s="146">
        <f>17/9</f>
        <v>1.8888888888888888</v>
      </c>
      <c r="J73" s="146">
        <f t="shared" ref="J73:Q73" si="39">17/9</f>
        <v>1.8888888888888888</v>
      </c>
      <c r="K73" s="146">
        <f t="shared" si="39"/>
        <v>1.8888888888888888</v>
      </c>
      <c r="L73" s="146">
        <f t="shared" si="39"/>
        <v>1.8888888888888888</v>
      </c>
      <c r="M73" s="146">
        <f t="shared" si="39"/>
        <v>1.8888888888888888</v>
      </c>
      <c r="N73" s="146">
        <f t="shared" si="39"/>
        <v>1.8888888888888888</v>
      </c>
      <c r="O73" s="146">
        <f t="shared" si="39"/>
        <v>1.8888888888888888</v>
      </c>
      <c r="P73" s="146">
        <f t="shared" si="39"/>
        <v>1.8888888888888888</v>
      </c>
      <c r="Q73" s="156">
        <f t="shared" si="39"/>
        <v>1.8888888888888888</v>
      </c>
      <c r="R73" s="169">
        <f t="shared" si="35"/>
        <v>5.6666666666666661</v>
      </c>
      <c r="S73" s="169">
        <f t="shared" si="36"/>
        <v>11.333333333333334</v>
      </c>
      <c r="T73" s="161">
        <f t="shared" si="37"/>
        <v>17</v>
      </c>
    </row>
    <row r="74" spans="2:20" ht="16.899999999999999" collapsed="1" thickBot="1">
      <c r="B74" s="177" t="s">
        <v>562</v>
      </c>
      <c r="C74" s="177"/>
      <c r="D74" s="177"/>
      <c r="E74" s="178"/>
      <c r="F74" s="179">
        <f>SUM(F59:F73,F55,F53)</f>
        <v>0</v>
      </c>
      <c r="G74" s="179">
        <f t="shared" ref="G74:P74" si="40">SUM(G59:G73,G55,G53)</f>
        <v>0</v>
      </c>
      <c r="H74" s="179">
        <f t="shared" si="40"/>
        <v>0</v>
      </c>
      <c r="I74" s="179">
        <f t="shared" si="40"/>
        <v>12.236352362232907</v>
      </c>
      <c r="J74" s="179">
        <f t="shared" si="40"/>
        <v>14.204590826059169</v>
      </c>
      <c r="K74" s="179">
        <f t="shared" si="40"/>
        <v>14.063717625322964</v>
      </c>
      <c r="L74" s="179">
        <f t="shared" si="40"/>
        <v>11.516172851649626</v>
      </c>
      <c r="M74" s="179">
        <f t="shared" si="40"/>
        <v>9.8380677523370821</v>
      </c>
      <c r="N74" s="179">
        <f t="shared" si="40"/>
        <v>9.9366602254350305</v>
      </c>
      <c r="O74" s="179">
        <f t="shared" si="40"/>
        <v>12.722676882347917</v>
      </c>
      <c r="P74" s="179">
        <f t="shared" si="40"/>
        <v>15.792477272321861</v>
      </c>
      <c r="Q74" s="180">
        <f>SUM(Q59:Q73,Q55,Q53)</f>
        <v>17.652388016497071</v>
      </c>
      <c r="R74" s="181">
        <f>SUM(F74:K74)</f>
        <v>40.50466081361504</v>
      </c>
      <c r="S74" s="179">
        <f>SUM(L74:Q74)</f>
        <v>77.458443000588588</v>
      </c>
      <c r="T74" s="179">
        <f>SUM(R74:S74)</f>
        <v>117.96310381420363</v>
      </c>
    </row>
    <row r="76" spans="2:20" ht="16.149999999999999">
      <c r="P76" s="2" t="s">
        <v>543</v>
      </c>
      <c r="T76" s="161">
        <f>T52+T58</f>
        <v>-20.2523780070483</v>
      </c>
    </row>
    <row r="99" spans="2:20" ht="16.149999999999999">
      <c r="B99" s="95" t="s">
        <v>75</v>
      </c>
      <c r="C99" s="95" t="s">
        <v>232</v>
      </c>
      <c r="D99" s="96" t="s">
        <v>563</v>
      </c>
      <c r="E99" s="129"/>
      <c r="F99" s="125">
        <v>0</v>
      </c>
      <c r="G99" s="125">
        <v>0</v>
      </c>
      <c r="H99" s="125">
        <v>0</v>
      </c>
      <c r="I99" s="125">
        <v>-2.2140368211012871</v>
      </c>
      <c r="J99" s="125">
        <v>-1.426281835362065</v>
      </c>
      <c r="K99" s="125">
        <v>-1.4333968917253266</v>
      </c>
      <c r="L99" s="125">
        <v>-0.72838761962262888</v>
      </c>
      <c r="M99" s="125">
        <v>-0.34502388727178968</v>
      </c>
      <c r="N99" s="125">
        <v>-1.2003823114365222</v>
      </c>
      <c r="O99" s="125">
        <v>0.40927359080012571</v>
      </c>
      <c r="P99" s="125">
        <v>0.39670447176979229</v>
      </c>
      <c r="Q99" s="125">
        <v>0.34774833628155477</v>
      </c>
      <c r="R99" s="100">
        <f t="shared" ref="R99" si="41">SUM(F99:K99)</f>
        <v>-5.0737155481886784</v>
      </c>
      <c r="S99" s="100">
        <f t="shared" ref="S99" si="42">SUM(L99:Q99)</f>
        <v>-1.120067419479468</v>
      </c>
      <c r="T99" s="100">
        <f t="shared" ref="T99" si="43">SUM(R99:S99)</f>
        <v>-6.1937829676681462</v>
      </c>
    </row>
    <row r="100" spans="2:20" ht="16.149999999999999">
      <c r="B100" s="95" t="s">
        <v>75</v>
      </c>
      <c r="C100" s="95" t="s">
        <v>232</v>
      </c>
      <c r="D100" s="96" t="s">
        <v>564</v>
      </c>
      <c r="E100" s="129"/>
      <c r="F100" s="125">
        <v>0</v>
      </c>
      <c r="G100" s="125">
        <v>0</v>
      </c>
      <c r="H100" s="125">
        <v>0</v>
      </c>
      <c r="I100" s="125">
        <v>2.2140368211012871</v>
      </c>
      <c r="J100" s="125">
        <v>1.426281835362065</v>
      </c>
      <c r="K100" s="125">
        <v>1.4333968917253266</v>
      </c>
      <c r="L100" s="125">
        <v>0.72838761962262888</v>
      </c>
      <c r="M100" s="125">
        <v>0.34502388727178968</v>
      </c>
      <c r="N100" s="125">
        <v>1.2003823114365222</v>
      </c>
      <c r="O100" s="125">
        <v>-0.40927359080012571</v>
      </c>
      <c r="P100" s="125">
        <v>-0.39670447176979229</v>
      </c>
      <c r="Q100" s="125">
        <v>-0.34774833628155477</v>
      </c>
      <c r="R100" s="100">
        <f t="shared" ref="R100" si="44">SUM(F100:K100)</f>
        <v>5.0737155481886784</v>
      </c>
      <c r="S100" s="100">
        <f t="shared" ref="S100" si="45">SUM(L100:Q100)</f>
        <v>1.120067419479468</v>
      </c>
      <c r="T100" s="100">
        <f t="shared" ref="T100" si="46">SUM(R100:S100)</f>
        <v>6.1937829676681462</v>
      </c>
    </row>
    <row r="108" spans="2:20" ht="16.149999999999999">
      <c r="B108" s="95" t="s">
        <v>565</v>
      </c>
      <c r="C108" s="127"/>
    </row>
    <row r="109" spans="2:20" ht="16.149999999999999">
      <c r="B109" s="95" t="s">
        <v>121</v>
      </c>
      <c r="C109" s="95"/>
      <c r="D109" s="96" t="s">
        <v>566</v>
      </c>
      <c r="E109" s="129"/>
      <c r="F109" s="97"/>
      <c r="G109" s="97"/>
      <c r="H109" s="119">
        <v>2</v>
      </c>
      <c r="I109" s="97"/>
      <c r="J109" s="97"/>
      <c r="K109" s="97"/>
      <c r="L109" s="97"/>
      <c r="M109" s="97"/>
      <c r="N109" s="97"/>
      <c r="O109" s="97"/>
      <c r="P109" s="97"/>
      <c r="Q109" s="118"/>
      <c r="R109" s="99">
        <f>SUM(F109:K109)</f>
        <v>2</v>
      </c>
      <c r="S109" s="99">
        <f>SUM(L109:Q109)</f>
        <v>0</v>
      </c>
      <c r="T109" s="100">
        <f>SUM(R109:S109)</f>
        <v>2</v>
      </c>
    </row>
    <row r="110" spans="2:20" ht="16.149999999999999">
      <c r="B110" s="95" t="s">
        <v>64</v>
      </c>
      <c r="C110" s="95"/>
      <c r="D110" s="96" t="s">
        <v>505</v>
      </c>
      <c r="E110" s="129"/>
      <c r="F110" s="97"/>
      <c r="G110" s="97"/>
      <c r="H110" s="97"/>
      <c r="I110" s="98">
        <v>3.8</v>
      </c>
      <c r="J110" s="97"/>
      <c r="K110" s="97"/>
      <c r="L110" s="97"/>
      <c r="M110" s="97"/>
      <c r="N110" s="97"/>
      <c r="O110" s="97"/>
      <c r="P110" s="97"/>
      <c r="Q110" s="102"/>
      <c r="R110" s="99">
        <v>3.8</v>
      </c>
      <c r="S110" s="103">
        <v>0</v>
      </c>
      <c r="T110" s="104">
        <v>3.8</v>
      </c>
    </row>
    <row r="111" spans="2:20" ht="16.149999999999999">
      <c r="B111" s="95" t="s">
        <v>69</v>
      </c>
      <c r="C111" s="95"/>
      <c r="D111" s="96" t="s">
        <v>503</v>
      </c>
      <c r="E111" s="129"/>
      <c r="F111" s="123">
        <v>2.077</v>
      </c>
      <c r="G111" s="97">
        <v>0</v>
      </c>
      <c r="H111" s="97">
        <v>0</v>
      </c>
      <c r="I111" s="97">
        <v>0</v>
      </c>
      <c r="J111" s="97">
        <v>0</v>
      </c>
      <c r="K111" s="97">
        <v>0</v>
      </c>
      <c r="L111" s="97">
        <v>0</v>
      </c>
      <c r="M111" s="97">
        <v>0</v>
      </c>
      <c r="N111" s="97">
        <v>0</v>
      </c>
      <c r="O111" s="97">
        <v>0</v>
      </c>
      <c r="P111" s="97">
        <v>0</v>
      </c>
      <c r="Q111" s="118">
        <v>0</v>
      </c>
      <c r="R111" s="99">
        <f>SUM(F111:K111)</f>
        <v>2.077</v>
      </c>
      <c r="S111" s="99">
        <f>SUM(L111:Q111)</f>
        <v>0</v>
      </c>
      <c r="T111" s="100">
        <f>SUM(R111:S111)</f>
        <v>2.077</v>
      </c>
    </row>
    <row r="112" spans="2:20" ht="16.149999999999999">
      <c r="B112" s="95" t="s">
        <v>69</v>
      </c>
      <c r="C112" s="95"/>
      <c r="D112" s="96" t="s">
        <v>502</v>
      </c>
      <c r="E112" s="129"/>
      <c r="F112" s="97">
        <v>0</v>
      </c>
      <c r="G112" s="97">
        <v>0</v>
      </c>
      <c r="H112" s="97">
        <v>0</v>
      </c>
      <c r="I112" s="97">
        <v>0</v>
      </c>
      <c r="J112" s="97">
        <v>0</v>
      </c>
      <c r="K112" s="97">
        <v>0</v>
      </c>
      <c r="L112" s="97">
        <v>0</v>
      </c>
      <c r="M112" s="97">
        <v>0</v>
      </c>
      <c r="N112" s="97">
        <v>0</v>
      </c>
      <c r="O112" s="123">
        <v>5</v>
      </c>
      <c r="P112" s="97">
        <v>0</v>
      </c>
      <c r="Q112" s="118">
        <v>0</v>
      </c>
      <c r="R112" s="99">
        <f>SUM(F112:K112)</f>
        <v>0</v>
      </c>
      <c r="S112" s="99">
        <f>SUM(L112:Q112)</f>
        <v>5</v>
      </c>
      <c r="T112" s="100">
        <f>SUM(R112:S112)</f>
        <v>5</v>
      </c>
    </row>
  </sheetData>
  <mergeCells count="6">
    <mergeCell ref="F2:Q2"/>
    <mergeCell ref="R2:T2"/>
    <mergeCell ref="F21:Q21"/>
    <mergeCell ref="R21:T21"/>
    <mergeCell ref="F48:Q48"/>
    <mergeCell ref="R48:T48"/>
  </mergeCells>
  <phoneticPr fontId="38" type="noConversion"/>
  <conditionalFormatting sqref="F43:T44">
    <cfRule type="cellIs" dxfId="0" priority="1" operator="lessThan">
      <formula>0</formula>
    </cfRule>
  </conditionalFormatting>
  <pageMargins left="0.7" right="0.7" top="0.75" bottom="0.75" header="0.3" footer="0.3"/>
  <ignoredErrors>
    <ignoredError sqref="R24 S29:S31 R51:R52 S51:S53 R55:T66 R68:T70" formulaRange="1"/>
  </ignoredErrors>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sisl xmlns:xsi="http://www.w3.org/2001/XMLSchema-instance" xmlns:xsd="http://www.w3.org/2001/XMLSchema" xmlns="http://www.boldonjames.com/2008/01/sie/internal/label" sislVersion="0" policy="e56daa8a-7b27-48ac-85d4-db65acb580b6" origin="userSelected">
  <element uid="28b8f907-c4fe-4291-886d-ded1ddc540c2" value=""/>
  <element uid="49330798-7003-4e86-8332-af49f20564a6" value=""/>
  <element uid="ec6abd3b-c0d6-4fa7-a60a-349d0f822e3b" value=""/>
  <element uid="46fe2329-c02b-4495-b624-12a499d069e2" value=""/>
</sisl>
</file>

<file path=customXml/item2.xml><?xml version="1.0" encoding="utf-8"?>
<ct:contentTypeSchema xmlns:ct="http://schemas.microsoft.com/office/2006/metadata/contentType" xmlns:ma="http://schemas.microsoft.com/office/2006/metadata/properties/metaAttributes" ct:_="" ma:_="" ma:contentTypeName="Document" ma:contentTypeID="0x01010091444904F5BA214E85A6CB7FAD597D0B" ma:contentTypeVersion="3" ma:contentTypeDescription="Create a new document." ma:contentTypeScope="" ma:versionID="4cd5e284448c300d600dcbce8d087e7a">
  <xsd:schema xmlns:xsd="http://www.w3.org/2001/XMLSchema" xmlns:xs="http://www.w3.org/2001/XMLSchema" xmlns:p="http://schemas.microsoft.com/office/2006/metadata/properties" xmlns:ns2="27483182-6205-444f-b5cc-c791bf221987" targetNamespace="http://schemas.microsoft.com/office/2006/metadata/properties" ma:root="true" ma:fieldsID="2d7f74884de7b9ce6f27c96381dfb70b" ns2:_="">
    <xsd:import namespace="27483182-6205-444f-b5cc-c791bf22198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483182-6205-444f-b5cc-c791bf221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NTZkYWE4YS03YjI3LTQ4YWMtODVkNC1kYjY1YWNiNTgwYjYiIG9yaWdpbj0idXNlclNlbGVjdGVkIj48ZWxlbWVudCB1aWQ9IjQ5MzMwNzk4LTcwMDMtNGU4Ni04MzMyLWFmNDlmMjA1NjRhNiIgdmFsdWU9IiIgeG1sbnM9Imh0dHA6Ly93d3cuYm9sZG9uamFtZXMuY29tLzIwMDgvMDEvc2llL2ludGVybmFsL2xhYmVsIiAvPjxlbGVtZW50IHVpZD0iZWM2YWJkM2ItYzBkNi00ZmE3LWE2MGEtMzQ5ZDBmODIyZTNiIiB2YWx1ZT0iIiB4bWxucz0iaHR0cDovL3d3dy5ib2xkb25qYW1lcy5jb20vMjAwOC8wMS9zaWUvaW50ZXJuYWwvbGFiZWwiIC8+PGVsZW1lbnQgdWlkPSI0NmZlMjMyOS1jMDJiLTQ0OTUtYjYyNC0xMmE0OTlkMDY5ZTIiIHZhbHVlPSIiIHhtbG5zPSJodHRwOi8vd3d3LmJvbGRvbmphbWVzLmNvbS8yMDA4LzAxL3NpZS9pbnRlcm5hbC9sYWJlbCIgLz48ZWxlbWVudCB1aWQ9IjI4YjhmOTA3LWM0ZmUtNDI5MS04ODZkLWRlZDFkZGM1NDBjMiIgdmFsdWU9IiIgeG1sbnM9Imh0dHA6Ly93d3cuYm9sZG9uamFtZXMuY29tLzIwMDgvMDEvc2llL2ludGVybmFsL2xhYmVsIiAvPjxlbGVtZW50IHVpZD0iOGIyZDhkMzYtNTBlOS00ZTM1LWIxNzktYjc4NzIzNWNiZmUwIiB2YWx1ZT0iIiB4bWxucz0iaHR0cDovL3d3dy5ib2xkb25qYW1lcy5jb20vMjAwOC8wMS9zaWUvaW50ZXJuYWwvbGFiZWwiIC8+PC9zaXNsPjxVc2VyTmFtZT5SUkxPQ0FMXHU2MTA1ODk8L1VzZXJOYW1lPjxEYXRlVGltZT4yNi8wNC8yMDI0IDE0OjU1OjIyPC9EYXRlVGltZT48TGFiZWxTdHJpbmc+UHJpdmF0ZSAtIFJvbGxzLVJveWNlIENvbnRlbnQgT25seSAtIE5vdCBTdWJqZWN0IHRvIEV4cG9ydCBDb250cm9sICAgICA8L0xhYmVsU3RyaW5nPjwvaXRlbT48aXRlbT48c2lzbCBzaXNsVmVyc2lvbj0iMCIgcG9saWN5PSJlNTZkYWE4YS03YjI3LTQ4YWMtODVkNC1kYjY1YWNiNTgwYjYiIG9yaWdpbj0idXNlclNlbGVjdGVkIj48ZWxlbWVudCB1aWQ9IjI4YjhmOTA3LWM0ZmUtNDI5MS04ODZkLWRlZDFkZGM1NDBjMiIgdmFsdWU9IiIgeG1sbnM9Imh0dHA6Ly93d3cuYm9sZG9uamFtZXMuY29tLzIwMDgvMDEvc2llL2ludGVybmFsL2xhYmVsIiAvPjxlbGVtZW50IHVpZD0iNDkzMzA3OTgtNzAwMy00ZTg2LTgzMzItYWY0OWYyMDU2NGE2IiB2YWx1ZT0iIiB4bWxucz0iaHR0cDovL3d3dy5ib2xkb25qYW1lcy5jb20vMjAwOC8wMS9zaWUvaW50ZXJuYWwvbGFiZWwiIC8+PC9zaXNsPjxVc2VyTmFtZT5SUkxPQ0FMXFU1MTUzMTk8L1VzZXJOYW1lPjxEYXRlVGltZT4yNi8wMy8yMDI2IDA5OjM2OjM5PC9EYXRlVGltZT48TGFiZWxTdHJpbmc+UHJpdmF0ZSAtIFJvbGxzLVJveWNlIENvbnRlbnQgT25seSAtIDwvTGFiZWxTdHJpbmc+PC9pdGVtPjxpdGVtPjxzaXNsIHNpc2xWZXJzaW9uPSIwIiBwb2xpY3k9ImU1NmRhYThhLTdiMjctNDhhYy04NWQ0LWRiNjVhY2I1ODBiNiIgb3JpZ2luPSJ1c2VyU2VsZWN0ZWQiPjxlbGVtZW50IHVpZD0iMjhiOGY5MDctYzRmZS00MjkxLTg4NmQtZGVkMWRkYzU0MGMyIiB2YWx1ZT0iIiB4bWxucz0iaHR0cDovL3d3dy5ib2xkb25qYW1lcy5jb20vMjAwOC8wMS9zaWUvaW50ZXJuYWwvbGFiZWwiIC8+PGVsZW1lbnQgdWlkPSI0OTMzMDc5OC03MDAzLTRlODYtODMzMi1hZjQ5ZjIwNTY0YTYiIHZhbHVlPSIiIHhtbG5zPSJodHRwOi8vd3d3LmJvbGRvbmphbWVzLmNvbS8yMDA4LzAxL3NpZS9pbnRlcm5hbC9sYWJlbCIgLz48ZWxlbWVudCB1aWQ9ImVjNmFiZDNiLWMwZDYtNGZhNy1hNjBhLTM0OWQwZjgyMmUzYiIgdmFsdWU9IiIgeG1sbnM9Imh0dHA6Ly93d3cuYm9sZG9uamFtZXMuY29tLzIwMDgvMDEvc2llL2ludGVybmFsL2xhYmVsIiAvPjxlbGVtZW50IHVpZD0iNDZmZTIzMjktYzAyYi00NDk1LWI2MjQtMTJhNDk5ZDA2OWUyIiB2YWx1ZT0iIiB4bWxucz0iaHR0cDovL3d3dy5ib2xkb25qYW1lcy5jb20vMjAwOC8wMS9zaWUvaW50ZXJuYWwvbGFiZWwiIC8+PC9zaXNsPjxVc2VyTmFtZT5SUkxPQ0FMXFU1MTUzMTk8L1VzZXJOYW1lPjxEYXRlVGltZT4yNi8wMy8yMDI2IDA5OjQ1OjU4PC9EYXRlVGltZT48TGFiZWxTdHJpbmc+UHJpdmF0ZSAtIFJvbGxzLVJveWNlIENvbnRlbnQgT25seSAtIE5vdCBTdWJqZWN0IHRvIEV4cG9ydCBDb250cm9sICAgICA8L0xhYmVsU3RyaW5nPjwvaXRlbT48L2xhYmVsSGlzdG9yeT4=</Value>
</WrappedLabelHistory>
</file>

<file path=customXml/item5.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F214BD4-5C1E-44A9-A788-6D426830E7FB}"/>
</file>

<file path=customXml/itemProps2.xml><?xml version="1.0" encoding="utf-8"?>
<ds:datastoreItem xmlns:ds="http://schemas.openxmlformats.org/officeDocument/2006/customXml" ds:itemID="{C1B23420-0B50-4A80-A396-36FBC17DC452}"/>
</file>

<file path=customXml/itemProps3.xml><?xml version="1.0" encoding="utf-8"?>
<ds:datastoreItem xmlns:ds="http://schemas.openxmlformats.org/officeDocument/2006/customXml" ds:itemID="{999457C2-4A07-4BEF-86C3-8E8E444DD5E9}"/>
</file>

<file path=customXml/itemProps4.xml><?xml version="1.0" encoding="utf-8"?>
<ds:datastoreItem xmlns:ds="http://schemas.openxmlformats.org/officeDocument/2006/customXml" ds:itemID="{58C1A85B-46A4-4711-B342-12A657C3B9FC}"/>
</file>

<file path=customXml/itemProps5.xml><?xml version="1.0" encoding="utf-8"?>
<ds:datastoreItem xmlns:ds="http://schemas.openxmlformats.org/officeDocument/2006/customXml" ds:itemID="{3F9A481B-69AB-4AE9-8BF5-BD1779E289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Georgia</dc:creator>
  <cp:keywords>|1:Pvt|5:NonExpCont|6:NonGov|2:Rolls-Royce|</cp:keywords>
  <dc:description/>
  <cp:lastModifiedBy>Srinivasaraghavan, Rutishkrishna</cp:lastModifiedBy>
  <cp:revision/>
  <dcterms:created xsi:type="dcterms:W3CDTF">2024-04-26T12:42:14Z</dcterms:created>
  <dcterms:modified xsi:type="dcterms:W3CDTF">2026-04-22T10:51:00Z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6bfef07e-0907-4c3c-870a-2a41dc8068af</vt:lpwstr>
  </property>
  <property fmtid="{D5CDD505-2E9C-101B-9397-08002B2CF9AE}" pid="3" name="bjSaver">
    <vt:lpwstr>z6S8ct9pGyd+3m6ZfMfapxmoaSWDjSDC</vt:lpwstr>
  </property>
  <property fmtid="{D5CDD505-2E9C-101B-9397-08002B2CF9AE}" pid="4" name="GovSecClass">
    <vt:lpwstr>No_Classification</vt:lpwstr>
  </property>
  <property fmtid="{D5CDD505-2E9C-101B-9397-08002B2CF9AE}" pid="5" name="Ownership">
    <vt:lpwstr>Rolls-Royce_content_only</vt:lpwstr>
  </property>
  <property fmtid="{D5CDD505-2E9C-101B-9397-08002B2CF9AE}" pid="6" name="BusinessSensitivity">
    <vt:lpwstr>Private</vt:lpwstr>
  </property>
  <property fmtid="{D5CDD505-2E9C-101B-9397-08002B2CF9AE}" pid="7" name="ContentTypeId">
    <vt:lpwstr>0x01010091444904F5BA214E85A6CB7FAD597D0B</vt:lpwstr>
  </property>
  <property fmtid="{D5CDD505-2E9C-101B-9397-08002B2CF9AE}" pid="8" name="SV_QUERY_LIST_4F35BF76-6C0D-4D9B-82B2-816C12CF3733">
    <vt:lpwstr>empty_477D106A-C0D6-4607-AEBD-E2C9D60EA279</vt:lpwstr>
  </property>
  <property fmtid="{D5CDD505-2E9C-101B-9397-08002B2CF9AE}" pid="9" name="SV_HIDDEN_GRID_QUERY_LIST_4F35BF76-6C0D-4D9B-82B2-816C12CF3733">
    <vt:lpwstr>empty_477D106A-C0D6-4607-AEBD-E2C9D60EA279</vt:lpwstr>
  </property>
  <property fmtid="{D5CDD505-2E9C-101B-9397-08002B2CF9AE}" pid="10" name="bjClsUserRVM">
    <vt:lpwstr>[]</vt:lpwstr>
  </property>
  <property fmtid="{D5CDD505-2E9C-101B-9397-08002B2CF9AE}" pid="11" name="bjDocumentSecurityLabel">
    <vt:lpwstr>Private - Rolls-Royce Content Only - Not Subject to Export Control     </vt:lpwstr>
  </property>
  <property fmtid="{D5CDD505-2E9C-101B-9397-08002B2CF9AE}" pid="12" name="TCGovSecClass">
    <vt:lpwstr>No_Classification</vt:lpwstr>
  </property>
  <property fmtid="{D5CDD505-2E9C-101B-9397-08002B2CF9AE}" pid="13" name="ExportControlled">
    <vt:lpwstr>Not_Subject_to_Export_Control</vt:lpwstr>
  </property>
  <property fmtid="{D5CDD505-2E9C-101B-9397-08002B2CF9AE}" pid="14" name="bjLabelHistoryID">
    <vt:lpwstr>{58C1A85B-46A4-4711-B342-12A657C3B9FC}</vt:lpwstr>
  </property>
  <property fmtid="{D5CDD505-2E9C-101B-9397-08002B2CF9AE}" pid="15" name="bjDocumentLabelXML">
    <vt:lpwstr>&lt;?xml version="1.0" encoding="us-ascii"?&gt;&lt;sisl xmlns:xsi="http://www.w3.org/2001/XMLSchema-instance" xmlns:xsd="http://www.w3.org/2001/XMLSchema" sislVersion="0" policy="e56daa8a-7b27-48ac-85d4-db65acb580b6" origin="userSelected" xmlns="http://www.boldonj</vt:lpwstr>
  </property>
  <property fmtid="{D5CDD505-2E9C-101B-9397-08002B2CF9AE}" pid="16" name="bjDocumentLabelXML-0">
    <vt:lpwstr>ames.com/2008/01/sie/internal/label"&gt;&lt;element uid="28b8f907-c4fe-4291-886d-ded1ddc540c2" value="" /&gt;&lt;element uid="49330798-7003-4e86-8332-af49f20564a6" value="" /&gt;&lt;element uid="ec6abd3b-c0d6-4fa7-a60a-349d0f822e3b" value="" /&gt;&lt;element uid="46fe2329-c02b-4</vt:lpwstr>
  </property>
  <property fmtid="{D5CDD505-2E9C-101B-9397-08002B2CF9AE}" pid="17" name="bjDocumentLabelXML-1">
    <vt:lpwstr>495-b624-12a499d069e2" value="" /&gt;&lt;/sisl&gt;</vt:lpwstr>
  </property>
</Properties>
</file>