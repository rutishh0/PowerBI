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rollsroyce.sharepoint.com/sites/EMEAAccountteam/Shared Documents/General/"/>
    </mc:Choice>
  </mc:AlternateContent>
  <xr:revisionPtr revIDLastSave="793" documentId="13_ncr:1_{B1C5DDF5-15F4-4C05-B2D7-3E32A7968599}" xr6:coauthVersionLast="47" xr6:coauthVersionMax="47" xr10:uidLastSave="{A3392A86-B097-4C20-AE26-A1C2B08971F2}"/>
  <bookViews>
    <workbookView xWindow="-110" yWindow="-110" windowWidth="19420" windowHeight="10420" activeTab="2" xr2:uid="{00000000-000D-0000-FFFF-FFFF00000000}"/>
  </bookViews>
  <sheets>
    <sheet name="1YP" sheetId="1" r:id="rId1"/>
    <sheet name="5YP SPE SALES" sheetId="2" r:id="rId2"/>
    <sheet name="SPE SALES PER YEAR" sheetId="3" r:id="rId3"/>
  </sheets>
  <definedNames>
    <definedName name="_xlnm._FilterDatabase" localSheetId="0" hidden="1">'1YP'!$B$5:$C$33</definedName>
    <definedName name="_xlnm._FilterDatabase" localSheetId="1" hidden="1">'5YP SPE SALES'!$A$1:$E$47</definedName>
    <definedName name="_xlnm._FilterDatabase" localSheetId="2" hidden="1">'SPE SALES PER YEAR'!$A$3:$N$20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W6" i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</calcChain>
</file>

<file path=xl/sharedStrings.xml><?xml version="1.0" encoding="utf-8"?>
<sst xmlns="http://schemas.openxmlformats.org/spreadsheetml/2006/main" count="505" uniqueCount="280">
  <si>
    <t>Commercial</t>
  </si>
  <si>
    <t>AM</t>
  </si>
  <si>
    <t>Sales</t>
  </si>
  <si>
    <t>Customer Ops</t>
  </si>
  <si>
    <t>Week Beginning</t>
  </si>
  <si>
    <t>Blue Chip</t>
  </si>
  <si>
    <t>Customer</t>
  </si>
  <si>
    <t>Issue</t>
  </si>
  <si>
    <t>Description</t>
  </si>
  <si>
    <t>Owner</t>
  </si>
  <si>
    <t xml:space="preserve">Latest Update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</si>
  <si>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</si>
  <si>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</si>
  <si>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</si>
  <si>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</si>
  <si>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</si>
  <si>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</si>
  <si>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</si>
  <si>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</si>
  <si>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</si>
  <si>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</si>
  <si>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</si>
  <si>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</si>
  <si>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</si>
  <si>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</si>
  <si>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</si>
  <si>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</si>
  <si>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</si>
  <si>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</si>
  <si>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</si>
  <si>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</si>
  <si>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</si>
  <si>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</si>
  <si>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</si>
  <si>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</si>
  <si>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</si>
  <si>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</si>
  <si>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</si>
  <si>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</si>
  <si>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</si>
  <si>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</si>
  <si>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</si>
  <si>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</si>
  <si>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</si>
  <si>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</si>
  <si>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</si>
  <si>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</si>
  <si>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</si>
  <si>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</si>
  <si>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</si>
  <si>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</si>
  <si>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</si>
  <si>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</si>
  <si>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</si>
  <si>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</si>
  <si>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</si>
  <si>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</si>
  <si>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</si>
  <si>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</si>
  <si>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</si>
  <si>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</si>
  <si>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</si>
  <si>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</si>
  <si>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Ethiopian</t>
  </si>
  <si>
    <t>Dispute and Debt</t>
  </si>
  <si>
    <t>Need to settle AOG claim in order to unlock debt</t>
  </si>
  <si>
    <t>Gordon</t>
  </si>
  <si>
    <t>L1 approved.  L2 Planned</t>
  </si>
  <si>
    <t>L1</t>
  </si>
  <si>
    <t>L2</t>
  </si>
  <si>
    <t>EIS &amp; 
KBP meeting
Offer Letter</t>
  </si>
  <si>
    <t>Negotiations</t>
  </si>
  <si>
    <t>Feedback on Offer
Negotiations</t>
  </si>
  <si>
    <t>Amndt?</t>
  </si>
  <si>
    <t>ETH sign or Offset Debt</t>
  </si>
  <si>
    <t xml:space="preserve">A350-900, A350-1000, 787 &amp; Norse 787 campaign </t>
  </si>
  <si>
    <t>ICT Kick Off</t>
  </si>
  <si>
    <t>Osman in Addis, TCA Value Sell, Derate analysis, LLP Service</t>
  </si>
  <si>
    <t>L1 strategy</t>
  </si>
  <si>
    <t>L2 Strategy</t>
  </si>
  <si>
    <t>L3 Strategy
IATA Africa Addis</t>
  </si>
  <si>
    <t xml:space="preserve">L3 Approval
</t>
  </si>
  <si>
    <t>IC Meeting</t>
  </si>
  <si>
    <t>Package proposal submission</t>
  </si>
  <si>
    <t>ET Senior visit to Derby &amp; agree proposal</t>
  </si>
  <si>
    <t>Announcement Farnborough</t>
  </si>
  <si>
    <t>2 A350-900 Whitetail TCA + SPE</t>
  </si>
  <si>
    <t>Osman in Addis</t>
  </si>
  <si>
    <t>L2 for amended proposal (rate, training , TCA &amp; SPE escalation)</t>
  </si>
  <si>
    <t>Proposal Signature</t>
  </si>
  <si>
    <t xml:space="preserve">TCA &amp; PA  contract amendment </t>
  </si>
  <si>
    <t>PA Signature</t>
  </si>
  <si>
    <t>SPE Delivery</t>
  </si>
  <si>
    <t>Gulf</t>
  </si>
  <si>
    <t>Settlement/Sales</t>
  </si>
  <si>
    <t>Need to settle the AOG Remedy to unlock Sale opportunity</t>
  </si>
  <si>
    <t>Georgia</t>
  </si>
  <si>
    <t>L3/L4</t>
  </si>
  <si>
    <t>Bahrain Airshow  &amp; Submit +2 Proposal</t>
  </si>
  <si>
    <t>Strategy review for 5+5 propsoal</t>
  </si>
  <si>
    <t>Feedback from GFA</t>
  </si>
  <si>
    <t>Revised Submission</t>
  </si>
  <si>
    <t>Project Falcon</t>
  </si>
  <si>
    <t>Initial customer meeting to share proposal</t>
  </si>
  <si>
    <t>Follow-up meeting and bid 2 submission</t>
  </si>
  <si>
    <t>Customer meeting to discuss proposal valuation</t>
  </si>
  <si>
    <t>Follow up with senior management</t>
  </si>
  <si>
    <t>Bid 3 submission</t>
  </si>
  <si>
    <t>Proposal agreement and offer letter submission</t>
  </si>
  <si>
    <t>Offer l.etter signed</t>
  </si>
  <si>
    <t>Prod engine lease executed</t>
  </si>
  <si>
    <t>Qatar</t>
  </si>
  <si>
    <t xml:space="preserve">A350-1000 Campaign, 60 AC </t>
  </si>
  <si>
    <t>Issy</t>
  </si>
  <si>
    <t>Date TBC on when travel is allowed - target for a session in Doha to review feedback on precious A350-1000 Campaign</t>
  </si>
  <si>
    <t>A350 Triparty  Meeting</t>
  </si>
  <si>
    <t>Debt</t>
  </si>
  <si>
    <t>Need to solve for Qatar CRC</t>
  </si>
  <si>
    <t>Identify Stand repair</t>
  </si>
  <si>
    <t>Discussion with Qatar on workable solution</t>
  </si>
  <si>
    <t>L1 Strategy</t>
  </si>
  <si>
    <t>Propose solution to stratgey</t>
  </si>
  <si>
    <t>Follow on session on CRC debt with Qatar
Session with Tim to pursue net off</t>
  </si>
  <si>
    <t>Amendment 12 (Extension)</t>
  </si>
  <si>
    <t>Amendment 12 (84k extension) signature expected</t>
  </si>
  <si>
    <t>MSR</t>
  </si>
  <si>
    <t>Trent 700 Extension</t>
  </si>
  <si>
    <t>Georges</t>
  </si>
  <si>
    <t>Submit Proposal</t>
  </si>
  <si>
    <t>Proposal Negotiatiion</t>
  </si>
  <si>
    <t>Agree a Proposal</t>
  </si>
  <si>
    <t>Contracting</t>
  </si>
  <si>
    <t>Widebody Campaign  (Trent 7000 / XW-84 / Trent 1000)</t>
  </si>
  <si>
    <t>Drive for 0 debt</t>
  </si>
  <si>
    <t>MSR Raise AOG credits</t>
  </si>
  <si>
    <t>Clear Debt</t>
  </si>
  <si>
    <t>ULW Dispute?</t>
  </si>
  <si>
    <t>EP Trent XWB-84 upsell</t>
  </si>
  <si>
    <t>Agree Proposal</t>
  </si>
  <si>
    <t>Emirates</t>
  </si>
  <si>
    <t>SPE delivery</t>
  </si>
  <si>
    <t>Deliver SPE</t>
  </si>
  <si>
    <t>Darren</t>
  </si>
  <si>
    <t>Project Pantheon</t>
  </si>
  <si>
    <t>Level 1 Finance Approval</t>
  </si>
  <si>
    <t>Level 2 Finance Approval</t>
  </si>
  <si>
    <t>Customer Negotiations</t>
  </si>
  <si>
    <t>Re-Run Finance Models</t>
  </si>
  <si>
    <t>Execution</t>
  </si>
  <si>
    <t>Saudia</t>
  </si>
  <si>
    <t>Solve Commercial Issue</t>
  </si>
  <si>
    <t>Solve Commercial issues</t>
  </si>
  <si>
    <t>Widebody Campaign  (Trent 7000 / XWB-97)</t>
  </si>
  <si>
    <t>Start Campaign</t>
  </si>
  <si>
    <t>Extend Trent 700s (Classic)</t>
  </si>
  <si>
    <t>Flynas</t>
  </si>
  <si>
    <t>Sign Proposal</t>
  </si>
  <si>
    <t>Craig</t>
  </si>
  <si>
    <t>Meeting CEO Dubai</t>
  </si>
  <si>
    <t>Contracting Trent 7000</t>
  </si>
  <si>
    <t>Spare Deposit</t>
  </si>
  <si>
    <t>Flyadeal</t>
  </si>
  <si>
    <t>Secure Proposal</t>
  </si>
  <si>
    <t>Meeting with DG</t>
  </si>
  <si>
    <t>Follow on meeting</t>
  </si>
  <si>
    <t>BAFO</t>
  </si>
  <si>
    <t>Resolultion AQ30</t>
  </si>
  <si>
    <t>Etihad</t>
  </si>
  <si>
    <t>Submit proposal</t>
  </si>
  <si>
    <t>RFP recieved</t>
  </si>
  <si>
    <t xml:space="preserve">L3 </t>
  </si>
  <si>
    <t>L4</t>
  </si>
  <si>
    <t>Counter Proposal</t>
  </si>
  <si>
    <t>A330neo Abra SPE</t>
  </si>
  <si>
    <t>RR proposal signed with Abra</t>
  </si>
  <si>
    <t>Etihad LoI with Abra</t>
  </si>
  <si>
    <t>Etihad commitment on SPE pull forward</t>
  </si>
  <si>
    <t>PA amendment submitted</t>
  </si>
  <si>
    <t>PA amendment signed</t>
  </si>
  <si>
    <t>Trent 7000 SPE delivery</t>
  </si>
  <si>
    <t>Trent 7000 TCA &amp; SFAA</t>
  </si>
  <si>
    <t>TCA &amp; SFAA updated drafts issued to Etihad</t>
  </si>
  <si>
    <t>L2 Final Approval</t>
  </si>
  <si>
    <t>Senior Close Meeting</t>
  </si>
  <si>
    <t>Contract signature</t>
  </si>
  <si>
    <t>SilkWay</t>
  </si>
  <si>
    <t>Alexei</t>
  </si>
  <si>
    <t>RIA</t>
  </si>
  <si>
    <t>Contracting Trent XWB-97</t>
  </si>
  <si>
    <t>Contracting Product Agreement</t>
  </si>
  <si>
    <t xml:space="preserve">Kuwait </t>
  </si>
  <si>
    <t>A350-900 Campaign</t>
  </si>
  <si>
    <t>Air Tanzania</t>
  </si>
  <si>
    <t>SPE sale</t>
  </si>
  <si>
    <t>Further deposit payment $12.7</t>
  </si>
  <si>
    <t>Final balance payment $1.1M &amp; BoS</t>
  </si>
  <si>
    <t>Uzbekistan Airways</t>
  </si>
  <si>
    <t xml:space="preserve">22 B787-9 TCA campaign </t>
  </si>
  <si>
    <t xml:space="preserve">Visit UzAir to present proposal </t>
  </si>
  <si>
    <t xml:space="preserve">09/02,  Omar meeting with UZ Ambassador, UK         </t>
  </si>
  <si>
    <t xml:space="preserve">17/02, UK-UZ infrastructure conference (Omar mtg with Lord Alderdice) and  CEO.   </t>
  </si>
  <si>
    <t>Proposal resent to UzAir CEO by Omar. 26/02,  evening - C5 Foreign ministers summit</t>
  </si>
  <si>
    <t xml:space="preserve">Omar/team mtg with Adrian Gane (Board Member) </t>
  </si>
  <si>
    <t>Alexei mtg with Nicholas (head of  UKTI in Tashkent) (IPO)</t>
  </si>
  <si>
    <t>15-16/04 CA conference in Astana</t>
  </si>
  <si>
    <t>Follow up letter from Omar to CEO to request update/mtg</t>
  </si>
  <si>
    <t>UZ presdential vist to UK</t>
  </si>
  <si>
    <t>KBP, 11/06</t>
  </si>
  <si>
    <t>Farnborough invite + (CA delegation)</t>
  </si>
  <si>
    <t>Air Mauritius</t>
  </si>
  <si>
    <t>Fleet Restructure</t>
  </si>
  <si>
    <t>NDA Signed</t>
  </si>
  <si>
    <t>Fleet Review feedback</t>
  </si>
  <si>
    <t>Air Astana</t>
  </si>
  <si>
    <t>Proposal in October 2025, 29/01 visit  to RR Derby by  assessemnt team</t>
  </si>
  <si>
    <t>SVS L2 pack</t>
  </si>
  <si>
    <t>03/04, presentation of updated proposal in Almaty</t>
  </si>
  <si>
    <t>UK HMA meeting with CEO  -request fpr  guarantees</t>
  </si>
  <si>
    <t xml:space="preserve">Intro letter from Omar to the new CEO </t>
  </si>
  <si>
    <t>EX CEO (now advisor) P Foster visit to RR Derby in May, date TBC (Omar)</t>
  </si>
  <si>
    <t>meeting to discuss guarantees (ToW/AOG), date TBC - key aspect forf decision, according to CEO</t>
  </si>
  <si>
    <t>Meeting with CEO during  IATA (Omar)</t>
  </si>
  <si>
    <t>Minister Bryant’s visit, date TBC (RR mtg with CEO as aprt of the agenda), may move to September</t>
  </si>
  <si>
    <t>engine decsion (further delay possible)</t>
  </si>
  <si>
    <t>Somon Air</t>
  </si>
  <si>
    <t>Meeting with CTO, NDA and UKEF letter in Dec-25</t>
  </si>
  <si>
    <t>SVSL2 pack,</t>
  </si>
  <si>
    <t>02/04 presentation of 1st proposal in Dushanbe</t>
  </si>
  <si>
    <t>Comments received on 1st proposal</t>
  </si>
  <si>
    <t xml:space="preserve">Intro letter from Omar to the  CEO </t>
  </si>
  <si>
    <t>response to comments</t>
  </si>
  <si>
    <t>Airline visit to RR Derby</t>
  </si>
  <si>
    <t>KBP, date TBC</t>
  </si>
  <si>
    <t>engine decision (delay possible)</t>
  </si>
  <si>
    <t>Uganda Future</t>
  </si>
  <si>
    <t>Spare Engine Sale</t>
  </si>
  <si>
    <t>L2 Approvals</t>
  </si>
  <si>
    <t>Submit final offer</t>
  </si>
  <si>
    <t>Submit formal proposal</t>
  </si>
  <si>
    <t>RRPF proposal</t>
  </si>
  <si>
    <t>Proposal signed. Draft CoL</t>
  </si>
  <si>
    <t>PA amendment &amp; CoL</t>
  </si>
  <si>
    <t>PA &amp; CoL signed</t>
  </si>
  <si>
    <t>Desert Wings SPE</t>
  </si>
  <si>
    <t>Trent 7000 Sale</t>
  </si>
  <si>
    <t>Meeting CEO</t>
  </si>
  <si>
    <t>Spare Sale</t>
  </si>
  <si>
    <t>SRA</t>
  </si>
  <si>
    <t>Trent XWB-84 Deposit</t>
  </si>
  <si>
    <t>Sign Contract</t>
  </si>
  <si>
    <t>Deposit</t>
  </si>
  <si>
    <t>Air Algerir</t>
  </si>
  <si>
    <t>Trent 7000 Contracting</t>
  </si>
  <si>
    <t>Contracting Trent 7000 TCA</t>
  </si>
  <si>
    <t>Engine Type</t>
  </si>
  <si>
    <t>Year</t>
  </si>
  <si>
    <t>Quarter</t>
  </si>
  <si>
    <t>Amount</t>
  </si>
  <si>
    <t>Comments</t>
  </si>
  <si>
    <t>XWB-84</t>
  </si>
  <si>
    <t>Q2</t>
  </si>
  <si>
    <t>Q4</t>
  </si>
  <si>
    <t>Q1</t>
  </si>
  <si>
    <t>Q3</t>
  </si>
  <si>
    <t>XWB-97</t>
  </si>
  <si>
    <t>Q3/Q4</t>
  </si>
  <si>
    <t>Trent 7000</t>
  </si>
  <si>
    <t>Possibly 2026 Q4</t>
  </si>
  <si>
    <t>TRENT1000</t>
  </si>
  <si>
    <t>TRENT7000</t>
  </si>
  <si>
    <t>Egypt Air</t>
  </si>
  <si>
    <t>Air Algerie</t>
  </si>
  <si>
    <t>Silkways</t>
  </si>
  <si>
    <t>RiyadhAir</t>
  </si>
  <si>
    <t>Tanzania</t>
  </si>
  <si>
    <t>Mauritius</t>
  </si>
  <si>
    <t> </t>
  </si>
  <si>
    <t>.</t>
  </si>
  <si>
    <t>Engines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</si>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</sst>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  <font>
      <sz val="12"/>
      <color theme="1"/>
      <name val="RR Pioneer"/>
      <family val="2"/>
    </font>
    <font>
      <sz val="12"/>
      <color theme="0"/>
      <name val="RR Pioneer"/>
      <family val="2"/>
    </font>
    <font>
      <b/>
      <sz val="12"/>
      <color theme="1"/>
      <name val="RR Pioneer"/>
      <family val="2"/>
    </font>
    <font>
      <sz val="8"/>
      <color theme="1"/>
      <name val="Aptos Narrow"/>
      <family val="2"/>
      <scheme val="minor"/>
    </font>
    <font>
      <b/>
      <sz val="8"/>
      <color theme="1"/>
      <name val="RR Pioneer"/>
      <family val="2"/>
    </font>
    <font>
      <sz val="8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4"/>
      <name val="Aptos Narrow"/>
      <family val="2"/>
    </font>
    <font>
      <sz val="11"/>
      <color theme="4"/>
      <name val="Aptos Narrow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2"/>
      <color theme="1"/>
      <name val="RR Pioneer"/>
    </font>
  </fonts>
  <fills count="20">
    <fill>
      <patternFill patternType="none"/>
    </fill>
    <fill>
      <patternFill patternType="gray125"/>
    </fill>
    <fill>
      <patternFill patternType="solid">
        <fgColor rgb="FF10069F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F4762"/>
      </top>
      <bottom/>
      <diagonal/>
    </border>
    <border>
      <left/>
      <right/>
      <top style="thin">
        <color rgb="FF0F4762"/>
      </top>
      <bottom style="medium">
        <color rgb="FF0F47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" fontId="7" fillId="0" borderId="5" xfId="0" applyNumberFormat="1" applyFont="1" applyBorder="1" applyAlignment="1">
      <alignment vertical="center"/>
    </xf>
    <xf numFmtId="4" fontId="8" fillId="3" borderId="2" xfId="0" applyNumberFormat="1" applyFont="1" applyFill="1" applyBorder="1" applyAlignment="1">
      <alignment vertical="center"/>
    </xf>
    <xf numFmtId="4" fontId="7" fillId="0" borderId="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2" fillId="0" borderId="0" xfId="0" applyFont="1" applyAlignment="1">
      <alignment wrapText="1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1" fillId="6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11" borderId="3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1" fillId="10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/>
    </xf>
    <xf numFmtId="15" fontId="5" fillId="12" borderId="17" xfId="0" applyNumberFormat="1" applyFont="1" applyFill="1" applyBorder="1" applyAlignment="1">
      <alignment horizontal="center" vertical="center"/>
    </xf>
    <xf numFmtId="15" fontId="5" fillId="12" borderId="20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16" fontId="4" fillId="2" borderId="14" xfId="0" applyNumberFormat="1" applyFont="1" applyFill="1" applyBorder="1" applyAlignment="1">
      <alignment horizontal="center" vertical="center"/>
    </xf>
    <xf numFmtId="16" fontId="4" fillId="2" borderId="15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16" fontId="4" fillId="2" borderId="17" xfId="0" applyNumberFormat="1" applyFont="1" applyFill="1" applyBorder="1" applyAlignment="1">
      <alignment horizontal="center" vertical="center"/>
    </xf>
    <xf numFmtId="16" fontId="4" fillId="2" borderId="18" xfId="0" applyNumberFormat="1" applyFont="1" applyFill="1" applyBorder="1" applyAlignment="1">
      <alignment horizontal="center" vertical="center"/>
    </xf>
    <xf numFmtId="16" fontId="4" fillId="2" borderId="19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wrapText="1"/>
    </xf>
    <xf numFmtId="0" fontId="0" fillId="4" borderId="21" xfId="0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15" borderId="0" xfId="0" applyFont="1" applyFill="1"/>
    <xf numFmtId="0" fontId="19" fillId="0" borderId="0" xfId="0" applyFont="1"/>
    <xf numFmtId="0" fontId="18" fillId="16" borderId="0" xfId="0" applyFont="1" applyFill="1"/>
    <xf numFmtId="0" fontId="20" fillId="17" borderId="0" xfId="0" applyFont="1" applyFill="1"/>
    <xf numFmtId="0" fontId="21" fillId="16" borderId="24" xfId="0" applyFont="1" applyFill="1" applyBorder="1"/>
    <xf numFmtId="0" fontId="22" fillId="0" borderId="0" xfId="0" applyFont="1"/>
    <xf numFmtId="0" fontId="17" fillId="0" borderId="0" xfId="0" applyFont="1" applyAlignment="1">
      <alignment horizontal="center"/>
    </xf>
    <xf numFmtId="0" fontId="18" fillId="16" borderId="0" xfId="0" applyFont="1" applyFill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/>
    </xf>
    <xf numFmtId="0" fontId="0" fillId="0" borderId="8" xfId="0" applyBorder="1"/>
    <xf numFmtId="0" fontId="2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" fontId="7" fillId="0" borderId="3" xfId="0" applyNumberFormat="1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/>
    </xf>
    <xf numFmtId="0" fontId="11" fillId="10" borderId="0" xfId="0" applyFont="1" applyFill="1" applyAlignment="1">
      <alignment horizontal="center" vertical="center" wrapText="1"/>
    </xf>
    <xf numFmtId="0" fontId="24" fillId="5" borderId="3" xfId="0" applyFont="1" applyFill="1" applyBorder="1" applyAlignment="1">
      <alignment horizontal="center" wrapText="1"/>
    </xf>
    <xf numFmtId="0" fontId="24" fillId="4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0" fillId="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4" borderId="12" xfId="0" applyFill="1" applyBorder="1" applyAlignment="1">
      <alignment horizontal="center" wrapText="1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4" fontId="25" fillId="0" borderId="3" xfId="0" applyNumberFormat="1" applyFont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5" fontId="5" fillId="12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0" fillId="4" borderId="32" xfId="0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2" fillId="13" borderId="22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2" fillId="5" borderId="3" xfId="0" applyFont="1" applyFill="1" applyBorder="1" applyAlignment="1">
      <alignment horizontal="centerContinuous" wrapText="1"/>
    </xf>
    <xf numFmtId="0" fontId="6" fillId="5" borderId="3" xfId="0" applyFont="1" applyFill="1" applyBorder="1" applyAlignment="1">
      <alignment horizontal="centerContinuous" wrapText="1"/>
    </xf>
    <xf numFmtId="0" fontId="0" fillId="5" borderId="3" xfId="0" applyFill="1" applyBorder="1" applyAlignment="1">
      <alignment horizontal="centerContinuous" wrapText="1"/>
    </xf>
    <xf numFmtId="0" fontId="2" fillId="5" borderId="1" xfId="0" applyFont="1" applyFill="1" applyBorder="1" applyAlignment="1">
      <alignment horizontal="centerContinuous" wrapText="1"/>
    </xf>
    <xf numFmtId="0" fontId="2" fillId="5" borderId="9" xfId="0" applyFont="1" applyFill="1" applyBorder="1" applyAlignment="1">
      <alignment horizontal="centerContinuous" wrapText="1"/>
    </xf>
    <xf numFmtId="0" fontId="2" fillId="5" borderId="7" xfId="0" applyFont="1" applyFill="1" applyBorder="1" applyAlignment="1">
      <alignment horizontal="centerContinuous" wrapText="1"/>
    </xf>
    <xf numFmtId="0" fontId="2" fillId="5" borderId="4" xfId="0" applyFont="1" applyFill="1" applyBorder="1" applyAlignment="1">
      <alignment horizontal="centerContinuous" wrapText="1"/>
    </xf>
    <xf numFmtId="0" fontId="5" fillId="5" borderId="3" xfId="0" applyFont="1" applyFill="1" applyBorder="1" applyAlignment="1">
      <alignment horizontal="centerContinuous" wrapText="1"/>
    </xf>
    <xf numFmtId="0" fontId="13" fillId="5" borderId="3" xfId="0" applyFont="1" applyFill="1" applyBorder="1" applyAlignment="1">
      <alignment horizontal="center" wrapText="1"/>
    </xf>
    <xf numFmtId="0" fontId="0" fillId="5" borderId="30" xfId="0" applyFill="1" applyBorder="1" applyAlignment="1">
      <alignment horizontal="centerContinuous" wrapText="1"/>
    </xf>
    <xf numFmtId="0" fontId="0" fillId="5" borderId="4" xfId="0" applyFill="1" applyBorder="1" applyAlignment="1">
      <alignment horizontal="centerContinuous" wrapText="1"/>
    </xf>
    <xf numFmtId="0" fontId="13" fillId="5" borderId="29" xfId="0" applyFont="1" applyFill="1" applyBorder="1" applyAlignment="1">
      <alignment horizontal="centerContinuous"/>
    </xf>
    <xf numFmtId="0" fontId="2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10" borderId="3" xfId="0" applyFont="1" applyFill="1" applyBorder="1" applyAlignment="1">
      <alignment horizontal="centerContinuous" wrapText="1"/>
    </xf>
    <xf numFmtId="0" fontId="2" fillId="10" borderId="1" xfId="0" applyFont="1" applyFill="1" applyBorder="1" applyAlignment="1">
      <alignment horizontal="centerContinuous" wrapText="1"/>
    </xf>
    <xf numFmtId="0" fontId="2" fillId="10" borderId="2" xfId="0" applyFont="1" applyFill="1" applyBorder="1" applyAlignment="1">
      <alignment horizontal="centerContinuous" wrapText="1"/>
    </xf>
    <xf numFmtId="0" fontId="2" fillId="10" borderId="7" xfId="0" applyFont="1" applyFill="1" applyBorder="1" applyAlignment="1">
      <alignment horizontal="centerContinuous" wrapText="1"/>
    </xf>
    <xf numFmtId="0" fontId="0" fillId="5" borderId="0" xfId="0" applyFill="1" applyAlignment="1">
      <alignment horizontal="centerContinuous" wrapText="1"/>
    </xf>
    <xf numFmtId="0" fontId="0" fillId="5" borderId="0" xfId="0" applyFill="1" applyAlignment="1">
      <alignment horizontal="centerContinuous"/>
    </xf>
    <xf numFmtId="0" fontId="5" fillId="5" borderId="0" xfId="0" applyFont="1" applyFill="1" applyAlignment="1">
      <alignment horizontal="centerContinuous" wrapText="1"/>
    </xf>
    <xf numFmtId="0" fontId="5" fillId="5" borderId="27" xfId="0" applyFont="1" applyFill="1" applyBorder="1" applyAlignment="1">
      <alignment horizontal="centerContinuous" wrapText="1"/>
    </xf>
    <xf numFmtId="0" fontId="13" fillId="5" borderId="28" xfId="0" applyFont="1" applyFill="1" applyBorder="1" applyAlignment="1">
      <alignment horizontal="centerContinuous"/>
    </xf>
    <xf numFmtId="0" fontId="13" fillId="5" borderId="33" xfId="0" applyFont="1" applyFill="1" applyBorder="1" applyAlignment="1">
      <alignment horizontal="centerContinuous"/>
    </xf>
    <xf numFmtId="0" fontId="13" fillId="5" borderId="0" xfId="0" applyFont="1" applyFill="1" applyAlignment="1">
      <alignment horizontal="centerContinuous" wrapText="1"/>
    </xf>
    <xf numFmtId="0" fontId="13" fillId="5" borderId="0" xfId="0" applyFont="1" applyFill="1" applyAlignment="1">
      <alignment horizontal="centerContinuous"/>
    </xf>
    <xf numFmtId="0" fontId="13" fillId="5" borderId="7" xfId="0" applyFont="1" applyFill="1" applyBorder="1" applyAlignment="1">
      <alignment horizontal="centerContinuous" wrapText="1"/>
    </xf>
    <xf numFmtId="0" fontId="13" fillId="5" borderId="3" xfId="0" applyFont="1" applyFill="1" applyBorder="1" applyAlignment="1">
      <alignment horizontal="centerContinuous" wrapText="1"/>
    </xf>
    <xf numFmtId="0" fontId="13" fillId="5" borderId="3" xfId="0" applyFont="1" applyFill="1" applyBorder="1" applyAlignment="1">
      <alignment horizontal="centerContinuous" vertical="center" wrapText="1"/>
    </xf>
    <xf numFmtId="0" fontId="0" fillId="0" borderId="4" xfId="0" applyBorder="1" applyAlignment="1">
      <alignment horizontal="center" wrapText="1"/>
    </xf>
    <xf numFmtId="0" fontId="13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Continuous"/>
    </xf>
    <xf numFmtId="0" fontId="13" fillId="5" borderId="3" xfId="0" applyFont="1" applyFill="1" applyBorder="1" applyAlignment="1">
      <alignment horizontal="centerContinuous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Continuous"/>
    </xf>
    <xf numFmtId="0" fontId="13" fillId="0" borderId="3" xfId="0" applyFont="1" applyBorder="1"/>
    <xf numFmtId="0" fontId="13" fillId="5" borderId="3" xfId="0" applyFont="1" applyFill="1" applyBorder="1"/>
    <xf numFmtId="0" fontId="0" fillId="0" borderId="21" xfId="0" applyBorder="1" applyAlignment="1">
      <alignment horizontal="center"/>
    </xf>
    <xf numFmtId="0" fontId="2" fillId="13" borderId="34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2" fillId="13" borderId="35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Continuous"/>
    </xf>
    <xf numFmtId="0" fontId="13" fillId="5" borderId="4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9" xfId="0" applyFill="1" applyBorder="1" applyAlignment="1">
      <alignment horizontal="centerContinuous"/>
    </xf>
    <xf numFmtId="0" fontId="0" fillId="10" borderId="3" xfId="0" applyFill="1" applyBorder="1" applyAlignment="1">
      <alignment horizontal="centerContinuous"/>
    </xf>
    <xf numFmtId="0" fontId="0" fillId="10" borderId="4" xfId="0" applyFill="1" applyBorder="1" applyAlignment="1">
      <alignment horizontal="centerContinuous"/>
    </xf>
    <xf numFmtId="0" fontId="13" fillId="0" borderId="0" xfId="0" applyFont="1"/>
    <xf numFmtId="0" fontId="13" fillId="10" borderId="3" xfId="0" applyFont="1" applyFill="1" applyBorder="1" applyAlignment="1">
      <alignment horizontal="centerContinuous"/>
    </xf>
    <xf numFmtId="0" fontId="0" fillId="4" borderId="38" xfId="0" applyFill="1" applyBorder="1" applyAlignment="1">
      <alignment horizontal="center"/>
    </xf>
    <xf numFmtId="0" fontId="2" fillId="0" borderId="30" xfId="0" applyFont="1" applyBorder="1" applyAlignment="1">
      <alignment horizont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3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24" fillId="18" borderId="4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 wrapText="1"/>
    </xf>
    <xf numFmtId="0" fontId="24" fillId="19" borderId="4" xfId="0" applyFont="1" applyFill="1" applyBorder="1" applyAlignment="1">
      <alignment horizontal="center" vertical="center" wrapText="1"/>
    </xf>
    <xf numFmtId="0" fontId="2" fillId="19" borderId="37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 wrapText="1"/>
    </xf>
    <xf numFmtId="0" fontId="2" fillId="19" borderId="3" xfId="0" applyFont="1" applyFill="1" applyBorder="1" applyAlignment="1">
      <alignment horizontal="center" vertical="center" wrapText="1"/>
    </xf>
    <xf numFmtId="0" fontId="0" fillId="19" borderId="9" xfId="0" applyFill="1" applyBorder="1" applyAlignment="1">
      <alignment horizontal="center"/>
    </xf>
    <xf numFmtId="0" fontId="0" fillId="19" borderId="3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wrapText="1"/>
    </xf>
    <xf numFmtId="0" fontId="2" fillId="18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18" borderId="4" xfId="0" applyFill="1" applyBorder="1" applyAlignment="1">
      <alignment wrapText="1"/>
    </xf>
    <xf numFmtId="0" fontId="0" fillId="18" borderId="3" xfId="0" applyFill="1" applyBorder="1" applyAlignment="1">
      <alignment wrapText="1"/>
    </xf>
    <xf numFmtId="0" fontId="2" fillId="18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0" borderId="3" xfId="0" applyBorder="1"/>
    <xf numFmtId="0" fontId="13" fillId="19" borderId="3" xfId="0" applyFont="1" applyFill="1" applyBorder="1" applyAlignment="1">
      <alignment horizontal="center" wrapText="1"/>
    </xf>
    <xf numFmtId="0" fontId="0" fillId="4" borderId="39" xfId="0" applyFill="1" applyBorder="1" applyAlignment="1">
      <alignment horizontal="center"/>
    </xf>
    <xf numFmtId="0" fontId="0" fillId="19" borderId="4" xfId="0" applyFill="1" applyBorder="1" applyAlignment="1">
      <alignment wrapText="1"/>
    </xf>
    <xf numFmtId="0" fontId="0" fillId="19" borderId="3" xfId="0" applyFill="1" applyBorder="1" applyAlignment="1">
      <alignment wrapText="1"/>
    </xf>
    <xf numFmtId="0" fontId="0" fillId="19" borderId="3" xfId="0" applyFill="1" applyBorder="1" applyAlignment="1">
      <alignment horizontal="center"/>
    </xf>
    <xf numFmtId="0" fontId="2" fillId="19" borderId="3" xfId="0" applyFont="1" applyFill="1" applyBorder="1" applyAlignment="1">
      <alignment wrapText="1"/>
    </xf>
    <xf numFmtId="0" fontId="0" fillId="19" borderId="3" xfId="0" applyFill="1" applyBorder="1"/>
    <xf numFmtId="0" fontId="0" fillId="19" borderId="3" xfId="0" applyFill="1" applyBorder="1" applyAlignment="1">
      <alignment horizontal="center" wrapText="1"/>
    </xf>
    <xf numFmtId="0" fontId="0" fillId="5" borderId="21" xfId="0" applyFill="1" applyBorder="1" applyAlignment="1">
      <alignment horizontal="center" vertical="center"/>
    </xf>
    <xf numFmtId="0" fontId="0" fillId="19" borderId="3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/>
    </xf>
    <xf numFmtId="0" fontId="0" fillId="19" borderId="3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Continuous" wrapText="1"/>
    </xf>
    <xf numFmtId="0" fontId="14" fillId="4" borderId="12" xfId="0" applyFont="1" applyFill="1" applyBorder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 wrapText="1"/>
    </xf>
    <xf numFmtId="0" fontId="24" fillId="13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27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20" fillId="0" borderId="0" xfId="0" applyFont="1" applyBorder="1"/>
    <xf numFmtId="0" fontId="20" fillId="12" borderId="0" xfId="0" applyFont="1" applyFill="1"/>
    <xf numFmtId="0" fontId="20" fillId="15" borderId="25" xfId="0" applyFont="1" applyFill="1" applyBorder="1"/>
    <xf numFmtId="0" fontId="2" fillId="0" borderId="0" xfId="0" applyFont="1" applyAlignment="1"/>
    <xf numFmtId="0" fontId="4" fillId="2" borderId="1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DC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V100"/>
  <sheetViews>
    <sheetView zoomScale="70" zoomScaleNormal="70" workbookViewId="0">
      <pane xSplit="20" ySplit="6" topLeftCell="Y7" activePane="bottomRight" state="frozen"/>
      <selection pane="bottomRight" activeCell="AO33" sqref="AO33"/>
      <selection pane="bottomLeft" activeCell="A7" sqref="A7"/>
      <selection pane="topRight" activeCell="U1" sqref="U1"/>
    </sheetView>
  </sheetViews>
  <sheetFormatPr defaultRowHeight="15.95"/>
  <cols>
    <col min="1" max="1" width="5.28515625" customWidth="1"/>
    <col min="2" max="2" width="21.42578125" style="23" customWidth="1"/>
    <col min="3" max="3" width="19.42578125" style="3" hidden="1" customWidth="1"/>
    <col min="4" max="4" width="18.42578125" style="3" hidden="1" customWidth="1"/>
    <col min="5" max="5" width="7.85546875" style="8" hidden="1" customWidth="1"/>
    <col min="6" max="6" width="16.140625" hidden="1" customWidth="1"/>
    <col min="7" max="7" width="19.5703125" hidden="1" customWidth="1"/>
    <col min="8" max="8" width="12.7109375" hidden="1" customWidth="1"/>
    <col min="9" max="9" width="18.85546875" hidden="1" customWidth="1"/>
    <col min="10" max="10" width="22.28515625" hidden="1" customWidth="1"/>
    <col min="11" max="11" width="24.42578125" hidden="1" customWidth="1"/>
    <col min="12" max="12" width="26.42578125" hidden="1" customWidth="1"/>
    <col min="13" max="13" width="22.42578125" hidden="1" customWidth="1"/>
    <col min="14" max="14" width="23.7109375" hidden="1" customWidth="1"/>
    <col min="15" max="15" width="19.42578125" hidden="1" customWidth="1"/>
    <col min="16" max="16" width="14.7109375" hidden="1" customWidth="1"/>
    <col min="17" max="17" width="21.42578125" hidden="1" customWidth="1"/>
    <col min="18" max="18" width="0" hidden="1" customWidth="1"/>
    <col min="19" max="19" width="2.140625" hidden="1" customWidth="1"/>
    <col min="20" max="20" width="29.7109375" customWidth="1"/>
    <col min="21" max="21" width="29.7109375" style="23" customWidth="1"/>
    <col min="22" max="22" width="14.28515625" customWidth="1"/>
    <col min="23" max="23" width="15.140625" customWidth="1"/>
    <col min="24" max="24" width="10.5703125" customWidth="1"/>
    <col min="25" max="25" width="13" customWidth="1"/>
    <col min="26" max="26" width="11.7109375" customWidth="1"/>
    <col min="27" max="27" width="10.7109375" bestFit="1" customWidth="1"/>
    <col min="28" max="28" width="17.5703125" customWidth="1"/>
    <col min="29" max="29" width="14.5703125" customWidth="1"/>
    <col min="30" max="30" width="18.42578125" customWidth="1"/>
    <col min="31" max="31" width="19.5703125" bestFit="1" customWidth="1"/>
    <col min="32" max="32" width="21.5703125" customWidth="1"/>
    <col min="33" max="33" width="18.5703125" customWidth="1"/>
    <col min="34" max="34" width="27.42578125" bestFit="1" customWidth="1"/>
    <col min="35" max="35" width="13.42578125" bestFit="1" customWidth="1"/>
    <col min="36" max="36" width="15.140625" customWidth="1"/>
    <col min="37" max="37" width="16" customWidth="1"/>
    <col min="38" max="38" width="17.5703125" customWidth="1"/>
    <col min="39" max="39" width="14.85546875" bestFit="1" customWidth="1"/>
    <col min="40" max="40" width="19.7109375" customWidth="1"/>
    <col min="41" max="41" width="18.42578125" customWidth="1"/>
    <col min="42" max="42" width="19.5703125" customWidth="1"/>
    <col min="43" max="43" width="15.42578125" customWidth="1"/>
    <col min="44" max="44" width="15.140625" customWidth="1"/>
    <col min="45" max="45" width="14.42578125" bestFit="1" customWidth="1"/>
    <col min="46" max="46" width="15.7109375" customWidth="1"/>
    <col min="47" max="47" width="13.42578125" bestFit="1" customWidth="1"/>
    <col min="48" max="48" width="20.42578125" customWidth="1"/>
    <col min="49" max="49" width="15.42578125" customWidth="1"/>
    <col min="50" max="50" width="11.5703125" bestFit="1" customWidth="1"/>
    <col min="51" max="51" width="13.85546875" customWidth="1"/>
    <col min="52" max="52" width="18.42578125" customWidth="1"/>
    <col min="53" max="53" width="21.140625" bestFit="1" customWidth="1"/>
    <col min="54" max="54" width="12.28515625" bestFit="1" customWidth="1"/>
    <col min="55" max="55" width="10.7109375" bestFit="1" customWidth="1"/>
    <col min="56" max="56" width="13.7109375" bestFit="1" customWidth="1"/>
    <col min="57" max="57" width="22.85546875" customWidth="1"/>
    <col min="58" max="58" width="14.140625" bestFit="1" customWidth="1"/>
    <col min="59" max="59" width="12.5703125" bestFit="1" customWidth="1"/>
    <col min="60" max="60" width="13.5703125" customWidth="1"/>
    <col min="61" max="61" width="14.140625" customWidth="1"/>
    <col min="62" max="62" width="12.85546875" customWidth="1"/>
    <col min="63" max="63" width="13.140625" customWidth="1"/>
    <col min="64" max="64" width="13.42578125" bestFit="1" customWidth="1"/>
    <col min="65" max="65" width="16.140625" bestFit="1" customWidth="1"/>
    <col min="66" max="66" width="14" bestFit="1" customWidth="1"/>
    <col min="67" max="68" width="13.42578125" bestFit="1" customWidth="1"/>
    <col min="69" max="69" width="13.85546875" customWidth="1"/>
    <col min="70" max="70" width="17.7109375" customWidth="1"/>
    <col min="71" max="71" width="12.42578125" customWidth="1"/>
    <col min="72" max="72" width="10.5703125" customWidth="1"/>
    <col min="73" max="73" width="11" customWidth="1"/>
    <col min="74" max="74" width="12.5703125" customWidth="1"/>
  </cols>
  <sheetData>
    <row r="1" spans="1:74" ht="14.45">
      <c r="D1" s="16"/>
      <c r="E1" s="16"/>
      <c r="F1" s="12"/>
      <c r="G1" s="14" t="s">
        <v>0</v>
      </c>
      <c r="H1" s="15" t="s">
        <v>1</v>
      </c>
      <c r="I1" s="17" t="s">
        <v>2</v>
      </c>
      <c r="J1" s="18" t="s">
        <v>3</v>
      </c>
    </row>
    <row r="2" spans="1:74" ht="15" customHeight="1">
      <c r="D2" s="11"/>
      <c r="E2" s="11"/>
      <c r="F2" s="11"/>
    </row>
    <row r="3" spans="1:74" ht="15" customHeight="1">
      <c r="B3" s="62"/>
      <c r="C3" s="9"/>
      <c r="D3" s="13"/>
      <c r="E3" s="13"/>
      <c r="F3" s="13"/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1">
        <v>11</v>
      </c>
      <c r="S3" s="1">
        <v>12</v>
      </c>
      <c r="T3" s="322"/>
      <c r="U3" s="322"/>
      <c r="V3" s="322"/>
      <c r="W3" s="1"/>
      <c r="X3" s="1"/>
      <c r="Y3" s="1"/>
      <c r="Z3" s="1"/>
      <c r="AA3" s="1"/>
      <c r="AB3" s="1"/>
      <c r="AC3" s="1"/>
      <c r="AD3" s="1"/>
      <c r="AE3" s="1"/>
    </row>
    <row r="4" spans="1:74" ht="15" customHeight="1" thickBot="1">
      <c r="B4" s="63"/>
      <c r="C4" s="10"/>
      <c r="D4" s="2"/>
      <c r="E4" s="2"/>
      <c r="F4" s="1"/>
      <c r="G4" s="323" t="s">
        <v>4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2"/>
      <c r="U4" s="322"/>
      <c r="V4" s="322"/>
      <c r="W4" s="1"/>
      <c r="X4" s="1"/>
      <c r="Y4" s="1"/>
      <c r="Z4" s="1"/>
      <c r="AA4" s="1"/>
      <c r="AB4" s="1"/>
      <c r="AC4" s="1"/>
      <c r="AD4" s="1"/>
      <c r="AE4" s="1"/>
    </row>
    <row r="5" spans="1:74" s="23" customFormat="1" ht="30.75">
      <c r="A5" s="26" t="s">
        <v>5</v>
      </c>
      <c r="B5" s="300" t="s">
        <v>6</v>
      </c>
      <c r="C5" s="34" t="s">
        <v>7</v>
      </c>
      <c r="D5" s="34" t="s">
        <v>8</v>
      </c>
      <c r="E5" s="34" t="s">
        <v>9</v>
      </c>
      <c r="F5" s="35" t="s">
        <v>10</v>
      </c>
      <c r="G5" s="36">
        <v>45572</v>
      </c>
      <c r="H5" s="36">
        <v>45579</v>
      </c>
      <c r="I5" s="36">
        <v>45586</v>
      </c>
      <c r="J5" s="36">
        <v>45593</v>
      </c>
      <c r="K5" s="36">
        <v>45600</v>
      </c>
      <c r="L5" s="36">
        <v>45607</v>
      </c>
      <c r="M5" s="36">
        <v>45614</v>
      </c>
      <c r="N5" s="36">
        <v>45621</v>
      </c>
      <c r="O5" s="36">
        <v>45628</v>
      </c>
      <c r="P5" s="36">
        <v>45635</v>
      </c>
      <c r="Q5" s="36">
        <v>45642</v>
      </c>
      <c r="R5" s="36">
        <v>45649</v>
      </c>
      <c r="S5" s="37">
        <v>45656</v>
      </c>
      <c r="T5" s="301" t="s">
        <v>8</v>
      </c>
      <c r="U5" s="302" t="s">
        <v>9</v>
      </c>
      <c r="V5" s="30" t="s">
        <v>11</v>
      </c>
      <c r="W5" s="30" t="s">
        <v>12</v>
      </c>
      <c r="X5" s="30" t="s">
        <v>13</v>
      </c>
      <c r="Y5" s="30" t="s">
        <v>14</v>
      </c>
      <c r="Z5" s="30" t="s">
        <v>15</v>
      </c>
      <c r="AA5" s="30" t="s">
        <v>16</v>
      </c>
      <c r="AB5" s="30" t="s">
        <v>17</v>
      </c>
      <c r="AC5" s="30" t="s">
        <v>18</v>
      </c>
      <c r="AD5" s="30" t="s">
        <v>19</v>
      </c>
      <c r="AE5" s="30" t="s">
        <v>20</v>
      </c>
      <c r="AF5" s="30" t="s">
        <v>21</v>
      </c>
      <c r="AG5" s="30" t="s">
        <v>22</v>
      </c>
      <c r="AH5" s="30" t="s">
        <v>23</v>
      </c>
      <c r="AI5" s="30" t="s">
        <v>24</v>
      </c>
      <c r="AJ5" s="30" t="s">
        <v>25</v>
      </c>
      <c r="AK5" s="30" t="s">
        <v>26</v>
      </c>
      <c r="AL5" s="30" t="s">
        <v>27</v>
      </c>
      <c r="AM5" s="30" t="s">
        <v>28</v>
      </c>
      <c r="AN5" s="30" t="s">
        <v>29</v>
      </c>
      <c r="AO5" s="30" t="s">
        <v>30</v>
      </c>
      <c r="AP5" s="30" t="s">
        <v>31</v>
      </c>
      <c r="AQ5" s="30" t="s">
        <v>32</v>
      </c>
      <c r="AR5" s="30" t="s">
        <v>33</v>
      </c>
      <c r="AS5" s="30" t="s">
        <v>34</v>
      </c>
      <c r="AT5" s="30" t="s">
        <v>35</v>
      </c>
      <c r="AU5" s="30" t="s">
        <v>36</v>
      </c>
      <c r="AV5" s="30" t="s">
        <v>37</v>
      </c>
      <c r="AW5" s="30" t="s">
        <v>38</v>
      </c>
      <c r="AX5" s="30" t="s">
        <v>39</v>
      </c>
      <c r="AY5" s="30" t="s">
        <v>40</v>
      </c>
      <c r="AZ5" s="30" t="s">
        <v>41</v>
      </c>
      <c r="BA5" s="30" t="s">
        <v>42</v>
      </c>
      <c r="BB5" s="30" t="s">
        <v>43</v>
      </c>
      <c r="BC5" s="30" t="s">
        <v>44</v>
      </c>
      <c r="BD5" s="30" t="s">
        <v>45</v>
      </c>
      <c r="BE5" s="30" t="s">
        <v>46</v>
      </c>
      <c r="BF5" s="30" t="s">
        <v>47</v>
      </c>
      <c r="BG5" s="30" t="s">
        <v>48</v>
      </c>
      <c r="BH5" s="30" t="s">
        <v>49</v>
      </c>
      <c r="BI5" s="30" t="s">
        <v>50</v>
      </c>
      <c r="BJ5" s="30" t="s">
        <v>51</v>
      </c>
      <c r="BK5" s="30" t="s">
        <v>52</v>
      </c>
      <c r="BL5" s="30" t="s">
        <v>53</v>
      </c>
      <c r="BM5" s="30" t="s">
        <v>54</v>
      </c>
      <c r="BN5" s="30" t="s">
        <v>55</v>
      </c>
      <c r="BO5" s="30" t="s">
        <v>56</v>
      </c>
      <c r="BP5" s="30" t="s">
        <v>57</v>
      </c>
      <c r="BQ5" s="30" t="s">
        <v>58</v>
      </c>
      <c r="BR5" s="30" t="s">
        <v>59</v>
      </c>
      <c r="BS5" s="30" t="s">
        <v>60</v>
      </c>
      <c r="BT5" s="30" t="s">
        <v>61</v>
      </c>
      <c r="BU5" s="31" t="s">
        <v>62</v>
      </c>
    </row>
    <row r="6" spans="1:74" s="23" customFormat="1" ht="15.75">
      <c r="A6" s="26"/>
      <c r="B6" s="300"/>
      <c r="C6" s="38"/>
      <c r="D6" s="38"/>
      <c r="E6" s="38"/>
      <c r="F6" s="39"/>
      <c r="G6" s="40"/>
      <c r="H6" s="40"/>
      <c r="I6" s="40"/>
      <c r="J6" s="40"/>
      <c r="K6" s="40"/>
      <c r="L6" s="40"/>
      <c r="M6" s="41"/>
      <c r="N6" s="41"/>
      <c r="O6" s="40"/>
      <c r="P6" s="40"/>
      <c r="Q6" s="41"/>
      <c r="R6" s="40"/>
      <c r="S6" s="42"/>
      <c r="T6" s="301"/>
      <c r="U6" s="303"/>
      <c r="V6" s="130">
        <v>46023</v>
      </c>
      <c r="W6" s="130">
        <f t="shared" ref="W6:BB6" si="0">V6+7</f>
        <v>46030</v>
      </c>
      <c r="X6" s="32">
        <f t="shared" si="0"/>
        <v>46037</v>
      </c>
      <c r="Y6" s="32">
        <f t="shared" si="0"/>
        <v>46044</v>
      </c>
      <c r="Z6" s="130">
        <f t="shared" si="0"/>
        <v>46051</v>
      </c>
      <c r="AA6" s="32">
        <f t="shared" si="0"/>
        <v>46058</v>
      </c>
      <c r="AB6" s="32">
        <f t="shared" si="0"/>
        <v>46065</v>
      </c>
      <c r="AC6" s="32">
        <f t="shared" si="0"/>
        <v>46072</v>
      </c>
      <c r="AD6" s="32">
        <f t="shared" si="0"/>
        <v>46079</v>
      </c>
      <c r="AE6" s="32">
        <f t="shared" si="0"/>
        <v>46086</v>
      </c>
      <c r="AF6" s="32">
        <f t="shared" si="0"/>
        <v>46093</v>
      </c>
      <c r="AG6" s="130">
        <f t="shared" si="0"/>
        <v>46100</v>
      </c>
      <c r="AH6" s="130">
        <f t="shared" si="0"/>
        <v>46107</v>
      </c>
      <c r="AI6" s="32">
        <f t="shared" si="0"/>
        <v>46114</v>
      </c>
      <c r="AJ6" s="32">
        <f t="shared" si="0"/>
        <v>46121</v>
      </c>
      <c r="AK6" s="32">
        <f t="shared" si="0"/>
        <v>46128</v>
      </c>
      <c r="AL6" s="130">
        <f t="shared" si="0"/>
        <v>46135</v>
      </c>
      <c r="AM6" s="130">
        <f t="shared" si="0"/>
        <v>46142</v>
      </c>
      <c r="AN6" s="32">
        <f t="shared" si="0"/>
        <v>46149</v>
      </c>
      <c r="AO6" s="32">
        <f t="shared" si="0"/>
        <v>46156</v>
      </c>
      <c r="AP6" s="32">
        <f t="shared" si="0"/>
        <v>46163</v>
      </c>
      <c r="AQ6" s="130">
        <f t="shared" si="0"/>
        <v>46170</v>
      </c>
      <c r="AR6" s="130">
        <f t="shared" si="0"/>
        <v>46177</v>
      </c>
      <c r="AS6" s="32">
        <f t="shared" si="0"/>
        <v>46184</v>
      </c>
      <c r="AT6" s="32">
        <f t="shared" si="0"/>
        <v>46191</v>
      </c>
      <c r="AU6" s="130">
        <f t="shared" si="0"/>
        <v>46198</v>
      </c>
      <c r="AV6" s="130">
        <f t="shared" si="0"/>
        <v>46205</v>
      </c>
      <c r="AW6" s="32">
        <f t="shared" si="0"/>
        <v>46212</v>
      </c>
      <c r="AX6" s="32">
        <f t="shared" si="0"/>
        <v>46219</v>
      </c>
      <c r="AY6" s="32">
        <f t="shared" si="0"/>
        <v>46226</v>
      </c>
      <c r="AZ6" s="32">
        <f t="shared" si="0"/>
        <v>46233</v>
      </c>
      <c r="BA6" s="32">
        <f t="shared" si="0"/>
        <v>46240</v>
      </c>
      <c r="BB6" s="32">
        <f t="shared" si="0"/>
        <v>46247</v>
      </c>
      <c r="BC6" s="32">
        <f t="shared" ref="BC6:BU6" si="1">BB6+7</f>
        <v>46254</v>
      </c>
      <c r="BD6" s="32">
        <f t="shared" si="1"/>
        <v>46261</v>
      </c>
      <c r="BE6" s="32">
        <f t="shared" si="1"/>
        <v>46268</v>
      </c>
      <c r="BF6" s="32">
        <f t="shared" si="1"/>
        <v>46275</v>
      </c>
      <c r="BG6" s="32">
        <f t="shared" si="1"/>
        <v>46282</v>
      </c>
      <c r="BH6" s="32">
        <f t="shared" si="1"/>
        <v>46289</v>
      </c>
      <c r="BI6" s="32">
        <f t="shared" si="1"/>
        <v>46296</v>
      </c>
      <c r="BJ6" s="32">
        <f t="shared" si="1"/>
        <v>46303</v>
      </c>
      <c r="BK6" s="32">
        <f t="shared" si="1"/>
        <v>46310</v>
      </c>
      <c r="BL6" s="32">
        <f t="shared" si="1"/>
        <v>46317</v>
      </c>
      <c r="BM6" s="32">
        <f t="shared" si="1"/>
        <v>46324</v>
      </c>
      <c r="BN6" s="32">
        <f t="shared" si="1"/>
        <v>46331</v>
      </c>
      <c r="BO6" s="32">
        <f t="shared" si="1"/>
        <v>46338</v>
      </c>
      <c r="BP6" s="32">
        <f t="shared" si="1"/>
        <v>46345</v>
      </c>
      <c r="BQ6" s="32">
        <f t="shared" si="1"/>
        <v>46352</v>
      </c>
      <c r="BR6" s="32">
        <f t="shared" si="1"/>
        <v>46359</v>
      </c>
      <c r="BS6" s="32">
        <f t="shared" si="1"/>
        <v>46366</v>
      </c>
      <c r="BT6" s="32">
        <f t="shared" si="1"/>
        <v>46373</v>
      </c>
      <c r="BU6" s="33">
        <f t="shared" si="1"/>
        <v>46380</v>
      </c>
    </row>
    <row r="7" spans="1:74" s="23" customFormat="1" ht="91.5">
      <c r="A7" s="19"/>
      <c r="B7" s="58" t="s">
        <v>63</v>
      </c>
      <c r="C7" s="69" t="s">
        <v>64</v>
      </c>
      <c r="D7" s="70" t="s">
        <v>65</v>
      </c>
      <c r="E7" s="70" t="s">
        <v>66</v>
      </c>
      <c r="F7" s="71" t="s">
        <v>67</v>
      </c>
      <c r="G7" s="72"/>
      <c r="H7" s="27" t="s">
        <v>68</v>
      </c>
      <c r="I7" s="27" t="s">
        <v>69</v>
      </c>
      <c r="J7" s="72"/>
      <c r="K7" s="27" t="s">
        <v>70</v>
      </c>
      <c r="L7" s="27" t="s">
        <v>71</v>
      </c>
      <c r="M7" s="73"/>
      <c r="N7" s="73"/>
      <c r="O7" s="28" t="s">
        <v>72</v>
      </c>
      <c r="P7" s="29" t="s">
        <v>73</v>
      </c>
      <c r="Q7" s="15" t="s">
        <v>74</v>
      </c>
      <c r="R7" s="72"/>
      <c r="S7" s="74"/>
      <c r="T7" s="123" t="s">
        <v>75</v>
      </c>
      <c r="U7" s="59" t="s">
        <v>66</v>
      </c>
      <c r="V7" s="19"/>
      <c r="W7" s="19"/>
      <c r="X7" s="75"/>
      <c r="Y7" s="133"/>
      <c r="Z7" s="131"/>
      <c r="AA7" s="216"/>
      <c r="AB7" s="75"/>
      <c r="AC7" s="75"/>
      <c r="AD7" s="75"/>
      <c r="AE7" s="75"/>
      <c r="AF7" s="128"/>
      <c r="AG7" s="67"/>
      <c r="AH7" s="242" t="s">
        <v>76</v>
      </c>
      <c r="AI7" s="243" t="s">
        <v>77</v>
      </c>
      <c r="AJ7" s="244" t="s">
        <v>77</v>
      </c>
      <c r="AK7" s="253" t="s">
        <v>78</v>
      </c>
      <c r="AL7" s="282" t="s">
        <v>79</v>
      </c>
      <c r="AM7" s="280" t="s">
        <v>80</v>
      </c>
      <c r="AN7" s="225" t="s">
        <v>81</v>
      </c>
      <c r="AO7" s="273" t="s">
        <v>82</v>
      </c>
      <c r="AP7" s="218" t="s">
        <v>83</v>
      </c>
      <c r="AQ7" s="224"/>
      <c r="AR7" s="219"/>
      <c r="AS7" s="252" t="s">
        <v>84</v>
      </c>
      <c r="AT7" s="278"/>
      <c r="AU7" s="131"/>
      <c r="AV7" s="279"/>
      <c r="AW7" s="221"/>
      <c r="AX7" s="220"/>
      <c r="AY7" s="222" t="s">
        <v>85</v>
      </c>
      <c r="AZ7" s="223"/>
      <c r="BA7" s="220"/>
      <c r="BB7" s="220"/>
      <c r="BC7" s="220"/>
      <c r="BD7" s="220"/>
      <c r="BE7" s="76"/>
      <c r="BF7" s="76"/>
      <c r="BG7" s="76"/>
      <c r="BH7" s="76"/>
      <c r="BI7" s="76"/>
      <c r="BJ7" s="76"/>
      <c r="BK7" s="76"/>
      <c r="BL7" s="76"/>
      <c r="BM7" s="78"/>
      <c r="BN7" s="76"/>
      <c r="BO7" s="79"/>
      <c r="BP7" s="78"/>
      <c r="BQ7" s="77"/>
      <c r="BR7" s="76"/>
      <c r="BS7" s="76"/>
      <c r="BT7" s="78"/>
      <c r="BU7" s="76"/>
    </row>
    <row r="8" spans="1:74" s="23" customFormat="1" ht="57.75">
      <c r="A8" s="19"/>
      <c r="B8" s="58" t="s">
        <v>63</v>
      </c>
      <c r="C8" s="69"/>
      <c r="D8" s="70"/>
      <c r="E8" s="70"/>
      <c r="F8" s="71"/>
      <c r="G8" s="72"/>
      <c r="H8" s="27"/>
      <c r="I8" s="27"/>
      <c r="J8" s="109"/>
      <c r="K8" s="126"/>
      <c r="L8" s="27"/>
      <c r="M8" s="73"/>
      <c r="N8" s="73"/>
      <c r="O8" s="28"/>
      <c r="P8" s="29"/>
      <c r="Q8" s="15"/>
      <c r="R8" s="72"/>
      <c r="S8" s="74"/>
      <c r="T8" s="59" t="s">
        <v>86</v>
      </c>
      <c r="U8" s="59"/>
      <c r="V8" s="75"/>
      <c r="X8" s="75"/>
      <c r="Y8" s="133"/>
      <c r="Z8" s="132"/>
      <c r="AA8" s="134"/>
      <c r="AB8" s="75"/>
      <c r="AC8" s="75"/>
      <c r="AD8" s="75"/>
      <c r="AE8" s="75"/>
      <c r="AF8" s="128"/>
      <c r="AG8" s="224"/>
      <c r="AH8" s="219"/>
      <c r="AI8" s="245" t="s">
        <v>87</v>
      </c>
      <c r="AJ8" s="97"/>
      <c r="AK8" s="274" t="s">
        <v>88</v>
      </c>
      <c r="AL8" s="219"/>
      <c r="AM8" s="283"/>
      <c r="AN8" s="224"/>
      <c r="AO8" s="227" t="s">
        <v>89</v>
      </c>
      <c r="AP8" s="280" t="s">
        <v>90</v>
      </c>
      <c r="AQ8" s="276"/>
      <c r="AR8" s="131"/>
      <c r="AS8" s="277" t="s">
        <v>91</v>
      </c>
      <c r="AT8" s="221"/>
      <c r="AU8" s="228" t="s">
        <v>92</v>
      </c>
      <c r="AV8" s="217"/>
      <c r="AW8" s="221"/>
      <c r="AX8" s="220"/>
      <c r="AY8" s="223"/>
      <c r="AZ8" s="223"/>
      <c r="BA8" s="220"/>
      <c r="BB8" s="220"/>
      <c r="BC8" s="220"/>
      <c r="BD8" s="220"/>
      <c r="BE8" s="220"/>
      <c r="BF8" s="76"/>
      <c r="BG8" s="76"/>
      <c r="BH8" s="76"/>
      <c r="BI8" s="76"/>
      <c r="BJ8" s="76"/>
      <c r="BK8" s="76"/>
      <c r="BL8" s="76"/>
      <c r="BM8" s="78"/>
      <c r="BN8" s="76"/>
      <c r="BO8" s="79"/>
      <c r="BP8" s="78"/>
      <c r="BQ8" s="77"/>
      <c r="BR8" s="76"/>
      <c r="BS8" s="76"/>
      <c r="BT8" s="78"/>
      <c r="BU8" s="76"/>
    </row>
    <row r="9" spans="1:74" s="23" customFormat="1" ht="57.95">
      <c r="A9" s="19"/>
      <c r="B9" s="64" t="s">
        <v>93</v>
      </c>
      <c r="C9" s="80" t="s">
        <v>94</v>
      </c>
      <c r="D9" s="81" t="s">
        <v>95</v>
      </c>
      <c r="E9" s="81" t="s">
        <v>96</v>
      </c>
      <c r="F9" s="82"/>
      <c r="G9" s="22" t="s">
        <v>69</v>
      </c>
      <c r="H9" s="22" t="s">
        <v>69</v>
      </c>
      <c r="I9" s="22" t="s">
        <v>97</v>
      </c>
      <c r="J9" s="73"/>
      <c r="K9" s="73"/>
      <c r="L9" s="22" t="s">
        <v>98</v>
      </c>
      <c r="M9" s="22" t="s">
        <v>99</v>
      </c>
      <c r="N9" s="20" t="s">
        <v>100</v>
      </c>
      <c r="O9" s="83"/>
      <c r="P9" s="20" t="s">
        <v>101</v>
      </c>
      <c r="Q9" s="83"/>
      <c r="R9" s="83"/>
      <c r="S9" s="84"/>
      <c r="T9" s="60" t="s">
        <v>102</v>
      </c>
      <c r="U9" s="60" t="s">
        <v>96</v>
      </c>
      <c r="V9" s="85"/>
      <c r="W9" s="85"/>
      <c r="X9" s="85"/>
      <c r="Y9" s="86"/>
      <c r="Z9" s="75"/>
      <c r="AA9" s="85"/>
      <c r="AB9" s="85"/>
      <c r="AC9" s="86"/>
      <c r="AD9" s="85"/>
      <c r="AE9" s="240" t="s">
        <v>103</v>
      </c>
      <c r="AF9" s="43"/>
      <c r="AG9" s="116"/>
      <c r="AH9" s="116"/>
      <c r="AI9" s="241" t="s">
        <v>104</v>
      </c>
      <c r="AJ9" s="241" t="s">
        <v>105</v>
      </c>
      <c r="AK9" s="225" t="s">
        <v>106</v>
      </c>
      <c r="AL9" s="225" t="s">
        <v>107</v>
      </c>
      <c r="AM9" s="119"/>
      <c r="AN9" s="237" t="s">
        <v>108</v>
      </c>
      <c r="AO9" s="281"/>
      <c r="AP9" s="275" t="s">
        <v>109</v>
      </c>
      <c r="AQ9" s="227" t="s">
        <v>110</v>
      </c>
      <c r="AR9" s="67"/>
      <c r="AS9" s="129"/>
      <c r="AT9" s="87"/>
      <c r="AU9" s="92"/>
      <c r="AV9" s="67"/>
      <c r="AW9" s="100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77"/>
    </row>
    <row r="10" spans="1:74" s="23" customFormat="1" ht="90.75" customHeight="1">
      <c r="A10" s="293"/>
      <c r="B10" s="289" t="s">
        <v>111</v>
      </c>
      <c r="C10" s="80"/>
      <c r="D10" s="81"/>
      <c r="E10" s="81"/>
      <c r="F10" s="82"/>
      <c r="G10" s="22"/>
      <c r="H10" s="22"/>
      <c r="I10" s="22"/>
      <c r="J10" s="73"/>
      <c r="K10" s="73"/>
      <c r="L10" s="22"/>
      <c r="M10" s="105"/>
      <c r="N10" s="20"/>
      <c r="O10" s="83"/>
      <c r="P10" s="20"/>
      <c r="Q10" s="83"/>
      <c r="R10" s="83"/>
      <c r="S10" s="84"/>
      <c r="T10" s="60" t="s">
        <v>112</v>
      </c>
      <c r="U10" s="291" t="s">
        <v>113</v>
      </c>
      <c r="V10" s="85"/>
      <c r="W10" s="85"/>
      <c r="X10" s="85"/>
      <c r="Y10" s="86"/>
      <c r="Z10" s="85"/>
      <c r="AA10" s="85"/>
      <c r="AB10" s="85"/>
      <c r="AC10" s="86"/>
      <c r="AD10" s="85"/>
      <c r="AE10" s="106" t="s">
        <v>114</v>
      </c>
      <c r="AF10" s="43"/>
      <c r="AG10" s="65"/>
      <c r="AH10" s="65"/>
      <c r="AI10" s="87"/>
      <c r="AJ10" s="87"/>
      <c r="AK10" s="87"/>
      <c r="AL10" s="43"/>
      <c r="AM10" s="88"/>
      <c r="AN10" s="99"/>
      <c r="AO10" s="67" t="s">
        <v>115</v>
      </c>
      <c r="AP10" s="99"/>
      <c r="AQ10" s="215"/>
      <c r="AR10" s="120"/>
      <c r="AS10" s="90"/>
      <c r="AT10" s="91"/>
      <c r="AU10" s="136"/>
      <c r="AV10" s="67"/>
      <c r="AW10" s="79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77"/>
    </row>
    <row r="11" spans="1:74" s="23" customFormat="1" ht="28.5" customHeight="1" thickBot="1">
      <c r="A11" s="294"/>
      <c r="B11" s="290"/>
      <c r="C11" s="80" t="s">
        <v>116</v>
      </c>
      <c r="D11" s="81" t="s">
        <v>117</v>
      </c>
      <c r="E11" s="81" t="s">
        <v>113</v>
      </c>
      <c r="F11" s="82"/>
      <c r="G11" s="83"/>
      <c r="H11" s="22" t="s">
        <v>118</v>
      </c>
      <c r="I11" s="22" t="s">
        <v>119</v>
      </c>
      <c r="J11" s="21"/>
      <c r="K11" s="22" t="s">
        <v>120</v>
      </c>
      <c r="L11" s="22" t="s">
        <v>121</v>
      </c>
      <c r="M11" s="73"/>
      <c r="N11" s="83"/>
      <c r="O11" s="20" t="s">
        <v>122</v>
      </c>
      <c r="P11" s="83"/>
      <c r="Q11" s="83"/>
      <c r="R11" s="83"/>
      <c r="S11" s="84"/>
      <c r="T11" s="122" t="s">
        <v>123</v>
      </c>
      <c r="U11" s="292"/>
      <c r="V11" s="85"/>
      <c r="W11" s="85"/>
      <c r="X11" s="89"/>
      <c r="Y11" s="66" t="s">
        <v>124</v>
      </c>
      <c r="Z11" s="85"/>
      <c r="AA11" s="85"/>
      <c r="AB11" s="85"/>
      <c r="AC11" s="85"/>
      <c r="AD11" s="65"/>
      <c r="AE11" s="107"/>
      <c r="AF11" s="85"/>
      <c r="AG11" s="87"/>
      <c r="AH11" s="87"/>
      <c r="AI11" s="87"/>
      <c r="AJ11" s="87"/>
      <c r="AK11" s="87"/>
      <c r="AL11" s="87"/>
      <c r="AM11" s="92"/>
      <c r="AN11" s="266"/>
      <c r="AO11" s="121"/>
      <c r="AP11" s="119"/>
      <c r="AQ11" s="67"/>
      <c r="AR11" s="67"/>
      <c r="AS11" s="90"/>
      <c r="AT11" s="91"/>
      <c r="AU11" s="91"/>
      <c r="AV11" s="127"/>
      <c r="AW11" s="77"/>
      <c r="AX11" s="87"/>
      <c r="AY11" s="87"/>
      <c r="AZ11" s="43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77"/>
    </row>
    <row r="12" spans="1:74" s="23" customFormat="1" ht="28.5" customHeight="1">
      <c r="A12" s="189"/>
      <c r="B12" s="289" t="s">
        <v>125</v>
      </c>
      <c r="C12" s="80"/>
      <c r="D12" s="81"/>
      <c r="E12" s="81"/>
      <c r="F12" s="82"/>
      <c r="G12" s="109"/>
      <c r="H12" s="22"/>
      <c r="I12" s="22"/>
      <c r="J12" s="21"/>
      <c r="K12" s="22"/>
      <c r="L12" s="22"/>
      <c r="M12" s="73"/>
      <c r="N12" s="83"/>
      <c r="O12" s="20"/>
      <c r="P12" s="83"/>
      <c r="Q12" s="83"/>
      <c r="R12" s="83"/>
      <c r="S12" s="84"/>
      <c r="T12" s="202" t="s">
        <v>126</v>
      </c>
      <c r="U12" s="190" t="s">
        <v>127</v>
      </c>
      <c r="V12" s="85"/>
      <c r="W12" s="85"/>
      <c r="X12" s="89"/>
      <c r="Y12" s="154"/>
      <c r="Z12" s="192"/>
      <c r="AA12" s="192"/>
      <c r="AB12" s="192"/>
      <c r="AC12" s="192"/>
      <c r="AD12" s="154"/>
      <c r="AE12" s="193"/>
      <c r="AF12" s="192"/>
      <c r="AG12" s="205" t="s">
        <v>128</v>
      </c>
      <c r="AH12" s="19"/>
      <c r="AI12" s="19"/>
      <c r="AJ12" s="19"/>
      <c r="AK12" s="265" t="s">
        <v>129</v>
      </c>
      <c r="AL12" s="19"/>
      <c r="AM12" s="194"/>
      <c r="AN12" s="19"/>
      <c r="AO12" s="195"/>
      <c r="AP12" s="196"/>
      <c r="AQ12" s="206" t="s">
        <v>130</v>
      </c>
      <c r="AR12" s="207" t="s">
        <v>131</v>
      </c>
      <c r="AS12" s="171"/>
      <c r="AT12" s="171"/>
      <c r="AU12" s="171"/>
      <c r="AV12" s="171"/>
      <c r="AW12" s="171"/>
      <c r="AX12" s="171"/>
      <c r="AY12" s="171"/>
      <c r="AZ12" s="170"/>
      <c r="BA12" s="171"/>
      <c r="BB12" s="171"/>
      <c r="BC12" s="171"/>
      <c r="BD12" s="171"/>
      <c r="BE12" s="198"/>
      <c r="BF12" s="198"/>
      <c r="BG12" s="198"/>
      <c r="BH12" s="19"/>
      <c r="BI12" s="198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77"/>
    </row>
    <row r="13" spans="1:74" s="23" customFormat="1" ht="28.5" customHeight="1">
      <c r="A13" s="189"/>
      <c r="B13" s="298"/>
      <c r="C13" s="80"/>
      <c r="D13" s="81"/>
      <c r="E13" s="81"/>
      <c r="F13" s="82"/>
      <c r="G13" s="109"/>
      <c r="H13" s="22"/>
      <c r="I13" s="22"/>
      <c r="J13" s="21"/>
      <c r="K13" s="22"/>
      <c r="L13" s="22"/>
      <c r="M13" s="73"/>
      <c r="N13" s="83"/>
      <c r="O13" s="20"/>
      <c r="P13" s="83"/>
      <c r="Q13" s="83"/>
      <c r="R13" s="83"/>
      <c r="S13" s="84"/>
      <c r="T13" s="204" t="s">
        <v>132</v>
      </c>
      <c r="U13" s="203" t="s">
        <v>127</v>
      </c>
      <c r="V13" s="85"/>
      <c r="W13" s="85"/>
      <c r="X13" s="89"/>
      <c r="Y13" s="154"/>
      <c r="Z13" s="192"/>
      <c r="AA13" s="192"/>
      <c r="AB13" s="192"/>
      <c r="AC13" s="192"/>
      <c r="AD13" s="154"/>
      <c r="AE13" s="193"/>
      <c r="AF13" s="192"/>
      <c r="AG13" s="19"/>
      <c r="AH13" s="19"/>
      <c r="AI13" s="19"/>
      <c r="AJ13" s="19"/>
      <c r="AK13" s="19"/>
      <c r="AL13" s="19"/>
      <c r="AM13" s="194"/>
      <c r="AN13" s="19"/>
      <c r="AO13" s="195"/>
      <c r="AP13" s="196"/>
      <c r="AQ13" s="131"/>
      <c r="AR13" s="131"/>
      <c r="AZ13" s="197"/>
      <c r="BE13" s="198"/>
      <c r="BF13" s="198"/>
      <c r="BG13" s="198"/>
      <c r="BH13" s="19"/>
      <c r="BI13" s="198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77"/>
    </row>
    <row r="14" spans="1:74" s="23" customFormat="1" ht="22.5" customHeight="1">
      <c r="A14" s="68"/>
      <c r="B14" s="298"/>
      <c r="C14" s="80" t="s">
        <v>116</v>
      </c>
      <c r="D14" s="81" t="s">
        <v>133</v>
      </c>
      <c r="E14" s="81" t="s">
        <v>127</v>
      </c>
      <c r="F14" s="82"/>
      <c r="G14" s="73"/>
      <c r="H14" s="83"/>
      <c r="I14" s="22" t="s">
        <v>134</v>
      </c>
      <c r="J14" s="22" t="s">
        <v>135</v>
      </c>
      <c r="K14" s="83"/>
      <c r="L14" s="83"/>
      <c r="M14" s="83"/>
      <c r="N14" s="24" t="s">
        <v>136</v>
      </c>
      <c r="O14" s="83"/>
      <c r="P14" s="83"/>
      <c r="Q14" s="83"/>
      <c r="R14" s="83"/>
      <c r="S14" s="84"/>
      <c r="T14" s="191" t="s">
        <v>137</v>
      </c>
      <c r="U14" s="137" t="s">
        <v>127</v>
      </c>
      <c r="V14" s="85"/>
      <c r="W14" s="85"/>
      <c r="X14" s="89"/>
      <c r="Y14" s="192"/>
      <c r="Z14" s="192"/>
      <c r="AA14" s="192"/>
      <c r="AB14" s="192"/>
      <c r="AC14" s="192"/>
      <c r="AD14" s="192"/>
      <c r="AE14" s="192"/>
      <c r="AF14" s="19"/>
      <c r="AG14" s="19"/>
      <c r="AH14" s="19" t="s">
        <v>138</v>
      </c>
      <c r="AI14" s="19"/>
      <c r="AJ14" s="19"/>
      <c r="AK14" s="19"/>
      <c r="AL14" s="184" t="s">
        <v>138</v>
      </c>
      <c r="AM14" s="183"/>
      <c r="AN14" s="208"/>
      <c r="AO14" s="183"/>
      <c r="AP14" s="209"/>
      <c r="AQ14" s="210"/>
      <c r="AR14" s="131"/>
      <c r="AS14" s="199"/>
      <c r="AT14" s="131"/>
      <c r="AU14" s="131"/>
      <c r="AV14" s="131"/>
      <c r="BD14" s="197"/>
      <c r="BE14" s="200"/>
      <c r="BF14" s="201"/>
      <c r="BG14" s="201"/>
      <c r="BH14" s="19"/>
      <c r="BI14" s="201"/>
      <c r="BJ14" s="102"/>
      <c r="BK14" s="19"/>
      <c r="BL14" s="102"/>
      <c r="BM14" s="19"/>
      <c r="BN14" s="102"/>
      <c r="BO14" s="102"/>
      <c r="BP14" s="102"/>
      <c r="BQ14" s="102"/>
      <c r="BR14" s="102"/>
      <c r="BS14" s="102"/>
      <c r="BT14" s="102"/>
      <c r="BU14" s="102"/>
      <c r="BV14" s="77"/>
    </row>
    <row r="15" spans="1:74" s="23" customFormat="1" ht="44.1">
      <c r="A15" s="19"/>
      <c r="B15" s="64" t="s">
        <v>139</v>
      </c>
      <c r="C15" s="80" t="s">
        <v>140</v>
      </c>
      <c r="D15" s="81" t="s">
        <v>141</v>
      </c>
      <c r="E15" s="81" t="s">
        <v>142</v>
      </c>
      <c r="F15" s="82"/>
      <c r="G15" s="83"/>
      <c r="H15" s="83"/>
      <c r="I15" s="83"/>
      <c r="J15" s="22" t="s">
        <v>92</v>
      </c>
      <c r="K15" s="93"/>
      <c r="L15" s="83"/>
      <c r="M15" s="83"/>
      <c r="N15" s="83"/>
      <c r="O15" s="83"/>
      <c r="P15" s="83"/>
      <c r="Q15" s="83"/>
      <c r="R15" s="83"/>
      <c r="S15" s="84"/>
      <c r="T15" s="123" t="s">
        <v>143</v>
      </c>
      <c r="U15" s="60" t="s">
        <v>142</v>
      </c>
      <c r="V15" s="65"/>
      <c r="W15" s="66" t="s">
        <v>144</v>
      </c>
      <c r="X15" s="86"/>
      <c r="Y15" s="66" t="s">
        <v>145</v>
      </c>
      <c r="Z15" s="304" t="s">
        <v>146</v>
      </c>
      <c r="AA15" s="305"/>
      <c r="AB15" s="305"/>
      <c r="AC15" s="305"/>
      <c r="AD15" s="306"/>
      <c r="AE15" s="310" t="s">
        <v>147</v>
      </c>
      <c r="AF15" s="311"/>
      <c r="AG15" s="312"/>
      <c r="AH15" s="247" t="s">
        <v>144</v>
      </c>
      <c r="AI15" s="138"/>
      <c r="AJ15" s="140" t="s">
        <v>145</v>
      </c>
      <c r="AK15" s="307" t="s">
        <v>146</v>
      </c>
      <c r="AL15" s="307"/>
      <c r="AM15" s="307"/>
      <c r="AN15" s="307"/>
      <c r="AO15" s="307"/>
      <c r="AP15" s="308" t="s">
        <v>131</v>
      </c>
      <c r="AQ15" s="308"/>
      <c r="AR15" s="308"/>
      <c r="AS15" s="308"/>
      <c r="AT15" s="308"/>
      <c r="AU15" s="308"/>
      <c r="AV15" s="308"/>
      <c r="AW15" s="309"/>
      <c r="AX15" s="117"/>
      <c r="AY15" s="117"/>
      <c r="AZ15" s="118" t="s">
        <v>148</v>
      </c>
      <c r="BA15" s="117"/>
      <c r="BB15" s="117"/>
      <c r="BC15" s="117"/>
      <c r="BD15" s="117"/>
      <c r="BE15" s="98"/>
      <c r="BF15" s="98"/>
      <c r="BG15" s="98"/>
      <c r="BH15" s="98"/>
      <c r="BI15" s="77"/>
      <c r="BJ15" s="98"/>
      <c r="BK15" s="43"/>
      <c r="BL15" s="43"/>
      <c r="BM15" s="94"/>
      <c r="BN15" s="43"/>
      <c r="BO15" s="43"/>
      <c r="BP15" s="43"/>
      <c r="BQ15" s="43"/>
      <c r="BR15" s="43"/>
      <c r="BS15" s="43"/>
      <c r="BT15" s="43"/>
      <c r="BU15" s="43"/>
      <c r="BV15" s="77"/>
    </row>
    <row r="16" spans="1:74" s="23" customFormat="1" ht="15">
      <c r="A16" s="19"/>
      <c r="B16" s="297" t="s">
        <v>149</v>
      </c>
      <c r="C16" s="80"/>
      <c r="D16" s="81"/>
      <c r="E16" s="81"/>
      <c r="F16" s="82"/>
      <c r="G16" s="83"/>
      <c r="H16" s="72"/>
      <c r="I16" s="72"/>
      <c r="J16" s="108"/>
      <c r="K16" s="93"/>
      <c r="L16" s="83"/>
      <c r="M16" s="83"/>
      <c r="N16" s="109"/>
      <c r="O16" s="83"/>
      <c r="P16" s="83"/>
      <c r="Q16" s="83"/>
      <c r="R16" s="83"/>
      <c r="S16" s="84"/>
      <c r="T16" s="123" t="s">
        <v>150</v>
      </c>
      <c r="U16" s="60" t="s">
        <v>127</v>
      </c>
      <c r="V16" s="65"/>
      <c r="W16" s="154"/>
      <c r="X16" s="155"/>
      <c r="Y16" s="166" t="s">
        <v>151</v>
      </c>
      <c r="Z16" s="167"/>
      <c r="AA16" s="168"/>
      <c r="AB16" s="168"/>
      <c r="AC16" s="168"/>
      <c r="AD16" s="169"/>
      <c r="AE16" s="158"/>
      <c r="AF16" s="159"/>
      <c r="AG16" s="160"/>
      <c r="AH16" s="26"/>
      <c r="AI16" s="161"/>
      <c r="AJ16" s="156"/>
      <c r="AK16" s="154"/>
      <c r="AL16" s="154"/>
      <c r="AM16" s="154"/>
      <c r="AN16" s="154"/>
      <c r="AO16" s="154"/>
      <c r="AP16" s="162"/>
      <c r="AQ16" s="162"/>
      <c r="AR16" s="162"/>
      <c r="AS16" s="162"/>
      <c r="AT16" s="162"/>
      <c r="AU16" s="162"/>
      <c r="AV16" s="162"/>
      <c r="AW16" s="163"/>
      <c r="AX16" s="164"/>
      <c r="AY16" s="164"/>
      <c r="AZ16" s="165"/>
      <c r="BA16" s="164"/>
      <c r="BB16" s="164"/>
      <c r="BC16" s="164"/>
      <c r="BD16" s="164"/>
      <c r="BE16" s="79"/>
      <c r="BF16" s="79"/>
      <c r="BG16" s="79"/>
      <c r="BH16" s="79"/>
      <c r="BI16" s="77"/>
      <c r="BJ16" s="79"/>
      <c r="BK16" s="100"/>
      <c r="BL16" s="43"/>
      <c r="BM16" s="94"/>
      <c r="BN16" s="43"/>
      <c r="BO16" s="43"/>
      <c r="BP16" s="43"/>
      <c r="BQ16" s="43"/>
      <c r="BR16" s="43"/>
      <c r="BS16" s="43"/>
      <c r="BT16" s="43"/>
      <c r="BU16" s="43"/>
      <c r="BV16" s="77"/>
    </row>
    <row r="17" spans="1:74" s="23" customFormat="1" ht="29.1">
      <c r="A17" s="19"/>
      <c r="B17" s="298"/>
      <c r="C17" s="80"/>
      <c r="D17" s="81"/>
      <c r="E17" s="81"/>
      <c r="F17" s="82"/>
      <c r="G17" s="83"/>
      <c r="H17" s="72"/>
      <c r="I17" s="72"/>
      <c r="J17" s="108"/>
      <c r="K17" s="93"/>
      <c r="L17" s="83"/>
      <c r="M17" s="83"/>
      <c r="N17" s="109"/>
      <c r="O17" s="83"/>
      <c r="P17" s="83"/>
      <c r="Q17" s="83"/>
      <c r="R17" s="83"/>
      <c r="S17" s="84"/>
      <c r="T17" s="123" t="s">
        <v>152</v>
      </c>
      <c r="U17" s="60" t="s">
        <v>127</v>
      </c>
      <c r="V17" s="65"/>
      <c r="W17" s="154"/>
      <c r="X17" s="155"/>
      <c r="Y17" s="154"/>
      <c r="Z17" s="26"/>
      <c r="AA17" s="156"/>
      <c r="AB17" s="156"/>
      <c r="AC17" s="156"/>
      <c r="AD17" s="157"/>
      <c r="AE17" s="158"/>
      <c r="AF17" s="159"/>
      <c r="AG17" s="160"/>
      <c r="AH17" s="26"/>
      <c r="AI17" s="161"/>
      <c r="AJ17" s="156"/>
      <c r="AK17" s="154"/>
      <c r="AL17" s="154"/>
      <c r="AM17" s="154"/>
      <c r="AN17" s="149" t="s">
        <v>153</v>
      </c>
      <c r="AO17" s="149"/>
      <c r="AP17" s="172"/>
      <c r="AQ17" s="172"/>
      <c r="AR17" s="172"/>
      <c r="AS17" s="172"/>
      <c r="AT17" s="172"/>
      <c r="AU17" s="172"/>
      <c r="AV17" s="172"/>
      <c r="AW17" s="173"/>
      <c r="AX17" s="174"/>
      <c r="AY17" s="174"/>
      <c r="AZ17" s="175"/>
      <c r="BA17" s="174"/>
      <c r="BB17" s="174"/>
      <c r="BC17" s="174"/>
      <c r="BD17" s="174"/>
      <c r="BE17" s="176"/>
      <c r="BF17" s="176"/>
      <c r="BG17" s="176"/>
      <c r="BH17" s="176"/>
      <c r="BI17" s="177"/>
      <c r="BJ17" s="176"/>
      <c r="BK17" s="178"/>
      <c r="BL17" s="179"/>
      <c r="BM17" s="180"/>
      <c r="BN17" s="43"/>
      <c r="BO17" s="43"/>
      <c r="BP17" s="43"/>
      <c r="BQ17" s="43"/>
      <c r="BR17" s="43"/>
      <c r="BS17" s="43"/>
      <c r="BT17" s="43"/>
      <c r="BU17" s="43"/>
      <c r="BV17" s="77"/>
    </row>
    <row r="18" spans="1:74" s="23" customFormat="1" ht="27" customHeight="1">
      <c r="A18" s="19"/>
      <c r="B18" s="299"/>
      <c r="C18" s="80"/>
      <c r="D18" s="81"/>
      <c r="E18" s="81"/>
      <c r="F18" s="82"/>
      <c r="G18" s="83"/>
      <c r="H18" s="72"/>
      <c r="I18" s="72"/>
      <c r="J18" s="108"/>
      <c r="K18" s="93"/>
      <c r="L18" s="83"/>
      <c r="M18" s="83"/>
      <c r="N18" s="109"/>
      <c r="O18" s="83"/>
      <c r="P18" s="83"/>
      <c r="Q18" s="83"/>
      <c r="R18" s="83"/>
      <c r="S18" s="84"/>
      <c r="T18" s="60" t="s">
        <v>154</v>
      </c>
      <c r="U18" s="60" t="s">
        <v>127</v>
      </c>
      <c r="V18" s="65"/>
      <c r="W18" s="65"/>
      <c r="X18" s="86"/>
      <c r="Y18" s="65"/>
      <c r="Z18" s="110"/>
      <c r="AA18" s="111"/>
      <c r="AB18" s="111"/>
      <c r="AC18" s="111"/>
      <c r="AD18" s="112"/>
      <c r="AE18" s="113"/>
      <c r="AF18" s="114"/>
      <c r="AG18" s="115"/>
      <c r="AH18" s="110"/>
      <c r="AI18" s="138"/>
      <c r="AJ18" s="111"/>
      <c r="AK18" s="246"/>
      <c r="AL18" s="246"/>
      <c r="AM18" s="246"/>
      <c r="AN18" s="172" t="s">
        <v>153</v>
      </c>
      <c r="AO18" s="172"/>
      <c r="AP18" s="172"/>
      <c r="AQ18" s="172"/>
      <c r="AR18" s="172"/>
      <c r="AS18" s="172"/>
      <c r="AT18" s="172"/>
      <c r="AU18" s="172"/>
      <c r="AV18" s="172"/>
      <c r="AW18" s="173"/>
      <c r="AX18" s="174"/>
      <c r="AY18" s="174"/>
      <c r="AZ18" s="175"/>
      <c r="BA18" s="174"/>
      <c r="BB18" s="174"/>
      <c r="BC18" s="174"/>
      <c r="BD18" s="174"/>
      <c r="BE18" s="176"/>
      <c r="BF18" s="176"/>
      <c r="BG18" s="176"/>
      <c r="BH18" s="176"/>
      <c r="BI18" s="177"/>
      <c r="BJ18" s="176"/>
      <c r="BK18" s="178"/>
      <c r="BL18" s="179"/>
      <c r="BM18" s="180"/>
      <c r="BN18" s="43"/>
      <c r="BO18" s="43"/>
      <c r="BP18" s="43"/>
      <c r="BQ18" s="43"/>
      <c r="BR18" s="43"/>
      <c r="BS18" s="43"/>
      <c r="BT18" s="43"/>
      <c r="BU18" s="43"/>
      <c r="BV18" s="77"/>
    </row>
    <row r="19" spans="1:74" s="23" customFormat="1" ht="15">
      <c r="A19" s="19"/>
      <c r="B19" s="64" t="s">
        <v>155</v>
      </c>
      <c r="C19" s="80" t="s">
        <v>2</v>
      </c>
      <c r="D19" s="95" t="s">
        <v>156</v>
      </c>
      <c r="E19" s="81" t="s">
        <v>157</v>
      </c>
      <c r="F19" s="83"/>
      <c r="G19" s="83"/>
      <c r="H19" s="72"/>
      <c r="I19" s="72"/>
      <c r="J19" s="72"/>
      <c r="K19" s="83"/>
      <c r="L19" s="83"/>
      <c r="M19" s="22" t="s">
        <v>158</v>
      </c>
      <c r="N19" s="73"/>
      <c r="O19" s="83"/>
      <c r="P19" s="20" t="s">
        <v>156</v>
      </c>
      <c r="Q19" s="83"/>
      <c r="R19" s="83"/>
      <c r="S19" s="84"/>
      <c r="T19" s="61" t="s">
        <v>159</v>
      </c>
      <c r="U19" s="61" t="s">
        <v>127</v>
      </c>
      <c r="V19" s="65"/>
      <c r="W19" s="65"/>
      <c r="X19" s="86"/>
      <c r="Y19" s="65"/>
      <c r="Z19" s="65"/>
      <c r="AA19" s="65"/>
      <c r="AB19" s="65"/>
      <c r="AC19" s="65"/>
      <c r="AD19" s="65"/>
      <c r="AE19" s="65"/>
      <c r="AF19" s="43"/>
      <c r="AG19" s="43"/>
      <c r="AH19" s="88"/>
      <c r="AI19" s="99"/>
      <c r="AJ19" s="100"/>
      <c r="AK19" s="119"/>
      <c r="AL19" s="120"/>
      <c r="AM19" s="153" t="s">
        <v>159</v>
      </c>
      <c r="AN19" s="151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43"/>
      <c r="BL19" s="43"/>
      <c r="BM19" s="150" t="s">
        <v>160</v>
      </c>
      <c r="BN19" s="43"/>
      <c r="BO19" s="43"/>
      <c r="BP19" s="43"/>
      <c r="BQ19" s="43"/>
      <c r="BR19" s="43"/>
      <c r="BS19" s="43"/>
      <c r="BT19" s="43"/>
      <c r="BU19" s="43"/>
      <c r="BV19" s="77"/>
    </row>
    <row r="20" spans="1:74" s="23" customFormat="1" ht="30.75">
      <c r="A20" s="19"/>
      <c r="B20" s="64" t="s">
        <v>161</v>
      </c>
      <c r="C20" s="80" t="s">
        <v>2</v>
      </c>
      <c r="D20" s="81" t="s">
        <v>162</v>
      </c>
      <c r="E20" s="81" t="s">
        <v>157</v>
      </c>
      <c r="F20" s="83"/>
      <c r="G20" s="83"/>
      <c r="H20" s="83"/>
      <c r="I20" s="83"/>
      <c r="J20" s="22" t="s">
        <v>163</v>
      </c>
      <c r="K20" s="22" t="s">
        <v>164</v>
      </c>
      <c r="L20" s="22" t="s">
        <v>165</v>
      </c>
      <c r="M20" s="96" t="s">
        <v>166</v>
      </c>
      <c r="N20" s="73"/>
      <c r="O20" s="83"/>
      <c r="P20" s="83"/>
      <c r="Q20" s="20" t="s">
        <v>156</v>
      </c>
      <c r="R20" s="83"/>
      <c r="S20" s="84"/>
      <c r="T20" s="61" t="s">
        <v>159</v>
      </c>
      <c r="U20" s="61" t="s">
        <v>127</v>
      </c>
      <c r="V20" s="65"/>
      <c r="W20" s="149" t="s">
        <v>159</v>
      </c>
      <c r="X20" s="143"/>
      <c r="Y20" s="142"/>
      <c r="Z20" s="142"/>
      <c r="AA20" s="142"/>
      <c r="AB20" s="142"/>
      <c r="AC20" s="144"/>
      <c r="AD20" s="142"/>
      <c r="AE20" s="142"/>
      <c r="AF20" s="142"/>
      <c r="AG20" s="142"/>
      <c r="AH20" s="145"/>
      <c r="AI20" s="146"/>
      <c r="AJ20" s="147"/>
      <c r="AK20" s="142"/>
      <c r="AL20" s="148"/>
      <c r="AM20" s="148"/>
      <c r="AN20" s="286"/>
      <c r="AO20" s="142"/>
      <c r="AP20" s="142"/>
      <c r="AQ20" s="142"/>
      <c r="AR20" s="144"/>
      <c r="AS20" s="142"/>
      <c r="AT20" s="65"/>
      <c r="AU20" s="65"/>
      <c r="AV20" s="150" t="s">
        <v>160</v>
      </c>
      <c r="AW20" s="43"/>
      <c r="AX20" s="43"/>
      <c r="AY20" s="43"/>
      <c r="AZ20" s="43"/>
      <c r="BA20" s="43"/>
      <c r="BB20" s="43"/>
      <c r="BC20" s="43"/>
      <c r="BD20" s="43"/>
      <c r="BE20" s="98"/>
      <c r="BF20" s="43"/>
      <c r="BG20" s="98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77"/>
    </row>
    <row r="21" spans="1:74" s="23" customFormat="1" ht="43.5">
      <c r="A21" s="19"/>
      <c r="B21" s="64" t="s">
        <v>167</v>
      </c>
      <c r="C21" s="80" t="s">
        <v>2</v>
      </c>
      <c r="D21" s="81" t="s">
        <v>168</v>
      </c>
      <c r="E21" s="81" t="s">
        <v>157</v>
      </c>
      <c r="F21" s="83"/>
      <c r="G21" s="83"/>
      <c r="H21" s="83"/>
      <c r="I21" s="22" t="s">
        <v>169</v>
      </c>
      <c r="J21" s="22" t="s">
        <v>68</v>
      </c>
      <c r="K21" s="22" t="s">
        <v>69</v>
      </c>
      <c r="L21" s="17" t="s">
        <v>170</v>
      </c>
      <c r="M21" s="97"/>
      <c r="N21" s="25" t="s">
        <v>171</v>
      </c>
      <c r="O21" s="93"/>
      <c r="P21" s="17" t="s">
        <v>128</v>
      </c>
      <c r="Q21" s="83" t="s">
        <v>172</v>
      </c>
      <c r="R21" s="83"/>
      <c r="S21" s="84"/>
      <c r="T21" s="60" t="s">
        <v>173</v>
      </c>
      <c r="U21" s="60" t="s">
        <v>66</v>
      </c>
      <c r="W21" s="65"/>
      <c r="X21" s="86"/>
      <c r="Y21" s="229"/>
      <c r="Z21" s="73"/>
      <c r="AA21" s="229"/>
      <c r="AB21" s="229"/>
      <c r="AC21" s="229"/>
      <c r="AD21" s="229"/>
      <c r="AE21" s="229"/>
      <c r="AF21" s="94"/>
      <c r="AG21" s="94"/>
      <c r="AH21" s="248" t="s">
        <v>174</v>
      </c>
      <c r="AI21" s="219"/>
      <c r="AJ21" s="231"/>
      <c r="AK21" s="94"/>
      <c r="AL21" s="94"/>
      <c r="AN21" s="131"/>
      <c r="AO21" s="284"/>
      <c r="AP21" s="94"/>
      <c r="AQ21" s="233"/>
      <c r="AR21" s="230" t="s">
        <v>175</v>
      </c>
      <c r="AT21" s="232" t="s">
        <v>176</v>
      </c>
      <c r="AW21" s="237" t="s">
        <v>177</v>
      </c>
      <c r="AX21" s="94"/>
      <c r="AY21" s="94"/>
      <c r="AZ21" s="94"/>
      <c r="BA21" s="238" t="s">
        <v>178</v>
      </c>
      <c r="BB21" s="94"/>
      <c r="BC21" s="94"/>
      <c r="BE21" s="219"/>
      <c r="BF21" s="235"/>
      <c r="BG21" s="219"/>
      <c r="BH21" s="231"/>
      <c r="BI21" s="94"/>
      <c r="BJ21" s="43"/>
      <c r="BK21" s="43"/>
      <c r="BL21" s="43"/>
      <c r="BM21" s="43"/>
      <c r="BN21" s="43"/>
      <c r="BO21" s="232" t="s">
        <v>179</v>
      </c>
      <c r="BP21" s="43"/>
      <c r="BQ21" s="43"/>
      <c r="BR21" s="43"/>
      <c r="BS21" s="43"/>
      <c r="BT21" s="43"/>
      <c r="BU21" s="43"/>
      <c r="BV21" s="77"/>
    </row>
    <row r="22" spans="1:74" s="23" customFormat="1" ht="60.75">
      <c r="A22" s="19"/>
      <c r="B22" s="64" t="s">
        <v>167</v>
      </c>
      <c r="C22" s="80"/>
      <c r="D22" s="81"/>
      <c r="E22" s="81"/>
      <c r="F22" s="83"/>
      <c r="G22" s="83"/>
      <c r="H22" s="83"/>
      <c r="I22" s="22"/>
      <c r="J22" s="22"/>
      <c r="K22" s="22"/>
      <c r="L22" s="17"/>
      <c r="M22" s="73"/>
      <c r="N22" s="17"/>
      <c r="O22" s="93"/>
      <c r="P22" s="17"/>
      <c r="Q22" s="83"/>
      <c r="R22" s="83"/>
      <c r="S22" s="84"/>
      <c r="T22" s="60" t="s">
        <v>180</v>
      </c>
      <c r="U22" s="60" t="s">
        <v>66</v>
      </c>
      <c r="W22" s="65"/>
      <c r="X22" s="86"/>
      <c r="Y22" s="229"/>
      <c r="Z22" s="73"/>
      <c r="AA22" s="229"/>
      <c r="AB22" s="229"/>
      <c r="AC22" s="229"/>
      <c r="AD22" s="229"/>
      <c r="AE22" s="229"/>
      <c r="AF22" s="94"/>
      <c r="AG22" s="94"/>
      <c r="AH22" s="73"/>
      <c r="AI22" s="248" t="s">
        <v>181</v>
      </c>
      <c r="AJ22" s="231"/>
      <c r="AL22" s="239" t="s">
        <v>182</v>
      </c>
      <c r="AM22" s="232" t="s">
        <v>183</v>
      </c>
      <c r="AN22" s="131"/>
      <c r="AO22" s="285" t="s">
        <v>184</v>
      </c>
      <c r="AP22" s="235"/>
      <c r="AQ22" s="217"/>
      <c r="AR22" s="217"/>
      <c r="AS22" s="236"/>
      <c r="AT22" s="217"/>
      <c r="AU22" s="231"/>
      <c r="AV22" s="46"/>
      <c r="AW22" s="94"/>
      <c r="AX22" s="233"/>
      <c r="AY22" s="233"/>
      <c r="AZ22" s="233"/>
      <c r="BA22" s="233"/>
      <c r="BB22" s="94"/>
      <c r="BC22" s="94"/>
      <c r="BE22" s="219"/>
      <c r="BF22" s="231"/>
      <c r="BG22" s="226"/>
      <c r="BH22" s="94"/>
      <c r="BI22" s="94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77"/>
    </row>
    <row r="23" spans="1:74" s="23" customFormat="1" ht="15">
      <c r="A23" s="19"/>
      <c r="B23" s="64" t="s">
        <v>185</v>
      </c>
      <c r="C23" s="80"/>
      <c r="D23" s="81"/>
      <c r="E23" s="81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4"/>
      <c r="T23" s="61"/>
      <c r="U23" s="61" t="s">
        <v>186</v>
      </c>
      <c r="V23" s="65"/>
      <c r="W23" s="65"/>
      <c r="X23" s="86"/>
      <c r="Y23" s="65"/>
      <c r="Z23" s="65"/>
      <c r="AA23" s="65"/>
      <c r="AB23" s="65"/>
      <c r="AC23" s="65"/>
      <c r="AD23" s="65"/>
      <c r="AE23" s="65"/>
      <c r="AF23" s="43"/>
      <c r="AG23" s="43"/>
      <c r="AH23" s="88"/>
      <c r="AI23" s="99"/>
      <c r="AJ23" s="100"/>
      <c r="AK23" s="43"/>
      <c r="AL23" s="43"/>
      <c r="AM23" s="43"/>
      <c r="AN23" s="287"/>
      <c r="AO23" s="99"/>
      <c r="AP23" s="100"/>
      <c r="AQ23" s="119"/>
      <c r="AR23" s="120"/>
      <c r="AS23" s="135"/>
      <c r="AT23" s="67"/>
      <c r="AU23" s="100"/>
      <c r="AV23" s="43"/>
      <c r="AW23" s="43"/>
      <c r="AX23" s="98"/>
      <c r="AY23" s="98"/>
      <c r="AZ23" s="98"/>
      <c r="BA23" s="98"/>
      <c r="BB23" s="43"/>
      <c r="BC23" s="43"/>
      <c r="BD23" s="88"/>
      <c r="BE23" s="67"/>
      <c r="BF23" s="100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77"/>
    </row>
    <row r="24" spans="1:74" s="23" customFormat="1" ht="15">
      <c r="A24" s="19"/>
      <c r="B24" s="64" t="s">
        <v>187</v>
      </c>
      <c r="C24" s="80"/>
      <c r="D24" s="81"/>
      <c r="E24" s="81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4"/>
      <c r="T24" s="61" t="s">
        <v>188</v>
      </c>
      <c r="U24" s="61" t="s">
        <v>127</v>
      </c>
      <c r="V24" s="65"/>
      <c r="W24" s="65"/>
      <c r="X24" s="86"/>
      <c r="Y24" s="65"/>
      <c r="Z24" s="65"/>
      <c r="AA24" s="65"/>
      <c r="AB24" s="65"/>
      <c r="AC24" s="65"/>
      <c r="AD24" s="65"/>
      <c r="AE24" s="65"/>
      <c r="AF24" s="43"/>
      <c r="AG24" s="43"/>
      <c r="AH24" s="88"/>
      <c r="AI24" s="99"/>
      <c r="AJ24" s="100"/>
      <c r="AK24" s="179" t="s">
        <v>189</v>
      </c>
      <c r="AL24" s="144"/>
      <c r="AM24" s="171"/>
      <c r="AN24" s="171"/>
      <c r="AO24" s="152"/>
      <c r="AP24" s="144"/>
      <c r="AQ24" s="144"/>
      <c r="AR24" s="152"/>
      <c r="AS24" s="144"/>
      <c r="AT24" s="181"/>
      <c r="AU24" s="179" t="s">
        <v>160</v>
      </c>
      <c r="AV24" s="171"/>
      <c r="AW24" s="88"/>
      <c r="AX24" s="99"/>
      <c r="AY24" s="99"/>
      <c r="AZ24" s="99"/>
      <c r="BA24" s="99"/>
      <c r="BB24" s="100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77"/>
    </row>
    <row r="25" spans="1:74" s="23" customFormat="1" ht="15">
      <c r="A25" s="19"/>
      <c r="B25" s="64" t="s">
        <v>190</v>
      </c>
      <c r="C25" s="80"/>
      <c r="D25" s="81"/>
      <c r="E25" s="81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4"/>
      <c r="T25" s="61" t="s">
        <v>191</v>
      </c>
      <c r="U25" s="61" t="s">
        <v>96</v>
      </c>
      <c r="V25" s="65"/>
      <c r="W25" s="65"/>
      <c r="X25" s="86"/>
      <c r="Y25" s="65"/>
      <c r="Z25" s="65"/>
      <c r="AA25" s="65"/>
      <c r="AB25" s="65"/>
      <c r="AC25" s="65"/>
      <c r="AD25" s="65"/>
      <c r="AE25" s="65"/>
      <c r="AF25" s="43"/>
      <c r="AG25" s="43"/>
      <c r="AH25" s="88"/>
      <c r="AI25" s="99"/>
      <c r="AJ25" s="100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78"/>
      <c r="AY25" s="78"/>
      <c r="AZ25" s="78"/>
      <c r="BA25" s="78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77"/>
    </row>
    <row r="26" spans="1:74" s="23" customFormat="1" ht="45.75">
      <c r="A26" s="19"/>
      <c r="B26" s="64" t="s">
        <v>192</v>
      </c>
      <c r="C26" s="80"/>
      <c r="D26" s="81"/>
      <c r="E26" s="81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61" t="s">
        <v>193</v>
      </c>
      <c r="U26" s="61" t="s">
        <v>66</v>
      </c>
      <c r="X26" s="86"/>
      <c r="Y26" s="65"/>
      <c r="Z26" s="65"/>
      <c r="AA26" s="65"/>
      <c r="AB26" s="65"/>
      <c r="AC26" s="65"/>
      <c r="AD26" s="65"/>
      <c r="AE26" s="65"/>
      <c r="AF26" s="43"/>
      <c r="AG26" s="43"/>
      <c r="AH26" s="234"/>
      <c r="AI26" s="217"/>
      <c r="AJ26" s="248" t="s">
        <v>194</v>
      </c>
      <c r="AL26" s="230" t="s">
        <v>195</v>
      </c>
      <c r="AM26" s="94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77"/>
      <c r="BE26" s="43"/>
      <c r="BF26" s="43"/>
      <c r="BG26" s="43"/>
      <c r="BH26" s="43"/>
      <c r="BI26" s="43"/>
      <c r="BJ26" s="43"/>
      <c r="BK26" s="77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77"/>
    </row>
    <row r="27" spans="1:74" s="23" customFormat="1" ht="58.5" customHeight="1">
      <c r="A27" s="19"/>
      <c r="B27" s="295" t="s">
        <v>196</v>
      </c>
      <c r="C27" s="295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61" t="s">
        <v>197</v>
      </c>
      <c r="U27" s="61" t="s">
        <v>186</v>
      </c>
      <c r="V27" s="85"/>
      <c r="W27" s="85"/>
      <c r="X27" s="85"/>
      <c r="Y27" s="85"/>
      <c r="Z27" s="85"/>
      <c r="AA27" s="255" t="s">
        <v>198</v>
      </c>
      <c r="AB27" s="255" t="s">
        <v>199</v>
      </c>
      <c r="AC27" s="255" t="s">
        <v>200</v>
      </c>
      <c r="AD27" s="255" t="s">
        <v>201</v>
      </c>
      <c r="AE27" s="258" t="s">
        <v>202</v>
      </c>
      <c r="AF27" s="256"/>
      <c r="AG27" s="259" t="s">
        <v>203</v>
      </c>
      <c r="AH27" s="3"/>
      <c r="AI27" s="256"/>
      <c r="AJ27" s="256"/>
      <c r="AK27" s="267" t="s">
        <v>204</v>
      </c>
      <c r="AL27" s="256" t="s">
        <v>205</v>
      </c>
      <c r="AM27" s="3"/>
      <c r="AN27" s="256"/>
      <c r="AO27" s="256"/>
      <c r="AP27" s="256"/>
      <c r="AQ27" s="256"/>
      <c r="AR27" s="256" t="s">
        <v>206</v>
      </c>
      <c r="AS27" s="256" t="s">
        <v>207</v>
      </c>
      <c r="AT27" s="43"/>
      <c r="AU27" s="87"/>
      <c r="AV27" s="43"/>
      <c r="AW27" s="43"/>
      <c r="AX27" s="43" t="s">
        <v>208</v>
      </c>
      <c r="AY27" s="87"/>
      <c r="AZ27" s="43"/>
      <c r="BA27" s="87"/>
      <c r="BB27" s="87"/>
      <c r="BC27" s="87"/>
      <c r="BD27" s="87"/>
      <c r="BE27" s="87"/>
      <c r="BF27" s="87"/>
      <c r="BG27" s="44"/>
      <c r="BH27" s="43"/>
      <c r="BI27" s="77"/>
      <c r="BJ27" s="87"/>
      <c r="BK27" s="43"/>
      <c r="BL27" s="44"/>
      <c r="BM27" s="87"/>
      <c r="BN27" s="77"/>
      <c r="BO27" s="87"/>
      <c r="BP27" s="43"/>
      <c r="BQ27" s="43"/>
      <c r="BR27" s="87"/>
      <c r="BS27" s="43"/>
      <c r="BT27" s="43"/>
      <c r="BU27" s="87"/>
      <c r="BV27" s="77"/>
    </row>
    <row r="28" spans="1:74" s="23" customFormat="1" ht="14.45">
      <c r="A28" s="19"/>
      <c r="B28" s="295" t="s">
        <v>209</v>
      </c>
      <c r="C28" s="295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61" t="s">
        <v>210</v>
      </c>
      <c r="U28" s="61" t="s">
        <v>96</v>
      </c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7"/>
      <c r="AG28" s="87"/>
      <c r="AH28" s="92"/>
      <c r="AI28" s="249" t="s">
        <v>211</v>
      </c>
      <c r="AJ28" s="139"/>
      <c r="AK28" s="87"/>
      <c r="AL28" s="141" t="s">
        <v>212</v>
      </c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43"/>
      <c r="BE28" s="43"/>
      <c r="BF28" s="43"/>
      <c r="BG28" s="87"/>
      <c r="BH28" s="87"/>
      <c r="BI28" s="87"/>
      <c r="BJ28" s="87"/>
      <c r="BK28" s="87"/>
      <c r="BL28" s="43"/>
      <c r="BM28" s="87"/>
      <c r="BN28" s="87"/>
      <c r="BO28" s="87"/>
      <c r="BP28" s="87"/>
      <c r="BQ28" s="87"/>
      <c r="BR28" s="87"/>
      <c r="BS28" s="87"/>
      <c r="BT28" s="87"/>
      <c r="BU28" s="87"/>
      <c r="BV28" s="77"/>
    </row>
    <row r="29" spans="1:74" s="23" customFormat="1" ht="80.45" customHeight="1">
      <c r="A29" s="19"/>
      <c r="B29" s="104" t="s">
        <v>213</v>
      </c>
      <c r="C29" s="101"/>
      <c r="D29" s="102"/>
      <c r="E29" s="103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61"/>
      <c r="U29" s="61" t="s">
        <v>186</v>
      </c>
      <c r="V29" s="87"/>
      <c r="W29" s="87"/>
      <c r="X29" s="87"/>
      <c r="Y29" s="87"/>
      <c r="Z29" s="260" t="s">
        <v>214</v>
      </c>
      <c r="AA29" s="261"/>
      <c r="AB29" s="261"/>
      <c r="AC29" s="262"/>
      <c r="AD29" s="261"/>
      <c r="AE29" s="261"/>
      <c r="AF29" s="257"/>
      <c r="AG29" s="261"/>
      <c r="AH29" s="270" t="s">
        <v>215</v>
      </c>
      <c r="AI29" s="268" t="s">
        <v>216</v>
      </c>
      <c r="AJ29" s="257"/>
      <c r="AK29" s="268" t="s">
        <v>217</v>
      </c>
      <c r="AL29" s="257" t="s">
        <v>218</v>
      </c>
      <c r="AM29" s="257"/>
      <c r="AN29" s="257" t="s">
        <v>219</v>
      </c>
      <c r="AO29" s="263" t="s">
        <v>220</v>
      </c>
      <c r="AP29" s="87"/>
      <c r="AQ29" s="87"/>
      <c r="AR29" s="43" t="s">
        <v>221</v>
      </c>
      <c r="AS29" s="87"/>
      <c r="AT29" s="87"/>
      <c r="AU29" s="87"/>
      <c r="AV29" s="87"/>
      <c r="AW29" s="43"/>
      <c r="AX29" s="43" t="s">
        <v>208</v>
      </c>
      <c r="AY29" s="87"/>
      <c r="AZ29" s="43"/>
      <c r="BA29" s="88" t="s">
        <v>222</v>
      </c>
      <c r="BB29" s="87"/>
      <c r="BC29" s="87"/>
      <c r="BD29" s="139"/>
      <c r="BE29" s="87"/>
      <c r="BF29" s="87"/>
      <c r="BG29" s="87"/>
      <c r="BH29" s="87"/>
      <c r="BI29" s="87"/>
      <c r="BJ29" s="87"/>
      <c r="BK29" s="87"/>
      <c r="BL29" s="87"/>
      <c r="BM29" s="43" t="s">
        <v>223</v>
      </c>
      <c r="BN29" s="87"/>
      <c r="BO29" s="87"/>
      <c r="BP29" s="87"/>
      <c r="BQ29" s="87"/>
      <c r="BR29" s="87"/>
      <c r="BS29" s="87"/>
      <c r="BT29" s="87"/>
      <c r="BU29" s="87"/>
      <c r="BV29" s="43"/>
    </row>
    <row r="30" spans="1:74" ht="57.95">
      <c r="A30" s="19"/>
      <c r="B30" s="104" t="s">
        <v>224</v>
      </c>
      <c r="C30" s="101"/>
      <c r="D30" s="102"/>
      <c r="E30" s="124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25"/>
      <c r="U30" s="125" t="s">
        <v>186</v>
      </c>
      <c r="V30" s="259" t="s">
        <v>225</v>
      </c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71" t="s">
        <v>226</v>
      </c>
      <c r="AI30" s="268" t="s">
        <v>227</v>
      </c>
      <c r="AJ30" s="139"/>
      <c r="AK30" s="272" t="s">
        <v>228</v>
      </c>
      <c r="AL30" s="257" t="s">
        <v>229</v>
      </c>
      <c r="AM30" s="43" t="s">
        <v>230</v>
      </c>
      <c r="AN30" s="87"/>
      <c r="AO30" s="87"/>
      <c r="AP30" s="87" t="s">
        <v>231</v>
      </c>
      <c r="AQ30" s="87"/>
      <c r="AR30" s="87"/>
      <c r="AS30" s="87" t="s">
        <v>232</v>
      </c>
      <c r="AT30" s="87"/>
      <c r="AU30" s="87"/>
      <c r="AV30" s="87"/>
      <c r="AW30" s="43" t="s">
        <v>233</v>
      </c>
      <c r="AX30" s="43" t="s">
        <v>208</v>
      </c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43"/>
    </row>
    <row r="31" spans="1:74" ht="43.5">
      <c r="A31" s="19"/>
      <c r="B31" s="104" t="s">
        <v>234</v>
      </c>
      <c r="C31" s="101"/>
      <c r="D31" s="102"/>
      <c r="E31" s="124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25" t="s">
        <v>235</v>
      </c>
      <c r="U31" s="125" t="s">
        <v>66</v>
      </c>
      <c r="V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92"/>
      <c r="AI31" s="250" t="s">
        <v>236</v>
      </c>
      <c r="AJ31" s="251" t="s">
        <v>237</v>
      </c>
      <c r="AK31" s="254" t="s">
        <v>238</v>
      </c>
      <c r="AL31" s="288" t="s">
        <v>239</v>
      </c>
      <c r="AM31" s="239" t="s">
        <v>240</v>
      </c>
      <c r="AN31" s="238" t="s">
        <v>241</v>
      </c>
      <c r="AO31" s="87"/>
      <c r="AP31" s="87"/>
      <c r="AQ31" s="238" t="s">
        <v>242</v>
      </c>
      <c r="AR31" s="87"/>
      <c r="AS31" s="87"/>
      <c r="AT31" s="238" t="s">
        <v>92</v>
      </c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43"/>
    </row>
    <row r="32" spans="1:74" ht="16.5" customHeight="1">
      <c r="A32" s="19"/>
      <c r="B32" s="104" t="s">
        <v>243</v>
      </c>
      <c r="C32" s="101"/>
      <c r="D32" s="102"/>
      <c r="E32" s="124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61" t="s">
        <v>244</v>
      </c>
      <c r="U32" s="125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76"/>
      <c r="AJ32" s="87"/>
      <c r="AK32" s="269" t="s">
        <v>245</v>
      </c>
      <c r="AL32" s="87"/>
      <c r="AM32" s="182" t="s">
        <v>128</v>
      </c>
      <c r="AN32" s="87"/>
      <c r="AO32" s="87"/>
      <c r="AP32" s="87"/>
      <c r="AQ32" s="87"/>
      <c r="AR32" s="87"/>
      <c r="AS32" s="87"/>
      <c r="AT32" s="87"/>
      <c r="AU32" s="87"/>
      <c r="AV32" s="182" t="s">
        <v>156</v>
      </c>
      <c r="AW32" s="87"/>
      <c r="AX32" s="87"/>
      <c r="AY32" s="87"/>
      <c r="AZ32" s="184" t="s">
        <v>131</v>
      </c>
      <c r="BA32" s="184"/>
      <c r="BB32" s="184"/>
      <c r="BC32" s="184"/>
      <c r="BD32" s="184"/>
      <c r="BE32" s="184"/>
      <c r="BF32" s="184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182" t="s">
        <v>246</v>
      </c>
      <c r="BS32" s="87"/>
      <c r="BT32" s="87"/>
      <c r="BU32" s="87"/>
      <c r="BV32" s="43"/>
    </row>
    <row r="33" spans="1:74" ht="16.5" customHeight="1">
      <c r="A33" s="19"/>
      <c r="B33" s="104" t="s">
        <v>247</v>
      </c>
      <c r="C33" s="101"/>
      <c r="D33" s="102"/>
      <c r="E33" s="124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61" t="s">
        <v>248</v>
      </c>
      <c r="U33" s="125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76"/>
      <c r="AJ33" s="87"/>
      <c r="AK33" s="269" t="s">
        <v>245</v>
      </c>
      <c r="AL33" s="87"/>
      <c r="AM33" s="185"/>
      <c r="AN33" s="87"/>
      <c r="AO33" s="87"/>
      <c r="AP33" s="87"/>
      <c r="AQ33" s="87"/>
      <c r="AR33" s="182" t="s">
        <v>128</v>
      </c>
      <c r="AS33" s="87"/>
      <c r="AT33" s="87"/>
      <c r="AU33" s="87"/>
      <c r="AV33" s="185"/>
      <c r="AW33" s="19"/>
      <c r="AX33" s="19"/>
      <c r="AY33" s="182" t="s">
        <v>156</v>
      </c>
      <c r="AZ33" s="186"/>
      <c r="BA33" s="186"/>
      <c r="BB33" s="186"/>
      <c r="BC33" s="186"/>
      <c r="BD33" s="188" t="s">
        <v>131</v>
      </c>
      <c r="BE33" s="187"/>
      <c r="BF33" s="187"/>
      <c r="BG33" s="19"/>
      <c r="BH33" s="19"/>
      <c r="BI33" s="141" t="s">
        <v>249</v>
      </c>
      <c r="BJ33" s="19"/>
      <c r="BK33" s="19"/>
      <c r="BL33" s="19"/>
      <c r="BM33" s="19"/>
      <c r="BN33" s="19"/>
      <c r="BO33" s="19"/>
      <c r="BP33" s="19"/>
      <c r="BQ33" s="19"/>
      <c r="BR33" s="185"/>
      <c r="BS33" s="182" t="s">
        <v>250</v>
      </c>
      <c r="BT33" s="19"/>
      <c r="BU33" s="19"/>
      <c r="BV33" s="43"/>
    </row>
    <row r="34" spans="1:74" ht="16.5" customHeight="1">
      <c r="A34" s="19"/>
      <c r="B34" s="104" t="s">
        <v>251</v>
      </c>
      <c r="C34" s="101"/>
      <c r="D34" s="102"/>
      <c r="E34" s="124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61" t="s">
        <v>252</v>
      </c>
      <c r="U34" s="125"/>
      <c r="V34" s="214" t="s">
        <v>253</v>
      </c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2"/>
      <c r="AJ34" s="87"/>
      <c r="AK34" s="19"/>
      <c r="AL34" s="87"/>
      <c r="AM34" s="185"/>
      <c r="AN34" s="87"/>
      <c r="AO34" s="87"/>
      <c r="AP34" s="87"/>
      <c r="AQ34" s="87"/>
      <c r="AR34" s="182" t="s">
        <v>128</v>
      </c>
      <c r="AS34" s="87"/>
      <c r="AT34" s="87"/>
      <c r="AU34" s="87"/>
      <c r="AV34" s="185"/>
      <c r="AW34" s="19"/>
      <c r="AX34" s="19"/>
      <c r="AY34" s="182" t="s">
        <v>156</v>
      </c>
      <c r="AZ34" s="186"/>
      <c r="BA34" s="186"/>
      <c r="BB34" s="186"/>
      <c r="BC34" s="186"/>
      <c r="BD34" s="188" t="s">
        <v>131</v>
      </c>
      <c r="BE34" s="187"/>
      <c r="BF34" s="187"/>
      <c r="BG34" s="19"/>
      <c r="BH34" s="19"/>
      <c r="BI34" s="141" t="s">
        <v>249</v>
      </c>
      <c r="BJ34" s="19"/>
      <c r="BK34" s="19"/>
      <c r="BL34" s="19"/>
      <c r="BM34" s="19"/>
      <c r="BN34" s="19"/>
      <c r="BO34" s="19"/>
      <c r="BP34" s="19"/>
      <c r="BQ34" s="19"/>
      <c r="BR34" s="185"/>
      <c r="BS34" s="182" t="s">
        <v>250</v>
      </c>
      <c r="BT34" s="19"/>
      <c r="BU34" s="19"/>
      <c r="BV34" s="43"/>
    </row>
    <row r="35" spans="1:74">
      <c r="E35" s="4"/>
    </row>
    <row r="36" spans="1:74">
      <c r="E36" s="4"/>
    </row>
    <row r="37" spans="1:74">
      <c r="E37" s="5"/>
    </row>
    <row r="38" spans="1:74">
      <c r="E38" s="4"/>
      <c r="AH38" s="213"/>
    </row>
    <row r="39" spans="1:74">
      <c r="E39" s="4"/>
    </row>
    <row r="40" spans="1:74">
      <c r="E40" s="5"/>
    </row>
    <row r="41" spans="1:74">
      <c r="E41" s="4"/>
    </row>
    <row r="42" spans="1:74">
      <c r="E42" s="4"/>
    </row>
    <row r="43" spans="1:74">
      <c r="E43" s="4"/>
    </row>
    <row r="44" spans="1:74">
      <c r="E44" s="4"/>
    </row>
    <row r="45" spans="1:74">
      <c r="E45" s="4"/>
    </row>
    <row r="46" spans="1:74">
      <c r="E46" s="4"/>
    </row>
    <row r="47" spans="1:74">
      <c r="E47" s="4"/>
    </row>
    <row r="48" spans="1:74">
      <c r="E48" s="4"/>
    </row>
    <row r="49" spans="5:5">
      <c r="E49" s="4"/>
    </row>
    <row r="50" spans="5:5">
      <c r="E50" s="4"/>
    </row>
    <row r="51" spans="5:5">
      <c r="E51" s="4"/>
    </row>
    <row r="52" spans="5:5">
      <c r="E52" s="4"/>
    </row>
    <row r="53" spans="5:5">
      <c r="E53" s="4"/>
    </row>
    <row r="54" spans="5:5">
      <c r="E54" s="4"/>
    </row>
    <row r="55" spans="5:5">
      <c r="E55" s="4"/>
    </row>
    <row r="56" spans="5:5">
      <c r="E56" s="4"/>
    </row>
    <row r="57" spans="5:5">
      <c r="E57" s="5"/>
    </row>
    <row r="58" spans="5:5">
      <c r="E58" s="4"/>
    </row>
    <row r="59" spans="5:5">
      <c r="E59" s="4"/>
    </row>
    <row r="60" spans="5:5">
      <c r="E60" s="4"/>
    </row>
    <row r="61" spans="5:5">
      <c r="E61" s="4"/>
    </row>
    <row r="62" spans="5:5">
      <c r="E62" s="4"/>
    </row>
    <row r="63" spans="5:5">
      <c r="E63" s="4"/>
    </row>
    <row r="64" spans="5:5">
      <c r="E64" s="4"/>
    </row>
    <row r="65" spans="5:5">
      <c r="E65" s="4"/>
    </row>
    <row r="66" spans="5:5">
      <c r="E66" s="4"/>
    </row>
    <row r="67" spans="5:5">
      <c r="E67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5"/>
    </row>
    <row r="78" spans="5:5">
      <c r="E78" s="4"/>
    </row>
    <row r="79" spans="5:5">
      <c r="E79" s="4"/>
    </row>
    <row r="80" spans="5:5">
      <c r="E80" s="4"/>
    </row>
    <row r="81" spans="5:5">
      <c r="E81" s="5"/>
    </row>
    <row r="82" spans="5:5">
      <c r="E82" s="4"/>
    </row>
    <row r="83" spans="5:5">
      <c r="E83" s="4"/>
    </row>
    <row r="84" spans="5:5">
      <c r="E84" s="4"/>
    </row>
    <row r="85" spans="5:5">
      <c r="E85" s="4"/>
    </row>
    <row r="86" spans="5:5">
      <c r="E86" s="5"/>
    </row>
    <row r="87" spans="5:5">
      <c r="E87" s="4"/>
    </row>
    <row r="88" spans="5:5">
      <c r="E88" s="4"/>
    </row>
    <row r="89" spans="5:5">
      <c r="E89" s="4"/>
    </row>
    <row r="90" spans="5:5">
      <c r="E90" s="4"/>
    </row>
    <row r="91" spans="5:5">
      <c r="E91" s="4"/>
    </row>
    <row r="92" spans="5:5">
      <c r="E92" s="4"/>
    </row>
    <row r="93" spans="5:5">
      <c r="E93" s="4"/>
    </row>
    <row r="94" spans="5:5">
      <c r="E94" s="4"/>
    </row>
    <row r="95" spans="5:5">
      <c r="E95" s="6"/>
    </row>
    <row r="96" spans="5:5">
      <c r="E96" s="7"/>
    </row>
    <row r="97" spans="5:5">
      <c r="E97" s="7"/>
    </row>
    <row r="98" spans="5:5">
      <c r="E98" s="7"/>
    </row>
    <row r="99" spans="5:5">
      <c r="E99" s="7"/>
    </row>
    <row r="100" spans="5:5">
      <c r="E100" s="7"/>
    </row>
  </sheetData>
  <autoFilter ref="B5:C33" xr:uid="{00000000-0001-0000-0000-000000000000}"/>
  <mergeCells count="33">
    <mergeCell ref="Z15:AD15"/>
    <mergeCell ref="AK15:AO15"/>
    <mergeCell ref="AP15:AW15"/>
    <mergeCell ref="AE15:AG15"/>
    <mergeCell ref="L28:M28"/>
    <mergeCell ref="N28:O28"/>
    <mergeCell ref="P28:Q28"/>
    <mergeCell ref="R28:S28"/>
    <mergeCell ref="L27:M27"/>
    <mergeCell ref="N27:O27"/>
    <mergeCell ref="P27:Q27"/>
    <mergeCell ref="R27:S27"/>
    <mergeCell ref="B28:C28"/>
    <mergeCell ref="D28:E28"/>
    <mergeCell ref="F28:G28"/>
    <mergeCell ref="H28:I28"/>
    <mergeCell ref="J28:K28"/>
    <mergeCell ref="B5:B6"/>
    <mergeCell ref="T5:T6"/>
    <mergeCell ref="T3:V3"/>
    <mergeCell ref="G4:S4"/>
    <mergeCell ref="T4:V4"/>
    <mergeCell ref="U5:U6"/>
    <mergeCell ref="B10:B11"/>
    <mergeCell ref="U10:U11"/>
    <mergeCell ref="A10:A11"/>
    <mergeCell ref="B27:C27"/>
    <mergeCell ref="D27:E27"/>
    <mergeCell ref="F27:G27"/>
    <mergeCell ref="H27:I27"/>
    <mergeCell ref="J27:K27"/>
    <mergeCell ref="B16:B18"/>
    <mergeCell ref="B12:B14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607B-7702-41DD-B1A2-233DB8E3C212}">
  <sheetPr codeName="Sheet2"/>
  <dimension ref="A1:F47"/>
  <sheetViews>
    <sheetView topLeftCell="A26" workbookViewId="0">
      <selection activeCell="H15" sqref="H15"/>
    </sheetView>
  </sheetViews>
  <sheetFormatPr defaultRowHeight="14.45"/>
  <cols>
    <col min="1" max="1" width="14.85546875" customWidth="1"/>
    <col min="2" max="2" width="15.5703125" customWidth="1"/>
    <col min="4" max="4" width="10.5703125" customWidth="1"/>
    <col min="5" max="5" width="11.42578125" customWidth="1"/>
    <col min="6" max="6" width="11.5703125" bestFit="1" customWidth="1"/>
    <col min="9" max="9" width="13.28515625" bestFit="1" customWidth="1"/>
    <col min="10" max="10" width="13.140625" bestFit="1" customWidth="1"/>
    <col min="11" max="11" width="8.85546875" bestFit="1" customWidth="1"/>
    <col min="12" max="12" width="9" bestFit="1" customWidth="1"/>
    <col min="13" max="13" width="9.5703125" bestFit="1" customWidth="1"/>
    <col min="14" max="14" width="6.85546875" bestFit="1" customWidth="1"/>
    <col min="15" max="15" width="8.7109375" bestFit="1" customWidth="1"/>
    <col min="16" max="16" width="6.85546875" bestFit="1" customWidth="1"/>
    <col min="17" max="18" width="9.5703125" bestFit="1" customWidth="1"/>
    <col min="19" max="19" width="8.85546875" bestFit="1" customWidth="1"/>
    <col min="20" max="20" width="9" bestFit="1" customWidth="1"/>
    <col min="21" max="21" width="7.42578125" bestFit="1" customWidth="1"/>
    <col min="22" max="22" width="11.42578125" bestFit="1" customWidth="1"/>
  </cols>
  <sheetData>
    <row r="1" spans="1:6" ht="15.95">
      <c r="A1" s="49" t="s">
        <v>6</v>
      </c>
      <c r="B1" s="49" t="s">
        <v>254</v>
      </c>
      <c r="C1" s="49" t="s">
        <v>255</v>
      </c>
      <c r="D1" s="49" t="s">
        <v>256</v>
      </c>
      <c r="E1" s="49" t="s">
        <v>257</v>
      </c>
      <c r="F1" s="50" t="s">
        <v>258</v>
      </c>
    </row>
    <row r="2" spans="1:6" ht="14.45" customHeight="1">
      <c r="A2" s="313" t="s">
        <v>139</v>
      </c>
      <c r="B2" s="48" t="s">
        <v>259</v>
      </c>
      <c r="C2" s="45">
        <v>2026</v>
      </c>
      <c r="D2" s="45" t="s">
        <v>260</v>
      </c>
      <c r="E2" s="45">
        <v>23.3</v>
      </c>
    </row>
    <row r="3" spans="1:6" ht="14.45" customHeight="1">
      <c r="A3" s="314"/>
      <c r="B3" s="48" t="s">
        <v>259</v>
      </c>
      <c r="C3" s="45">
        <v>2026</v>
      </c>
      <c r="D3" s="45" t="s">
        <v>261</v>
      </c>
      <c r="E3" s="45">
        <v>24</v>
      </c>
    </row>
    <row r="4" spans="1:6" ht="14.45" customHeight="1">
      <c r="A4" s="314"/>
      <c r="B4" s="48" t="s">
        <v>259</v>
      </c>
      <c r="C4" s="45">
        <v>2027</v>
      </c>
      <c r="D4" s="45" t="s">
        <v>262</v>
      </c>
      <c r="E4" s="45"/>
    </row>
    <row r="5" spans="1:6" ht="14.45" customHeight="1">
      <c r="A5" s="314"/>
      <c r="B5" s="48" t="s">
        <v>259</v>
      </c>
      <c r="C5" s="45">
        <v>2027</v>
      </c>
      <c r="D5" s="45" t="s">
        <v>260</v>
      </c>
      <c r="E5" s="45"/>
    </row>
    <row r="6" spans="1:6" ht="14.45" customHeight="1">
      <c r="A6" s="314"/>
      <c r="B6" s="48" t="s">
        <v>259</v>
      </c>
      <c r="C6" s="45">
        <v>2027</v>
      </c>
      <c r="D6" s="45" t="s">
        <v>260</v>
      </c>
      <c r="E6" s="45"/>
    </row>
    <row r="7" spans="1:6" ht="14.45" customHeight="1">
      <c r="A7" s="314"/>
      <c r="B7" s="48" t="s">
        <v>259</v>
      </c>
      <c r="C7" s="45">
        <v>2027</v>
      </c>
      <c r="D7" s="45" t="s">
        <v>263</v>
      </c>
      <c r="E7" s="45"/>
    </row>
    <row r="8" spans="1:6" ht="14.45" customHeight="1">
      <c r="A8" s="314"/>
      <c r="B8" s="48" t="s">
        <v>259</v>
      </c>
      <c r="C8" s="45">
        <v>2027</v>
      </c>
      <c r="D8" s="45" t="s">
        <v>263</v>
      </c>
      <c r="E8" s="45"/>
    </row>
    <row r="9" spans="1:6" ht="14.45" customHeight="1">
      <c r="A9" s="314"/>
      <c r="B9" s="48" t="s">
        <v>259</v>
      </c>
      <c r="C9" s="45">
        <v>2027</v>
      </c>
      <c r="D9" s="45" t="s">
        <v>261</v>
      </c>
      <c r="E9" s="45"/>
    </row>
    <row r="10" spans="1:6" ht="14.45" customHeight="1">
      <c r="A10" s="314"/>
      <c r="B10" s="48" t="s">
        <v>259</v>
      </c>
      <c r="C10" s="45">
        <v>2028</v>
      </c>
      <c r="D10" s="45" t="s">
        <v>262</v>
      </c>
      <c r="E10" s="45"/>
    </row>
    <row r="11" spans="1:6" ht="14.45" customHeight="1">
      <c r="A11" s="314"/>
      <c r="B11" s="48" t="s">
        <v>259</v>
      </c>
      <c r="C11" s="45">
        <v>2028</v>
      </c>
      <c r="D11" s="45" t="s">
        <v>260</v>
      </c>
      <c r="E11" s="45"/>
    </row>
    <row r="12" spans="1:6">
      <c r="A12" s="314"/>
      <c r="B12" s="48" t="s">
        <v>259</v>
      </c>
      <c r="C12" s="45">
        <v>2031</v>
      </c>
      <c r="D12" s="45" t="s">
        <v>262</v>
      </c>
      <c r="E12" s="45"/>
    </row>
    <row r="13" spans="1:6">
      <c r="A13" s="315"/>
      <c r="B13" s="48" t="s">
        <v>259</v>
      </c>
      <c r="C13" s="45">
        <v>2031</v>
      </c>
      <c r="D13" s="45" t="s">
        <v>263</v>
      </c>
      <c r="E13" s="45"/>
    </row>
    <row r="14" spans="1:6">
      <c r="A14" s="316" t="s">
        <v>167</v>
      </c>
      <c r="B14" s="48" t="s">
        <v>264</v>
      </c>
      <c r="C14" s="46">
        <v>2026</v>
      </c>
      <c r="D14" s="46" t="s">
        <v>263</v>
      </c>
      <c r="E14" s="45"/>
    </row>
    <row r="15" spans="1:6">
      <c r="A15" s="316"/>
      <c r="B15" s="48" t="s">
        <v>264</v>
      </c>
      <c r="C15" s="46">
        <v>2028</v>
      </c>
      <c r="D15" s="46" t="s">
        <v>265</v>
      </c>
      <c r="E15" s="45"/>
    </row>
    <row r="16" spans="1:6">
      <c r="A16" s="316"/>
      <c r="B16" s="48" t="s">
        <v>264</v>
      </c>
      <c r="C16" s="46">
        <v>2028</v>
      </c>
      <c r="D16" s="46"/>
      <c r="E16" s="45"/>
    </row>
    <row r="17" spans="1:6">
      <c r="A17" s="316"/>
      <c r="B17" s="48" t="s">
        <v>264</v>
      </c>
      <c r="C17" s="46">
        <v>2029</v>
      </c>
      <c r="D17" s="46"/>
      <c r="E17" s="45"/>
    </row>
    <row r="18" spans="1:6">
      <c r="A18" s="316"/>
      <c r="B18" s="48" t="s">
        <v>264</v>
      </c>
      <c r="C18" s="46">
        <v>2029</v>
      </c>
      <c r="D18" s="46"/>
      <c r="E18" s="45"/>
    </row>
    <row r="19" spans="1:6">
      <c r="A19" s="316"/>
      <c r="B19" s="48" t="s">
        <v>264</v>
      </c>
      <c r="C19" s="46">
        <v>2029</v>
      </c>
      <c r="D19" s="46"/>
      <c r="E19" s="45"/>
    </row>
    <row r="20" spans="1:6">
      <c r="A20" s="316"/>
      <c r="B20" s="48" t="s">
        <v>264</v>
      </c>
      <c r="C20" s="46">
        <v>2030</v>
      </c>
      <c r="D20" s="46" t="s">
        <v>265</v>
      </c>
      <c r="E20" s="45"/>
    </row>
    <row r="21" spans="1:6">
      <c r="A21" s="316"/>
      <c r="B21" s="48" t="s">
        <v>266</v>
      </c>
      <c r="C21" s="46">
        <v>2027</v>
      </c>
      <c r="D21" s="46" t="s">
        <v>260</v>
      </c>
      <c r="E21" s="45"/>
      <c r="F21" t="s">
        <v>267</v>
      </c>
    </row>
    <row r="22" spans="1:6">
      <c r="A22" s="316"/>
      <c r="B22" s="48" t="s">
        <v>266</v>
      </c>
      <c r="C22" s="46">
        <v>2027</v>
      </c>
      <c r="D22" s="46" t="s">
        <v>263</v>
      </c>
      <c r="E22" s="45"/>
    </row>
    <row r="23" spans="1:6">
      <c r="A23" s="316"/>
      <c r="B23" s="48" t="s">
        <v>266</v>
      </c>
      <c r="C23" s="45">
        <v>2027</v>
      </c>
      <c r="D23" s="45" t="s">
        <v>261</v>
      </c>
      <c r="E23" s="45"/>
    </row>
    <row r="24" spans="1:6">
      <c r="A24" s="316"/>
      <c r="B24" s="48" t="s">
        <v>266</v>
      </c>
      <c r="C24" s="45">
        <v>2028</v>
      </c>
      <c r="D24" s="45" t="s">
        <v>262</v>
      </c>
      <c r="E24" s="45"/>
    </row>
    <row r="25" spans="1:6">
      <c r="A25" s="316"/>
      <c r="B25" s="48" t="s">
        <v>266</v>
      </c>
      <c r="C25" s="45">
        <v>2028</v>
      </c>
      <c r="D25" s="45" t="s">
        <v>260</v>
      </c>
      <c r="E25" s="45"/>
    </row>
    <row r="26" spans="1:6">
      <c r="A26" s="316"/>
      <c r="B26" s="48" t="s">
        <v>266</v>
      </c>
      <c r="C26" s="45">
        <v>2029</v>
      </c>
      <c r="D26" s="45" t="s">
        <v>263</v>
      </c>
      <c r="E26" s="45"/>
    </row>
    <row r="27" spans="1:6">
      <c r="A27" s="317" t="s">
        <v>155</v>
      </c>
      <c r="B27" s="48" t="s">
        <v>268</v>
      </c>
      <c r="C27" s="45">
        <v>2028</v>
      </c>
      <c r="D27" s="45" t="s">
        <v>260</v>
      </c>
      <c r="E27" s="45"/>
    </row>
    <row r="28" spans="1:6">
      <c r="A28" s="317"/>
      <c r="B28" s="48" t="s">
        <v>268</v>
      </c>
      <c r="C28" s="45">
        <v>2028</v>
      </c>
      <c r="D28" s="45" t="s">
        <v>261</v>
      </c>
      <c r="E28" s="45"/>
    </row>
    <row r="29" spans="1:6">
      <c r="A29" s="317"/>
      <c r="B29" s="48" t="s">
        <v>269</v>
      </c>
      <c r="C29" s="45">
        <v>2027</v>
      </c>
      <c r="D29" s="45" t="s">
        <v>262</v>
      </c>
      <c r="E29" s="45"/>
    </row>
    <row r="30" spans="1:6">
      <c r="A30" s="317"/>
      <c r="B30" s="48" t="s">
        <v>269</v>
      </c>
      <c r="C30" s="45">
        <v>2029</v>
      </c>
      <c r="D30" s="45" t="s">
        <v>262</v>
      </c>
      <c r="E30" s="45"/>
    </row>
    <row r="31" spans="1:6">
      <c r="A31" s="317"/>
      <c r="B31" s="48" t="s">
        <v>269</v>
      </c>
      <c r="C31" s="45">
        <v>2029</v>
      </c>
      <c r="D31" s="45" t="s">
        <v>263</v>
      </c>
      <c r="E31" s="45"/>
    </row>
    <row r="32" spans="1:6">
      <c r="A32" s="316" t="s">
        <v>161</v>
      </c>
      <c r="B32" s="48" t="s">
        <v>269</v>
      </c>
      <c r="C32" s="45">
        <v>2027</v>
      </c>
      <c r="D32" s="45" t="s">
        <v>260</v>
      </c>
      <c r="E32" s="45"/>
    </row>
    <row r="33" spans="1:5">
      <c r="A33" s="316"/>
      <c r="B33" s="48" t="s">
        <v>269</v>
      </c>
      <c r="C33" s="45">
        <v>2028</v>
      </c>
      <c r="D33" s="45" t="s">
        <v>260</v>
      </c>
      <c r="E33" s="45"/>
    </row>
    <row r="34" spans="1:5">
      <c r="A34" s="316"/>
      <c r="B34" s="48" t="s">
        <v>269</v>
      </c>
      <c r="C34" s="45">
        <v>2029</v>
      </c>
      <c r="D34" s="45" t="s">
        <v>260</v>
      </c>
      <c r="E34" s="45"/>
    </row>
    <row r="35" spans="1:5">
      <c r="A35" s="316"/>
      <c r="B35" s="48" t="s">
        <v>269</v>
      </c>
      <c r="C35" s="45">
        <v>2029</v>
      </c>
      <c r="D35" s="45" t="s">
        <v>263</v>
      </c>
      <c r="E35" s="45"/>
    </row>
    <row r="36" spans="1:5">
      <c r="A36" s="316" t="s">
        <v>270</v>
      </c>
      <c r="B36" s="48" t="s">
        <v>259</v>
      </c>
      <c r="C36" s="45">
        <v>2026</v>
      </c>
      <c r="D36" s="45" t="s">
        <v>260</v>
      </c>
      <c r="E36" s="45"/>
    </row>
    <row r="37" spans="1:5">
      <c r="A37" s="316"/>
      <c r="B37" s="48" t="s">
        <v>259</v>
      </c>
      <c r="C37" s="45">
        <v>2027</v>
      </c>
      <c r="D37" s="45" t="s">
        <v>262</v>
      </c>
      <c r="E37" s="45"/>
    </row>
    <row r="38" spans="1:5">
      <c r="A38" s="316"/>
      <c r="B38" s="48" t="s">
        <v>259</v>
      </c>
      <c r="C38" s="45">
        <v>2030</v>
      </c>
      <c r="D38" s="45"/>
      <c r="E38" s="45"/>
    </row>
    <row r="39" spans="1:5">
      <c r="A39" s="316" t="s">
        <v>271</v>
      </c>
      <c r="B39" s="48" t="s">
        <v>269</v>
      </c>
      <c r="C39" s="45">
        <v>2026</v>
      </c>
      <c r="D39" s="45" t="s">
        <v>262</v>
      </c>
      <c r="E39" s="45"/>
    </row>
    <row r="40" spans="1:5" ht="15">
      <c r="A40" s="316"/>
      <c r="B40" s="48" t="s">
        <v>269</v>
      </c>
      <c r="C40" s="45">
        <v>2027</v>
      </c>
      <c r="D40" s="45" t="s">
        <v>263</v>
      </c>
      <c r="E40" s="45"/>
    </row>
    <row r="41" spans="1:5" ht="14.45" customHeight="1">
      <c r="A41" s="313" t="s">
        <v>63</v>
      </c>
      <c r="B41" s="48" t="s">
        <v>259</v>
      </c>
      <c r="C41" s="45">
        <v>2029</v>
      </c>
      <c r="D41" s="45" t="s">
        <v>263</v>
      </c>
      <c r="E41" s="45"/>
    </row>
    <row r="42" spans="1:5" ht="14.45" customHeight="1">
      <c r="A42" s="314"/>
      <c r="B42" s="48" t="s">
        <v>259</v>
      </c>
      <c r="C42" s="45">
        <v>2030</v>
      </c>
      <c r="D42" s="45" t="s">
        <v>263</v>
      </c>
      <c r="E42" s="45"/>
    </row>
    <row r="43" spans="1:5" ht="15">
      <c r="A43" s="315"/>
      <c r="B43" s="48" t="s">
        <v>259</v>
      </c>
      <c r="C43" s="45">
        <v>2026</v>
      </c>
      <c r="D43" s="45" t="s">
        <v>260</v>
      </c>
      <c r="E43" s="45"/>
    </row>
    <row r="44" spans="1:5" ht="15">
      <c r="A44" s="47" t="s">
        <v>272</v>
      </c>
      <c r="B44" s="48" t="s">
        <v>264</v>
      </c>
      <c r="C44" s="45">
        <v>2028</v>
      </c>
      <c r="D44" s="45" t="s">
        <v>261</v>
      </c>
      <c r="E44" s="45"/>
    </row>
    <row r="45" spans="1:5">
      <c r="A45" s="47" t="s">
        <v>273</v>
      </c>
      <c r="B45" s="48" t="s">
        <v>264</v>
      </c>
      <c r="C45" s="45">
        <v>2030</v>
      </c>
      <c r="D45" s="45"/>
      <c r="E45" s="45"/>
    </row>
    <row r="46" spans="1:5">
      <c r="A46" s="47" t="s">
        <v>274</v>
      </c>
      <c r="B46" s="48" t="s">
        <v>268</v>
      </c>
      <c r="C46" s="45">
        <v>2026</v>
      </c>
      <c r="D46" s="45" t="s">
        <v>260</v>
      </c>
      <c r="E46" s="45"/>
    </row>
    <row r="47" spans="1:5">
      <c r="A47" s="47" t="s">
        <v>275</v>
      </c>
      <c r="B47" s="48" t="s">
        <v>259</v>
      </c>
      <c r="C47" s="45">
        <v>2027</v>
      </c>
      <c r="D47" s="45" t="s">
        <v>261</v>
      </c>
      <c r="E47" s="45"/>
    </row>
  </sheetData>
  <autoFilter ref="A1:E47" xr:uid="{C19D607B-7702-41DD-B1A2-233DB8E3C212}"/>
  <mergeCells count="7">
    <mergeCell ref="A2:A13"/>
    <mergeCell ref="A14:A26"/>
    <mergeCell ref="A27:A31"/>
    <mergeCell ref="A32:A35"/>
    <mergeCell ref="A36:A38"/>
    <mergeCell ref="A39:A40"/>
    <mergeCell ref="A41:A43"/>
  </mergeCells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09EE-0492-4C60-8895-A1B9A999F078}">
  <sheetPr codeName="Sheet3"/>
  <dimension ref="A1:N20"/>
  <sheetViews>
    <sheetView tabSelected="1" workbookViewId="0">
      <selection activeCell="M12" sqref="M12:N12"/>
    </sheetView>
  </sheetViews>
  <sheetFormatPr defaultRowHeight="15"/>
  <cols>
    <col min="1" max="1" width="12.5703125" customWidth="1"/>
    <col min="4" max="4" width="13.42578125" customWidth="1"/>
    <col min="7" max="7" width="11.28515625" customWidth="1"/>
    <col min="10" max="10" width="12.28515625" customWidth="1"/>
    <col min="13" max="13" width="12.5703125" customWidth="1"/>
  </cols>
  <sheetData>
    <row r="1" spans="1:14" ht="15" customHeight="1">
      <c r="A1" s="318">
        <v>2026</v>
      </c>
      <c r="B1" s="318"/>
      <c r="C1" s="56" t="s">
        <v>276</v>
      </c>
      <c r="D1" s="318">
        <v>2027</v>
      </c>
      <c r="E1" s="318"/>
      <c r="F1" s="56"/>
      <c r="G1" s="318">
        <v>2028</v>
      </c>
      <c r="H1" s="318"/>
      <c r="I1" s="56"/>
      <c r="J1" s="318">
        <v>2029</v>
      </c>
      <c r="K1" s="318"/>
      <c r="L1" s="56"/>
      <c r="M1" s="318">
        <v>2030</v>
      </c>
      <c r="N1" s="318"/>
    </row>
    <row r="2" spans="1:14" ht="14.45">
      <c r="A2" s="54" t="s">
        <v>277</v>
      </c>
      <c r="B2" s="54" t="s">
        <v>277</v>
      </c>
      <c r="C2" s="55"/>
      <c r="D2" s="54" t="s">
        <v>277</v>
      </c>
      <c r="E2" s="54" t="s">
        <v>277</v>
      </c>
      <c r="F2" s="55"/>
      <c r="G2" s="54" t="s">
        <v>277</v>
      </c>
      <c r="H2" s="54" t="s">
        <v>277</v>
      </c>
      <c r="I2" s="55"/>
      <c r="J2" s="54" t="s">
        <v>277</v>
      </c>
      <c r="K2" s="54" t="s">
        <v>277</v>
      </c>
      <c r="L2" s="55"/>
      <c r="M2" s="54" t="s">
        <v>277</v>
      </c>
      <c r="N2" s="54" t="s">
        <v>277</v>
      </c>
    </row>
    <row r="3" spans="1:14" ht="14.45">
      <c r="A3" s="52" t="s">
        <v>6</v>
      </c>
      <c r="B3" s="57" t="s">
        <v>278</v>
      </c>
      <c r="C3" s="51"/>
      <c r="D3" s="52" t="s">
        <v>6</v>
      </c>
      <c r="E3" s="57" t="s">
        <v>278</v>
      </c>
      <c r="F3" s="51"/>
      <c r="G3" s="52" t="s">
        <v>6</v>
      </c>
      <c r="H3" s="57" t="s">
        <v>278</v>
      </c>
      <c r="I3" s="51"/>
      <c r="J3" s="52" t="s">
        <v>6</v>
      </c>
      <c r="K3" s="57" t="s">
        <v>278</v>
      </c>
      <c r="L3" s="51"/>
      <c r="M3" s="52" t="s">
        <v>6</v>
      </c>
      <c r="N3" s="57" t="s">
        <v>278</v>
      </c>
    </row>
    <row r="4" spans="1:14" ht="14.45">
      <c r="A4" s="53" t="s">
        <v>271</v>
      </c>
      <c r="B4" s="53">
        <v>1</v>
      </c>
      <c r="C4" s="51"/>
      <c r="D4" s="53" t="s">
        <v>271</v>
      </c>
      <c r="E4" s="53">
        <v>1</v>
      </c>
      <c r="F4" s="51"/>
      <c r="G4" s="53" t="s">
        <v>139</v>
      </c>
      <c r="H4" s="53">
        <v>2</v>
      </c>
      <c r="I4" s="51"/>
      <c r="J4" s="53" t="s">
        <v>63</v>
      </c>
      <c r="K4" s="53">
        <v>1</v>
      </c>
      <c r="L4" s="51"/>
      <c r="M4" s="53" t="s">
        <v>270</v>
      </c>
      <c r="N4" s="53">
        <v>1</v>
      </c>
    </row>
    <row r="5" spans="1:14" ht="14.45">
      <c r="A5" s="51" t="s">
        <v>269</v>
      </c>
      <c r="B5" s="51">
        <v>1</v>
      </c>
      <c r="C5" s="51"/>
      <c r="D5" s="51" t="s">
        <v>269</v>
      </c>
      <c r="E5" s="51">
        <v>1</v>
      </c>
      <c r="F5" s="51"/>
      <c r="G5" s="51" t="s">
        <v>259</v>
      </c>
      <c r="H5" s="51">
        <v>2</v>
      </c>
      <c r="I5" s="51"/>
      <c r="J5" s="51" t="s">
        <v>259</v>
      </c>
      <c r="K5" s="51">
        <v>1</v>
      </c>
      <c r="L5" s="51"/>
      <c r="M5" s="51" t="s">
        <v>259</v>
      </c>
      <c r="N5" s="51">
        <v>1</v>
      </c>
    </row>
    <row r="6" spans="1:14" ht="14.45">
      <c r="A6" s="53" t="s">
        <v>270</v>
      </c>
      <c r="B6" s="53">
        <v>1</v>
      </c>
      <c r="C6" s="51"/>
      <c r="D6" s="53" t="s">
        <v>270</v>
      </c>
      <c r="E6" s="53">
        <v>1</v>
      </c>
      <c r="F6" s="51"/>
      <c r="G6" s="53" t="s">
        <v>167</v>
      </c>
      <c r="H6" s="53">
        <v>4</v>
      </c>
      <c r="I6" s="51"/>
      <c r="J6" s="53" t="s">
        <v>167</v>
      </c>
      <c r="K6" s="53">
        <v>4</v>
      </c>
      <c r="L6" s="51"/>
      <c r="M6" s="53" t="s">
        <v>63</v>
      </c>
      <c r="N6" s="53">
        <v>1</v>
      </c>
    </row>
    <row r="7" spans="1:14" ht="14.45">
      <c r="A7" s="51" t="s">
        <v>259</v>
      </c>
      <c r="B7" s="51">
        <v>1</v>
      </c>
      <c r="C7" s="51"/>
      <c r="D7" s="51" t="s">
        <v>259</v>
      </c>
      <c r="E7" s="51">
        <v>1</v>
      </c>
      <c r="F7" s="51"/>
      <c r="G7" s="51" t="s">
        <v>266</v>
      </c>
      <c r="H7" s="51">
        <v>2</v>
      </c>
      <c r="I7" s="51"/>
      <c r="J7" s="51" t="s">
        <v>266</v>
      </c>
      <c r="K7" s="51">
        <v>1</v>
      </c>
      <c r="L7" s="51"/>
      <c r="M7" s="51" t="s">
        <v>259</v>
      </c>
      <c r="N7" s="51">
        <v>1</v>
      </c>
    </row>
    <row r="8" spans="1:14" ht="14.45">
      <c r="A8" s="53" t="s">
        <v>139</v>
      </c>
      <c r="B8" s="53">
        <v>2</v>
      </c>
      <c r="C8" s="51"/>
      <c r="D8" s="53" t="s">
        <v>139</v>
      </c>
      <c r="E8" s="53">
        <v>6</v>
      </c>
      <c r="F8" s="51"/>
      <c r="G8" s="51" t="s">
        <v>264</v>
      </c>
      <c r="H8" s="51">
        <v>2</v>
      </c>
      <c r="I8" s="51"/>
      <c r="J8" s="51" t="s">
        <v>264</v>
      </c>
      <c r="K8" s="51">
        <v>3</v>
      </c>
      <c r="L8" s="51"/>
      <c r="M8" s="53" t="s">
        <v>167</v>
      </c>
      <c r="N8" s="53">
        <v>1</v>
      </c>
    </row>
    <row r="9" spans="1:14" ht="14.45">
      <c r="A9" s="51" t="s">
        <v>259</v>
      </c>
      <c r="B9" s="51">
        <v>2</v>
      </c>
      <c r="C9" s="51"/>
      <c r="D9" s="51" t="s">
        <v>259</v>
      </c>
      <c r="E9" s="51">
        <v>6</v>
      </c>
      <c r="F9" s="51"/>
      <c r="G9" s="53" t="s">
        <v>161</v>
      </c>
      <c r="H9" s="53">
        <v>1</v>
      </c>
      <c r="I9" s="51"/>
      <c r="J9" s="53" t="s">
        <v>161</v>
      </c>
      <c r="K9" s="53">
        <v>2</v>
      </c>
      <c r="L9" s="51"/>
      <c r="M9" s="51" t="s">
        <v>264</v>
      </c>
      <c r="N9" s="51">
        <v>1</v>
      </c>
    </row>
    <row r="10" spans="1:14">
      <c r="A10" s="53" t="s">
        <v>167</v>
      </c>
      <c r="B10" s="53">
        <v>1</v>
      </c>
      <c r="C10" s="51"/>
      <c r="D10" s="53" t="s">
        <v>167</v>
      </c>
      <c r="E10" s="53">
        <v>3</v>
      </c>
      <c r="F10" s="51"/>
      <c r="G10" s="51" t="s">
        <v>269</v>
      </c>
      <c r="H10" s="51">
        <v>1</v>
      </c>
      <c r="I10" s="51"/>
      <c r="J10" s="51" t="s">
        <v>269</v>
      </c>
      <c r="K10" s="51">
        <v>2</v>
      </c>
      <c r="L10" s="51"/>
      <c r="M10" s="53" t="s">
        <v>273</v>
      </c>
      <c r="N10" s="53">
        <v>1</v>
      </c>
    </row>
    <row r="11" spans="1:14">
      <c r="A11" s="51" t="s">
        <v>264</v>
      </c>
      <c r="B11" s="51">
        <v>1</v>
      </c>
      <c r="C11" s="51"/>
      <c r="D11" s="51" t="s">
        <v>266</v>
      </c>
      <c r="E11" s="51">
        <v>3</v>
      </c>
      <c r="F11" s="51"/>
      <c r="G11" s="53" t="s">
        <v>155</v>
      </c>
      <c r="H11" s="53">
        <v>2</v>
      </c>
      <c r="I11" s="51"/>
      <c r="J11" s="53" t="s">
        <v>155</v>
      </c>
      <c r="K11" s="53">
        <v>2</v>
      </c>
      <c r="L11" s="51"/>
      <c r="M11" s="51" t="s">
        <v>264</v>
      </c>
      <c r="N11" s="51">
        <v>1</v>
      </c>
    </row>
    <row r="12" spans="1:14">
      <c r="A12" s="53" t="s">
        <v>274</v>
      </c>
      <c r="B12" s="53">
        <v>1</v>
      </c>
      <c r="C12" s="51"/>
      <c r="D12" s="53" t="s">
        <v>161</v>
      </c>
      <c r="E12" s="53">
        <v>1</v>
      </c>
      <c r="F12" s="51"/>
      <c r="G12" s="51" t="s">
        <v>268</v>
      </c>
      <c r="H12" s="51">
        <v>2</v>
      </c>
      <c r="I12" s="51"/>
      <c r="J12" s="51" t="s">
        <v>269</v>
      </c>
      <c r="K12" s="51">
        <v>2</v>
      </c>
      <c r="L12" s="51"/>
      <c r="M12" s="321" t="s">
        <v>279</v>
      </c>
      <c r="N12" s="321">
        <v>4</v>
      </c>
    </row>
    <row r="13" spans="1:14">
      <c r="A13" s="51" t="s">
        <v>268</v>
      </c>
      <c r="B13" s="51">
        <v>1</v>
      </c>
      <c r="C13" s="51"/>
      <c r="D13" s="51" t="s">
        <v>269</v>
      </c>
      <c r="E13" s="51">
        <v>1</v>
      </c>
      <c r="F13" s="51"/>
      <c r="G13" s="53" t="s">
        <v>272</v>
      </c>
      <c r="H13" s="53">
        <v>1</v>
      </c>
      <c r="I13" s="51"/>
      <c r="J13" s="321" t="s">
        <v>279</v>
      </c>
      <c r="K13" s="321">
        <v>9</v>
      </c>
      <c r="L13" s="51"/>
      <c r="M13" s="51"/>
      <c r="N13" s="51"/>
    </row>
    <row r="14" spans="1:14">
      <c r="A14" s="320" t="s">
        <v>63</v>
      </c>
      <c r="B14" s="320">
        <v>1</v>
      </c>
      <c r="C14" s="51"/>
      <c r="D14" s="53" t="s">
        <v>155</v>
      </c>
      <c r="E14" s="53">
        <v>1</v>
      </c>
      <c r="F14" s="51"/>
      <c r="G14" s="51" t="s">
        <v>264</v>
      </c>
      <c r="H14" s="51">
        <v>1</v>
      </c>
      <c r="I14" s="51"/>
      <c r="J14" s="319"/>
      <c r="K14" s="319"/>
      <c r="L14" s="51"/>
      <c r="M14" s="51"/>
      <c r="N14" s="51"/>
    </row>
    <row r="15" spans="1:14">
      <c r="A15" s="51" t="s">
        <v>259</v>
      </c>
      <c r="B15" s="51">
        <v>1</v>
      </c>
      <c r="C15" s="51"/>
      <c r="D15" s="51" t="s">
        <v>269</v>
      </c>
      <c r="E15" s="51">
        <v>1</v>
      </c>
      <c r="F15" s="51"/>
      <c r="G15" s="321" t="s">
        <v>279</v>
      </c>
      <c r="H15" s="321">
        <v>10</v>
      </c>
      <c r="I15" s="51"/>
      <c r="J15" s="319"/>
      <c r="K15" s="319"/>
      <c r="L15" s="51"/>
      <c r="M15" s="51"/>
      <c r="N15" s="51"/>
    </row>
    <row r="16" spans="1:14">
      <c r="A16" s="321" t="s">
        <v>279</v>
      </c>
      <c r="B16" s="321">
        <f>SUM(B4+B6+B8+B10+B12+B14)</f>
        <v>7</v>
      </c>
      <c r="C16" s="51"/>
      <c r="D16" s="53" t="s">
        <v>275</v>
      </c>
      <c r="E16" s="53">
        <v>1</v>
      </c>
      <c r="F16" s="51"/>
      <c r="G16" s="51"/>
      <c r="H16" s="51"/>
      <c r="I16" s="51"/>
      <c r="J16" s="51"/>
      <c r="K16" s="51"/>
      <c r="L16" s="51"/>
      <c r="M16" s="51"/>
      <c r="N16" s="51"/>
    </row>
    <row r="17" spans="1:14">
      <c r="A17" s="51"/>
      <c r="B17" s="51"/>
      <c r="C17" s="51"/>
      <c r="D17" s="51" t="s">
        <v>259</v>
      </c>
      <c r="E17" s="51">
        <v>1</v>
      </c>
      <c r="F17" s="51"/>
      <c r="G17" s="51"/>
      <c r="H17" s="51"/>
      <c r="I17" s="51"/>
      <c r="J17" s="51"/>
      <c r="K17" s="51"/>
      <c r="L17" s="51"/>
      <c r="M17" s="51"/>
      <c r="N17" s="51"/>
    </row>
    <row r="18" spans="1:14">
      <c r="A18" s="51"/>
      <c r="B18" s="51"/>
      <c r="C18" s="51"/>
      <c r="D18" s="321" t="s">
        <v>279</v>
      </c>
      <c r="E18" s="321">
        <v>14</v>
      </c>
      <c r="F18" s="51"/>
      <c r="G18" s="51"/>
      <c r="H18" s="51"/>
      <c r="I18" s="51"/>
      <c r="J18" s="51"/>
      <c r="K18" s="51"/>
      <c r="L18" s="51"/>
      <c r="M18" s="51"/>
      <c r="N18" s="51"/>
    </row>
    <row r="19" spans="1:14">
      <c r="A19" s="51"/>
      <c r="B19" s="51"/>
      <c r="C19" s="51"/>
      <c r="I19" s="51"/>
      <c r="J19" s="51"/>
      <c r="K19" s="51"/>
      <c r="L19" s="51"/>
      <c r="M19" s="51"/>
      <c r="N19" s="51"/>
    </row>
    <row r="20" spans="1:14">
      <c r="A20" s="51"/>
      <c r="B20" s="51"/>
      <c r="C20" s="51"/>
      <c r="I20" s="51"/>
      <c r="J20" s="51"/>
      <c r="K20" s="51"/>
      <c r="L20" s="51"/>
      <c r="M20" s="51"/>
      <c r="N20" s="51"/>
    </row>
  </sheetData>
  <autoFilter ref="A3:N20" xr:uid="{15F909EE-0492-4C60-8895-A1B9A999F078}"/>
  <mergeCells count="5"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28b8f907-c4fe-4291-886d-ded1ddc540c2" value=""/>
  <element uid="49330798-7003-4e86-8332-af49f20564a6" value=""/>
  <element uid="ec6abd3b-c0d6-4fa7-a60a-349d0f822e3b" value=""/>
  <element uid="46fe2329-c02b-4495-b624-12a499d069e2" value=""/>
</sisl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AE341D12A5A41823BE5ABBD61F27F" ma:contentTypeVersion="6" ma:contentTypeDescription="Create a new document." ma:contentTypeScope="" ma:versionID="f95cb1815779cdf91d1df0b27aa56d2c">
  <xsd:schema xmlns:xsd="http://www.w3.org/2001/XMLSchema" xmlns:xs="http://www.w3.org/2001/XMLSchema" xmlns:p="http://schemas.microsoft.com/office/2006/metadata/properties" xmlns:ns2="75acdae7-bfb4-4cf5-a68f-cf32779c15bb" xmlns:ns3="e111fd94-0515-4d31-81ec-d2d72f7a4a05" targetNamespace="http://schemas.microsoft.com/office/2006/metadata/properties" ma:root="true" ma:fieldsID="b8f9aafc5bde9205621cbff922794f80" ns2:_="" ns3:_="">
    <xsd:import namespace="75acdae7-bfb4-4cf5-a68f-cf32779c15bb"/>
    <xsd:import namespace="e111fd94-0515-4d31-81ec-d2d72f7a4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cdae7-bfb4-4cf5-a68f-cf32779c1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1fd94-0515-4d31-81ec-d2d72f7a4a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I4YjhmOTA3LWM0ZmUtNDI5MS04ODZkLWRlZDFkZGM1NDBjMiIgdmFsdWU9IiIgeG1sbnM9Imh0dHA6Ly93d3cuYm9sZG9uamFtZXMuY29tLzIwMDgvMDEvc2llL2ludGVybmFsL2xhYmVsIiAvPjxlbGVtZW50IHVpZD0iNDkzMzA3OTgtNzAwMy00ZTg2LTgzMzItYWY0OWYyMDU2NGE2IiB2YWx1ZT0iIiB4bWxucz0iaHR0cDovL3d3dy5ib2xkb25qYW1lcy5jb20vMjAwOC8wMS9zaWUvaW50ZXJuYWwvbGFiZWwiIC8+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+UlJMT0NBTFx1NTY1MTgzPC9Vc2VyTmFtZT48RGF0ZVRpbWU+MTUvMTAvMjAyNCAwNzozMjo1NzwvRGF0ZVRpbWU+PExhYmVsU3RyaW5nPlByaXZhdGUgLSBSb2xscy1Sb3ljZSBDb250ZW50IE9ubHkgLSBOb3QgU3ViamVjdCB0byBFeHBvcnQgQ29udHJvbCAgICAgPC9MYWJlbFN0cmluZz48L2l0ZW0+PC9sYWJlbEhpc3Rvcnk+</Value>
</WrappedLabelHistory>
</file>

<file path=customXml/itemProps1.xml><?xml version="1.0" encoding="utf-8"?>
<ds:datastoreItem xmlns:ds="http://schemas.openxmlformats.org/officeDocument/2006/customXml" ds:itemID="{886C7A20-612F-49EE-ACE2-31E01175FFAA}"/>
</file>

<file path=customXml/itemProps2.xml><?xml version="1.0" encoding="utf-8"?>
<ds:datastoreItem xmlns:ds="http://schemas.openxmlformats.org/officeDocument/2006/customXml" ds:itemID="{E880B1D5-D930-488C-8363-DF63D755EE84}"/>
</file>

<file path=customXml/itemProps3.xml><?xml version="1.0" encoding="utf-8"?>
<ds:datastoreItem xmlns:ds="http://schemas.openxmlformats.org/officeDocument/2006/customXml" ds:itemID="{F7881665-0C22-417F-A769-8543CCA9C538}"/>
</file>

<file path=customXml/itemProps4.xml><?xml version="1.0" encoding="utf-8"?>
<ds:datastoreItem xmlns:ds="http://schemas.openxmlformats.org/officeDocument/2006/customXml" ds:itemID="{8D882FA2-A2AC-4A6C-BD9D-762FAF6323BE}"/>
</file>

<file path=customXml/itemProps5.xml><?xml version="1.0" encoding="utf-8"?>
<ds:datastoreItem xmlns:ds="http://schemas.openxmlformats.org/officeDocument/2006/customXml" ds:itemID="{F3D15C86-3212-42F8-8AE9-0DEDB0F0B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Adib, Omar</dc:creator>
  <cp:keywords>|1:Pvt|5:NonExpCont|6:NonGov|2:Rolls-Royce|</cp:keywords>
  <dc:description/>
  <cp:lastModifiedBy>Yasin, Ahmad</cp:lastModifiedBy>
  <cp:revision/>
  <dcterms:created xsi:type="dcterms:W3CDTF">2024-10-01T06:34:12Z</dcterms:created>
  <dcterms:modified xsi:type="dcterms:W3CDTF">2026-04-22T11:29:01Z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0x010100635AE341D12A5A41823BE5ABBD61F27F</vt:lpwstr>
  </property>
  <property fmtid="{D5CDD505-2E9C-101B-9397-08002B2CF9AE}" pid="3" name="docIndexRef">
    <vt:lpwstr>54c77864-b234-4e05-9f1d-e930993c9bdf</vt:lpwstr>
  </property>
  <property fmtid="{D5CDD505-2E9C-101B-9397-08002B2CF9AE}" pid="4" name="bjSaver">
    <vt:lpwstr>OdnR8BLENzCIsSZMJ0Ksp6C4WBJkVhqq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policy="e56daa8a-7b27-48ac-85d4-db65acb580b6" origin="userSelected" xmlns="http://www.boldonj</vt:lpwstr>
  </property>
  <property fmtid="{D5CDD505-2E9C-101B-9397-08002B2CF9AE}" pid="6" name="bjDocumentLabelXML-0">
    <vt:lpwstr>ames.com/2008/01/sie/internal/label"&gt;&lt;element uid="28b8f907-c4fe-4291-886d-ded1ddc540c2" value="" /&gt;&lt;element uid="49330798-7003-4e86-8332-af49f20564a6" value="" /&gt;&lt;element uid="ec6abd3b-c0d6-4fa7-a60a-349d0f822e3b" value="" /&gt;&lt;element uid="46fe2329-c02b-4</vt:lpwstr>
  </property>
  <property fmtid="{D5CDD505-2E9C-101B-9397-08002B2CF9AE}" pid="7" name="bjDocumentLabelXML-1">
    <vt:lpwstr>495-b624-12a499d069e2" value="" /&gt;&lt;/sisl&gt;</vt:lpwstr>
  </property>
  <property fmtid="{D5CDD505-2E9C-101B-9397-08002B2CF9AE}" pid="8" name="bjDocumentSecurityLabel">
    <vt:lpwstr>Private - Rolls-Royce Content Only - Not Subject to Export Control     </vt:lpwstr>
  </property>
  <property fmtid="{D5CDD505-2E9C-101B-9397-08002B2CF9AE}" pid="9" name="GovSecClass">
    <vt:lpwstr>No_Classification</vt:lpwstr>
  </property>
  <property fmtid="{D5CDD505-2E9C-101B-9397-08002B2CF9AE}" pid="10" name="Ownership">
    <vt:lpwstr>Rolls-Royce_content_only</vt:lpwstr>
  </property>
  <property fmtid="{D5CDD505-2E9C-101B-9397-08002B2CF9AE}" pid="11" name="TCGovSecClass">
    <vt:lpwstr>No_Classification</vt:lpwstr>
  </property>
  <property fmtid="{D5CDD505-2E9C-101B-9397-08002B2CF9AE}" pid="12" name="BusinessSensitivity">
    <vt:lpwstr>Private</vt:lpwstr>
  </property>
  <property fmtid="{D5CDD505-2E9C-101B-9397-08002B2CF9AE}" pid="13" name="ExportControlled">
    <vt:lpwstr>Not_Subject_to_Export_Control</vt:lpwstr>
  </property>
  <property fmtid="{D5CDD505-2E9C-101B-9397-08002B2CF9AE}" pid="14" name="bjLabelHistoryID">
    <vt:lpwstr>{F3D15C86-3212-42F8-8AE9-0DEDB0F0B975}</vt:lpwstr>
  </property>
  <property fmtid="{D5CDD505-2E9C-101B-9397-08002B2CF9AE}" pid="15" name="MediaServiceImageTags">
    <vt:lpwstr/>
  </property>
  <property fmtid="{D5CDD505-2E9C-101B-9397-08002B2CF9AE}" pid="16" name="bjClsUserRVM">
    <vt:lpwstr>[]</vt:lpwstr>
  </property>
</Properties>
</file>